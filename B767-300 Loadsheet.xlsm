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ml.chartshapes+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defaultThemeVersion="166925"/>
  <mc:AlternateContent xmlns:mc="http://schemas.openxmlformats.org/markup-compatibility/2006">
    <mc:Choice Requires="x15">
      <x15ac:absPath xmlns:x15ac="http://schemas.microsoft.com/office/spreadsheetml/2010/11/ac" url="H:\My Drive\LOADSHEETS\"/>
    </mc:Choice>
  </mc:AlternateContent>
  <xr:revisionPtr revIDLastSave="0" documentId="13_ncr:1_{F2E8B8AD-F433-41CC-9A9B-9AC2AF85737A}" xr6:coauthVersionLast="47" xr6:coauthVersionMax="47" xr10:uidLastSave="{00000000-0000-0000-0000-000000000000}"/>
  <bookViews>
    <workbookView xWindow="-120" yWindow="-16320" windowWidth="29040" windowHeight="16440" xr2:uid="{1C73FD28-DF26-442B-A68C-9B615501E3D8}"/>
  </bookViews>
  <sheets>
    <sheet name="Load Plan " sheetId="10" r:id="rId1"/>
    <sheet name="Load Sheet" sheetId="11" r:id="rId2"/>
    <sheet name="Trim Sheet" sheetId="12" r:id="rId3"/>
    <sheet name="Missing Constrains" sheetId="9" state="veryHidden" r:id="rId4"/>
    <sheet name="Combined IATA Codes" sheetId="8" state="veryHidden" r:id="rId5"/>
    <sheet name="Stab Trim Table" sheetId="7" state="veryHidden" r:id="rId6"/>
    <sheet name="Important Attributes" sheetId="6" state="veryHidden" r:id="rId7"/>
    <sheet name="Indeces" sheetId="3" state="veryHidden" r:id="rId8"/>
    <sheet name="INDEX n LBS Chart Build" sheetId="20" state="veryHidden" r:id="rId9"/>
  </sheets>
  <definedNames>
    <definedName name="_xleta.IF" hidden="1" xlm="1">#NAME?</definedName>
    <definedName name="_xleta.INDEX" hidden="1" xlm="1">#NAME?</definedName>
    <definedName name="_xleta.LEN" hidden="1" xlm="1">#NAME?</definedName>
    <definedName name="_xleta.TODAY" hidden="1" xlm="1">#NAME?</definedName>
    <definedName name="_xlpm.badPair" hidden="1" xlm="1">#NAME?</definedName>
    <definedName name="_xlpm.code" hidden="1" xlm="1">#NAME?</definedName>
    <definedName name="_xlpm.code1" hidden="1" xlm="1">#NAME?</definedName>
    <definedName name="_xlpm.code2" hidden="1" xlm="1">#NAME?</definedName>
    <definedName name="_xlpm.hasCode" hidden="1" xlm="1">#NAME?</definedName>
    <definedName name="_xlpm.hasVal" hidden="1" xlm="1">#NAME?</definedName>
    <definedName name="_xlpm.isLD2" hidden="1" xlm="1">#NAME?</definedName>
    <definedName name="_xlpm.lookupRes" hidden="1" xlm="1">#NAME?</definedName>
    <definedName name="_xlpm.rawCode" hidden="1" xlm="1">#NAME?</definedName>
    <definedName name="_xlpm.rawVal" hidden="1" xlm="1">#NAME?</definedName>
    <definedName name="_xlpm.val" hidden="1" xlm="1">#NAME?</definedName>
    <definedName name="AC_Reg" localSheetId="4">#REF!</definedName>
    <definedName name="AC_Reg" localSheetId="8">#REF!</definedName>
    <definedName name="AC_Reg" localSheetId="3">#REF!</definedName>
    <definedName name="AC_Reg" localSheetId="5">#REF!</definedName>
    <definedName name="AC_Reg">'Important Attributes'!$D$2</definedName>
    <definedName name="ADJ_BA" localSheetId="4">#REF!</definedName>
    <definedName name="ADJ_BA" localSheetId="8">#REF!</definedName>
    <definedName name="ADJ_BA" localSheetId="3">#REF!</definedName>
    <definedName name="ADJ_BA" localSheetId="5">#REF!</definedName>
    <definedName name="ADJ_BA">'Important Attributes'!$E$21</definedName>
    <definedName name="ADJ_BEW" localSheetId="4">#REF!</definedName>
    <definedName name="ADJ_BEW" localSheetId="8">#REF!</definedName>
    <definedName name="ADJ_BEW" localSheetId="3">#REF!</definedName>
    <definedName name="ADJ_BEW" localSheetId="5">#REF!</definedName>
    <definedName name="ADJ_BEW">'Important Attributes'!$D$21</definedName>
    <definedName name="B10L" localSheetId="8">#REF!</definedName>
    <definedName name="B10L">#REF!</definedName>
    <definedName name="B10R" localSheetId="8">#REF!</definedName>
    <definedName name="B10R">#REF!</definedName>
    <definedName name="B11L" localSheetId="8">#REF!</definedName>
    <definedName name="B11L">#REF!</definedName>
    <definedName name="B11R" localSheetId="8">#REF!</definedName>
    <definedName name="B11R">#REF!</definedName>
    <definedName name="B12L" localSheetId="8">#REF!</definedName>
    <definedName name="B12L">#REF!</definedName>
    <definedName name="B12R" localSheetId="8">#REF!</definedName>
    <definedName name="B12R">#REF!</definedName>
    <definedName name="B13L" localSheetId="8">#REF!</definedName>
    <definedName name="B13L">#REF!</definedName>
    <definedName name="B13R" localSheetId="8">#REF!</definedName>
    <definedName name="B13R">#REF!</definedName>
    <definedName name="B14L" localSheetId="8">#REF!</definedName>
    <definedName name="B14L">#REF!</definedName>
    <definedName name="B14R" localSheetId="8">#REF!</definedName>
    <definedName name="B14R">#REF!</definedName>
    <definedName name="B15L" localSheetId="8">#REF!</definedName>
    <definedName name="B15L">#REF!</definedName>
    <definedName name="B15R" localSheetId="8">#REF!</definedName>
    <definedName name="B15R">#REF!</definedName>
    <definedName name="B16L" localSheetId="8">#REF!</definedName>
    <definedName name="B16L">#REF!</definedName>
    <definedName name="B16R" localSheetId="8">#REF!</definedName>
    <definedName name="B16R">#REF!</definedName>
    <definedName name="B17L" localSheetId="8">#REF!</definedName>
    <definedName name="B17L">#REF!</definedName>
    <definedName name="B17R" localSheetId="8">#REF!</definedName>
    <definedName name="B17R">#REF!</definedName>
    <definedName name="B1L" localSheetId="8">#REF!</definedName>
    <definedName name="B1L">#REF!</definedName>
    <definedName name="B1R" localSheetId="8">#REF!</definedName>
    <definedName name="B1R">#REF!</definedName>
    <definedName name="B21L" localSheetId="8">#REF!</definedName>
    <definedName name="B21L">#REF!</definedName>
    <definedName name="B21R" localSheetId="8">#REF!</definedName>
    <definedName name="B21R">#REF!</definedName>
    <definedName name="B22L" localSheetId="8">#REF!</definedName>
    <definedName name="B22L">#REF!</definedName>
    <definedName name="B22R" localSheetId="8">#REF!</definedName>
    <definedName name="B22R">#REF!</definedName>
    <definedName name="B23L" localSheetId="8">#REF!</definedName>
    <definedName name="B23L">#REF!</definedName>
    <definedName name="B23R" localSheetId="8">#REF!</definedName>
    <definedName name="B23R">#REF!</definedName>
    <definedName name="B24L" localSheetId="8">#REF!</definedName>
    <definedName name="B24L">#REF!</definedName>
    <definedName name="B24R" localSheetId="8">#REF!</definedName>
    <definedName name="B24R">#REF!</definedName>
    <definedName name="B2L" localSheetId="8">#REF!</definedName>
    <definedName name="B2L">#REF!</definedName>
    <definedName name="B2R" localSheetId="8">#REF!</definedName>
    <definedName name="B2R">#REF!</definedName>
    <definedName name="B31L" localSheetId="8">#REF!</definedName>
    <definedName name="B31L">#REF!</definedName>
    <definedName name="B31R" localSheetId="8">#REF!</definedName>
    <definedName name="B31R">#REF!</definedName>
    <definedName name="B32L" localSheetId="8">#REF!</definedName>
    <definedName name="B32L">#REF!</definedName>
    <definedName name="B32R" localSheetId="8">#REF!</definedName>
    <definedName name="B32R">#REF!</definedName>
    <definedName name="B33L" localSheetId="8">#REF!</definedName>
    <definedName name="B33L">#REF!</definedName>
    <definedName name="B33R" localSheetId="8">#REF!</definedName>
    <definedName name="B33R">#REF!</definedName>
    <definedName name="B34L" localSheetId="8">#REF!</definedName>
    <definedName name="B34L">#REF!</definedName>
    <definedName name="B34R" localSheetId="8">#REF!</definedName>
    <definedName name="B34R">#REF!</definedName>
    <definedName name="B3L" localSheetId="8">#REF!</definedName>
    <definedName name="B3L">#REF!</definedName>
    <definedName name="B3R" localSheetId="8">#REF!</definedName>
    <definedName name="B3R">#REF!</definedName>
    <definedName name="B41L" localSheetId="8">#REF!</definedName>
    <definedName name="B41L">#REF!</definedName>
    <definedName name="B41R" localSheetId="8">#REF!</definedName>
    <definedName name="B41R">#REF!</definedName>
    <definedName name="B42L" localSheetId="8">#REF!</definedName>
    <definedName name="B42L">#REF!</definedName>
    <definedName name="B42R" localSheetId="8">#REF!</definedName>
    <definedName name="B42R">#REF!</definedName>
    <definedName name="B43L" localSheetId="8">#REF!</definedName>
    <definedName name="B43L">#REF!</definedName>
    <definedName name="B43R" localSheetId="8">#REF!</definedName>
    <definedName name="B43R">#REF!</definedName>
    <definedName name="B4L" localSheetId="8">#REF!</definedName>
    <definedName name="B4L">#REF!</definedName>
    <definedName name="B4R" localSheetId="8">#REF!</definedName>
    <definedName name="B4R">#REF!</definedName>
    <definedName name="B5L" localSheetId="8">#REF!</definedName>
    <definedName name="B5L">#REF!</definedName>
    <definedName name="B5R" localSheetId="8">#REF!</definedName>
    <definedName name="B5R">#REF!</definedName>
    <definedName name="B6L" localSheetId="8">#REF!</definedName>
    <definedName name="B6L">#REF!</definedName>
    <definedName name="B6R" localSheetId="8">#REF!</definedName>
    <definedName name="B6R">#REF!</definedName>
    <definedName name="B7L" localSheetId="8">#REF!</definedName>
    <definedName name="B7L">#REF!</definedName>
    <definedName name="B7R" localSheetId="8">#REF!</definedName>
    <definedName name="B7R">#REF!</definedName>
    <definedName name="B8L" localSheetId="8">#REF!</definedName>
    <definedName name="B8L">#REF!</definedName>
    <definedName name="B8R" localSheetId="8">#REF!</definedName>
    <definedName name="B8R">#REF!</definedName>
    <definedName name="B9L" localSheetId="8">#REF!</definedName>
    <definedName name="B9L">#REF!</definedName>
    <definedName name="B9R" localSheetId="8">#REF!</definedName>
    <definedName name="B9R">#REF!</definedName>
    <definedName name="BA" localSheetId="6">'Important Attributes'!$E$14</definedName>
    <definedName name="BA">#REF!</definedName>
    <definedName name="BEW" localSheetId="6">'Important Attributes'!$D$14</definedName>
    <definedName name="BEW">#REF!</definedName>
    <definedName name="BM" localSheetId="6">'Important Attributes'!$F$14</definedName>
    <definedName name="BM">#REF!</definedName>
    <definedName name="BULK_A" localSheetId="8">#REF!</definedName>
    <definedName name="BULK_A">#REF!</definedName>
    <definedName name="BULK_B" localSheetId="8">#REF!</definedName>
    <definedName name="BULK_B">#REF!</definedName>
    <definedName name="c_hold_5">#REF!</definedName>
    <definedName name="C_Index" localSheetId="2">#REF!</definedName>
    <definedName name="C_Index">'Load Sheet'!#REF!</definedName>
    <definedName name="C_Weight" localSheetId="2">#REF!</definedName>
    <definedName name="C_Weight">'Load Sheet'!#REF!</definedName>
    <definedName name="Cargo_hold_1">#REF!</definedName>
    <definedName name="CGhold_1">#REF!</definedName>
    <definedName name="CGhold_1A">#REF!</definedName>
    <definedName name="CGhold_2">#REF!</definedName>
    <definedName name="CGhold_3">#REF!</definedName>
    <definedName name="CGhold_4">#REF!</definedName>
    <definedName name="CGhold_5">#REF!</definedName>
    <definedName name="CH_1">#REF!</definedName>
    <definedName name="CH_2">#REF!</definedName>
    <definedName name="CH_3">#REF!</definedName>
    <definedName name="CH_4">#REF!</definedName>
    <definedName name="CHold_3">#REF!</definedName>
    <definedName name="Comb_1" localSheetId="2">#REF!</definedName>
    <definedName name="Comb_1">'Load Sheet'!#REF!</definedName>
    <definedName name="Comb_10" localSheetId="2">#REF!</definedName>
    <definedName name="Comb_10">'Load Sheet'!#REF!</definedName>
    <definedName name="Comb_11" localSheetId="2">#REF!</definedName>
    <definedName name="Comb_11">'Load Sheet'!#REF!</definedName>
    <definedName name="Comb_12" localSheetId="2">#REF!</definedName>
    <definedName name="Comb_12">'Load Sheet'!#REF!</definedName>
    <definedName name="Comb_13" localSheetId="2">#REF!</definedName>
    <definedName name="Comb_13">'Load Sheet'!#REF!</definedName>
    <definedName name="Comb_14" localSheetId="2">#REF!</definedName>
    <definedName name="Comb_14">'Load Sheet'!#REF!</definedName>
    <definedName name="Comb_15" localSheetId="2">#REF!</definedName>
    <definedName name="Comb_15">'Load Sheet'!#REF!</definedName>
    <definedName name="Comb_2" localSheetId="2">#REF!</definedName>
    <definedName name="Comb_2">'Load Sheet'!#REF!</definedName>
    <definedName name="Comb_3" localSheetId="2">#REF!</definedName>
    <definedName name="Comb_3">'Load Sheet'!#REF!</definedName>
    <definedName name="Comb_4" localSheetId="2">#REF!</definedName>
    <definedName name="Comb_4">'Load Sheet'!#REF!</definedName>
    <definedName name="Comb_5" localSheetId="2">#REF!</definedName>
    <definedName name="Comb_5">'Load Sheet'!#REF!</definedName>
    <definedName name="Comb_6" localSheetId="2">#REF!</definedName>
    <definedName name="Comb_6">'Load Sheet'!#REF!</definedName>
    <definedName name="Comb_7" localSheetId="2">#REF!</definedName>
    <definedName name="Comb_7">'Load Sheet'!#REF!</definedName>
    <definedName name="Comb_8" localSheetId="2">#REF!</definedName>
    <definedName name="Comb_8">'Load Sheet'!#REF!</definedName>
    <definedName name="Comb_9" localSheetId="2">#REF!</definedName>
    <definedName name="Comb_9">'Load Sheet'!#REF!</definedName>
    <definedName name="combofuelindex">#REF!</definedName>
    <definedName name="Combofuelindexxx">#REF!</definedName>
    <definedName name="Con_I" localSheetId="8">'Important Attributes'!$D$5</definedName>
    <definedName name="Con_I">#REF!</definedName>
    <definedName name="Con_II" localSheetId="8">'Important Attributes'!$D$7</definedName>
    <definedName name="Con_II">#REF!</definedName>
    <definedName name="CREW" localSheetId="6">'Important Attributes'!$D$8</definedName>
    <definedName name="Crew" localSheetId="0">#REF!</definedName>
    <definedName name="Crew" localSheetId="1">'Load Sheet'!$E$11</definedName>
    <definedName name="Crew" localSheetId="2">#REF!</definedName>
    <definedName name="CREW">#REF!</definedName>
    <definedName name="Crew_bagg" localSheetId="2">#REF!</definedName>
    <definedName name="Crew_bagg">'Load Sheet'!$E$13</definedName>
    <definedName name="D_LEMAC" localSheetId="4">#REF!</definedName>
    <definedName name="D_LEMAC" localSheetId="8">#REF!</definedName>
    <definedName name="D_LEMAC" localSheetId="3">#REF!</definedName>
    <definedName name="D_LEMAC" localSheetId="5">#REF!</definedName>
    <definedName name="D_LEMAC">'Important Attributes'!$K$3</definedName>
    <definedName name="D_MAC" localSheetId="4">#REF!</definedName>
    <definedName name="D_MAC" localSheetId="8">#REF!</definedName>
    <definedName name="D_MAC" localSheetId="3">#REF!</definedName>
    <definedName name="D_MAC" localSheetId="5">#REF!</definedName>
    <definedName name="D_MAC">'Important Attributes'!$K$2</definedName>
    <definedName name="Datum_Index" localSheetId="4">#REF!</definedName>
    <definedName name="Datum_Index" localSheetId="8">'Important Attributes'!$D$6</definedName>
    <definedName name="Datum_Index" localSheetId="3">#REF!</definedName>
    <definedName name="Datum_Index" localSheetId="5">#REF!</definedName>
    <definedName name="Datum_Index">'Important Attributes'!$D$6</definedName>
    <definedName name="FT_Range">#REF!</definedName>
    <definedName name="Fuel">'Load Sheet'!$P$50:$T$76</definedName>
    <definedName name="Fuel_range">#REF!</definedName>
    <definedName name="Fuel_Table">#REF!</definedName>
    <definedName name="fuelcombo">#REF!</definedName>
    <definedName name="G1_Cons" localSheetId="2">#REF!</definedName>
    <definedName name="G1_Cons">'Load Sheet'!$E$14</definedName>
    <definedName name="hold_1">'Load Sheet'!$H$25</definedName>
    <definedName name="hold_1_A">'Load Sheet'!$H$25</definedName>
    <definedName name="hold_1A">'Load Sheet'!$H$25</definedName>
    <definedName name="hold_2">'Load Sheet'!$H$26</definedName>
    <definedName name="hold_2b">'Load Sheet'!$H$27</definedName>
    <definedName name="hold_3">'Load Sheet'!$I$36</definedName>
    <definedName name="hold_4" localSheetId="2">#REF!</definedName>
    <definedName name="hold_4">'Load Sheet'!#REF!</definedName>
    <definedName name="hold_5" localSheetId="2">#REF!</definedName>
    <definedName name="hold_5">'Load Sheet'!#REF!</definedName>
    <definedName name="ILOWERHOLD">Indeces!$D$79:$BV$97</definedName>
    <definedName name="IUPHOLD">Indeces!$J$4:$CA$75</definedName>
    <definedName name="lav_fluid" localSheetId="2">#REF!</definedName>
    <definedName name="lav_fluid">'Load Sheet'!$E$12</definedName>
    <definedName name="LB11L" localSheetId="8">#REF!</definedName>
    <definedName name="LB11L">#REF!</definedName>
    <definedName name="LB11R" localSheetId="8">#REF!</definedName>
    <definedName name="LB11R">#REF!</definedName>
    <definedName name="LB12L" localSheetId="8">#REF!</definedName>
    <definedName name="LB12L">#REF!</definedName>
    <definedName name="LB12R" localSheetId="8">#REF!</definedName>
    <definedName name="LB12R">#REF!</definedName>
    <definedName name="LB13L" localSheetId="8">#REF!</definedName>
    <definedName name="LB13L">#REF!</definedName>
    <definedName name="LB13R" localSheetId="8">#REF!</definedName>
    <definedName name="LB13R">#REF!</definedName>
    <definedName name="LB14L" localSheetId="8">#REF!</definedName>
    <definedName name="LB14L">#REF!</definedName>
    <definedName name="LB14R" localSheetId="8">#REF!</definedName>
    <definedName name="LB14R">#REF!</definedName>
    <definedName name="Max_Auth_TOW">'Important Attributes'!$D$4</definedName>
    <definedName name="Max_Landing" localSheetId="4">#REF!</definedName>
    <definedName name="Max_Landing" localSheetId="8">#REF!</definedName>
    <definedName name="Max_Landing" localSheetId="3">#REF!</definedName>
    <definedName name="Max_Landing" localSheetId="5">#REF!</definedName>
    <definedName name="Max_Landing">'Important Attributes'!$H$5</definedName>
    <definedName name="Max_Takeoff" localSheetId="4">#REF!</definedName>
    <definedName name="Max_Takeoff" localSheetId="8">#REF!</definedName>
    <definedName name="Max_Takeoff" localSheetId="3">#REF!</definedName>
    <definedName name="Max_Takeoff" localSheetId="5">#REF!</definedName>
    <definedName name="Max_Takeoff">'Important Attributes'!$H$4</definedName>
    <definedName name="Max_Taxi">'Important Attributes'!$H$3</definedName>
    <definedName name="Max_Zerofuel" localSheetId="4">#REF!</definedName>
    <definedName name="Max_Zerofuel" localSheetId="8">'Important Attributes'!$H$6</definedName>
    <definedName name="Max_Zerofuel" localSheetId="3">#REF!</definedName>
    <definedName name="Max_Zerofuel" localSheetId="5">#REF!</definedName>
    <definedName name="Max_Zerofuel">'Important Attributes'!$H$6</definedName>
    <definedName name="Min_Flight">'Important Attributes'!$H$7</definedName>
    <definedName name="MSN" localSheetId="4">#REF!</definedName>
    <definedName name="MSN" localSheetId="8">'Important Attributes'!$D$3</definedName>
    <definedName name="MSN" localSheetId="3">#REF!</definedName>
    <definedName name="MSN" localSheetId="5">#REF!</definedName>
    <definedName name="MSN">'Important Attributes'!$D$3</definedName>
    <definedName name="NO_of_CREW">#REF!</definedName>
    <definedName name="Overlap_1" localSheetId="1">#REF!,#REF!,#REF!,#REF!,#REF!,#REF!,#REF!</definedName>
    <definedName name="Overlap_1" localSheetId="2">#REF!,#REF!,#REF!,#REF!,#REF!,#REF!,#REF!</definedName>
    <definedName name="Overlap_1">'Load Plan '!$E$18,'Load Plan '!$F$18,'Load Plan '!$G$18,'Load Plan '!$H$18,'Load Plan '!$D$33,'Load Plan '!$F$33,'Load Plan '!$E$36</definedName>
    <definedName name="Overlap_2" localSheetId="1">#REF!,#REF!,#REF!,#REF!,#REF!,#REF!,#REF!</definedName>
    <definedName name="Overlap_2" localSheetId="2">#REF!,#REF!,#REF!,#REF!,#REF!,#REF!,#REF!</definedName>
    <definedName name="Overlap_2">'Load Plan '!$G$18,'Load Plan '!$H$18,'Load Plan '!$I$18,'Load Plan '!$J$18,'Load Plan '!$F$33,'Load Plan '!$H$33,'Load Plan '!$G$36</definedName>
    <definedName name="Overlap_3" localSheetId="1">#REF!,#REF!,#REF!,#REF!,#REF!,#REF!,#REF!</definedName>
    <definedName name="Overlap_3" localSheetId="2">#REF!,#REF!,#REF!,#REF!,#REF!,#REF!,#REF!</definedName>
    <definedName name="Overlap_3">'Load Plan '!$I$18,'Load Plan '!$J$18,'Load Plan '!$K$18,'Load Plan '!$L$18,'Load Plan '!$H$33:$I$33,'Load Plan '!$J$33:$K$33,'Load Plan '!$I$36:$J$36</definedName>
    <definedName name="Overlap_4" localSheetId="1">#REF!,#REF!,#REF!,#REF!,#REF!,#REF!,#REF!</definedName>
    <definedName name="Overlap_4" localSheetId="2">#REF!,#REF!,#REF!,#REF!,#REF!,#REF!,#REF!</definedName>
    <definedName name="Overlap_4">'Load Plan '!$K$18,'Load Plan '!$L$18,'Load Plan '!$M$18,'Load Plan '!$N$18,'Load Plan '!$J$33,'Load Plan '!$L$33,'Load Plan '!$K$36</definedName>
    <definedName name="Overlap_5" localSheetId="1">#REF!,#REF!,#REF!,#REF!,#REF!,#REF!,#REF!</definedName>
    <definedName name="Overlap_5" localSheetId="2">#REF!,#REF!,#REF!,#REF!,#REF!,#REF!,#REF!</definedName>
    <definedName name="Overlap_5">'Load Plan '!$M$18,'Load Plan '!$N$18,'Load Plan '!$O$18,'Load Plan '!$P$18,'Load Plan '!$L$33,'Load Plan '!$O$33,'Load Plan '!$N$36</definedName>
    <definedName name="Overlap_6" localSheetId="1">#REF!,#REF!,#REF!,#REF!</definedName>
    <definedName name="Overlap_6" localSheetId="2">#REF!,#REF!,#REF!,#REF!</definedName>
    <definedName name="Overlap_6">'Load Plan '!$P$18,'Load Plan '!$Q$18,'Load Plan '!$O$33,'Load Plan '!$P$36</definedName>
    <definedName name="P_1">#REF!</definedName>
    <definedName name="P_10">#REF!</definedName>
    <definedName name="P_11">#REF!</definedName>
    <definedName name="P_2">#REF!</definedName>
    <definedName name="P_3">#REF!</definedName>
    <definedName name="P_4">#REF!</definedName>
    <definedName name="P_5">#REF!</definedName>
    <definedName name="P_6">#REF!</definedName>
    <definedName name="P_7">#REF!</definedName>
    <definedName name="P_8">#REF!</definedName>
    <definedName name="P_9">#REF!</definedName>
    <definedName name="Pallet_1">#REF!</definedName>
    <definedName name="Pallet_10">#REF!</definedName>
    <definedName name="Pallet_11">#REF!</definedName>
    <definedName name="Pallet_12">#REF!</definedName>
    <definedName name="Pallet_13">#REF!</definedName>
    <definedName name="Pallet_14">#REF!</definedName>
    <definedName name="Pallet_15">#REF!</definedName>
    <definedName name="Pallet_2">#REF!</definedName>
    <definedName name="Pallet_3">#REF!</definedName>
    <definedName name="Pallet_4">#REF!</definedName>
    <definedName name="Pallet_5">#REF!</definedName>
    <definedName name="Pallet_6">#REF!</definedName>
    <definedName name="Pallet_7">#REF!</definedName>
    <definedName name="Pallet_8">#REF!</definedName>
    <definedName name="Pallet_9">#REF!</definedName>
    <definedName name="Pos_1">'Load Sheet'!$D$25</definedName>
    <definedName name="Pos_10">'Load Sheet'!$D$37</definedName>
    <definedName name="Pos_11" localSheetId="2">#REF!</definedName>
    <definedName name="Pos_11">'Load Sheet'!#REF!</definedName>
    <definedName name="Pos_12" localSheetId="2">#REF!</definedName>
    <definedName name="Pos_12">'Load Sheet'!#REF!</definedName>
    <definedName name="Pos_13" localSheetId="2">#REF!</definedName>
    <definedName name="Pos_13">'Load Sheet'!#REF!</definedName>
    <definedName name="Pos_14" localSheetId="2">#REF!</definedName>
    <definedName name="Pos_14">'Load Sheet'!#REF!</definedName>
    <definedName name="Pos_15" localSheetId="2">#REF!</definedName>
    <definedName name="Pos_15">'Load Sheet'!#REF!</definedName>
    <definedName name="Pos_2">'Load Sheet'!$D$26</definedName>
    <definedName name="Pos_3">'Load Sheet'!$D$27</definedName>
    <definedName name="Pos_4">'Load Sheet'!$D$28</definedName>
    <definedName name="Pos_5">'Load Sheet'!$D$29</definedName>
    <definedName name="Pos_6">'Load Sheet'!$D$30</definedName>
    <definedName name="Pos_7">'Load Sheet'!$D$34</definedName>
    <definedName name="Pos_8">'Load Sheet'!$D$35</definedName>
    <definedName name="Pos_9">'Load Sheet'!$D$36</definedName>
    <definedName name="Position_1">#REF!</definedName>
    <definedName name="Position_10">#REF!</definedName>
    <definedName name="Position_11">#REF!</definedName>
    <definedName name="Position_12">#REF!</definedName>
    <definedName name="Position_13">#REF!</definedName>
    <definedName name="Position_14">#REF!</definedName>
    <definedName name="Position_15">#REF!</definedName>
    <definedName name="Position_2">#REF!</definedName>
    <definedName name="Position_3">#REF!</definedName>
    <definedName name="Position_4">#REF!</definedName>
    <definedName name="Position_5">#REF!</definedName>
    <definedName name="Position_6">#REF!</definedName>
    <definedName name="Position_7">#REF!</definedName>
    <definedName name="Position_8">#REF!</definedName>
    <definedName name="Position_9">#REF!</definedName>
    <definedName name="_xlnm.Print_Area" localSheetId="1">'Load Sheet'!$B$2:$T$94</definedName>
    <definedName name="sn">#REF!</definedName>
    <definedName name="SNY" localSheetId="2">#REF!</definedName>
    <definedName name="SNY">'Load Sheet'!$E$16</definedName>
    <definedName name="Stab_Trim">#REF!</definedName>
    <definedName name="Tot_Left" localSheetId="8">#REF!</definedName>
    <definedName name="Tot_Left">#REF!</definedName>
    <definedName name="Tot_LnR" localSheetId="8">#REF!</definedName>
    <definedName name="Tot_LnR">#REF!</definedName>
    <definedName name="Tot_Right" localSheetId="8">#REF!</definedName>
    <definedName name="Tot_Right">#REF!</definedName>
    <definedName name="Tria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2" i="3" l="1"/>
  <c r="E11" i="12"/>
  <c r="E10" i="12"/>
  <c r="E9" i="12"/>
  <c r="E7" i="12"/>
  <c r="T17" i="6"/>
  <c r="E6" i="12"/>
  <c r="J58" i="10"/>
  <c r="K9" i="10"/>
  <c r="O17" i="10" l="1" a="1"/>
  <c r="O17" i="10" s="1"/>
  <c r="O39" i="10" s="1" a="1"/>
  <c r="O39" i="10" s="1"/>
  <c r="M17" i="10" a="1"/>
  <c r="M17" i="10" s="1"/>
  <c r="K17" i="10" a="1"/>
  <c r="K17" i="10" s="1"/>
  <c r="J17" i="10" a="1"/>
  <c r="J17" i="10" s="1"/>
  <c r="I17" i="10" a="1"/>
  <c r="I17" i="10" s="1"/>
  <c r="G17" i="10" a="1"/>
  <c r="G17" i="10" s="1"/>
  <c r="H17" i="10" a="1"/>
  <c r="H17" i="10" s="1"/>
  <c r="F17" i="10" a="1"/>
  <c r="F17" i="10" s="1"/>
  <c r="E17" i="10" a="1"/>
  <c r="E17" i="10" s="1"/>
  <c r="Q17" i="10" a="1"/>
  <c r="Q17" i="10" s="1"/>
  <c r="R17" i="10" a="1"/>
  <c r="R17" i="10" s="1"/>
  <c r="S17" i="10" a="1"/>
  <c r="S17" i="10" s="1"/>
  <c r="Q25" i="10" l="1" a="1"/>
  <c r="Q25" i="10" s="1"/>
  <c r="P25" i="10" a="1"/>
  <c r="P25" i="10" s="1"/>
  <c r="O25" i="10" a="1"/>
  <c r="O25" i="10" s="1"/>
  <c r="N25" i="10" a="1"/>
  <c r="N25" i="10" s="1"/>
  <c r="M25" i="10" a="1"/>
  <c r="M25" i="10" s="1"/>
  <c r="L25" i="10" a="1"/>
  <c r="L25" i="10" s="1"/>
  <c r="K25" i="10" a="1"/>
  <c r="K25" i="10" s="1"/>
  <c r="I25" i="10" a="1"/>
  <c r="I25" i="10" s="1"/>
  <c r="J25" i="10" a="1"/>
  <c r="J25" i="10" s="1"/>
  <c r="G25" i="10" a="1"/>
  <c r="G25" i="10" s="1"/>
  <c r="H25" i="10" a="1"/>
  <c r="H25" i="10" s="1"/>
  <c r="P17" i="10" a="1"/>
  <c r="P17" i="10" s="1"/>
  <c r="N17" i="10" a="1"/>
  <c r="N17" i="10" s="1"/>
  <c r="L17" i="10" a="1"/>
  <c r="L17" i="10" s="1"/>
  <c r="S40" i="11"/>
  <c r="S39" i="11"/>
  <c r="S38" i="11"/>
  <c r="S37" i="11"/>
  <c r="S36" i="11"/>
  <c r="S35" i="11"/>
  <c r="S34" i="11"/>
  <c r="S33" i="11"/>
  <c r="S31" i="11"/>
  <c r="S30" i="11"/>
  <c r="S29" i="11"/>
  <c r="S28" i="11"/>
  <c r="S27" i="11"/>
  <c r="S26" i="11"/>
  <c r="S25" i="11"/>
  <c r="S24" i="11"/>
  <c r="Q31" i="10" l="1"/>
  <c r="Q39" i="10" s="1" a="1"/>
  <c r="Q39" i="10" s="1"/>
  <c r="Q32" i="10"/>
  <c r="N31" i="10"/>
  <c r="N39" i="10" s="1" a="1"/>
  <c r="N39" i="10" s="1"/>
  <c r="N32" i="10"/>
  <c r="P32" i="10"/>
  <c r="P31" i="10"/>
  <c r="P39" i="10" s="1" a="1"/>
  <c r="P39" i="10" s="1"/>
  <c r="D25" i="20"/>
  <c r="D67" i="20"/>
  <c r="D68" i="20"/>
  <c r="D69" i="20"/>
  <c r="D70" i="20"/>
  <c r="D71" i="20"/>
  <c r="D72" i="20"/>
  <c r="D66" i="20"/>
  <c r="D62" i="20"/>
  <c r="E26" i="20"/>
  <c r="D26" i="20"/>
  <c r="K66" i="10"/>
  <c r="I40" i="11"/>
  <c r="I39" i="11"/>
  <c r="I38" i="11"/>
  <c r="I37" i="11"/>
  <c r="I36" i="11"/>
  <c r="I35" i="11"/>
  <c r="I34" i="11"/>
  <c r="Y105" i="3" l="1"/>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104" i="3"/>
  <c r="AA104" i="3"/>
  <c r="AB104" i="3"/>
  <c r="AA105" i="3"/>
  <c r="AB105" i="3"/>
  <c r="AA106" i="3"/>
  <c r="AB106" i="3"/>
  <c r="AA107" i="3"/>
  <c r="AB107" i="3"/>
  <c r="AA108" i="3"/>
  <c r="AB108" i="3"/>
  <c r="AA109" i="3"/>
  <c r="AB109" i="3"/>
  <c r="AA110" i="3"/>
  <c r="AB110" i="3"/>
  <c r="AA111" i="3"/>
  <c r="AB111" i="3"/>
  <c r="AA112" i="3"/>
  <c r="AB112" i="3"/>
  <c r="AA113" i="3"/>
  <c r="AB113" i="3"/>
  <c r="AA114" i="3"/>
  <c r="AB114" i="3"/>
  <c r="AA115" i="3"/>
  <c r="AB115" i="3"/>
  <c r="AA116" i="3"/>
  <c r="AB116" i="3"/>
  <c r="AA117" i="3"/>
  <c r="AB117" i="3"/>
  <c r="AA118" i="3"/>
  <c r="AB118" i="3"/>
  <c r="AA119" i="3"/>
  <c r="AB119" i="3"/>
  <c r="AA120" i="3"/>
  <c r="AB120" i="3"/>
  <c r="AA121" i="3"/>
  <c r="AB121" i="3"/>
  <c r="AA122" i="3"/>
  <c r="AB122" i="3"/>
  <c r="AA123" i="3"/>
  <c r="AB123" i="3"/>
  <c r="AA124" i="3"/>
  <c r="AB124" i="3"/>
  <c r="AA125" i="3"/>
  <c r="AB125" i="3"/>
  <c r="AA126" i="3"/>
  <c r="AB126" i="3"/>
  <c r="AA127" i="3"/>
  <c r="AB127" i="3"/>
  <c r="AA128" i="3"/>
  <c r="AB128" i="3"/>
  <c r="AA129" i="3"/>
  <c r="AB129" i="3"/>
  <c r="AA130" i="3"/>
  <c r="AB130" i="3"/>
  <c r="AA131" i="3"/>
  <c r="AB131" i="3"/>
  <c r="AA132" i="3"/>
  <c r="AB132" i="3"/>
  <c r="AA133" i="3"/>
  <c r="AB133" i="3"/>
  <c r="AA134" i="3"/>
  <c r="AB134" i="3"/>
  <c r="AA135" i="3"/>
  <c r="AB135" i="3"/>
  <c r="AA136" i="3"/>
  <c r="AB136" i="3"/>
  <c r="AA137" i="3"/>
  <c r="AB137" i="3"/>
  <c r="AA138" i="3"/>
  <c r="AB138" i="3"/>
  <c r="AA139" i="3"/>
  <c r="AB139" i="3"/>
  <c r="AA140" i="3"/>
  <c r="AB140" i="3"/>
  <c r="AA141" i="3"/>
  <c r="AB141" i="3"/>
  <c r="AA142" i="3"/>
  <c r="AB142" i="3"/>
  <c r="AA143" i="3"/>
  <c r="AB143" i="3"/>
  <c r="AA144" i="3"/>
  <c r="AB144" i="3"/>
  <c r="AA145" i="3"/>
  <c r="AB145" i="3"/>
  <c r="AA146" i="3"/>
  <c r="AB146" i="3"/>
  <c r="AA147" i="3"/>
  <c r="AB147" i="3"/>
  <c r="AA148" i="3"/>
  <c r="AB148" i="3"/>
  <c r="AA149" i="3"/>
  <c r="AB149" i="3"/>
  <c r="AA150" i="3"/>
  <c r="AB150" i="3"/>
  <c r="AA151" i="3"/>
  <c r="AB151" i="3"/>
  <c r="AA152" i="3"/>
  <c r="AB152" i="3"/>
  <c r="AA153" i="3"/>
  <c r="AB153" i="3"/>
  <c r="AA154" i="3"/>
  <c r="AB154" i="3"/>
  <c r="AA155" i="3"/>
  <c r="AB155" i="3"/>
  <c r="AA156" i="3"/>
  <c r="AB156" i="3"/>
  <c r="AA157" i="3"/>
  <c r="AB157" i="3"/>
  <c r="AA158" i="3"/>
  <c r="AB158" i="3"/>
  <c r="AA159" i="3"/>
  <c r="AB159" i="3"/>
  <c r="AA160" i="3"/>
  <c r="AB160" i="3"/>
  <c r="AA161" i="3"/>
  <c r="AB161" i="3"/>
  <c r="AA162" i="3"/>
  <c r="AB162" i="3"/>
  <c r="AA163" i="3"/>
  <c r="AB163" i="3"/>
  <c r="AA164" i="3"/>
  <c r="AB164" i="3"/>
  <c r="AA165" i="3"/>
  <c r="AB165" i="3"/>
  <c r="AA166" i="3"/>
  <c r="AB166" i="3"/>
  <c r="AA167" i="3"/>
  <c r="AB167" i="3"/>
  <c r="AA168" i="3"/>
  <c r="AB168" i="3"/>
  <c r="AA169" i="3"/>
  <c r="AB169" i="3"/>
  <c r="AA170" i="3"/>
  <c r="AB170" i="3"/>
  <c r="AA171" i="3"/>
  <c r="AB171" i="3"/>
  <c r="AA172" i="3"/>
  <c r="AB172" i="3"/>
  <c r="AA173" i="3"/>
  <c r="AB173" i="3"/>
  <c r="AA174" i="3"/>
  <c r="AB174" i="3"/>
  <c r="AA175" i="3"/>
  <c r="AB175" i="3"/>
  <c r="AA176" i="3"/>
  <c r="AB176" i="3"/>
  <c r="AA177" i="3"/>
  <c r="AB177" i="3"/>
  <c r="AA178" i="3"/>
  <c r="AB178" i="3"/>
  <c r="AA179" i="3"/>
  <c r="AB179" i="3"/>
  <c r="AA180" i="3"/>
  <c r="AB180" i="3"/>
  <c r="AA181" i="3"/>
  <c r="AB181" i="3"/>
  <c r="AA182" i="3"/>
  <c r="AB182" i="3"/>
  <c r="AA183" i="3"/>
  <c r="AB183" i="3"/>
  <c r="AA184" i="3"/>
  <c r="AB184" i="3"/>
  <c r="AA185" i="3"/>
  <c r="AB185" i="3"/>
  <c r="AA186" i="3"/>
  <c r="AB186" i="3"/>
  <c r="AA187" i="3"/>
  <c r="AB187" i="3"/>
  <c r="AA188" i="3"/>
  <c r="AB188" i="3"/>
  <c r="AA189" i="3"/>
  <c r="AB189" i="3"/>
  <c r="AA190" i="3"/>
  <c r="AB190" i="3"/>
  <c r="AA191" i="3"/>
  <c r="AB191" i="3"/>
  <c r="AA192" i="3"/>
  <c r="AB192" i="3"/>
  <c r="AA193" i="3"/>
  <c r="AB193" i="3"/>
  <c r="AA194" i="3"/>
  <c r="AB194" i="3"/>
  <c r="AA195" i="3"/>
  <c r="AB195" i="3"/>
  <c r="AA196" i="3"/>
  <c r="AB196" i="3"/>
  <c r="AA197" i="3"/>
  <c r="AB197" i="3"/>
  <c r="AA198" i="3"/>
  <c r="AB198" i="3"/>
  <c r="AA199" i="3"/>
  <c r="AB199" i="3"/>
  <c r="AA200" i="3"/>
  <c r="AB200" i="3"/>
  <c r="AA201" i="3"/>
  <c r="AB201" i="3"/>
  <c r="AA202" i="3"/>
  <c r="AB202" i="3"/>
  <c r="AA203" i="3"/>
  <c r="AB203" i="3"/>
  <c r="AA204" i="3"/>
  <c r="AB204" i="3"/>
  <c r="AA205" i="3"/>
  <c r="AB205" i="3"/>
  <c r="AA206" i="3"/>
  <c r="AB206" i="3"/>
  <c r="AA207" i="3"/>
  <c r="AB207" i="3"/>
  <c r="AA208" i="3"/>
  <c r="AB208" i="3"/>
  <c r="AA209" i="3"/>
  <c r="AB209" i="3"/>
  <c r="AA210" i="3"/>
  <c r="AB210" i="3"/>
  <c r="AA211" i="3"/>
  <c r="AB211" i="3"/>
  <c r="AA212" i="3"/>
  <c r="AB212" i="3"/>
  <c r="AA213" i="3"/>
  <c r="AB213" i="3"/>
  <c r="AA214" i="3"/>
  <c r="AB214" i="3"/>
  <c r="AA215" i="3"/>
  <c r="AB215" i="3"/>
  <c r="AA216" i="3"/>
  <c r="AB216" i="3"/>
  <c r="AA217" i="3"/>
  <c r="AB217" i="3"/>
  <c r="AA218" i="3"/>
  <c r="AB218" i="3"/>
  <c r="AA219" i="3"/>
  <c r="AB219" i="3"/>
  <c r="AA220" i="3"/>
  <c r="AB220" i="3"/>
  <c r="AA221" i="3"/>
  <c r="AB221" i="3"/>
  <c r="AA222" i="3"/>
  <c r="AB222" i="3"/>
  <c r="AA223" i="3"/>
  <c r="AB223" i="3"/>
  <c r="AA224" i="3"/>
  <c r="AB224" i="3"/>
  <c r="AA225" i="3"/>
  <c r="AB225" i="3"/>
  <c r="AA226" i="3"/>
  <c r="AB226" i="3"/>
  <c r="AA227" i="3"/>
  <c r="AB227" i="3"/>
  <c r="AA228" i="3"/>
  <c r="AB228" i="3"/>
  <c r="AA229" i="3"/>
  <c r="AB229" i="3"/>
  <c r="AA230" i="3"/>
  <c r="AB230" i="3"/>
  <c r="AA231" i="3"/>
  <c r="AB231" i="3"/>
  <c r="AA232" i="3"/>
  <c r="AB232" i="3"/>
  <c r="AA233" i="3"/>
  <c r="AB233" i="3"/>
  <c r="AA234" i="3"/>
  <c r="AB234" i="3"/>
  <c r="AA235" i="3"/>
  <c r="AB235" i="3"/>
  <c r="AA236" i="3"/>
  <c r="AB236" i="3"/>
  <c r="AA237" i="3"/>
  <c r="AB237" i="3"/>
  <c r="AA238" i="3"/>
  <c r="AB238" i="3"/>
  <c r="AA239" i="3"/>
  <c r="AB239" i="3"/>
  <c r="AA240" i="3"/>
  <c r="AB240" i="3"/>
  <c r="AA241" i="3"/>
  <c r="AB241" i="3"/>
  <c r="AA242" i="3"/>
  <c r="AB242" i="3"/>
  <c r="AA243" i="3"/>
  <c r="AB243" i="3"/>
  <c r="AA244" i="3"/>
  <c r="AB244" i="3"/>
  <c r="AA245" i="3"/>
  <c r="AB245" i="3"/>
  <c r="AA246" i="3"/>
  <c r="AB246" i="3"/>
  <c r="AA247" i="3"/>
  <c r="AB247" i="3"/>
  <c r="AA248" i="3"/>
  <c r="AB248" i="3"/>
  <c r="AA249" i="3"/>
  <c r="AB249" i="3"/>
  <c r="AA250" i="3"/>
  <c r="AB250" i="3"/>
  <c r="AA251" i="3"/>
  <c r="AB251" i="3"/>
  <c r="AA252" i="3"/>
  <c r="AB252" i="3"/>
  <c r="AA253" i="3"/>
  <c r="AB253" i="3"/>
  <c r="AA254" i="3"/>
  <c r="AB254" i="3"/>
  <c r="AA255" i="3"/>
  <c r="AB255" i="3"/>
  <c r="AA256" i="3"/>
  <c r="AB256" i="3"/>
  <c r="AA257" i="3"/>
  <c r="AB257" i="3"/>
  <c r="AA258" i="3"/>
  <c r="AB258" i="3"/>
  <c r="AA259" i="3"/>
  <c r="AB259" i="3"/>
  <c r="AA260" i="3"/>
  <c r="AB260" i="3"/>
  <c r="AA261" i="3"/>
  <c r="AB261" i="3"/>
  <c r="AA262" i="3"/>
  <c r="AB262" i="3"/>
  <c r="AA263" i="3"/>
  <c r="AB263" i="3"/>
  <c r="AA264" i="3"/>
  <c r="AB264" i="3"/>
  <c r="AA265" i="3"/>
  <c r="AB265" i="3"/>
  <c r="AA266" i="3"/>
  <c r="AB266" i="3"/>
  <c r="AA267" i="3"/>
  <c r="AB267" i="3"/>
  <c r="AA268" i="3"/>
  <c r="AB268" i="3"/>
  <c r="AA269" i="3"/>
  <c r="AB269" i="3"/>
  <c r="AA270" i="3"/>
  <c r="AB270" i="3"/>
  <c r="AA271" i="3"/>
  <c r="AB271" i="3"/>
  <c r="AA272" i="3"/>
  <c r="AB272" i="3"/>
  <c r="AA273" i="3"/>
  <c r="AB273" i="3"/>
  <c r="AA274" i="3"/>
  <c r="AB274" i="3"/>
  <c r="AA275" i="3"/>
  <c r="AB275" i="3"/>
  <c r="AA276" i="3"/>
  <c r="AB276" i="3"/>
  <c r="AA277" i="3"/>
  <c r="AB277" i="3"/>
  <c r="AA278" i="3"/>
  <c r="AB278" i="3"/>
  <c r="AA279" i="3"/>
  <c r="AB279" i="3"/>
  <c r="AA280" i="3"/>
  <c r="AB280" i="3"/>
  <c r="AA281" i="3"/>
  <c r="AB281" i="3"/>
  <c r="AA282" i="3"/>
  <c r="AB282" i="3"/>
  <c r="AA283" i="3"/>
  <c r="AB283" i="3"/>
  <c r="AA284" i="3"/>
  <c r="AB284" i="3"/>
  <c r="AA285" i="3"/>
  <c r="AB285" i="3"/>
  <c r="AA286" i="3"/>
  <c r="AB286" i="3"/>
  <c r="AA287" i="3"/>
  <c r="AB287" i="3"/>
  <c r="AA288" i="3"/>
  <c r="AB288" i="3"/>
  <c r="AA289" i="3"/>
  <c r="AB289" i="3"/>
  <c r="AA290" i="3"/>
  <c r="AB290" i="3"/>
  <c r="AA291" i="3"/>
  <c r="AB291" i="3"/>
  <c r="AA292" i="3"/>
  <c r="AB292" i="3"/>
  <c r="AA293" i="3"/>
  <c r="AB293" i="3"/>
  <c r="AA294" i="3"/>
  <c r="AB294" i="3"/>
  <c r="AA295" i="3"/>
  <c r="AB295" i="3"/>
  <c r="AA296" i="3"/>
  <c r="AB296" i="3"/>
  <c r="AA297" i="3"/>
  <c r="AB297" i="3"/>
  <c r="AA298" i="3"/>
  <c r="AB298" i="3"/>
  <c r="AA299" i="3"/>
  <c r="AB299" i="3"/>
  <c r="AA300" i="3"/>
  <c r="AB300" i="3"/>
  <c r="AA301" i="3"/>
  <c r="AB301" i="3"/>
  <c r="AA302" i="3"/>
  <c r="AB302" i="3"/>
  <c r="AA303" i="3"/>
  <c r="AB303" i="3"/>
  <c r="AA304" i="3"/>
  <c r="AB304" i="3"/>
  <c r="AA305" i="3"/>
  <c r="AB305" i="3"/>
  <c r="AA306" i="3"/>
  <c r="AB306" i="3"/>
  <c r="AA307" i="3"/>
  <c r="AB307" i="3"/>
  <c r="AA308" i="3"/>
  <c r="AB308" i="3"/>
  <c r="AA309" i="3"/>
  <c r="AB309" i="3"/>
  <c r="AA310" i="3"/>
  <c r="AB310" i="3"/>
  <c r="AA311" i="3"/>
  <c r="AB311" i="3"/>
  <c r="AA312" i="3"/>
  <c r="AB312" i="3"/>
  <c r="AA313" i="3"/>
  <c r="AB313" i="3"/>
  <c r="AA314" i="3"/>
  <c r="AB314" i="3"/>
  <c r="AA315" i="3"/>
  <c r="AB315" i="3"/>
  <c r="AA316" i="3"/>
  <c r="AB316" i="3"/>
  <c r="AA317" i="3"/>
  <c r="AB317" i="3"/>
  <c r="AA318" i="3"/>
  <c r="AB318" i="3"/>
  <c r="AA319" i="3"/>
  <c r="AB319" i="3"/>
  <c r="AA320" i="3"/>
  <c r="AB320" i="3"/>
  <c r="AA321" i="3"/>
  <c r="AB321" i="3"/>
  <c r="AA322" i="3"/>
  <c r="AB322" i="3"/>
  <c r="AA323" i="3"/>
  <c r="AB323" i="3"/>
  <c r="AA324" i="3"/>
  <c r="AB324" i="3"/>
  <c r="AA325" i="3"/>
  <c r="AB325" i="3"/>
  <c r="AA326" i="3"/>
  <c r="AB326" i="3"/>
  <c r="AA327" i="3"/>
  <c r="AB327" i="3"/>
  <c r="AA328" i="3"/>
  <c r="AB328" i="3"/>
  <c r="AA329" i="3"/>
  <c r="AB329" i="3"/>
  <c r="AA330" i="3"/>
  <c r="AB330" i="3"/>
  <c r="AA331" i="3"/>
  <c r="AB331" i="3"/>
  <c r="AA332" i="3"/>
  <c r="AB332" i="3"/>
  <c r="AA333" i="3"/>
  <c r="AB333" i="3"/>
  <c r="AA334" i="3"/>
  <c r="AB334" i="3"/>
  <c r="AA335" i="3"/>
  <c r="AB335" i="3"/>
  <c r="AA336" i="3"/>
  <c r="AB336" i="3"/>
  <c r="AA337" i="3"/>
  <c r="AB337" i="3"/>
  <c r="AA338" i="3"/>
  <c r="AB338" i="3"/>
  <c r="AA339" i="3"/>
  <c r="AB339" i="3"/>
  <c r="AA340" i="3"/>
  <c r="AB340" i="3"/>
  <c r="AA341" i="3"/>
  <c r="AB341" i="3"/>
  <c r="AA342" i="3"/>
  <c r="AB342" i="3"/>
  <c r="AA343" i="3"/>
  <c r="AB343" i="3"/>
  <c r="AA344" i="3"/>
  <c r="AB344" i="3"/>
  <c r="AA345" i="3"/>
  <c r="AB345" i="3"/>
  <c r="AA346" i="3"/>
  <c r="AB346" i="3"/>
  <c r="AA347" i="3"/>
  <c r="AB347" i="3"/>
  <c r="AA348" i="3"/>
  <c r="AB348" i="3"/>
  <c r="AA349" i="3"/>
  <c r="AB349" i="3"/>
  <c r="AA350" i="3"/>
  <c r="AB350" i="3"/>
  <c r="AA351" i="3"/>
  <c r="AB351" i="3"/>
  <c r="AA352" i="3"/>
  <c r="AB352" i="3"/>
  <c r="AA353" i="3"/>
  <c r="AB353" i="3"/>
  <c r="AA354" i="3"/>
  <c r="AB354" i="3"/>
  <c r="AA355" i="3"/>
  <c r="AB355" i="3"/>
  <c r="AA356" i="3"/>
  <c r="AB356" i="3"/>
  <c r="AA357" i="3"/>
  <c r="AB357" i="3"/>
  <c r="AA358" i="3"/>
  <c r="AB358" i="3"/>
  <c r="AA359" i="3"/>
  <c r="AB359" i="3"/>
  <c r="AA360" i="3"/>
  <c r="AB360" i="3"/>
  <c r="AA361" i="3"/>
  <c r="AB361" i="3"/>
  <c r="AA362" i="3"/>
  <c r="AB362" i="3"/>
  <c r="AA363" i="3"/>
  <c r="AB363" i="3"/>
  <c r="AA364" i="3"/>
  <c r="AB364" i="3"/>
  <c r="AA365" i="3"/>
  <c r="AB365" i="3"/>
  <c r="AA366" i="3"/>
  <c r="AB366" i="3"/>
  <c r="AA367" i="3"/>
  <c r="AB367" i="3"/>
  <c r="AA368" i="3"/>
  <c r="AB368" i="3"/>
  <c r="AA369" i="3"/>
  <c r="AB369" i="3"/>
  <c r="AA370" i="3"/>
  <c r="AB370" i="3"/>
  <c r="AA371" i="3"/>
  <c r="AB371" i="3"/>
  <c r="AA372" i="3"/>
  <c r="AB372" i="3"/>
  <c r="AA373" i="3"/>
  <c r="AB373" i="3"/>
  <c r="AA374" i="3"/>
  <c r="AB374" i="3"/>
  <c r="AA375" i="3"/>
  <c r="AB375" i="3"/>
  <c r="AA376" i="3"/>
  <c r="AB376" i="3"/>
  <c r="AA377" i="3"/>
  <c r="AB377" i="3"/>
  <c r="AA378" i="3"/>
  <c r="AB378" i="3"/>
  <c r="AA379" i="3"/>
  <c r="AB379" i="3"/>
  <c r="AA380" i="3"/>
  <c r="AB380" i="3"/>
  <c r="AA381" i="3"/>
  <c r="AB381" i="3"/>
  <c r="AA382" i="3"/>
  <c r="AB382" i="3"/>
  <c r="AA383" i="3"/>
  <c r="AB383" i="3"/>
  <c r="AA384" i="3"/>
  <c r="AB384" i="3"/>
  <c r="AA385" i="3"/>
  <c r="AB385" i="3"/>
  <c r="AA386" i="3"/>
  <c r="AB386" i="3"/>
  <c r="AA387" i="3"/>
  <c r="AB387" i="3"/>
  <c r="AA388" i="3"/>
  <c r="AB388" i="3"/>
  <c r="AA389" i="3"/>
  <c r="AB389" i="3"/>
  <c r="AA390" i="3"/>
  <c r="AB390" i="3"/>
  <c r="AA391" i="3"/>
  <c r="AB391" i="3"/>
  <c r="AA392" i="3"/>
  <c r="AB392" i="3"/>
  <c r="AA393" i="3"/>
  <c r="AB393" i="3"/>
  <c r="AA394" i="3"/>
  <c r="AB394" i="3"/>
  <c r="AA395" i="3"/>
  <c r="AB395" i="3"/>
  <c r="AA396" i="3"/>
  <c r="AB396" i="3"/>
  <c r="AA397" i="3"/>
  <c r="AB397" i="3"/>
  <c r="AA398" i="3"/>
  <c r="AB398" i="3"/>
  <c r="AA399" i="3"/>
  <c r="AB399" i="3"/>
  <c r="AA400" i="3"/>
  <c r="AB400" i="3"/>
  <c r="AA401" i="3"/>
  <c r="AB401" i="3"/>
  <c r="AA402" i="3"/>
  <c r="AB402" i="3"/>
  <c r="AA403" i="3"/>
  <c r="AB403" i="3"/>
  <c r="AA404" i="3"/>
  <c r="AB404" i="3"/>
  <c r="AA405" i="3"/>
  <c r="AB405" i="3"/>
  <c r="AA406" i="3"/>
  <c r="AB406" i="3"/>
  <c r="AA407" i="3"/>
  <c r="AB407" i="3"/>
  <c r="AA408" i="3"/>
  <c r="AB408" i="3"/>
  <c r="AA409" i="3"/>
  <c r="AB409" i="3"/>
  <c r="AA410" i="3"/>
  <c r="AB410" i="3"/>
  <c r="AA411" i="3"/>
  <c r="AB411" i="3"/>
  <c r="AA412" i="3"/>
  <c r="AB412" i="3"/>
  <c r="AA413" i="3"/>
  <c r="AB413" i="3"/>
  <c r="AA414" i="3"/>
  <c r="AB414" i="3"/>
  <c r="AA415" i="3"/>
  <c r="AB415" i="3"/>
  <c r="AA416" i="3"/>
  <c r="AB416" i="3"/>
  <c r="AA417" i="3"/>
  <c r="AB417" i="3"/>
  <c r="AA418" i="3"/>
  <c r="AB418" i="3"/>
  <c r="AA419" i="3"/>
  <c r="AB419" i="3"/>
  <c r="AA420" i="3"/>
  <c r="AB420" i="3"/>
  <c r="AA421" i="3"/>
  <c r="AB421" i="3"/>
  <c r="AA422" i="3"/>
  <c r="AB422" i="3"/>
  <c r="AA423" i="3"/>
  <c r="AB423" i="3"/>
  <c r="AA424" i="3"/>
  <c r="AB424" i="3"/>
  <c r="AA425" i="3"/>
  <c r="AB425" i="3"/>
  <c r="AA426" i="3"/>
  <c r="AB426" i="3"/>
  <c r="AA427" i="3"/>
  <c r="AB427" i="3"/>
  <c r="AA428" i="3"/>
  <c r="AB428" i="3"/>
  <c r="AA429" i="3"/>
  <c r="AB429" i="3"/>
  <c r="AA430" i="3"/>
  <c r="AB430" i="3"/>
  <c r="AA431" i="3"/>
  <c r="AB431" i="3"/>
  <c r="AA432" i="3"/>
  <c r="AB432" i="3"/>
  <c r="AA433" i="3"/>
  <c r="AB433" i="3"/>
  <c r="AA434" i="3"/>
  <c r="AB434" i="3"/>
  <c r="AA435" i="3"/>
  <c r="AB435" i="3"/>
  <c r="AA436" i="3"/>
  <c r="AB436" i="3"/>
  <c r="AA437" i="3"/>
  <c r="AB437" i="3"/>
  <c r="AA438" i="3"/>
  <c r="AB438" i="3"/>
  <c r="AA439" i="3"/>
  <c r="AB439" i="3"/>
  <c r="AA440" i="3"/>
  <c r="AB440" i="3"/>
  <c r="AA441" i="3"/>
  <c r="AB441" i="3"/>
  <c r="AA442" i="3"/>
  <c r="AB442" i="3"/>
  <c r="AB103" i="3"/>
  <c r="AA103" i="3"/>
  <c r="R59" i="10" l="1"/>
  <c r="M118" i="3" s="1"/>
  <c r="T40" i="11" s="1"/>
  <c r="H40" i="11" l="1"/>
  <c r="H39" i="11"/>
  <c r="H38" i="11"/>
  <c r="H37" i="11"/>
  <c r="H36" i="11"/>
  <c r="H35" i="11"/>
  <c r="H34" i="11"/>
  <c r="D51" i="10"/>
  <c r="D60" i="10" s="1"/>
  <c r="D59" i="10" s="1"/>
  <c r="Q58" i="10"/>
  <c r="P58" i="10"/>
  <c r="O58" i="10"/>
  <c r="I58" i="10"/>
  <c r="H58" i="10"/>
  <c r="G58" i="10"/>
  <c r="F58" i="10"/>
  <c r="E58" i="10"/>
  <c r="D58" i="10"/>
  <c r="C58" i="10"/>
  <c r="N58" i="10"/>
  <c r="M58" i="10"/>
  <c r="L58" i="10"/>
  <c r="K58" i="10"/>
  <c r="Q51" i="10"/>
  <c r="P51" i="10"/>
  <c r="O51" i="10"/>
  <c r="N51" i="10"/>
  <c r="M51" i="10"/>
  <c r="L51" i="10"/>
  <c r="K51" i="10"/>
  <c r="J51" i="10"/>
  <c r="I51" i="10"/>
  <c r="H51" i="10"/>
  <c r="G51" i="10"/>
  <c r="G60" i="10" s="1"/>
  <c r="G59" i="10" s="1"/>
  <c r="F51" i="10"/>
  <c r="E51" i="10"/>
  <c r="C51" i="10"/>
  <c r="I31" i="11"/>
  <c r="H31" i="11"/>
  <c r="I29" i="11"/>
  <c r="H29" i="11"/>
  <c r="I27" i="11"/>
  <c r="H27" i="11"/>
  <c r="I25" i="11"/>
  <c r="H25" i="11"/>
  <c r="J41" i="11"/>
  <c r="E14" i="11"/>
  <c r="E13" i="11"/>
  <c r="C60" i="10" l="1"/>
  <c r="C59" i="10" s="1"/>
  <c r="K26" i="11"/>
  <c r="D17" i="10" a="1"/>
  <c r="D17" i="10" s="1"/>
  <c r="H26" i="11" l="1"/>
  <c r="I26" i="11"/>
  <c r="J24" i="10"/>
  <c r="M32" i="10"/>
  <c r="F25" i="10" a="1"/>
  <c r="F25" i="10" s="1"/>
  <c r="E25" i="10" a="1"/>
  <c r="E25" i="10" s="1"/>
  <c r="D25" i="10" a="1"/>
  <c r="D25" i="10" s="1"/>
  <c r="K29" i="11" l="1"/>
  <c r="D28" i="20" l="1"/>
  <c r="M10" i="20" l="1"/>
  <c r="N10" i="20" s="1"/>
  <c r="D4" i="20"/>
  <c r="E4" i="20" s="1"/>
  <c r="E25" i="20"/>
  <c r="Z10" i="20"/>
  <c r="AA10" i="20"/>
  <c r="C17" i="10" l="1" a="1"/>
  <c r="C17" i="10" s="1"/>
  <c r="L117" i="3" l="1"/>
  <c r="L116" i="3"/>
  <c r="L115" i="3"/>
  <c r="L114" i="3"/>
  <c r="L113" i="3"/>
  <c r="L112" i="3"/>
  <c r="L111" i="3"/>
  <c r="L110" i="3"/>
  <c r="L108" i="3"/>
  <c r="L109" i="3"/>
  <c r="L107" i="3"/>
  <c r="M107" i="3" s="1"/>
  <c r="T28" i="11" s="1"/>
  <c r="L106" i="3"/>
  <c r="L105" i="3"/>
  <c r="L104" i="3"/>
  <c r="M104" i="3" s="1"/>
  <c r="T25" i="11" s="1"/>
  <c r="L103" i="3"/>
  <c r="M103" i="3" s="1"/>
  <c r="P11" i="9"/>
  <c r="D6" i="12"/>
  <c r="Q8" i="11"/>
  <c r="G64" i="12"/>
  <c r="G63" i="12"/>
  <c r="G62" i="12"/>
  <c r="B64" i="12"/>
  <c r="B63" i="12"/>
  <c r="B62" i="12"/>
  <c r="S89" i="11"/>
  <c r="P89" i="11"/>
  <c r="T24" i="11" l="1"/>
  <c r="E19" i="11"/>
  <c r="T20" i="6" l="1"/>
  <c r="G69" i="10" l="1"/>
  <c r="G68" i="10"/>
  <c r="G67" i="10"/>
  <c r="G66" i="10"/>
  <c r="G65" i="10"/>
  <c r="G64" i="10"/>
  <c r="G63" i="10"/>
  <c r="K68" i="10"/>
  <c r="K67" i="10"/>
  <c r="K65" i="10"/>
  <c r="K64" i="10"/>
  <c r="K63" i="10"/>
  <c r="N69" i="10"/>
  <c r="N68" i="10"/>
  <c r="N67" i="10"/>
  <c r="N66" i="10"/>
  <c r="N65" i="10"/>
  <c r="N64" i="10"/>
  <c r="N63" i="10"/>
  <c r="K70" i="10"/>
  <c r="K69" i="10"/>
  <c r="K38" i="10"/>
  <c r="Q38" i="10"/>
  <c r="O38" i="10"/>
  <c r="M38" i="10"/>
  <c r="I38" i="10"/>
  <c r="G38" i="10"/>
  <c r="E38" i="10"/>
  <c r="D35" i="10"/>
  <c r="R35" i="10"/>
  <c r="P35" i="10"/>
  <c r="F31" i="10"/>
  <c r="D31" i="10"/>
  <c r="D39" i="10" s="1" a="1"/>
  <c r="D39" i="10" s="1"/>
  <c r="X9" i="20"/>
  <c r="AA9" i="20" s="1"/>
  <c r="Z9" i="20"/>
  <c r="E62" i="20"/>
  <c r="D61" i="20"/>
  <c r="E61" i="20" s="1"/>
  <c r="D60" i="20"/>
  <c r="E60" i="20" s="1"/>
  <c r="D59" i="20"/>
  <c r="E59" i="20" s="1"/>
  <c r="D58" i="20"/>
  <c r="E58" i="20" s="1"/>
  <c r="D57" i="20"/>
  <c r="E57" i="20" s="1"/>
  <c r="D56" i="20"/>
  <c r="E56" i="20" s="1"/>
  <c r="D52" i="20"/>
  <c r="E52" i="20" s="1"/>
  <c r="D51" i="20"/>
  <c r="E51" i="20" s="1"/>
  <c r="D50" i="20"/>
  <c r="E50" i="20" s="1"/>
  <c r="D49" i="20"/>
  <c r="E49" i="20" s="1"/>
  <c r="D48" i="20"/>
  <c r="E48" i="20" s="1"/>
  <c r="D47" i="20"/>
  <c r="E47" i="20" s="1"/>
  <c r="D46" i="20"/>
  <c r="E46" i="20" s="1"/>
  <c r="D45" i="20"/>
  <c r="E45" i="20" s="1"/>
  <c r="D41" i="20"/>
  <c r="E41" i="20" s="1"/>
  <c r="D40" i="20"/>
  <c r="E40" i="20" s="1"/>
  <c r="D39" i="20"/>
  <c r="E39" i="20" s="1"/>
  <c r="D38" i="20"/>
  <c r="E38" i="20" s="1"/>
  <c r="D37" i="20"/>
  <c r="E37" i="20" s="1"/>
  <c r="D36" i="20"/>
  <c r="E36" i="20" s="1"/>
  <c r="D35" i="20"/>
  <c r="E35" i="20" s="1"/>
  <c r="D34" i="20"/>
  <c r="E34" i="20" s="1"/>
  <c r="M32" i="20"/>
  <c r="N32" i="20" s="1"/>
  <c r="D33" i="20"/>
  <c r="E33" i="20" s="1"/>
  <c r="M31" i="20"/>
  <c r="N31" i="20" s="1"/>
  <c r="D32" i="20"/>
  <c r="E32" i="20" s="1"/>
  <c r="D31" i="20"/>
  <c r="E31" i="20" s="1"/>
  <c r="D30" i="20"/>
  <c r="E30" i="20" s="1"/>
  <c r="M28" i="20"/>
  <c r="N28" i="20" s="1"/>
  <c r="D29" i="20"/>
  <c r="E29" i="20" s="1"/>
  <c r="M27" i="20"/>
  <c r="N27" i="20" s="1"/>
  <c r="E28" i="20"/>
  <c r="D27" i="20"/>
  <c r="E27" i="20" s="1"/>
  <c r="M24" i="20"/>
  <c r="N24" i="20" s="1"/>
  <c r="M23" i="20"/>
  <c r="N23" i="20" s="1"/>
  <c r="D21" i="20"/>
  <c r="E21" i="20" s="1"/>
  <c r="M20" i="20"/>
  <c r="N20" i="20" s="1"/>
  <c r="D20" i="20"/>
  <c r="E20" i="20" s="1"/>
  <c r="M19" i="20"/>
  <c r="N19" i="20" s="1"/>
  <c r="D19" i="20"/>
  <c r="E19" i="20" s="1"/>
  <c r="D18" i="20"/>
  <c r="E18" i="20" s="1"/>
  <c r="D17" i="20"/>
  <c r="E17" i="20" s="1"/>
  <c r="D16" i="20"/>
  <c r="E16" i="20" s="1"/>
  <c r="D15" i="20"/>
  <c r="E15" i="20" s="1"/>
  <c r="M14" i="20"/>
  <c r="N14" i="20" s="1"/>
  <c r="D14" i="20"/>
  <c r="E14" i="20" s="1"/>
  <c r="M13" i="20"/>
  <c r="N13" i="20" s="1"/>
  <c r="D13" i="20"/>
  <c r="E13" i="20" s="1"/>
  <c r="D12" i="20"/>
  <c r="E12" i="20" s="1"/>
  <c r="D11" i="20"/>
  <c r="E11" i="20" s="1"/>
  <c r="D10" i="20"/>
  <c r="E10" i="20" s="1"/>
  <c r="M9" i="20"/>
  <c r="N9" i="20" s="1"/>
  <c r="D9" i="20"/>
  <c r="E9" i="20" s="1"/>
  <c r="D8" i="20"/>
  <c r="E8" i="20" s="1"/>
  <c r="D7" i="20"/>
  <c r="E7" i="20" s="1"/>
  <c r="M6" i="20"/>
  <c r="N6" i="20" s="1"/>
  <c r="D6" i="20"/>
  <c r="E6" i="20" s="1"/>
  <c r="M5" i="20"/>
  <c r="N5" i="20" s="1"/>
  <c r="D5" i="20"/>
  <c r="E5" i="20" s="1"/>
  <c r="N62" i="10" l="1"/>
  <c r="G62" i="10"/>
  <c r="K62" i="10"/>
  <c r="T19" i="6" l="1"/>
  <c r="T18" i="6"/>
  <c r="T16" i="6"/>
  <c r="T15" i="6"/>
  <c r="T14" i="6"/>
  <c r="T13" i="6"/>
  <c r="G53" i="11"/>
  <c r="B71" i="11"/>
  <c r="D5" i="12" l="1"/>
  <c r="F5" i="12" s="1"/>
  <c r="C119" i="3"/>
  <c r="C118" i="3"/>
  <c r="C117" i="3"/>
  <c r="C116" i="3"/>
  <c r="C115" i="3"/>
  <c r="C114" i="3"/>
  <c r="C113" i="3"/>
  <c r="C112" i="3"/>
  <c r="C111" i="3"/>
  <c r="C110" i="3"/>
  <c r="C109" i="3"/>
  <c r="C108" i="3"/>
  <c r="C107" i="3"/>
  <c r="C106" i="3"/>
  <c r="C105" i="3"/>
  <c r="C104" i="3"/>
  <c r="C103" i="3"/>
  <c r="R60" i="10"/>
  <c r="H41" i="11" s="1"/>
  <c r="P60" i="10" l="1"/>
  <c r="N60" i="10"/>
  <c r="Q60" i="10"/>
  <c r="O60" i="10"/>
  <c r="J37" i="11" l="1"/>
  <c r="N59" i="10"/>
  <c r="M114" i="3" s="1"/>
  <c r="T36" i="11" s="1"/>
  <c r="J38" i="11"/>
  <c r="O59" i="10"/>
  <c r="M115" i="3" s="1"/>
  <c r="T37" i="11" s="1"/>
  <c r="J39" i="11"/>
  <c r="P59" i="10"/>
  <c r="M116" i="3" s="1"/>
  <c r="T38" i="11" s="1"/>
  <c r="J40" i="11"/>
  <c r="Q59" i="10"/>
  <c r="M117" i="3" s="1"/>
  <c r="T39" i="11" s="1"/>
  <c r="Q23" i="10"/>
  <c r="O23" i="10"/>
  <c r="P23" i="10"/>
  <c r="R23" i="10"/>
  <c r="R39" i="10" s="1" a="1"/>
  <c r="R39" i="10" s="1"/>
  <c r="S23" i="10"/>
  <c r="S39" i="10" s="1"/>
  <c r="M31" i="10"/>
  <c r="L32" i="10"/>
  <c r="E7" i="10"/>
  <c r="E6" i="10"/>
  <c r="F41" i="11" l="1"/>
  <c r="F40" i="11"/>
  <c r="K37" i="11"/>
  <c r="K38" i="11"/>
  <c r="K39" i="11"/>
  <c r="K40" i="11"/>
  <c r="S24" i="10"/>
  <c r="B36" i="11"/>
  <c r="D114" i="3"/>
  <c r="B114" i="3" s="1"/>
  <c r="N35" i="11" s="1"/>
  <c r="B34" i="11"/>
  <c r="D112" i="3"/>
  <c r="N33" i="11" s="1"/>
  <c r="D117" i="3"/>
  <c r="B117" i="3" s="1"/>
  <c r="N38" i="11" s="1"/>
  <c r="B39" i="11"/>
  <c r="D118" i="3"/>
  <c r="B40" i="11"/>
  <c r="D119" i="3"/>
  <c r="B41" i="11"/>
  <c r="Q24" i="10"/>
  <c r="Q40" i="10" s="1"/>
  <c r="B35" i="11"/>
  <c r="D113" i="3"/>
  <c r="B113" i="3" s="1"/>
  <c r="N34" i="11" s="1"/>
  <c r="R24" i="10"/>
  <c r="R40" i="10" s="1"/>
  <c r="B37" i="11"/>
  <c r="D115" i="3"/>
  <c r="B115" i="3" s="1"/>
  <c r="N36" i="11" s="1"/>
  <c r="B38" i="11"/>
  <c r="D116" i="3"/>
  <c r="B116" i="3" s="1"/>
  <c r="N37" i="11" s="1"/>
  <c r="O24" i="10"/>
  <c r="O40" i="10" s="1"/>
  <c r="P24" i="10"/>
  <c r="P40" i="10" s="1"/>
  <c r="L31" i="10"/>
  <c r="E119" i="3" l="1"/>
  <c r="B119" i="3"/>
  <c r="N40" i="11" s="1"/>
  <c r="E118" i="3"/>
  <c r="B118" i="3"/>
  <c r="N39" i="11" s="1"/>
  <c r="D35" i="11"/>
  <c r="S40" i="10"/>
  <c r="E41" i="11" s="1"/>
  <c r="D40" i="11"/>
  <c r="C40" i="11"/>
  <c r="D39" i="11"/>
  <c r="C39" i="11"/>
  <c r="F39" i="11"/>
  <c r="E39" i="11" s="1"/>
  <c r="E117" i="3"/>
  <c r="C37" i="11"/>
  <c r="D37" i="11"/>
  <c r="F37" i="11"/>
  <c r="E37" i="11" s="1"/>
  <c r="E115" i="3"/>
  <c r="D36" i="11"/>
  <c r="D34" i="11"/>
  <c r="F38" i="11"/>
  <c r="E38" i="11" s="1"/>
  <c r="E116" i="3"/>
  <c r="D38" i="11"/>
  <c r="C38" i="11"/>
  <c r="E40" i="11"/>
  <c r="F35" i="10" l="1"/>
  <c r="H35" i="10"/>
  <c r="J35" i="10"/>
  <c r="L35" i="10"/>
  <c r="N35" i="10"/>
  <c r="D23" i="10"/>
  <c r="E23" i="10"/>
  <c r="F23" i="10"/>
  <c r="G23" i="10"/>
  <c r="H23" i="10"/>
  <c r="I23" i="10"/>
  <c r="J23" i="10"/>
  <c r="K23" i="10"/>
  <c r="L23" i="10"/>
  <c r="M23" i="10"/>
  <c r="N23" i="10"/>
  <c r="C23" i="10"/>
  <c r="C39" i="10" s="1" a="1"/>
  <c r="C39" i="10" s="1"/>
  <c r="F25" i="11" l="1"/>
  <c r="C36" i="11"/>
  <c r="M39" i="10" a="1"/>
  <c r="M39" i="10" s="1"/>
  <c r="C35" i="11"/>
  <c r="L39" i="10" a="1"/>
  <c r="L39" i="10" s="1"/>
  <c r="C34" i="11"/>
  <c r="F39" i="10" a="1"/>
  <c r="F39" i="10" s="1"/>
  <c r="B25" i="11"/>
  <c r="D103" i="3"/>
  <c r="B103" i="3" s="1"/>
  <c r="D32" i="10"/>
  <c r="C24" i="10"/>
  <c r="C40" i="10" s="1"/>
  <c r="E25" i="11" s="1"/>
  <c r="B92" i="11"/>
  <c r="S91" i="11"/>
  <c r="P91" i="11"/>
  <c r="R88" i="11"/>
  <c r="R87" i="11"/>
  <c r="R86" i="11"/>
  <c r="N24" i="11" l="1"/>
  <c r="E103" i="3"/>
  <c r="F36" i="11"/>
  <c r="E114" i="3"/>
  <c r="F35" i="11"/>
  <c r="E113" i="3"/>
  <c r="F34" i="11"/>
  <c r="E112" i="3"/>
  <c r="F28" i="11"/>
  <c r="F26" i="11"/>
  <c r="P24" i="11" l="1"/>
  <c r="M3" i="11"/>
  <c r="F3" i="12" s="1"/>
  <c r="L3" i="11"/>
  <c r="E16" i="11" s="1"/>
  <c r="D8" i="12" s="1"/>
  <c r="E8" i="12" s="1"/>
  <c r="K3" i="11"/>
  <c r="E15" i="11" s="1"/>
  <c r="D7" i="12" s="1"/>
  <c r="G3" i="11"/>
  <c r="F3" i="11"/>
  <c r="C3" i="12" s="1"/>
  <c r="B3" i="11"/>
  <c r="D3" i="12" s="1"/>
  <c r="C3" i="11"/>
  <c r="E3" i="12" s="1"/>
  <c r="D3" i="11"/>
  <c r="B3" i="12" s="1"/>
  <c r="E12" i="11"/>
  <c r="D9" i="12" s="1"/>
  <c r="O80" i="11"/>
  <c r="G83" i="11" s="1"/>
  <c r="G31" i="10"/>
  <c r="G39" i="10" s="1" a="1"/>
  <c r="G39" i="10" s="1"/>
  <c r="E107" i="3" s="1"/>
  <c r="L24" i="10"/>
  <c r="L40" i="10" s="1"/>
  <c r="E34" i="11" s="1"/>
  <c r="D111" i="3"/>
  <c r="B111" i="3" s="1"/>
  <c r="N32" i="11" s="1"/>
  <c r="D110" i="3"/>
  <c r="B110" i="3" s="1"/>
  <c r="N31" i="11" s="1"/>
  <c r="D109" i="3"/>
  <c r="B109" i="3" s="1"/>
  <c r="N30" i="11" s="1"/>
  <c r="D108" i="3"/>
  <c r="B108" i="3" s="1"/>
  <c r="N29" i="11" s="1"/>
  <c r="D107" i="3"/>
  <c r="B107" i="3" s="1"/>
  <c r="N28" i="11" s="1"/>
  <c r="D106" i="3"/>
  <c r="D105" i="3"/>
  <c r="B105" i="3" s="1"/>
  <c r="N26" i="11" s="1"/>
  <c r="D104" i="3"/>
  <c r="B104" i="3" s="1"/>
  <c r="D10" i="12"/>
  <c r="N25" i="11" l="1"/>
  <c r="P33" i="11"/>
  <c r="P40" i="11"/>
  <c r="P32" i="11"/>
  <c r="P38" i="11"/>
  <c r="E106" i="3"/>
  <c r="B106" i="3"/>
  <c r="N27" i="11" s="1"/>
  <c r="P27" i="11" s="1"/>
  <c r="E104" i="3"/>
  <c r="F29" i="11"/>
  <c r="K25" i="11"/>
  <c r="D11" i="12"/>
  <c r="E31" i="10"/>
  <c r="S81" i="11"/>
  <c r="T81" i="11" s="1"/>
  <c r="S6" i="11"/>
  <c r="T8" i="11" s="1"/>
  <c r="F60" i="10"/>
  <c r="F59" i="10" s="1"/>
  <c r="E60" i="10"/>
  <c r="J26" i="11"/>
  <c r="J29" i="11"/>
  <c r="H60" i="10"/>
  <c r="H59" i="10" s="1"/>
  <c r="I60" i="10"/>
  <c r="J60" i="10"/>
  <c r="J59" i="10" s="1"/>
  <c r="K60" i="10"/>
  <c r="L60" i="10"/>
  <c r="M60" i="10"/>
  <c r="M59" i="10" s="1"/>
  <c r="M113" i="3" s="1"/>
  <c r="T35" i="11" s="1"/>
  <c r="J25" i="11"/>
  <c r="K24" i="10"/>
  <c r="B33" i="11"/>
  <c r="I24" i="10"/>
  <c r="B31" i="11"/>
  <c r="B32" i="11"/>
  <c r="F24" i="10"/>
  <c r="B28" i="11"/>
  <c r="G24" i="10"/>
  <c r="B29" i="11"/>
  <c r="E24" i="10"/>
  <c r="B27" i="11"/>
  <c r="H24" i="10"/>
  <c r="B30" i="11"/>
  <c r="D24" i="10"/>
  <c r="D40" i="10" s="1"/>
  <c r="E26" i="11" s="1"/>
  <c r="B26" i="11"/>
  <c r="N59" i="11"/>
  <c r="G49" i="11"/>
  <c r="N53" i="11"/>
  <c r="G71" i="11"/>
  <c r="J31" i="10"/>
  <c r="J32" i="10"/>
  <c r="J40" i="10" s="1"/>
  <c r="M24" i="10"/>
  <c r="M40" i="10" s="1"/>
  <c r="E35" i="11" s="1"/>
  <c r="N24" i="10"/>
  <c r="K31" i="10"/>
  <c r="K39" i="10" s="1" a="1"/>
  <c r="K39" i="10" s="1"/>
  <c r="E111" i="3" s="1"/>
  <c r="K32" i="10"/>
  <c r="E32" i="10"/>
  <c r="H31" i="10"/>
  <c r="H32" i="10"/>
  <c r="I31" i="10"/>
  <c r="I39" i="10" s="1" a="1"/>
  <c r="I39" i="10" s="1"/>
  <c r="E109" i="3" s="1"/>
  <c r="I32" i="10"/>
  <c r="G32" i="10"/>
  <c r="F32" i="10"/>
  <c r="N10" i="12"/>
  <c r="M6" i="11"/>
  <c r="G62" i="11" s="1"/>
  <c r="V41" i="11"/>
  <c r="G59" i="11"/>
  <c r="P37" i="11" l="1"/>
  <c r="P36" i="11"/>
  <c r="P34" i="11"/>
  <c r="P28" i="11"/>
  <c r="P39" i="11"/>
  <c r="P35" i="11"/>
  <c r="P30" i="11"/>
  <c r="P25" i="11"/>
  <c r="H40" i="10"/>
  <c r="C32" i="11"/>
  <c r="C30" i="11"/>
  <c r="N40" i="10"/>
  <c r="E36" i="11" s="1"/>
  <c r="C33" i="11"/>
  <c r="D33" i="11"/>
  <c r="D31" i="11"/>
  <c r="C31" i="11"/>
  <c r="C29" i="11"/>
  <c r="D29" i="11"/>
  <c r="D28" i="11"/>
  <c r="C28" i="11"/>
  <c r="D27" i="11"/>
  <c r="C27" i="11"/>
  <c r="D26" i="11"/>
  <c r="C26" i="11"/>
  <c r="J39" i="10" a="1"/>
  <c r="J39" i="10" s="1"/>
  <c r="D32" i="11"/>
  <c r="H39" i="10" a="1"/>
  <c r="H39" i="10" s="1"/>
  <c r="D30" i="11"/>
  <c r="G40" i="10"/>
  <c r="E29" i="11" s="1"/>
  <c r="F33" i="11"/>
  <c r="F31" i="11"/>
  <c r="E39" i="10" a="1"/>
  <c r="E39" i="10" s="1"/>
  <c r="J35" i="11"/>
  <c r="L59" i="10"/>
  <c r="M112" i="3" s="1"/>
  <c r="T34" i="11" s="1"/>
  <c r="J34" i="11"/>
  <c r="K59" i="10"/>
  <c r="M111" i="3" s="1"/>
  <c r="T33" i="11" s="1"/>
  <c r="J32" i="11"/>
  <c r="M110" i="3"/>
  <c r="T31" i="11" s="1"/>
  <c r="J30" i="11"/>
  <c r="M108" i="3"/>
  <c r="T29" i="11" s="1"/>
  <c r="J31" i="11"/>
  <c r="I59" i="10"/>
  <c r="M109" i="3" s="1"/>
  <c r="T30" i="11" s="1"/>
  <c r="J27" i="11"/>
  <c r="E59" i="10"/>
  <c r="M105" i="3" s="1"/>
  <c r="O10" i="12" a="1"/>
  <c r="O10" i="12" s="1"/>
  <c r="J36" i="11"/>
  <c r="J28" i="11"/>
  <c r="M106" i="3"/>
  <c r="T27" i="11" s="1"/>
  <c r="F13" i="12" a="1"/>
  <c r="F13" i="12" s="1"/>
  <c r="E18" i="11"/>
  <c r="G50" i="11" s="1"/>
  <c r="I40" i="10"/>
  <c r="F40" i="10"/>
  <c r="E28" i="11" s="1"/>
  <c r="E40" i="10"/>
  <c r="K40" i="10"/>
  <c r="S83" i="11"/>
  <c r="T83" i="11" s="1"/>
  <c r="G74" i="11"/>
  <c r="N11" i="12"/>
  <c r="C33" i="10"/>
  <c r="N8" i="11"/>
  <c r="D71" i="11" s="1"/>
  <c r="T26" i="11" l="1"/>
  <c r="T42" i="11" s="1"/>
  <c r="M120" i="3"/>
  <c r="F32" i="11"/>
  <c r="E32" i="11" s="1"/>
  <c r="E110" i="3"/>
  <c r="P31" i="11" s="1"/>
  <c r="F30" i="11"/>
  <c r="E30" i="11" s="1"/>
  <c r="E108" i="3"/>
  <c r="P29" i="11" s="1"/>
  <c r="F27" i="11"/>
  <c r="E105" i="3"/>
  <c r="P26" i="11" s="1"/>
  <c r="P42" i="11" s="1"/>
  <c r="H42" i="11"/>
  <c r="C44" i="11"/>
  <c r="E31" i="11"/>
  <c r="E33" i="11"/>
  <c r="E44" i="11"/>
  <c r="K35" i="11"/>
  <c r="K34" i="11"/>
  <c r="K32" i="11"/>
  <c r="K30" i="11"/>
  <c r="H33" i="11"/>
  <c r="K31" i="11"/>
  <c r="K27" i="11"/>
  <c r="O11" i="12" a="1"/>
  <c r="O11" i="12" s="1"/>
  <c r="K36" i="11"/>
  <c r="K28" i="11"/>
  <c r="E21" i="11"/>
  <c r="S10" i="11" s="1"/>
  <c r="S12" i="11" s="1"/>
  <c r="I47" i="11" l="1"/>
  <c r="E27" i="11"/>
  <c r="D47" i="11"/>
  <c r="P44" i="11"/>
  <c r="I14" i="12" s="1"/>
  <c r="E120" i="3"/>
  <c r="J42" i="11"/>
  <c r="I32" i="11"/>
  <c r="H32" i="11"/>
  <c r="I30" i="11"/>
  <c r="H30" i="11"/>
  <c r="I28" i="11"/>
  <c r="H28" i="11"/>
  <c r="J33" i="11"/>
  <c r="M10" i="11"/>
  <c r="M12" i="11" s="1"/>
  <c r="P10" i="11"/>
  <c r="P12" i="11" s="1"/>
  <c r="G48" i="11" l="1"/>
  <c r="Q5" i="10" s="1"/>
  <c r="C122" i="3"/>
  <c r="H44" i="11"/>
  <c r="J44" i="11"/>
  <c r="N48" i="11"/>
  <c r="C15" i="10"/>
  <c r="D15" i="10" s="1"/>
  <c r="C45" i="11"/>
  <c r="S15" i="11" l="1"/>
  <c r="S17" i="11" s="1"/>
  <c r="G56" i="11"/>
  <c r="G68" i="11" s="1"/>
  <c r="G80" i="11" s="1"/>
  <c r="K7" i="12" s="1"/>
  <c r="X6" i="20" s="1"/>
  <c r="M15" i="11"/>
  <c r="M17" i="11" s="1"/>
  <c r="P15" i="11"/>
  <c r="P17" i="11" s="1"/>
  <c r="N50" i="11"/>
  <c r="N56" i="11" s="1"/>
  <c r="H45" i="11"/>
  <c r="F46" i="11" s="1"/>
  <c r="R28" i="10" s="1"/>
  <c r="B15" i="10"/>
  <c r="K5" i="12" l="1"/>
  <c r="X4" i="20" s="1"/>
  <c r="K6" i="12"/>
  <c r="X5" i="20" s="1"/>
  <c r="M6" i="12"/>
  <c r="M5" i="12" l="1"/>
  <c r="Y4" i="20" s="1"/>
  <c r="Z4" i="20" l="1"/>
  <c r="AA4" i="20" s="1"/>
  <c r="N5" i="12" s="1"/>
  <c r="Y5" i="20"/>
  <c r="Z5" i="20" s="1"/>
  <c r="AA5" i="20" s="1"/>
  <c r="M7" i="12"/>
  <c r="N6" i="12" l="1"/>
  <c r="Y6" i="20"/>
  <c r="Z6" i="20" s="1"/>
  <c r="AA6" i="20" s="1"/>
  <c r="I11" i="12" l="1"/>
  <c r="I12" i="12" s="1"/>
  <c r="N7" i="1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<sst xmlns="http://schemas.openxmlformats.org/spreadsheetml/2006/main" count="24279" uniqueCount="23456">
  <si>
    <t>Flight No.</t>
  </si>
  <si>
    <t>Registration</t>
  </si>
  <si>
    <t>From</t>
  </si>
  <si>
    <t>To</t>
  </si>
  <si>
    <t>Date</t>
  </si>
  <si>
    <t>Description</t>
  </si>
  <si>
    <t>Max</t>
  </si>
  <si>
    <t>% MAC</t>
  </si>
  <si>
    <t>ZERO FUEL WEIGHT</t>
  </si>
  <si>
    <t>TAKE-OFF WEIGHT</t>
  </si>
  <si>
    <t>LANDING WEIGHT</t>
  </si>
  <si>
    <t>-</t>
  </si>
  <si>
    <t>+</t>
  </si>
  <si>
    <t>Basic Empty Weight/Index</t>
  </si>
  <si>
    <t>CREW</t>
  </si>
  <si>
    <t>SNY</t>
  </si>
  <si>
    <t xml:space="preserve">Personal baggage </t>
  </si>
  <si>
    <t>Dry Operating Weight Index</t>
  </si>
  <si>
    <t>MAIN DECK</t>
  </si>
  <si>
    <t>Weight (Kgs)</t>
  </si>
  <si>
    <t>Bay</t>
  </si>
  <si>
    <t>Max(kgs)</t>
  </si>
  <si>
    <t>A1</t>
  </si>
  <si>
    <t>A2R</t>
  </si>
  <si>
    <t>A3R</t>
  </si>
  <si>
    <t>A4R</t>
  </si>
  <si>
    <t>A5R</t>
  </si>
  <si>
    <t>A6R</t>
  </si>
  <si>
    <t>A7R</t>
  </si>
  <si>
    <t>A8R</t>
  </si>
  <si>
    <t>A9R</t>
  </si>
  <si>
    <t>A10R</t>
  </si>
  <si>
    <t>A11R</t>
  </si>
  <si>
    <t>A12R</t>
  </si>
  <si>
    <t>A13</t>
  </si>
  <si>
    <t>B1R</t>
  </si>
  <si>
    <t>B2R</t>
  </si>
  <si>
    <t>B3R</t>
  </si>
  <si>
    <t>B4R</t>
  </si>
  <si>
    <t>B5R</t>
  </si>
  <si>
    <t>B6R</t>
  </si>
  <si>
    <t>B7R</t>
  </si>
  <si>
    <t>B8R</t>
  </si>
  <si>
    <t>B9R</t>
  </si>
  <si>
    <t>B10R</t>
  </si>
  <si>
    <t>B11R</t>
  </si>
  <si>
    <t>B12R</t>
  </si>
  <si>
    <t>B13</t>
  </si>
  <si>
    <t>B14</t>
  </si>
  <si>
    <t>C2</t>
  </si>
  <si>
    <t>C3</t>
  </si>
  <si>
    <t>C4</t>
  </si>
  <si>
    <t>C5</t>
  </si>
  <si>
    <t>C6</t>
  </si>
  <si>
    <t>C7</t>
  </si>
  <si>
    <t>C8</t>
  </si>
  <si>
    <t>C9</t>
  </si>
  <si>
    <t>C10</t>
  </si>
  <si>
    <t>C11</t>
  </si>
  <si>
    <t>C12</t>
  </si>
  <si>
    <t>D2</t>
  </si>
  <si>
    <t>D3</t>
  </si>
  <si>
    <t>D4</t>
  </si>
  <si>
    <t>D5</t>
  </si>
  <si>
    <t>D6</t>
  </si>
  <si>
    <t>D7</t>
  </si>
  <si>
    <t>D8</t>
  </si>
  <si>
    <t>D9</t>
  </si>
  <si>
    <t>D10</t>
  </si>
  <si>
    <t>D11</t>
  </si>
  <si>
    <t>D12</t>
  </si>
  <si>
    <t>D13</t>
  </si>
  <si>
    <t>D14</t>
  </si>
  <si>
    <t>D15</t>
  </si>
  <si>
    <t>D16</t>
  </si>
  <si>
    <t>E2</t>
  </si>
  <si>
    <t>E3</t>
  </si>
  <si>
    <t>E4</t>
  </si>
  <si>
    <t>E5</t>
  </si>
  <si>
    <t>E6</t>
  </si>
  <si>
    <t>E7</t>
  </si>
  <si>
    <t>E8</t>
  </si>
  <si>
    <t>E9</t>
  </si>
  <si>
    <t>E10</t>
  </si>
  <si>
    <t>E11</t>
  </si>
  <si>
    <t>E12</t>
  </si>
  <si>
    <t>E13</t>
  </si>
  <si>
    <t>E14</t>
  </si>
  <si>
    <t>E15</t>
  </si>
  <si>
    <t>P1</t>
  </si>
  <si>
    <t>P2</t>
  </si>
  <si>
    <t>P3</t>
  </si>
  <si>
    <t>P4</t>
  </si>
  <si>
    <t>HOLD 11R</t>
  </si>
  <si>
    <t>HOLD 12R</t>
  </si>
  <si>
    <t>HOLD 13R</t>
  </si>
  <si>
    <t>HOLD 21R</t>
  </si>
  <si>
    <t>HOLD 22R</t>
  </si>
  <si>
    <t>HOLD 23R</t>
  </si>
  <si>
    <t>HOLD 24R</t>
  </si>
  <si>
    <t>HOLD 31R</t>
  </si>
  <si>
    <t>HOLD 32R</t>
  </si>
  <si>
    <t>HOLD 33R</t>
  </si>
  <si>
    <t>HOLD 42R</t>
  </si>
  <si>
    <t>HOLD 43R</t>
  </si>
  <si>
    <t>BULK</t>
  </si>
  <si>
    <t>Lower Deck</t>
  </si>
  <si>
    <t>Fuel</t>
  </si>
  <si>
    <t>Configuration</t>
  </si>
  <si>
    <t>R</t>
  </si>
  <si>
    <t>L</t>
  </si>
  <si>
    <t>Index</t>
  </si>
  <si>
    <t>WEIGHT</t>
  </si>
  <si>
    <t>%MAC</t>
  </si>
  <si>
    <t>MAX WEIGHT [Lbs]</t>
  </si>
  <si>
    <t>INDEX</t>
  </si>
  <si>
    <t>AZFW</t>
  </si>
  <si>
    <t>TOW</t>
  </si>
  <si>
    <t>LWT</t>
  </si>
  <si>
    <t>Aircraft Reg</t>
  </si>
  <si>
    <t>Sfx</t>
  </si>
  <si>
    <t>Weight Kg</t>
  </si>
  <si>
    <t>MAC REF</t>
  </si>
  <si>
    <t>Aircraft Serial No.</t>
  </si>
  <si>
    <t>Max. Taxi Weight</t>
  </si>
  <si>
    <t>MTW</t>
  </si>
  <si>
    <t>LEMAC</t>
  </si>
  <si>
    <t>MTWA (Max Authorised Weight Kgs)</t>
  </si>
  <si>
    <t>Max. Take-Off Weight</t>
  </si>
  <si>
    <t>MTOW</t>
  </si>
  <si>
    <t>Datum</t>
  </si>
  <si>
    <t>Max. Landing Weight</t>
  </si>
  <si>
    <t>MLW</t>
  </si>
  <si>
    <t>Index at Datum</t>
  </si>
  <si>
    <t>Max. Zero Fuel Weight</t>
  </si>
  <si>
    <t>MZFW</t>
  </si>
  <si>
    <t>Constant</t>
  </si>
  <si>
    <t>Minimum Flight Weight</t>
  </si>
  <si>
    <t>MFW</t>
  </si>
  <si>
    <t>Crew</t>
  </si>
  <si>
    <t>DESCRIPTION</t>
  </si>
  <si>
    <t>BA</t>
  </si>
  <si>
    <t>MOMENT</t>
  </si>
  <si>
    <t>ACTUAL</t>
  </si>
  <si>
    <t>STANDARD DOW/DOI ADJUSTMENTS</t>
  </si>
  <si>
    <t>(Kg)</t>
  </si>
  <si>
    <t>(IN)</t>
  </si>
  <si>
    <t>(Kg.IN)</t>
  </si>
  <si>
    <t>UNIT</t>
  </si>
  <si>
    <t>Mass</t>
  </si>
  <si>
    <t>SHIFT</t>
  </si>
  <si>
    <t>AIRCRAFT BASIC WEIGHT (IAI WEIGHT REPORT)</t>
  </si>
  <si>
    <t>Pilot &amp; Co-Pilot</t>
  </si>
  <si>
    <t>Pilot &amp; Co-Pilot baggage</t>
  </si>
  <si>
    <t>Observers</t>
  </si>
  <si>
    <t>ADD:</t>
  </si>
  <si>
    <t>Personal baggage in Bulk Hold</t>
  </si>
  <si>
    <t>Potable Water</t>
  </si>
  <si>
    <t>Observer 1 (Excluding Baggage)</t>
  </si>
  <si>
    <t>Lav A Precharge Fluid</t>
  </si>
  <si>
    <t>FLY AWAY KIT</t>
  </si>
  <si>
    <t>Supernumerary 1 (Excluding Personal Baggage)</t>
  </si>
  <si>
    <t>Aircraft Library</t>
  </si>
  <si>
    <t>Supernumerary 2 (Excluding Personal Baggage)</t>
  </si>
  <si>
    <t>ADJUSTED BASIC WEIGHT</t>
  </si>
  <si>
    <t>Supernumerary 3 (Excluding Personal Baggage)</t>
  </si>
  <si>
    <t>DRY OPERATING WEIGHTS (INCL CREW AND BAGGAGE)</t>
  </si>
  <si>
    <t>FAK (DEFAULT 1450 Kg)</t>
  </si>
  <si>
    <t>dif of 0.2</t>
  </si>
  <si>
    <t>2 Pilots</t>
  </si>
  <si>
    <t>2 Pilots + 1 supernumerary Crew</t>
  </si>
  <si>
    <t>Potable Water .</t>
  </si>
  <si>
    <t>2 Pilots + 2 supernumerary Crew</t>
  </si>
  <si>
    <t>GALLEY CATERING</t>
  </si>
  <si>
    <t>2 Pilots + 3 supernumerary Crew</t>
  </si>
  <si>
    <t>2 Pilots + 1 Observer</t>
  </si>
  <si>
    <t>2 Pilots + 1 Observer + 1 supernumerary Crew</t>
  </si>
  <si>
    <t>2 Pilots + 1 Observer + 2 supernumerary Crew</t>
  </si>
  <si>
    <t>2 Pilots + 1 Observer + 3 supernumerary Crew</t>
  </si>
  <si>
    <t>Stab trim for Flaps 5°,  15° and 20°</t>
  </si>
  <si>
    <t xml:space="preserve">                                                                        %MAC
Weight Kgs</t>
  </si>
  <si>
    <t>Flaps 1</t>
  </si>
  <si>
    <t>FLAPS 5,15 AND 20</t>
  </si>
  <si>
    <t xml:space="preserve">                            Weight (kgs)
CG (% MAC) </t>
  </si>
  <si>
    <t>IATA</t>
  </si>
  <si>
    <t>ICAO</t>
  </si>
  <si>
    <t>NAME</t>
  </si>
  <si>
    <t>AAA</t>
  </si>
  <si>
    <t>NTGA</t>
  </si>
  <si>
    <t>Anaa Airport</t>
  </si>
  <si>
    <t>AAB</t>
  </si>
  <si>
    <t>YARY</t>
  </si>
  <si>
    <t>Arrabury Airport</t>
  </si>
  <si>
    <t>AAC</t>
  </si>
  <si>
    <t>HEAR</t>
  </si>
  <si>
    <t>El Arish International Airport</t>
  </si>
  <si>
    <t>AAE</t>
  </si>
  <si>
    <t>DABB</t>
  </si>
  <si>
    <t>Rabah Bitat Airport (Les Salines Airport)</t>
  </si>
  <si>
    <t>AAF</t>
  </si>
  <si>
    <t>KAAF</t>
  </si>
  <si>
    <t>Apalachicola Municipal Airport</t>
  </si>
  <si>
    <t>AAG</t>
  </si>
  <si>
    <t>SSYA</t>
  </si>
  <si>
    <t>Arapoti Airport</t>
  </si>
  <si>
    <t>AAH</t>
  </si>
  <si>
    <t>EDKA</t>
  </si>
  <si>
    <t>Aachen-Merzbrück Airport</t>
  </si>
  <si>
    <t>AAI</t>
  </si>
  <si>
    <t>SWRA</t>
  </si>
  <si>
    <t>Arraias Airport</t>
  </si>
  <si>
    <t>AAK</t>
  </si>
  <si>
    <t>NGUK</t>
  </si>
  <si>
    <t>Aranuka Airport</t>
  </si>
  <si>
    <t>AAL</t>
  </si>
  <si>
    <t>EKYT</t>
  </si>
  <si>
    <t>Aalborg Airport</t>
  </si>
  <si>
    <t>AAM</t>
  </si>
  <si>
    <t>FAMD</t>
  </si>
  <si>
    <t>Mala Mala Airport</t>
  </si>
  <si>
    <t>AAN</t>
  </si>
  <si>
    <t>OMAL</t>
  </si>
  <si>
    <t>Al Ain International Airport</t>
  </si>
  <si>
    <t>AAO</t>
  </si>
  <si>
    <t>SVAN</t>
  </si>
  <si>
    <t>Anaco Airport</t>
  </si>
  <si>
    <t>AAP</t>
  </si>
  <si>
    <t>KAAP</t>
  </si>
  <si>
    <t>Andrau Airpark</t>
  </si>
  <si>
    <t>AAQ</t>
  </si>
  <si>
    <t>URKA</t>
  </si>
  <si>
    <t>Vityazevo Airport</t>
  </si>
  <si>
    <t>AAR</t>
  </si>
  <si>
    <t>EKAH</t>
  </si>
  <si>
    <t>Aarhus Airport</t>
  </si>
  <si>
    <t>AAT</t>
  </si>
  <si>
    <t>ZWAT</t>
  </si>
  <si>
    <t>Altay Airport</t>
  </si>
  <si>
    <t>AAU</t>
  </si>
  <si>
    <t>NSAU</t>
  </si>
  <si>
    <t>Asau Airport</t>
  </si>
  <si>
    <t>AAV</t>
  </si>
  <si>
    <t>RPMA</t>
  </si>
  <si>
    <t>Allah Valley Airport</t>
  </si>
  <si>
    <t>AAW</t>
  </si>
  <si>
    <t>OPAB</t>
  </si>
  <si>
    <t>Abbottabad Airport</t>
  </si>
  <si>
    <t>AAX</t>
  </si>
  <si>
    <t>SBAX</t>
  </si>
  <si>
    <t>Araxa Airport (Aeroporto Araxá)</t>
  </si>
  <si>
    <t>AAY</t>
  </si>
  <si>
    <t>OYGD</t>
  </si>
  <si>
    <t>Al Ghaydah Airport</t>
  </si>
  <si>
    <t>AAZ</t>
  </si>
  <si>
    <t>MGQZ</t>
  </si>
  <si>
    <t>Quetzaltenango Airport</t>
  </si>
  <si>
    <t>ABA</t>
  </si>
  <si>
    <t>UNAA</t>
  </si>
  <si>
    <t>Abakan Airport</t>
  </si>
  <si>
    <t>ABB</t>
  </si>
  <si>
    <t>DNAS</t>
  </si>
  <si>
    <t>Asaba International Airport</t>
  </si>
  <si>
    <t>EGUD</t>
  </si>
  <si>
    <t>RAF Abingdon</t>
  </si>
  <si>
    <t>ABC</t>
  </si>
  <si>
    <t>LEAB</t>
  </si>
  <si>
    <t>Albacete-Los Llanos Airport</t>
  </si>
  <si>
    <t>ABD</t>
  </si>
  <si>
    <t>OIAA</t>
  </si>
  <si>
    <t>Abadan Airport</t>
  </si>
  <si>
    <t>ABE</t>
  </si>
  <si>
    <t>KABE</t>
  </si>
  <si>
    <t>Lehigh Valley International Airport</t>
  </si>
  <si>
    <t>ABF</t>
  </si>
  <si>
    <t>NGAB</t>
  </si>
  <si>
    <t>Abaiang Atoll Airport</t>
  </si>
  <si>
    <t>ABH</t>
  </si>
  <si>
    <t>YAPH</t>
  </si>
  <si>
    <t>Alpha Airport</t>
  </si>
  <si>
    <t>ABI</t>
  </si>
  <si>
    <t>KABI</t>
  </si>
  <si>
    <t>Abilene Regional Airport</t>
  </si>
  <si>
    <t>ABJ</t>
  </si>
  <si>
    <t>DIAP</t>
  </si>
  <si>
    <t>Félix-Houphouët-Boigny International Airport</t>
  </si>
  <si>
    <t>ABK</t>
  </si>
  <si>
    <t>HAKD</t>
  </si>
  <si>
    <t>Kabri Dar Airport</t>
  </si>
  <si>
    <t>ABL</t>
  </si>
  <si>
    <t>PAFM</t>
  </si>
  <si>
    <t>Ambler Airport</t>
  </si>
  <si>
    <t>ABM</t>
  </si>
  <si>
    <t>YBAM</t>
  </si>
  <si>
    <t>Bamaga Injinoo Airport</t>
  </si>
  <si>
    <t>ABN</t>
  </si>
  <si>
    <t>SMBN</t>
  </si>
  <si>
    <t>Albina Airport</t>
  </si>
  <si>
    <t>ABO</t>
  </si>
  <si>
    <t>DIAO</t>
  </si>
  <si>
    <t>Aboisso Airport</t>
  </si>
  <si>
    <t>ABQ</t>
  </si>
  <si>
    <t>KABQ</t>
  </si>
  <si>
    <t>Albuquerque International Sunport</t>
  </si>
  <si>
    <t>ABR</t>
  </si>
  <si>
    <t>KABR</t>
  </si>
  <si>
    <t>Aberdeen Regional Airport</t>
  </si>
  <si>
    <t>ABS</t>
  </si>
  <si>
    <t>HEBL</t>
  </si>
  <si>
    <t>Abu Simbel Airport</t>
  </si>
  <si>
    <t>ABT</t>
  </si>
  <si>
    <t>OEBA</t>
  </si>
  <si>
    <t>Al-Baha Domestic Airport</t>
  </si>
  <si>
    <t>ABU</t>
  </si>
  <si>
    <t>WRKA</t>
  </si>
  <si>
    <t>Haliwen Airport</t>
  </si>
  <si>
    <t>ABV</t>
  </si>
  <si>
    <t>DNAA</t>
  </si>
  <si>
    <t>Nnamdi Azikiwe International Airport</t>
  </si>
  <si>
    <t>ABX</t>
  </si>
  <si>
    <t>YMAY</t>
  </si>
  <si>
    <t>Albury Airport</t>
  </si>
  <si>
    <t>ABY</t>
  </si>
  <si>
    <t>KABY</t>
  </si>
  <si>
    <t>Southwest Georgia Regional Airport</t>
  </si>
  <si>
    <t>ABZ</t>
  </si>
  <si>
    <t>EGPD</t>
  </si>
  <si>
    <t>Aberdeen Airport</t>
  </si>
  <si>
    <t>ACA</t>
  </si>
  <si>
    <t>MMAA</t>
  </si>
  <si>
    <t>General Juan N. Álvarez International Airport</t>
  </si>
  <si>
    <t>ACB</t>
  </si>
  <si>
    <t>KACB</t>
  </si>
  <si>
    <t>Antrim County Airport</t>
  </si>
  <si>
    <t>ACC</t>
  </si>
  <si>
    <t>DGAA</t>
  </si>
  <si>
    <t>Kotoka International Airport</t>
  </si>
  <si>
    <t>ACD</t>
  </si>
  <si>
    <t>SKAD</t>
  </si>
  <si>
    <t>Alcides Fernández Airport</t>
  </si>
  <si>
    <t>ACE</t>
  </si>
  <si>
    <t>GCRR</t>
  </si>
  <si>
    <t>Lanzarote Airport</t>
  </si>
  <si>
    <t>ACF</t>
  </si>
  <si>
    <t>YBAF</t>
  </si>
  <si>
    <t>Brisbane Archerfield Airport</t>
  </si>
  <si>
    <t>ACH</t>
  </si>
  <si>
    <t>LSZR</t>
  </si>
  <si>
    <t>St. Gallen Altenrhein Airport</t>
  </si>
  <si>
    <t>ACI</t>
  </si>
  <si>
    <t>EGJA</t>
  </si>
  <si>
    <t>Alderney Airport</t>
  </si>
  <si>
    <t>ACK</t>
  </si>
  <si>
    <t>KACK</t>
  </si>
  <si>
    <t>Nantucket Memorial Airport</t>
  </si>
  <si>
    <t>ACL</t>
  </si>
  <si>
    <t>SKAG</t>
  </si>
  <si>
    <t>Cesar Airport</t>
  </si>
  <si>
    <t>ACN</t>
  </si>
  <si>
    <t>MMCC</t>
  </si>
  <si>
    <t>Ciudad Acuna International Airport</t>
  </si>
  <si>
    <t>ACO</t>
  </si>
  <si>
    <t>LSZD</t>
  </si>
  <si>
    <t>Ascona Airport</t>
  </si>
  <si>
    <t>ACP</t>
  </si>
  <si>
    <t>OITM</t>
  </si>
  <si>
    <t>Sahand Airport</t>
  </si>
  <si>
    <t>ACR</t>
  </si>
  <si>
    <t>SKAC</t>
  </si>
  <si>
    <t>Araracuara Airport</t>
  </si>
  <si>
    <t>ACS</t>
  </si>
  <si>
    <t>UNKS</t>
  </si>
  <si>
    <t>Achinsk Airport</t>
  </si>
  <si>
    <t>ACT</t>
  </si>
  <si>
    <t>KACT</t>
  </si>
  <si>
    <t>Waco Regional Airport</t>
  </si>
  <si>
    <t>ACV</t>
  </si>
  <si>
    <t>KACV</t>
  </si>
  <si>
    <t>Arcata-Eureka Airport</t>
  </si>
  <si>
    <t>ACY</t>
  </si>
  <si>
    <t>KACY</t>
  </si>
  <si>
    <t>Atlantic City International Airport</t>
  </si>
  <si>
    <t>ACZ</t>
  </si>
  <si>
    <t>OIZB</t>
  </si>
  <si>
    <t>Zabol Airport</t>
  </si>
  <si>
    <t>ADA</t>
  </si>
  <si>
    <t>LTAF</t>
  </si>
  <si>
    <t>Adana Şakirpaşa Airport</t>
  </si>
  <si>
    <t>ADB</t>
  </si>
  <si>
    <t>LTBJ</t>
  </si>
  <si>
    <t>Adnan Menderes Airport</t>
  </si>
  <si>
    <t>ADD</t>
  </si>
  <si>
    <t>HAAB</t>
  </si>
  <si>
    <t>Bole International Airport</t>
  </si>
  <si>
    <t>ADE</t>
  </si>
  <si>
    <t>OYAA</t>
  </si>
  <si>
    <t>Aden International Airport</t>
  </si>
  <si>
    <t>ADF</t>
  </si>
  <si>
    <t>LTCP</t>
  </si>
  <si>
    <t>Adıyaman Airport</t>
  </si>
  <si>
    <t>ADG</t>
  </si>
  <si>
    <t>KADG</t>
  </si>
  <si>
    <t>Lenawee County Airport</t>
  </si>
  <si>
    <t>ADH</t>
  </si>
  <si>
    <t>UEAA</t>
  </si>
  <si>
    <t>Aldan Airport</t>
  </si>
  <si>
    <t>UEEA</t>
  </si>
  <si>
    <t>ADI</t>
  </si>
  <si>
    <t>FYAR</t>
  </si>
  <si>
    <t>Arandis Airport</t>
  </si>
  <si>
    <t>ADJ</t>
  </si>
  <si>
    <t>OJAM</t>
  </si>
  <si>
    <t>Marka International Airport</t>
  </si>
  <si>
    <t>ADK</t>
  </si>
  <si>
    <t>PADK</t>
  </si>
  <si>
    <t>Adak Island Airport</t>
  </si>
  <si>
    <t>ADL</t>
  </si>
  <si>
    <t>YPAD</t>
  </si>
  <si>
    <t>Adelaide International Airport</t>
  </si>
  <si>
    <t>ADM</t>
  </si>
  <si>
    <t>KADM</t>
  </si>
  <si>
    <t>Ardmore Municipal Airport</t>
  </si>
  <si>
    <t>ADN</t>
  </si>
  <si>
    <t>SKAN</t>
  </si>
  <si>
    <t>Andes Airport</t>
  </si>
  <si>
    <t>ADO</t>
  </si>
  <si>
    <t>YAMK</t>
  </si>
  <si>
    <t>Andamooka Airport</t>
  </si>
  <si>
    <t>ADP</t>
  </si>
  <si>
    <t>VCCA</t>
  </si>
  <si>
    <t>Anuradhapura Airport</t>
  </si>
  <si>
    <t>ADQ</t>
  </si>
  <si>
    <t>PADQ</t>
  </si>
  <si>
    <t>Kodiak Airport</t>
  </si>
  <si>
    <t>ADR</t>
  </si>
  <si>
    <t>KPHH</t>
  </si>
  <si>
    <t>Robert F. Swinnie Airport</t>
  </si>
  <si>
    <t>ADS</t>
  </si>
  <si>
    <t>KADS</t>
  </si>
  <si>
    <t>Addison Airport</t>
  </si>
  <si>
    <t>ADT</t>
  </si>
  <si>
    <t>KADH</t>
  </si>
  <si>
    <t>Ada Municipal Airport</t>
  </si>
  <si>
    <t>ADU</t>
  </si>
  <si>
    <t>OITL</t>
  </si>
  <si>
    <t>Ardabil Airport</t>
  </si>
  <si>
    <t>ADV</t>
  </si>
  <si>
    <t>EGWA</t>
  </si>
  <si>
    <t>Andover Airport</t>
  </si>
  <si>
    <t>ADW</t>
  </si>
  <si>
    <t>KADW</t>
  </si>
  <si>
    <t>Andrews Air Force Base</t>
  </si>
  <si>
    <t>ADX</t>
  </si>
  <si>
    <t>EGQL</t>
  </si>
  <si>
    <t>RAF Leuchars</t>
  </si>
  <si>
    <t>ADY</t>
  </si>
  <si>
    <t>FAAL</t>
  </si>
  <si>
    <t>Alldays Airport</t>
  </si>
  <si>
    <t>ADZ</t>
  </si>
  <si>
    <t>SKSP</t>
  </si>
  <si>
    <t>Gustavo Rojas Pinilla International Airport</t>
  </si>
  <si>
    <t>AEA</t>
  </si>
  <si>
    <t>NGTB</t>
  </si>
  <si>
    <t>Abemama Atoll Airport</t>
  </si>
  <si>
    <t>AEB</t>
  </si>
  <si>
    <t>ZBGS</t>
  </si>
  <si>
    <t>Tian Yang Air Base</t>
  </si>
  <si>
    <t>AED</t>
  </si>
  <si>
    <t>PARD</t>
  </si>
  <si>
    <t>Red Dog Airport</t>
  </si>
  <si>
    <t>AEG</t>
  </si>
  <si>
    <t>WIME</t>
  </si>
  <si>
    <t>Aek Godang Airport</t>
  </si>
  <si>
    <t>AEH</t>
  </si>
  <si>
    <t>FTTC</t>
  </si>
  <si>
    <t>Abéché Airport</t>
  </si>
  <si>
    <t>AEL</t>
  </si>
  <si>
    <t>KAEL</t>
  </si>
  <si>
    <t>Albert Lea Municipal Airport</t>
  </si>
  <si>
    <t>AEO</t>
  </si>
  <si>
    <t>GQNA</t>
  </si>
  <si>
    <t>Aioun El Atrouss Airport</t>
  </si>
  <si>
    <t>AEP</t>
  </si>
  <si>
    <t>SABE</t>
  </si>
  <si>
    <t>Jorge Newbery Airpark</t>
  </si>
  <si>
    <t>AER</t>
  </si>
  <si>
    <t>URSS</t>
  </si>
  <si>
    <t>Sochi International Airport</t>
  </si>
  <si>
    <t>AES</t>
  </si>
  <si>
    <t>ENAL</t>
  </si>
  <si>
    <t>Ålesund Airport, Vigra</t>
  </si>
  <si>
    <t>AET</t>
  </si>
  <si>
    <t>PFAL</t>
  </si>
  <si>
    <t>Allakaket Airport</t>
  </si>
  <si>
    <t>AEU</t>
  </si>
  <si>
    <t>OIBA</t>
  </si>
  <si>
    <t>Abumusa Island Airport</t>
  </si>
  <si>
    <t>AEX</t>
  </si>
  <si>
    <t>KAEX</t>
  </si>
  <si>
    <t>Alexandria International Airport</t>
  </si>
  <si>
    <t>AEY</t>
  </si>
  <si>
    <t>BIAR</t>
  </si>
  <si>
    <t>Akureyri Airport</t>
  </si>
  <si>
    <t>AFA</t>
  </si>
  <si>
    <t>SAMR</t>
  </si>
  <si>
    <t>San Rafael Airport</t>
  </si>
  <si>
    <t>AFB</t>
  </si>
  <si>
    <t>FAWK</t>
  </si>
  <si>
    <t>Waterkloof Air Force Base Airport</t>
  </si>
  <si>
    <t>AFD</t>
  </si>
  <si>
    <t>FAPA</t>
  </si>
  <si>
    <t>Port Alfred Airport</t>
  </si>
  <si>
    <t>AFE</t>
  </si>
  <si>
    <t>PAFE</t>
  </si>
  <si>
    <t>Kake Airport</t>
  </si>
  <si>
    <t>AFF</t>
  </si>
  <si>
    <t>KAFF</t>
  </si>
  <si>
    <t>United States Air Force Academy Airfield</t>
  </si>
  <si>
    <t>AFI</t>
  </si>
  <si>
    <t>SKAM</t>
  </si>
  <si>
    <t>Amalfi Airport</t>
  </si>
  <si>
    <t>AFL</t>
  </si>
  <si>
    <t>SBAT</t>
  </si>
  <si>
    <t>Alta Floresta Airport</t>
  </si>
  <si>
    <t>AFN</t>
  </si>
  <si>
    <t>KAFN</t>
  </si>
  <si>
    <t>Jaffrey Airport - Silver Ranch Airport</t>
  </si>
  <si>
    <t>AFO</t>
  </si>
  <si>
    <t>KAFO</t>
  </si>
  <si>
    <t>Afton Municipal Airport</t>
  </si>
  <si>
    <t>AFS</t>
  </si>
  <si>
    <t>UTSN</t>
  </si>
  <si>
    <t>Sugraly Airport</t>
  </si>
  <si>
    <t>AFT</t>
  </si>
  <si>
    <t>AGAF</t>
  </si>
  <si>
    <t>Afutara Airport</t>
  </si>
  <si>
    <t>AFW</t>
  </si>
  <si>
    <t>KAFW</t>
  </si>
  <si>
    <t>Fort Worth Alliance Airport</t>
  </si>
  <si>
    <t>AFY</t>
  </si>
  <si>
    <t>LTAH</t>
  </si>
  <si>
    <t>Afyon Airport</t>
  </si>
  <si>
    <t>AFZ</t>
  </si>
  <si>
    <t>OIMS</t>
  </si>
  <si>
    <t>Sabzevar National Airport</t>
  </si>
  <si>
    <t>AGA</t>
  </si>
  <si>
    <t>GMAD</t>
  </si>
  <si>
    <t>Al Massira Airport</t>
  </si>
  <si>
    <t>AGB</t>
  </si>
  <si>
    <t>EDMA</t>
  </si>
  <si>
    <t>Augsburg Airport</t>
  </si>
  <si>
    <t>AGC</t>
  </si>
  <si>
    <t>KAGC</t>
  </si>
  <si>
    <t>Allegheny County Airport</t>
  </si>
  <si>
    <t>AGE</t>
  </si>
  <si>
    <t>EDWG</t>
  </si>
  <si>
    <t>Wangerooge Airport</t>
  </si>
  <si>
    <t>AGF</t>
  </si>
  <si>
    <t>LFBA</t>
  </si>
  <si>
    <t>Agen - La Garenne Aerodrome</t>
  </si>
  <si>
    <t>AGH</t>
  </si>
  <si>
    <t>ESTA</t>
  </si>
  <si>
    <t>Ängelholm-Helsingborg Airport (former ICAO code: ESDB)</t>
  </si>
  <si>
    <t>AGI</t>
  </si>
  <si>
    <t>SMWA</t>
  </si>
  <si>
    <t>Wageningen Airport</t>
  </si>
  <si>
    <t>AGJ</t>
  </si>
  <si>
    <t>RORA</t>
  </si>
  <si>
    <t>Aguni Airport</t>
  </si>
  <si>
    <t>AGM</t>
  </si>
  <si>
    <t>BGAM</t>
  </si>
  <si>
    <t>Ammassalik Heliport</t>
  </si>
  <si>
    <t>AGN</t>
  </si>
  <si>
    <t>PAGN</t>
  </si>
  <si>
    <t>Angoon Seaplane Base</t>
  </si>
  <si>
    <t>AGO</t>
  </si>
  <si>
    <t>KAGO</t>
  </si>
  <si>
    <t>Magnolia Municipal Airport</t>
  </si>
  <si>
    <t>AGP</t>
  </si>
  <si>
    <t>LEMG</t>
  </si>
  <si>
    <t>Pablo Ruiz Picasso Airport</t>
  </si>
  <si>
    <t>AGQ</t>
  </si>
  <si>
    <t>LGAG</t>
  </si>
  <si>
    <t>Agrinion Airport</t>
  </si>
  <si>
    <t>AGR</t>
  </si>
  <si>
    <t>VIAG</t>
  </si>
  <si>
    <t>Kheria Airport</t>
  </si>
  <si>
    <t>AGS</t>
  </si>
  <si>
    <t>KAGS</t>
  </si>
  <si>
    <t>Augusta Regional Airport</t>
  </si>
  <si>
    <t>AGT</t>
  </si>
  <si>
    <t>SGES</t>
  </si>
  <si>
    <t>Guarani International Airport (Alejo Garcia Airport)</t>
  </si>
  <si>
    <t>AGU</t>
  </si>
  <si>
    <t>MMAS</t>
  </si>
  <si>
    <t>Lic. Jesús Terán Peredo International Airport</t>
  </si>
  <si>
    <t>AGV</t>
  </si>
  <si>
    <t>SVAC</t>
  </si>
  <si>
    <t>Oswaldo Guevara Mujica Airport</t>
  </si>
  <si>
    <t>AGX</t>
  </si>
  <si>
    <t>VOAT</t>
  </si>
  <si>
    <t>Agatti Island Airport</t>
  </si>
  <si>
    <t>AGZ</t>
  </si>
  <si>
    <t>FAAG</t>
  </si>
  <si>
    <t>Aggeneys Airport</t>
  </si>
  <si>
    <t>AHB</t>
  </si>
  <si>
    <t>OEAB</t>
  </si>
  <si>
    <t>Abha Regional Airport</t>
  </si>
  <si>
    <t>AHC</t>
  </si>
  <si>
    <t>KAHC</t>
  </si>
  <si>
    <t>Amedee Army Airfield</t>
  </si>
  <si>
    <t>AHE</t>
  </si>
  <si>
    <t>NTHE</t>
  </si>
  <si>
    <t>Ahe Airport</t>
  </si>
  <si>
    <t>AHH</t>
  </si>
  <si>
    <t>KAHH</t>
  </si>
  <si>
    <t>Amery Municipal Airport</t>
  </si>
  <si>
    <t>AHI</t>
  </si>
  <si>
    <t>WAPA</t>
  </si>
  <si>
    <t>Amahai Airport</t>
  </si>
  <si>
    <t>AHL</t>
  </si>
  <si>
    <t>SYAH</t>
  </si>
  <si>
    <t>Aishalton Airport</t>
  </si>
  <si>
    <t>AHM</t>
  </si>
  <si>
    <t>KS03</t>
  </si>
  <si>
    <t>Ashland Municipal Sumner Parker Field</t>
  </si>
  <si>
    <t>AHN</t>
  </si>
  <si>
    <t>KAHN</t>
  </si>
  <si>
    <t>Athens-Ben Epps Airport</t>
  </si>
  <si>
    <t>AHO</t>
  </si>
  <si>
    <t>LIEA</t>
  </si>
  <si>
    <t>Fertilia Airport (Alghero Airport)</t>
  </si>
  <si>
    <t>AHS</t>
  </si>
  <si>
    <t>MHAH</t>
  </si>
  <si>
    <t>Ahuas Airport</t>
  </si>
  <si>
    <t>AHU</t>
  </si>
  <si>
    <t>GMTA</t>
  </si>
  <si>
    <t>Charif Al ldrissi Airport</t>
  </si>
  <si>
    <t>AHZ</t>
  </si>
  <si>
    <t>LFHU</t>
  </si>
  <si>
    <t>Alpe d'Huez Airport</t>
  </si>
  <si>
    <t>AIA</t>
  </si>
  <si>
    <t>KAIA</t>
  </si>
  <si>
    <t>Alliance Municipal Airport</t>
  </si>
  <si>
    <t>AID</t>
  </si>
  <si>
    <t>KAID</t>
  </si>
  <si>
    <t>Anderson Municipal Airport (Darlington Field)</t>
  </si>
  <si>
    <t>AIF</t>
  </si>
  <si>
    <t>SBAS</t>
  </si>
  <si>
    <t>Assis Airport</t>
  </si>
  <si>
    <t>AIG</t>
  </si>
  <si>
    <t>FEFY</t>
  </si>
  <si>
    <t>Yalinga Airport</t>
  </si>
  <si>
    <t>AII</t>
  </si>
  <si>
    <t>HDAS</t>
  </si>
  <si>
    <t>Ali-Sabieh Airport</t>
  </si>
  <si>
    <t>AIK</t>
  </si>
  <si>
    <t>KAIK</t>
  </si>
  <si>
    <t>Aiken Municipal Airport</t>
  </si>
  <si>
    <t>AIN</t>
  </si>
  <si>
    <t>PAWI</t>
  </si>
  <si>
    <t>Wainwright Airport</t>
  </si>
  <si>
    <t>PAWT</t>
  </si>
  <si>
    <t>AIO</t>
  </si>
  <si>
    <t>KAIO</t>
  </si>
  <si>
    <t>Atlantic Municipal Airport</t>
  </si>
  <si>
    <t>AIR</t>
  </si>
  <si>
    <t>SWRP</t>
  </si>
  <si>
    <t>Aripuanã Airport</t>
  </si>
  <si>
    <t>AIS</t>
  </si>
  <si>
    <t>NGTR</t>
  </si>
  <si>
    <t>Arorae Island Airport</t>
  </si>
  <si>
    <t>AIT</t>
  </si>
  <si>
    <t>NCAI</t>
  </si>
  <si>
    <t>Aitutaki Island Airport</t>
  </si>
  <si>
    <t>AIU</t>
  </si>
  <si>
    <t>NCAT</t>
  </si>
  <si>
    <t>Atiu Island Airport</t>
  </si>
  <si>
    <t>AIV</t>
  </si>
  <si>
    <t>KAIV</t>
  </si>
  <si>
    <t>George Downer Airport</t>
  </si>
  <si>
    <t>AIY</t>
  </si>
  <si>
    <t>KAIY</t>
  </si>
  <si>
    <t>Atlantic City Municipal Airport (Bader Field)</t>
  </si>
  <si>
    <t>AIZ</t>
  </si>
  <si>
    <t>KAIZ</t>
  </si>
  <si>
    <t>Lee C. Fine Memorial Airport</t>
  </si>
  <si>
    <t>AJA</t>
  </si>
  <si>
    <t>LFKJ</t>
  </si>
  <si>
    <t>Ajaccio Napoleon Bonaparte Airport</t>
  </si>
  <si>
    <t>AJF</t>
  </si>
  <si>
    <t>OESK</t>
  </si>
  <si>
    <t>Al-Jawf Domestic Airport</t>
  </si>
  <si>
    <t>AJI</t>
  </si>
  <si>
    <t>LTCO</t>
  </si>
  <si>
    <t>Agri Airport</t>
  </si>
  <si>
    <t>AJJ</t>
  </si>
  <si>
    <t>GQNJ</t>
  </si>
  <si>
    <t>Akjoujt Airport</t>
  </si>
  <si>
    <t>AJK</t>
  </si>
  <si>
    <t>OIHR</t>
  </si>
  <si>
    <t>Arak Airport</t>
  </si>
  <si>
    <t>AJL</t>
  </si>
  <si>
    <t>VEAZ</t>
  </si>
  <si>
    <t>Aizawl Airport</t>
  </si>
  <si>
    <t>VELP</t>
  </si>
  <si>
    <t>Lengpui Airport</t>
  </si>
  <si>
    <t>AJN</t>
  </si>
  <si>
    <t>FMCV</t>
  </si>
  <si>
    <t>Ouani Airport</t>
  </si>
  <si>
    <t>AJR</t>
  </si>
  <si>
    <t>ESNX</t>
  </si>
  <si>
    <t>Arvidsjaur Airport</t>
  </si>
  <si>
    <t>AJU</t>
  </si>
  <si>
    <t>SBAR</t>
  </si>
  <si>
    <t>Santa Maria Airport</t>
  </si>
  <si>
    <t>AJY</t>
  </si>
  <si>
    <t>DRZA</t>
  </si>
  <si>
    <t>Mano Dayak International Airport</t>
  </si>
  <si>
    <t>AKA</t>
  </si>
  <si>
    <t>ZLAK</t>
  </si>
  <si>
    <t>Ankang Airport</t>
  </si>
  <si>
    <t>AKB</t>
  </si>
  <si>
    <t>PAAK</t>
  </si>
  <si>
    <t>Atka Airport</t>
  </si>
  <si>
    <t>AKC</t>
  </si>
  <si>
    <t>KAKR</t>
  </si>
  <si>
    <t>Akron Fulton International Airport</t>
  </si>
  <si>
    <t>AKD</t>
  </si>
  <si>
    <t>VAAK</t>
  </si>
  <si>
    <t>Akola Airport</t>
  </si>
  <si>
    <t>AKE</t>
  </si>
  <si>
    <t>FOGA</t>
  </si>
  <si>
    <t>Akieni Airport</t>
  </si>
  <si>
    <t>AKF</t>
  </si>
  <si>
    <t>HLKF</t>
  </si>
  <si>
    <t>Kufra Airport</t>
  </si>
  <si>
    <t>AKH</t>
  </si>
  <si>
    <t>OEPS</t>
  </si>
  <si>
    <t>Prince Sultan Air Base</t>
  </si>
  <si>
    <t>AKI</t>
  </si>
  <si>
    <t>PFAK</t>
  </si>
  <si>
    <t>Akiak Airport</t>
  </si>
  <si>
    <t>AKJ</t>
  </si>
  <si>
    <t>RJEC</t>
  </si>
  <si>
    <t>Asahikawa Airport</t>
  </si>
  <si>
    <t>AKK</t>
  </si>
  <si>
    <t>PAKH</t>
  </si>
  <si>
    <t>Akhiok Airport</t>
  </si>
  <si>
    <t>AKL</t>
  </si>
  <si>
    <t>NZAA</t>
  </si>
  <si>
    <t>Auckland Airport</t>
  </si>
  <si>
    <t>AKN</t>
  </si>
  <si>
    <t>PAKN</t>
  </si>
  <si>
    <t>King Salmon Airport</t>
  </si>
  <si>
    <t>AKO</t>
  </si>
  <si>
    <t>KAKO</t>
  </si>
  <si>
    <t>Colorado Plains Regional Airport</t>
  </si>
  <si>
    <t>AKP</t>
  </si>
  <si>
    <t>PAKP</t>
  </si>
  <si>
    <t>Anaktuvuk Pass Airport</t>
  </si>
  <si>
    <t>AKQ</t>
  </si>
  <si>
    <t>WIAG</t>
  </si>
  <si>
    <t>Gunung Batin Airport</t>
  </si>
  <si>
    <t>AKR</t>
  </si>
  <si>
    <t>DNAK</t>
  </si>
  <si>
    <t>Akure Airport</t>
  </si>
  <si>
    <t>AKS</t>
  </si>
  <si>
    <t>AGGA</t>
  </si>
  <si>
    <t>Gwaunaru'u Airport</t>
  </si>
  <si>
    <t>AKT</t>
  </si>
  <si>
    <t>LCRA</t>
  </si>
  <si>
    <t>RAF Akrotiri</t>
  </si>
  <si>
    <t>AKU</t>
  </si>
  <si>
    <t>ZWAK</t>
  </si>
  <si>
    <t>Aksu Airport</t>
  </si>
  <si>
    <t>AKV</t>
  </si>
  <si>
    <t>CYKO</t>
  </si>
  <si>
    <t>Akulivik Airport</t>
  </si>
  <si>
    <t>AKW</t>
  </si>
  <si>
    <t>PAKW</t>
  </si>
  <si>
    <t>Klawock Airport</t>
  </si>
  <si>
    <t>AKX</t>
  </si>
  <si>
    <t>UATT</t>
  </si>
  <si>
    <t>Aqtobe Airport</t>
  </si>
  <si>
    <t>AKY</t>
  </si>
  <si>
    <t>VYSW</t>
  </si>
  <si>
    <t>Sittwe Airport</t>
  </si>
  <si>
    <t>ALA</t>
  </si>
  <si>
    <t>UAAA</t>
  </si>
  <si>
    <t>Almaty International Airport</t>
  </si>
  <si>
    <t>ALB</t>
  </si>
  <si>
    <t>KALB</t>
  </si>
  <si>
    <t>Albany International Airport</t>
  </si>
  <si>
    <t>ALC</t>
  </si>
  <si>
    <t>LEAL</t>
  </si>
  <si>
    <t>El Altet Airport</t>
  </si>
  <si>
    <t>ALD</t>
  </si>
  <si>
    <t>SPAR</t>
  </si>
  <si>
    <t>Alerta Airport</t>
  </si>
  <si>
    <t>ALE</t>
  </si>
  <si>
    <t>KE38</t>
  </si>
  <si>
    <t>Alpine Casparis Municipal Airport</t>
  </si>
  <si>
    <t>ALF</t>
  </si>
  <si>
    <t>ENAT</t>
  </si>
  <si>
    <t>Alta Airport</t>
  </si>
  <si>
    <t>ALG</t>
  </si>
  <si>
    <t>DAAG</t>
  </si>
  <si>
    <t>Houari Boumedienne Airport</t>
  </si>
  <si>
    <t>ALH</t>
  </si>
  <si>
    <t>YABA</t>
  </si>
  <si>
    <t>Albany Airport</t>
  </si>
  <si>
    <t>ALI</t>
  </si>
  <si>
    <t>KALI</t>
  </si>
  <si>
    <t>Alice International Airport</t>
  </si>
  <si>
    <t>ALJ</t>
  </si>
  <si>
    <t>FAAB</t>
  </si>
  <si>
    <t>Kortdoorn Airport</t>
  </si>
  <si>
    <t>ALL</t>
  </si>
  <si>
    <t>LIMG</t>
  </si>
  <si>
    <t>Albenga Airport</t>
  </si>
  <si>
    <t>ALM</t>
  </si>
  <si>
    <t>KALM</t>
  </si>
  <si>
    <t>Alamogordo-White Sands Regional Airport</t>
  </si>
  <si>
    <t>ALN</t>
  </si>
  <si>
    <t>KALN</t>
  </si>
  <si>
    <t>St. Louis Regional Airport</t>
  </si>
  <si>
    <t>ALO</t>
  </si>
  <si>
    <t>KALO</t>
  </si>
  <si>
    <t>Waterloo Regional Airport</t>
  </si>
  <si>
    <t>ALP</t>
  </si>
  <si>
    <t>OSAP</t>
  </si>
  <si>
    <t>Aleppo International Airport (Nejrab Airport)</t>
  </si>
  <si>
    <t>ALQ</t>
  </si>
  <si>
    <t>SSLT</t>
  </si>
  <si>
    <t>Alegrete Federal Airport</t>
  </si>
  <si>
    <t>ALR</t>
  </si>
  <si>
    <t>NZLX</t>
  </si>
  <si>
    <t>Alexandra Airport</t>
  </si>
  <si>
    <t>ALS</t>
  </si>
  <si>
    <t>KALS</t>
  </si>
  <si>
    <t>San Luis Valley Regional Airport</t>
  </si>
  <si>
    <t>ALU</t>
  </si>
  <si>
    <t>HCMA</t>
  </si>
  <si>
    <t>Alula Airport</t>
  </si>
  <si>
    <t>ALW</t>
  </si>
  <si>
    <t>KALW</t>
  </si>
  <si>
    <t>Walla Walla Regional Airport</t>
  </si>
  <si>
    <t>ALX</t>
  </si>
  <si>
    <t>ADDE</t>
  </si>
  <si>
    <t>Thomas C Russell Field</t>
  </si>
  <si>
    <t>KALX</t>
  </si>
  <si>
    <t>Thomas C. Russell Field</t>
  </si>
  <si>
    <t>ALY</t>
  </si>
  <si>
    <t>HEAX</t>
  </si>
  <si>
    <t>El Nouzha Airport (Alexandria International Airport)</t>
  </si>
  <si>
    <t>AMA</t>
  </si>
  <si>
    <t>KAMA</t>
  </si>
  <si>
    <t>Rick Husband Amarillo International Airport</t>
  </si>
  <si>
    <t>AMB</t>
  </si>
  <si>
    <t>FMNE</t>
  </si>
  <si>
    <t>Ambilobe Airport</t>
  </si>
  <si>
    <t>AMC</t>
  </si>
  <si>
    <t>FTTN</t>
  </si>
  <si>
    <t>Am Timan Airport</t>
  </si>
  <si>
    <t>AMD</t>
  </si>
  <si>
    <t>VAAH</t>
  </si>
  <si>
    <t>Sardar Vallabhbhai Patel International Airport</t>
  </si>
  <si>
    <t>AMH</t>
  </si>
  <si>
    <t>HAAM</t>
  </si>
  <si>
    <t>Arba Minch Airport</t>
  </si>
  <si>
    <t>AMI</t>
  </si>
  <si>
    <t>WADA</t>
  </si>
  <si>
    <t>Selaparang Airport</t>
  </si>
  <si>
    <t>AMJ</t>
  </si>
  <si>
    <t>SNAR</t>
  </si>
  <si>
    <t>Almenara Airport</t>
  </si>
  <si>
    <t>AMK</t>
  </si>
  <si>
    <t>K00C</t>
  </si>
  <si>
    <t>Animas Air Park</t>
  </si>
  <si>
    <t>AMM</t>
  </si>
  <si>
    <t>OJAI</t>
  </si>
  <si>
    <t>Queen Alia International Airport</t>
  </si>
  <si>
    <t>AMN</t>
  </si>
  <si>
    <t>KAMN</t>
  </si>
  <si>
    <t>Gratiot Community Airport</t>
  </si>
  <si>
    <t>AMO</t>
  </si>
  <si>
    <t>FTTU</t>
  </si>
  <si>
    <t>Mao Airport</t>
  </si>
  <si>
    <t>AMP</t>
  </si>
  <si>
    <t>FMSY</t>
  </si>
  <si>
    <t>Ampanihy Airport</t>
  </si>
  <si>
    <t>AMQ</t>
  </si>
  <si>
    <t>WAPP</t>
  </si>
  <si>
    <t>Pattimura Airport</t>
  </si>
  <si>
    <t>AMS</t>
  </si>
  <si>
    <t>EHAM</t>
  </si>
  <si>
    <t>Amsterdam Airport Schiphol</t>
  </si>
  <si>
    <t>AMT</t>
  </si>
  <si>
    <t>YAMT</t>
  </si>
  <si>
    <t>Amata Airport</t>
  </si>
  <si>
    <t>AMV</t>
  </si>
  <si>
    <t>ULDD</t>
  </si>
  <si>
    <t>Amderma Airport</t>
  </si>
  <si>
    <t>AMW</t>
  </si>
  <si>
    <t>KAMW</t>
  </si>
  <si>
    <t>Ames Municipal Airport</t>
  </si>
  <si>
    <t>AMX</t>
  </si>
  <si>
    <t>YAMM</t>
  </si>
  <si>
    <t>Ammaroo Airport</t>
  </si>
  <si>
    <t>AMZ</t>
  </si>
  <si>
    <t>NZAR</t>
  </si>
  <si>
    <t>Ardmore Airport</t>
  </si>
  <si>
    <t>ANB</t>
  </si>
  <si>
    <t>KANB</t>
  </si>
  <si>
    <t>Anniston Metropolitan Airport</t>
  </si>
  <si>
    <t>ANC</t>
  </si>
  <si>
    <t>PANC</t>
  </si>
  <si>
    <t>Ted Stevens Anchorage International Airport</t>
  </si>
  <si>
    <t>AND</t>
  </si>
  <si>
    <t>KAND</t>
  </si>
  <si>
    <t>Anderson Regional Airport</t>
  </si>
  <si>
    <t>ANE</t>
  </si>
  <si>
    <t>LFJR</t>
  </si>
  <si>
    <t>Angers-Loire Airport</t>
  </si>
  <si>
    <t>LFRA</t>
  </si>
  <si>
    <t>Angers - Avrillé Aerodrome (Angers-Marcé Airport)</t>
  </si>
  <si>
    <t>ANF</t>
  </si>
  <si>
    <t>SCFA</t>
  </si>
  <si>
    <t>Cerro Moreno International Airport</t>
  </si>
  <si>
    <t>ANG</t>
  </si>
  <si>
    <t>LFBU</t>
  </si>
  <si>
    <t>Angoulême - Brie - Champniers Airport</t>
  </si>
  <si>
    <t>ANI</t>
  </si>
  <si>
    <t>PANI</t>
  </si>
  <si>
    <t>Aniak Airport</t>
  </si>
  <si>
    <t>ANJ</t>
  </si>
  <si>
    <t>FCBZ</t>
  </si>
  <si>
    <t>Zanaga Airport</t>
  </si>
  <si>
    <t>ANK</t>
  </si>
  <si>
    <t>LTAD</t>
  </si>
  <si>
    <t>Etismegut Airport</t>
  </si>
  <si>
    <t>ANM</t>
  </si>
  <si>
    <t>FMNH</t>
  </si>
  <si>
    <t>Antsirabato Airport</t>
  </si>
  <si>
    <t>ANN</t>
  </si>
  <si>
    <t>PANT</t>
  </si>
  <si>
    <t>Annette Island Airport</t>
  </si>
  <si>
    <t>ANO</t>
  </si>
  <si>
    <t>FQAG</t>
  </si>
  <si>
    <t>Angoche Airport</t>
  </si>
  <si>
    <t>ANP</t>
  </si>
  <si>
    <t>KANP</t>
  </si>
  <si>
    <t>Lee Airport</t>
  </si>
  <si>
    <t>ANQ</t>
  </si>
  <si>
    <t>KANQ</t>
  </si>
  <si>
    <t>Tri-State Steuben County Airport</t>
  </si>
  <si>
    <t>ANR</t>
  </si>
  <si>
    <t>EBAW</t>
  </si>
  <si>
    <t>Antwerp International Airport</t>
  </si>
  <si>
    <t>ANS</t>
  </si>
  <si>
    <t>SPHY</t>
  </si>
  <si>
    <t>Andahuaylas Airport</t>
  </si>
  <si>
    <t>ANU</t>
  </si>
  <si>
    <t>TAPA</t>
  </si>
  <si>
    <t>V.C. Bird International Airport</t>
  </si>
  <si>
    <t>ANV</t>
  </si>
  <si>
    <t>PANV</t>
  </si>
  <si>
    <t>Anvik Airport</t>
  </si>
  <si>
    <t>ANW</t>
  </si>
  <si>
    <t>KANW</t>
  </si>
  <si>
    <t>Ainsworth Municipal Airport</t>
  </si>
  <si>
    <t>ANX</t>
  </si>
  <si>
    <t>ENAN</t>
  </si>
  <si>
    <t>Andøya Airport, Andenes</t>
  </si>
  <si>
    <t>ANY</t>
  </si>
  <si>
    <t>KANY</t>
  </si>
  <si>
    <t>Anthony Municipal Airport</t>
  </si>
  <si>
    <t>AOC</t>
  </si>
  <si>
    <t>EDAC</t>
  </si>
  <si>
    <t>Leipzig-Altenburg Airport</t>
  </si>
  <si>
    <t>AOE</t>
  </si>
  <si>
    <t>LTBY</t>
  </si>
  <si>
    <t>Anadolu Airport</t>
  </si>
  <si>
    <t>AOG</t>
  </si>
  <si>
    <t>ZYAS</t>
  </si>
  <si>
    <t>Anshan Airport</t>
  </si>
  <si>
    <t>AOH</t>
  </si>
  <si>
    <t>KAOH</t>
  </si>
  <si>
    <t>Lima Allen County Airport</t>
  </si>
  <si>
    <t>AOI</t>
  </si>
  <si>
    <t>LIPY</t>
  </si>
  <si>
    <t>Falconara Airport</t>
  </si>
  <si>
    <t>AOJ</t>
  </si>
  <si>
    <t>RJSA</t>
  </si>
  <si>
    <t>Aomori Airport</t>
  </si>
  <si>
    <t>AOK</t>
  </si>
  <si>
    <t>LGKP</t>
  </si>
  <si>
    <t>Karpathos Airport</t>
  </si>
  <si>
    <t>AOL</t>
  </si>
  <si>
    <t>SARL</t>
  </si>
  <si>
    <t>Paso de los Libres Airport</t>
  </si>
  <si>
    <t>AOO</t>
  </si>
  <si>
    <t>KAOO</t>
  </si>
  <si>
    <t>Altoona-Blair County Airport</t>
  </si>
  <si>
    <t>AOR</t>
  </si>
  <si>
    <t>WMKA</t>
  </si>
  <si>
    <t>Sultan Abdul Halim Airport</t>
  </si>
  <si>
    <t>AOT</t>
  </si>
  <si>
    <t>LIMW</t>
  </si>
  <si>
    <t>Corrado Gex Airport</t>
  </si>
  <si>
    <t>AOU</t>
  </si>
  <si>
    <t>VLAP</t>
  </si>
  <si>
    <t>Attopeu Airport</t>
  </si>
  <si>
    <t>AOY</t>
  </si>
  <si>
    <t>OIBI</t>
  </si>
  <si>
    <t>Asaloyeh Airport</t>
  </si>
  <si>
    <t>APA</t>
  </si>
  <si>
    <t>KAPA</t>
  </si>
  <si>
    <t>Centennial Airport</t>
  </si>
  <si>
    <t>APB</t>
  </si>
  <si>
    <t>SLAP</t>
  </si>
  <si>
    <t>Apolo Airport</t>
  </si>
  <si>
    <t>APC</t>
  </si>
  <si>
    <t>KAPC</t>
  </si>
  <si>
    <t>Napa County Airport</t>
  </si>
  <si>
    <t>APE</t>
  </si>
  <si>
    <t>SPAO</t>
  </si>
  <si>
    <t>San Juan Aposento Airport</t>
  </si>
  <si>
    <t>APF</t>
  </si>
  <si>
    <t>KAPF</t>
  </si>
  <si>
    <t>Naples Municipal Airport</t>
  </si>
  <si>
    <t>APG</t>
  </si>
  <si>
    <t>KAPG</t>
  </si>
  <si>
    <t>Phillips Army Airfield</t>
  </si>
  <si>
    <t>APH</t>
  </si>
  <si>
    <t>KAPH</t>
  </si>
  <si>
    <t>A.P. Hill Army Airfield</t>
  </si>
  <si>
    <t>API</t>
  </si>
  <si>
    <t>SKAP</t>
  </si>
  <si>
    <t>Gomez Nino-Apiay Airport</t>
  </si>
  <si>
    <t>APK</t>
  </si>
  <si>
    <t>NTGD</t>
  </si>
  <si>
    <t>Apataki Airport</t>
  </si>
  <si>
    <t>APL</t>
  </si>
  <si>
    <t>FQNP</t>
  </si>
  <si>
    <t>Nampula Airport</t>
  </si>
  <si>
    <t>APN</t>
  </si>
  <si>
    <t>KAPN</t>
  </si>
  <si>
    <t>Alpena County Regional Airport</t>
  </si>
  <si>
    <t>APO</t>
  </si>
  <si>
    <t>SKLC</t>
  </si>
  <si>
    <t>Antonio Roldán Betancourt Airport</t>
  </si>
  <si>
    <t>APQ</t>
  </si>
  <si>
    <t>SNAL</t>
  </si>
  <si>
    <t>Arapiraca Airport</t>
  </si>
  <si>
    <t>APS</t>
  </si>
  <si>
    <t>SBAN</t>
  </si>
  <si>
    <t>Base Aérea Airport</t>
  </si>
  <si>
    <t>SWNS</t>
  </si>
  <si>
    <t>Anápolis Airport</t>
  </si>
  <si>
    <t>APT</t>
  </si>
  <si>
    <t>KAPT</t>
  </si>
  <si>
    <t>Marion County Airport (Brown Field)</t>
  </si>
  <si>
    <t>APU</t>
  </si>
  <si>
    <t>SSAP</t>
  </si>
  <si>
    <t>Apucarana Airport</t>
  </si>
  <si>
    <t>APV</t>
  </si>
  <si>
    <t>KAPV</t>
  </si>
  <si>
    <t>Apple Valley Airport</t>
  </si>
  <si>
    <t>APW</t>
  </si>
  <si>
    <t>NSFA</t>
  </si>
  <si>
    <t>Faleolo International Airport</t>
  </si>
  <si>
    <t>APX</t>
  </si>
  <si>
    <t>SSOG</t>
  </si>
  <si>
    <t>Arapongas Airport</t>
  </si>
  <si>
    <t>APY</t>
  </si>
  <si>
    <t>SNAI</t>
  </si>
  <si>
    <t>Parnaíba-Prefeito Dr. João Silva Filho International Airport</t>
  </si>
  <si>
    <t>Gomez Nino Apiay Air Base</t>
  </si>
  <si>
    <t>APZ</t>
  </si>
  <si>
    <t>SAHZ</t>
  </si>
  <si>
    <t>Zapala Airport</t>
  </si>
  <si>
    <t>AQA</t>
  </si>
  <si>
    <t>SBAQ</t>
  </si>
  <si>
    <t>Araraquara Airport</t>
  </si>
  <si>
    <t>AQB</t>
  </si>
  <si>
    <t>MGQC</t>
  </si>
  <si>
    <t>Quiché Airport</t>
  </si>
  <si>
    <t>AQG</t>
  </si>
  <si>
    <t>ZSAQ</t>
  </si>
  <si>
    <t>Anqing Airport</t>
  </si>
  <si>
    <t>AQI</t>
  </si>
  <si>
    <t>OEPA</t>
  </si>
  <si>
    <t>Qaisumah Domestic Airport</t>
  </si>
  <si>
    <t>AQJ</t>
  </si>
  <si>
    <t>OJAQ</t>
  </si>
  <si>
    <t>King Hussein International Airport</t>
  </si>
  <si>
    <t>AQM</t>
  </si>
  <si>
    <t>SWNI</t>
  </si>
  <si>
    <t>Nova Vida Airport</t>
  </si>
  <si>
    <t>AQP</t>
  </si>
  <si>
    <t>SPQU</t>
  </si>
  <si>
    <t>Rodriguez Ballon International Airport</t>
  </si>
  <si>
    <t>AQT</t>
  </si>
  <si>
    <t>PAQT</t>
  </si>
  <si>
    <t>Nuiqsut Airport</t>
  </si>
  <si>
    <t>AQY</t>
  </si>
  <si>
    <t>Girdwood Airport</t>
  </si>
  <si>
    <t>ARA</t>
  </si>
  <si>
    <t>KARA</t>
  </si>
  <si>
    <t>Acadiana Regional Airport</t>
  </si>
  <si>
    <t>ARB</t>
  </si>
  <si>
    <t>KARB</t>
  </si>
  <si>
    <t>Ann Arbor Municipal Airport</t>
  </si>
  <si>
    <t>ARC</t>
  </si>
  <si>
    <t>PARC</t>
  </si>
  <si>
    <t>Arctic Village Airport</t>
  </si>
  <si>
    <t>ARD</t>
  </si>
  <si>
    <t>WATM</t>
  </si>
  <si>
    <t>Alor Island Airport</t>
  </si>
  <si>
    <t>ARE</t>
  </si>
  <si>
    <t>TJAB</t>
  </si>
  <si>
    <t>Antonio (Nery) Juarbe Pol Airport</t>
  </si>
  <si>
    <t>ARG</t>
  </si>
  <si>
    <t>KARG</t>
  </si>
  <si>
    <t>Walnut Ridge Regional Airport</t>
  </si>
  <si>
    <t>ARH</t>
  </si>
  <si>
    <t>ULAA</t>
  </si>
  <si>
    <t>Talagi Airport</t>
  </si>
  <si>
    <t>ARI</t>
  </si>
  <si>
    <t>SCAR</t>
  </si>
  <si>
    <t>Chacalluta International Airport</t>
  </si>
  <si>
    <t>ARJ</t>
  </si>
  <si>
    <t>WAJA</t>
  </si>
  <si>
    <t>Arso Airport</t>
  </si>
  <si>
    <t>ARK</t>
  </si>
  <si>
    <t>HTAR</t>
  </si>
  <si>
    <t>Arusha Airport</t>
  </si>
  <si>
    <t>ARL</t>
  </si>
  <si>
    <t>DFER</t>
  </si>
  <si>
    <t>Arly Airport</t>
  </si>
  <si>
    <t>ARM</t>
  </si>
  <si>
    <t>YARM</t>
  </si>
  <si>
    <t>Armidale Airport</t>
  </si>
  <si>
    <t>ARN</t>
  </si>
  <si>
    <t>ESSA</t>
  </si>
  <si>
    <t>Stockholm-Arlanda Airport</t>
  </si>
  <si>
    <t>ARR</t>
  </si>
  <si>
    <t>SAVR</t>
  </si>
  <si>
    <t>Alto Río Senguer Airport</t>
  </si>
  <si>
    <t>ARS</t>
  </si>
  <si>
    <t>SJXC</t>
  </si>
  <si>
    <t>Usina Santa Cruz Airport</t>
  </si>
  <si>
    <t>SWEC</t>
  </si>
  <si>
    <t>Aragarças Airport</t>
  </si>
  <si>
    <t>ART</t>
  </si>
  <si>
    <t>KART</t>
  </si>
  <si>
    <t>Watertown International Airport</t>
  </si>
  <si>
    <t>ARU</t>
  </si>
  <si>
    <t>SBAU</t>
  </si>
  <si>
    <t>Araçatuba Airport</t>
  </si>
  <si>
    <t>ARV</t>
  </si>
  <si>
    <t>KARV</t>
  </si>
  <si>
    <t>Lakeland Airport (Noble F. Lee Memorial Field)</t>
  </si>
  <si>
    <t>ARW</t>
  </si>
  <si>
    <t>LRAR</t>
  </si>
  <si>
    <t>Arad International Airport</t>
  </si>
  <si>
    <t>ARY</t>
  </si>
  <si>
    <t>YARA</t>
  </si>
  <si>
    <t>Ararat Airport</t>
  </si>
  <si>
    <t>ARZ</t>
  </si>
  <si>
    <t>FNZE</t>
  </si>
  <si>
    <t>N'Zeto Airport</t>
  </si>
  <si>
    <t>ASA</t>
  </si>
  <si>
    <t>HHSB</t>
  </si>
  <si>
    <t>Assab International Airport</t>
  </si>
  <si>
    <t>ASB</t>
  </si>
  <si>
    <t>UTAA</t>
  </si>
  <si>
    <t>Ashgabat Airport</t>
  </si>
  <si>
    <t>ASC</t>
  </si>
  <si>
    <t>SLAS</t>
  </si>
  <si>
    <t>Ascención de Guarayos Airport</t>
  </si>
  <si>
    <t>ASD</t>
  </si>
  <si>
    <t>MYAF</t>
  </si>
  <si>
    <t>Andros Town International Airport</t>
  </si>
  <si>
    <t>ASE</t>
  </si>
  <si>
    <t>KASE</t>
  </si>
  <si>
    <t>Aspen/Pitkin County Airport</t>
  </si>
  <si>
    <t>ASF</t>
  </si>
  <si>
    <t>URWA</t>
  </si>
  <si>
    <t>Narimanovo Airport</t>
  </si>
  <si>
    <t>ASG</t>
  </si>
  <si>
    <t>NZAS</t>
  </si>
  <si>
    <t>Ashburton Airport</t>
  </si>
  <si>
    <t>ASH</t>
  </si>
  <si>
    <t>KASH</t>
  </si>
  <si>
    <t>Boire Field</t>
  </si>
  <si>
    <t>ASI</t>
  </si>
  <si>
    <t>FHAW</t>
  </si>
  <si>
    <t>Wideawake Field</t>
  </si>
  <si>
    <t>ASJ</t>
  </si>
  <si>
    <t>RJKA</t>
  </si>
  <si>
    <t>Amami-Oshima Airport</t>
  </si>
  <si>
    <t>ASK</t>
  </si>
  <si>
    <t>DIYO</t>
  </si>
  <si>
    <t>Yamoussoukro Airport</t>
  </si>
  <si>
    <t>ASL</t>
  </si>
  <si>
    <t>KASL</t>
  </si>
  <si>
    <t>Harrison County Airport</t>
  </si>
  <si>
    <t>ASM</t>
  </si>
  <si>
    <t>HHAS</t>
  </si>
  <si>
    <t>Asmara International Airport</t>
  </si>
  <si>
    <t>ASN</t>
  </si>
  <si>
    <t>KASN</t>
  </si>
  <si>
    <t>Talladega Municipal Airport</t>
  </si>
  <si>
    <t>ASO</t>
  </si>
  <si>
    <t>HASO</t>
  </si>
  <si>
    <t>Asosa Airport</t>
  </si>
  <si>
    <t>ASP</t>
  </si>
  <si>
    <t>YBAS</t>
  </si>
  <si>
    <t>Alice Springs Airport</t>
  </si>
  <si>
    <t>ASR</t>
  </si>
  <si>
    <t>LTAU</t>
  </si>
  <si>
    <t>Erkilet International Airport</t>
  </si>
  <si>
    <t>AST</t>
  </si>
  <si>
    <t>KAST</t>
  </si>
  <si>
    <t>Astoria Regional Airport</t>
  </si>
  <si>
    <t>ASU</t>
  </si>
  <si>
    <t>SGAS</t>
  </si>
  <si>
    <t>Silvio Pettirossi International Airport</t>
  </si>
  <si>
    <t>ASV</t>
  </si>
  <si>
    <t>HKAM</t>
  </si>
  <si>
    <t>Amboseli Airport</t>
  </si>
  <si>
    <t>ASW</t>
  </si>
  <si>
    <t>HESN</t>
  </si>
  <si>
    <t>Aswan International Airport</t>
  </si>
  <si>
    <t>ASX</t>
  </si>
  <si>
    <t>KASX</t>
  </si>
  <si>
    <t>John F. Kennedy Memorial Airport</t>
  </si>
  <si>
    <t>ASY</t>
  </si>
  <si>
    <t>KASY</t>
  </si>
  <si>
    <t>Ashley Municipal Airport</t>
  </si>
  <si>
    <t>ATA</t>
  </si>
  <si>
    <t>SPHZ</t>
  </si>
  <si>
    <t>Comandante FAP German Arias Grazziani Airport</t>
  </si>
  <si>
    <t>ATB</t>
  </si>
  <si>
    <t>HSAT</t>
  </si>
  <si>
    <t>Atbara Airport</t>
  </si>
  <si>
    <t>ATC</t>
  </si>
  <si>
    <t>MYCA</t>
  </si>
  <si>
    <t>Arthur's Town Airport</t>
  </si>
  <si>
    <t>ATD</t>
  </si>
  <si>
    <t>AGAT</t>
  </si>
  <si>
    <t>Atoifi Airport</t>
  </si>
  <si>
    <t>ATF</t>
  </si>
  <si>
    <t>SEAM</t>
  </si>
  <si>
    <t>Chachoan Airport</t>
  </si>
  <si>
    <t>ATG</t>
  </si>
  <si>
    <t>SPAY</t>
  </si>
  <si>
    <t>Teniente General Gerardo Pérez Pinedo Airport</t>
  </si>
  <si>
    <t>ATH</t>
  </si>
  <si>
    <t>LGAV</t>
  </si>
  <si>
    <t>Athens International Airport</t>
  </si>
  <si>
    <t>ATI</t>
  </si>
  <si>
    <t>SUAG</t>
  </si>
  <si>
    <t>Artigas International Airport</t>
  </si>
  <si>
    <t>ATJ</t>
  </si>
  <si>
    <t>FMME</t>
  </si>
  <si>
    <t>Antsirabe Airport</t>
  </si>
  <si>
    <t>ATK</t>
  </si>
  <si>
    <t>PATQ</t>
  </si>
  <si>
    <t>Atqasuk Edward Burnell Sr. Memorial Airport</t>
  </si>
  <si>
    <t>ATL</t>
  </si>
  <si>
    <t>KATL</t>
  </si>
  <si>
    <t>Hartsfield-Jackson Atlanta International Airport</t>
  </si>
  <si>
    <t>ATM</t>
  </si>
  <si>
    <t>SBHT</t>
  </si>
  <si>
    <t>Altamira Airport</t>
  </si>
  <si>
    <t>ATQ</t>
  </si>
  <si>
    <t>VIAR</t>
  </si>
  <si>
    <t>Raja Sansi International Airport</t>
  </si>
  <si>
    <t>ATR</t>
  </si>
  <si>
    <t>GQPA</t>
  </si>
  <si>
    <t>Atar International Airport</t>
  </si>
  <si>
    <t>ATS</t>
  </si>
  <si>
    <t>KATS</t>
  </si>
  <si>
    <t>Artesia Municipal Airport</t>
  </si>
  <si>
    <t>ATU</t>
  </si>
  <si>
    <t>PATU</t>
  </si>
  <si>
    <t>Casco Cove Coast Guard Station</t>
  </si>
  <si>
    <t>ATV</t>
  </si>
  <si>
    <t>FTTI</t>
  </si>
  <si>
    <t>Ati Airport</t>
  </si>
  <si>
    <t>ATW</t>
  </si>
  <si>
    <t>KATW</t>
  </si>
  <si>
    <t>Outagamie County Regional Airport</t>
  </si>
  <si>
    <t>ATY</t>
  </si>
  <si>
    <t>KATY</t>
  </si>
  <si>
    <t>Watertown Regional Airport</t>
  </si>
  <si>
    <t>ATZ</t>
  </si>
  <si>
    <t>HEAT</t>
  </si>
  <si>
    <t>Assiut Airport</t>
  </si>
  <si>
    <t>AUA</t>
  </si>
  <si>
    <t>TNCA</t>
  </si>
  <si>
    <t>Queen Beatrix International Airport</t>
  </si>
  <si>
    <t>AUC</t>
  </si>
  <si>
    <t>SKUC</t>
  </si>
  <si>
    <t>Santiago Pérez Airport</t>
  </si>
  <si>
    <t>AUD</t>
  </si>
  <si>
    <t>YAGD</t>
  </si>
  <si>
    <t>Augustus Downs Airport</t>
  </si>
  <si>
    <t>AUF</t>
  </si>
  <si>
    <t>LFLA</t>
  </si>
  <si>
    <t>Auxerre - Branches Airport</t>
  </si>
  <si>
    <t>AUG</t>
  </si>
  <si>
    <t>KAUG</t>
  </si>
  <si>
    <t>Augusta State Airport</t>
  </si>
  <si>
    <t>AUH</t>
  </si>
  <si>
    <t>OMAA</t>
  </si>
  <si>
    <t>Abu Dhabi International Airport</t>
  </si>
  <si>
    <t>AUM</t>
  </si>
  <si>
    <t>KAUM</t>
  </si>
  <si>
    <t>Austin Municipal Airport</t>
  </si>
  <si>
    <t>AUN</t>
  </si>
  <si>
    <t>KAUN</t>
  </si>
  <si>
    <t>Auburn Municipal Airport</t>
  </si>
  <si>
    <t>AUO</t>
  </si>
  <si>
    <t>KAUO</t>
  </si>
  <si>
    <t>Auburn-Opelika Robert G. Pitts Airport</t>
  </si>
  <si>
    <t>AUQ</t>
  </si>
  <si>
    <t>NTMN</t>
  </si>
  <si>
    <t>Hiva Oa-Atuona Airport</t>
  </si>
  <si>
    <t>AUR</t>
  </si>
  <si>
    <t>LFLW</t>
  </si>
  <si>
    <t>Aurillac Airport</t>
  </si>
  <si>
    <t>AUS</t>
  </si>
  <si>
    <t>KAUS</t>
  </si>
  <si>
    <t>Austin-Bergstrom International Airport</t>
  </si>
  <si>
    <t>AUT</t>
  </si>
  <si>
    <t>WPAT</t>
  </si>
  <si>
    <t>Atauro Airport</t>
  </si>
  <si>
    <t>AUU</t>
  </si>
  <si>
    <t>YAUR</t>
  </si>
  <si>
    <t>Aurukun Airport</t>
  </si>
  <si>
    <t>AUW</t>
  </si>
  <si>
    <t>KAUW</t>
  </si>
  <si>
    <t>Wausau Downtown Airport</t>
  </si>
  <si>
    <t>AUX</t>
  </si>
  <si>
    <t>SWGN</t>
  </si>
  <si>
    <t>Araguaína Airport</t>
  </si>
  <si>
    <t>AUY</t>
  </si>
  <si>
    <t>NVVA</t>
  </si>
  <si>
    <t>Aneityum Airport</t>
  </si>
  <si>
    <t>AUZ</t>
  </si>
  <si>
    <t>KARR</t>
  </si>
  <si>
    <t>Aurora Municipal Airport</t>
  </si>
  <si>
    <t>AVA</t>
  </si>
  <si>
    <t>ZUAS</t>
  </si>
  <si>
    <t>Anshun Huangguoshu Airport</t>
  </si>
  <si>
    <t>AVB</t>
  </si>
  <si>
    <t>LIPA</t>
  </si>
  <si>
    <t>Aviano Air Base</t>
  </si>
  <si>
    <t>AVG</t>
  </si>
  <si>
    <t>YAUV</t>
  </si>
  <si>
    <t>Auvergne Airport</t>
  </si>
  <si>
    <t>AVI</t>
  </si>
  <si>
    <t>MUCA</t>
  </si>
  <si>
    <t>Máximo Gómez Airport</t>
  </si>
  <si>
    <t>AVK</t>
  </si>
  <si>
    <t>ZMAH</t>
  </si>
  <si>
    <t>Arvaikheer Airport</t>
  </si>
  <si>
    <t>AVL</t>
  </si>
  <si>
    <t>KAVL</t>
  </si>
  <si>
    <t>Asheville Regional Airport</t>
  </si>
  <si>
    <t>AVN</t>
  </si>
  <si>
    <t>LFMV</t>
  </si>
  <si>
    <t>Avignon - Caumont Airport</t>
  </si>
  <si>
    <t>AVO</t>
  </si>
  <si>
    <t>KAVO</t>
  </si>
  <si>
    <t>Avon Park Executive Airport</t>
  </si>
  <si>
    <t>AVP</t>
  </si>
  <si>
    <t>KAVP</t>
  </si>
  <si>
    <t>Wilkes-Barre/Scranton International Airport</t>
  </si>
  <si>
    <t>AVU</t>
  </si>
  <si>
    <t>AGGJ</t>
  </si>
  <si>
    <t>Avu Avu Airport</t>
  </si>
  <si>
    <t>AVV</t>
  </si>
  <si>
    <t>YMAV</t>
  </si>
  <si>
    <t>Avalon Airport</t>
  </si>
  <si>
    <t>AVW</t>
  </si>
  <si>
    <t>KAVQ</t>
  </si>
  <si>
    <t>Marana Regional Airport</t>
  </si>
  <si>
    <t>AWA</t>
  </si>
  <si>
    <t>HALA</t>
  </si>
  <si>
    <t>Awasa Airport</t>
  </si>
  <si>
    <t>AWD</t>
  </si>
  <si>
    <t>NVVB</t>
  </si>
  <si>
    <t>Aniwa Airport</t>
  </si>
  <si>
    <t>AWK</t>
  </si>
  <si>
    <t>PWAK</t>
  </si>
  <si>
    <t>Wake Island Airfield</t>
  </si>
  <si>
    <t>AWM</t>
  </si>
  <si>
    <t>KAWM</t>
  </si>
  <si>
    <t>West Memphis Municipal Airport</t>
  </si>
  <si>
    <t>AWN</t>
  </si>
  <si>
    <t>YADS</t>
  </si>
  <si>
    <t>Alton Downs Airport</t>
  </si>
  <si>
    <t>AWP</t>
  </si>
  <si>
    <t>YAUS</t>
  </si>
  <si>
    <t>Austral Downs Airport</t>
  </si>
  <si>
    <t>AWZ</t>
  </si>
  <si>
    <t>OIAW</t>
  </si>
  <si>
    <t>Ahwaz Airport</t>
  </si>
  <si>
    <t>AXA</t>
  </si>
  <si>
    <t>TQPF</t>
  </si>
  <si>
    <t>Wallblake Airport</t>
  </si>
  <si>
    <t>AXC</t>
  </si>
  <si>
    <t>YAMC</t>
  </si>
  <si>
    <t>Aramac Airport</t>
  </si>
  <si>
    <t>AXD</t>
  </si>
  <si>
    <t>LGAL</t>
  </si>
  <si>
    <t>Dimokritos Airport</t>
  </si>
  <si>
    <t>AXE</t>
  </si>
  <si>
    <t>SSXX</t>
  </si>
  <si>
    <t>Xanxerê Airport</t>
  </si>
  <si>
    <t>AXG</t>
  </si>
  <si>
    <t>KAXA</t>
  </si>
  <si>
    <t>Algona Municipal Airport</t>
  </si>
  <si>
    <t>AXJ</t>
  </si>
  <si>
    <t>RJDA</t>
  </si>
  <si>
    <t>Amakusa Airport</t>
  </si>
  <si>
    <t>AXK</t>
  </si>
  <si>
    <t>OYAT</t>
  </si>
  <si>
    <t>Ataq Airport</t>
  </si>
  <si>
    <t>AXL</t>
  </si>
  <si>
    <t>YALX</t>
  </si>
  <si>
    <t>Alexandria Homestead Airport</t>
  </si>
  <si>
    <t>AXM</t>
  </si>
  <si>
    <t>SKAR</t>
  </si>
  <si>
    <t>El Edén Airport</t>
  </si>
  <si>
    <t>AXN</t>
  </si>
  <si>
    <t>KAXN</t>
  </si>
  <si>
    <t>Chandler Field</t>
  </si>
  <si>
    <t>AXP</t>
  </si>
  <si>
    <t>MYAP</t>
  </si>
  <si>
    <t>Spring Point Airport</t>
  </si>
  <si>
    <t>AXR</t>
  </si>
  <si>
    <t>NTGU</t>
  </si>
  <si>
    <t>Arutua Airport</t>
  </si>
  <si>
    <t>AXS</t>
  </si>
  <si>
    <t>KAXS</t>
  </si>
  <si>
    <t>Altus/Quartz Mountain Regional Airport</t>
  </si>
  <si>
    <t>AXT</t>
  </si>
  <si>
    <t>RJSK</t>
  </si>
  <si>
    <t>Akita Airport</t>
  </si>
  <si>
    <t>AXU</t>
  </si>
  <si>
    <t>HAAX</t>
  </si>
  <si>
    <t>Axum Airport</t>
  </si>
  <si>
    <t>AXV</t>
  </si>
  <si>
    <t>KAXV</t>
  </si>
  <si>
    <t>Neil Armstrong Airport</t>
  </si>
  <si>
    <t>AXX</t>
  </si>
  <si>
    <t>KAXX</t>
  </si>
  <si>
    <t>Angel Fire Airport</t>
  </si>
  <si>
    <t>AYG</t>
  </si>
  <si>
    <t>SKYA</t>
  </si>
  <si>
    <t>Yaguara Airport</t>
  </si>
  <si>
    <t>AYH</t>
  </si>
  <si>
    <t>EGWZ</t>
  </si>
  <si>
    <t>RAF Alconbury</t>
  </si>
  <si>
    <t>AYK</t>
  </si>
  <si>
    <t>UAUR</t>
  </si>
  <si>
    <t>Arkalyk Airport</t>
  </si>
  <si>
    <t>AYL</t>
  </si>
  <si>
    <t>YANL</t>
  </si>
  <si>
    <t>Anthony Lagoon Airport</t>
  </si>
  <si>
    <t>AYN</t>
  </si>
  <si>
    <t>ZHAY</t>
  </si>
  <si>
    <t>Anyang Airport</t>
  </si>
  <si>
    <t>AYO</t>
  </si>
  <si>
    <t>SGAY</t>
  </si>
  <si>
    <t>Juan De Ayolas Airport</t>
  </si>
  <si>
    <t>AYP</t>
  </si>
  <si>
    <t>SPHO</t>
  </si>
  <si>
    <t>Coronel FAP Alfredo Mendivil Duarte Airport</t>
  </si>
  <si>
    <t>AYQ</t>
  </si>
  <si>
    <t>YAYE</t>
  </si>
  <si>
    <t>Ayers Rock Airport</t>
  </si>
  <si>
    <t>AYR</t>
  </si>
  <si>
    <t>YAYR</t>
  </si>
  <si>
    <t>Ayr Airport</t>
  </si>
  <si>
    <t>AYS</t>
  </si>
  <si>
    <t>KAYS</t>
  </si>
  <si>
    <t>Waycross-Ware County Airport</t>
  </si>
  <si>
    <t>AYT</t>
  </si>
  <si>
    <t>LTAI</t>
  </si>
  <si>
    <t>Antalya Airport</t>
  </si>
  <si>
    <t>AZA</t>
  </si>
  <si>
    <t>KIWA</t>
  </si>
  <si>
    <t>Phoenix-Mesa Gateway Airport</t>
  </si>
  <si>
    <t>AZD</t>
  </si>
  <si>
    <t>OIYY</t>
  </si>
  <si>
    <t>Yazd Shahid Sadooghi Airport</t>
  </si>
  <si>
    <t>AZI</t>
  </si>
  <si>
    <t>OMAD</t>
  </si>
  <si>
    <t>Bateen Airport</t>
  </si>
  <si>
    <t>AZL</t>
  </si>
  <si>
    <t>SWTU</t>
  </si>
  <si>
    <t>Fazenda Tucunaré Airport</t>
  </si>
  <si>
    <t>AZN</t>
  </si>
  <si>
    <t>UTKA</t>
  </si>
  <si>
    <t>Andizhan Airport</t>
  </si>
  <si>
    <t>AZO</t>
  </si>
  <si>
    <t>KAZO</t>
  </si>
  <si>
    <t>Kalamazoo/Battle Creek International Airport</t>
  </si>
  <si>
    <t>AZR</t>
  </si>
  <si>
    <t>DAUA</t>
  </si>
  <si>
    <t>Touat Cheikh Sidi Mohamed Belkebir Airport</t>
  </si>
  <si>
    <t>AZS</t>
  </si>
  <si>
    <t>MDCY</t>
  </si>
  <si>
    <t>Samaná El Catey International Airport</t>
  </si>
  <si>
    <t>AZZ</t>
  </si>
  <si>
    <t>FNAM</t>
  </si>
  <si>
    <t>Ambriz Airport</t>
  </si>
  <si>
    <t>BAB</t>
  </si>
  <si>
    <t>KBAB</t>
  </si>
  <si>
    <t>Beale Air Force Base</t>
  </si>
  <si>
    <t>BAD</t>
  </si>
  <si>
    <t>KBAD</t>
  </si>
  <si>
    <t>Barksdale Air Force Base</t>
  </si>
  <si>
    <t>BAE</t>
  </si>
  <si>
    <t>LFMR</t>
  </si>
  <si>
    <t>Barcelonnette - Saint-Pons Airport</t>
  </si>
  <si>
    <t>BAF</t>
  </si>
  <si>
    <t>KBAF</t>
  </si>
  <si>
    <t>Barnes Municipal Airport</t>
  </si>
  <si>
    <t>BAG</t>
  </si>
  <si>
    <t>RPUB</t>
  </si>
  <si>
    <t>Baguio Airport</t>
  </si>
  <si>
    <t>BAH</t>
  </si>
  <si>
    <t>OBBI</t>
  </si>
  <si>
    <t>Bahrain International Airport</t>
  </si>
  <si>
    <t>BAI</t>
  </si>
  <si>
    <t>MRBA</t>
  </si>
  <si>
    <t>Buenos Aires Airport</t>
  </si>
  <si>
    <t>BAL</t>
  </si>
  <si>
    <t>LTCJ</t>
  </si>
  <si>
    <t>Batman Airport</t>
  </si>
  <si>
    <t>BAM</t>
  </si>
  <si>
    <t>KBAM</t>
  </si>
  <si>
    <t>Battle Mountain Airport (Lander County Airport)</t>
  </si>
  <si>
    <t>BAN</t>
  </si>
  <si>
    <t>FZVR</t>
  </si>
  <si>
    <t>Basongo Airport</t>
  </si>
  <si>
    <t>BAO</t>
  </si>
  <si>
    <t>VTED</t>
  </si>
  <si>
    <t>Udon Air Base</t>
  </si>
  <si>
    <t>BAQ</t>
  </si>
  <si>
    <t>SKBQ</t>
  </si>
  <si>
    <t>Ernesto Cortissoz International Airport</t>
  </si>
  <si>
    <t>BAS</t>
  </si>
  <si>
    <t>AGGE</t>
  </si>
  <si>
    <t>Ballalae Airport</t>
  </si>
  <si>
    <t>BAT</t>
  </si>
  <si>
    <t>SBBT</t>
  </si>
  <si>
    <t>Chafei Amsei Airport</t>
  </si>
  <si>
    <t>BAU</t>
  </si>
  <si>
    <t>SBBU</t>
  </si>
  <si>
    <t>Bauru Airport</t>
  </si>
  <si>
    <t>BAV</t>
  </si>
  <si>
    <t>ZBOW</t>
  </si>
  <si>
    <t>Baotou Airport</t>
  </si>
  <si>
    <t>BAX</t>
  </si>
  <si>
    <t>UNBB</t>
  </si>
  <si>
    <t>Barnaul Airport</t>
  </si>
  <si>
    <t>BAY</t>
  </si>
  <si>
    <t>LRBM</t>
  </si>
  <si>
    <t>Baia Mare Airport</t>
  </si>
  <si>
    <t>BAZ</t>
  </si>
  <si>
    <t>SWBC</t>
  </si>
  <si>
    <t>Barcelos Airport</t>
  </si>
  <si>
    <t>BBA</t>
  </si>
  <si>
    <t>SCBA</t>
  </si>
  <si>
    <t>Balmaceda Airport (Teniente Vidal Airport)</t>
  </si>
  <si>
    <t>BBB</t>
  </si>
  <si>
    <t>KBBB</t>
  </si>
  <si>
    <t>Benson Municipal Airport</t>
  </si>
  <si>
    <t>BBC</t>
  </si>
  <si>
    <t>KBYY</t>
  </si>
  <si>
    <t>Bay City Municipal Airport</t>
  </si>
  <si>
    <t>BBD</t>
  </si>
  <si>
    <t>KBBD</t>
  </si>
  <si>
    <t>Curtis Field</t>
  </si>
  <si>
    <t>BBE</t>
  </si>
  <si>
    <t>YBBE</t>
  </si>
  <si>
    <t>Big Bell Airport</t>
  </si>
  <si>
    <t>BBG</t>
  </si>
  <si>
    <t>NGTU</t>
  </si>
  <si>
    <t>Butaritari Airport</t>
  </si>
  <si>
    <t>BBH</t>
  </si>
  <si>
    <t>EDBH</t>
  </si>
  <si>
    <t>Barth Airport</t>
  </si>
  <si>
    <t>BBI</t>
  </si>
  <si>
    <t>VEBS</t>
  </si>
  <si>
    <t>Biju Patnaik Airport</t>
  </si>
  <si>
    <t>BBJ</t>
  </si>
  <si>
    <t>EDRB</t>
  </si>
  <si>
    <t>Bitburg Airport (former Bitburg Air Base)</t>
  </si>
  <si>
    <t>BBK</t>
  </si>
  <si>
    <t>FBKE</t>
  </si>
  <si>
    <t>Kasane Airport</t>
  </si>
  <si>
    <t>BBL</t>
  </si>
  <si>
    <t>OINB</t>
  </si>
  <si>
    <t>Babolsar Airport</t>
  </si>
  <si>
    <t>BBM</t>
  </si>
  <si>
    <t>VDBG</t>
  </si>
  <si>
    <t>Battambang Airport</t>
  </si>
  <si>
    <t>BBN</t>
  </si>
  <si>
    <t>WBGZ</t>
  </si>
  <si>
    <t>Bario Airport</t>
  </si>
  <si>
    <t>BBO</t>
  </si>
  <si>
    <t>HCMI</t>
  </si>
  <si>
    <t>Berbera Airport</t>
  </si>
  <si>
    <t>BBP</t>
  </si>
  <si>
    <t>EGHJ</t>
  </si>
  <si>
    <t>Bembridge Airport</t>
  </si>
  <si>
    <t>BBQ</t>
  </si>
  <si>
    <t>TAPH</t>
  </si>
  <si>
    <t>Codrington Airport</t>
  </si>
  <si>
    <t>BBR</t>
  </si>
  <si>
    <t>TFFB</t>
  </si>
  <si>
    <t>Baillif Airport</t>
  </si>
  <si>
    <t>BBS</t>
  </si>
  <si>
    <t>EGLK</t>
  </si>
  <si>
    <t>Blackbushe Airport</t>
  </si>
  <si>
    <t>BBT</t>
  </si>
  <si>
    <t>FEFT</t>
  </si>
  <si>
    <t>Berbérati Airport</t>
  </si>
  <si>
    <t>BBU</t>
  </si>
  <si>
    <t>LRBS</t>
  </si>
  <si>
    <t>Bucharest "Aurel Vlaicu" Airport</t>
  </si>
  <si>
    <t>BBV</t>
  </si>
  <si>
    <t>DIGN</t>
  </si>
  <si>
    <t>Bereby Airport</t>
  </si>
  <si>
    <t>BBW</t>
  </si>
  <si>
    <t>KBBW</t>
  </si>
  <si>
    <t>Broken Bow Municipal Airport</t>
  </si>
  <si>
    <t>BBY</t>
  </si>
  <si>
    <t>FEFM</t>
  </si>
  <si>
    <t>Bambari Airport</t>
  </si>
  <si>
    <t>BBZ</t>
  </si>
  <si>
    <t>FLZB</t>
  </si>
  <si>
    <t>Zambezi Airport</t>
  </si>
  <si>
    <t>BCA</t>
  </si>
  <si>
    <t>MUBA</t>
  </si>
  <si>
    <t>Gustavo Rizo Airport</t>
  </si>
  <si>
    <t>BCB</t>
  </si>
  <si>
    <t>KBCB</t>
  </si>
  <si>
    <t>Virginia Tech Montgomery Executive Airport</t>
  </si>
  <si>
    <t>BCD</t>
  </si>
  <si>
    <t>RPVB</t>
  </si>
  <si>
    <t>Bacolod City Domestic Airport</t>
  </si>
  <si>
    <t>BCE</t>
  </si>
  <si>
    <t>KBCE</t>
  </si>
  <si>
    <t>Bryce Canyon Airport</t>
  </si>
  <si>
    <t>BCF</t>
  </si>
  <si>
    <t>FEGU</t>
  </si>
  <si>
    <t>Bouca Airport</t>
  </si>
  <si>
    <t>BCH</t>
  </si>
  <si>
    <t>WPEC</t>
  </si>
  <si>
    <t>Cakung Airport</t>
  </si>
  <si>
    <t>BCI</t>
  </si>
  <si>
    <t>YBAR</t>
  </si>
  <si>
    <t>Barcaldine Airport</t>
  </si>
  <si>
    <t>BCL</t>
  </si>
  <si>
    <t>MRBC</t>
  </si>
  <si>
    <t>Barra del Colorado Airport</t>
  </si>
  <si>
    <t>BCM</t>
  </si>
  <si>
    <t>LRBC</t>
  </si>
  <si>
    <t>George Enescu International Airport</t>
  </si>
  <si>
    <t>BCN</t>
  </si>
  <si>
    <t>LEBL</t>
  </si>
  <si>
    <t>Josep Tarradellas Barcelona–El Prat Airport</t>
  </si>
  <si>
    <t>BCO</t>
  </si>
  <si>
    <t>HABC</t>
  </si>
  <si>
    <t>Baco Airport (Jinka Airport)</t>
  </si>
  <si>
    <t>BCR</t>
  </si>
  <si>
    <t>SWNK</t>
  </si>
  <si>
    <t>Novo Campo Airport</t>
  </si>
  <si>
    <t>BCT</t>
  </si>
  <si>
    <t>KBCT</t>
  </si>
  <si>
    <t>Boca Raton Airport</t>
  </si>
  <si>
    <t>BCV</t>
  </si>
  <si>
    <t>PABV</t>
  </si>
  <si>
    <t>Birchwood Airport</t>
  </si>
  <si>
    <t>BCX</t>
  </si>
  <si>
    <t>UWUB</t>
  </si>
  <si>
    <t>Beloretsk Airport</t>
  </si>
  <si>
    <t>BCY</t>
  </si>
  <si>
    <t>HABU</t>
  </si>
  <si>
    <t>Bulchi Airport</t>
  </si>
  <si>
    <t>BDA</t>
  </si>
  <si>
    <t>TXKF</t>
  </si>
  <si>
    <t>Bermuda International Airport (L.F. Wade Int'l Airport)</t>
  </si>
  <si>
    <t>BDB</t>
  </si>
  <si>
    <t>YBUD</t>
  </si>
  <si>
    <t>Bundaberg Airport</t>
  </si>
  <si>
    <t>BDC</t>
  </si>
  <si>
    <t>SNBC</t>
  </si>
  <si>
    <t>Barra do Corda Airport</t>
  </si>
  <si>
    <t>BDD</t>
  </si>
  <si>
    <t>YBAU</t>
  </si>
  <si>
    <t>Badu Island Airport</t>
  </si>
  <si>
    <t>BDE</t>
  </si>
  <si>
    <t>KBDE</t>
  </si>
  <si>
    <t>Baudette International Airport</t>
  </si>
  <si>
    <t>BDG</t>
  </si>
  <si>
    <t>KBDG</t>
  </si>
  <si>
    <t>Blanding Municipal Airport</t>
  </si>
  <si>
    <t>BDH</t>
  </si>
  <si>
    <t>OIBL</t>
  </si>
  <si>
    <t>Bandar Lengeh Airport</t>
  </si>
  <si>
    <t>BDI</t>
  </si>
  <si>
    <t>FSSB</t>
  </si>
  <si>
    <t>Bird Island Airport</t>
  </si>
  <si>
    <t>BDJ</t>
  </si>
  <si>
    <t>WAOO</t>
  </si>
  <si>
    <t>Syamsudin Noor Airport</t>
  </si>
  <si>
    <t>WRBB</t>
  </si>
  <si>
    <t>BDK</t>
  </si>
  <si>
    <t>DIBU</t>
  </si>
  <si>
    <t>Soko Airport</t>
  </si>
  <si>
    <t>BDL</t>
  </si>
  <si>
    <t>KBDL</t>
  </si>
  <si>
    <t>Bradley International Airport</t>
  </si>
  <si>
    <t>BDM</t>
  </si>
  <si>
    <t>LTBG</t>
  </si>
  <si>
    <t>Band?rma Airport</t>
  </si>
  <si>
    <t>BDN</t>
  </si>
  <si>
    <t>OPTH</t>
  </si>
  <si>
    <t>Talhar Airport</t>
  </si>
  <si>
    <t>BDO</t>
  </si>
  <si>
    <t>WICC</t>
  </si>
  <si>
    <t>Hussein Sastranegara Airport</t>
  </si>
  <si>
    <t>BDP</t>
  </si>
  <si>
    <t>VNCG</t>
  </si>
  <si>
    <t>Bhadrapur Airport</t>
  </si>
  <si>
    <t>BDQ</t>
  </si>
  <si>
    <t>VABO</t>
  </si>
  <si>
    <t>Vadodara Airport</t>
  </si>
  <si>
    <t>BDR</t>
  </si>
  <si>
    <t>KBDR</t>
  </si>
  <si>
    <t>Igor I. Sikorsky Memorial Airport</t>
  </si>
  <si>
    <t>BDS</t>
  </si>
  <si>
    <t>LIBR</t>
  </si>
  <si>
    <t>Casale Airport</t>
  </si>
  <si>
    <t>BDT</t>
  </si>
  <si>
    <t>FZFD</t>
  </si>
  <si>
    <t>Gbadolite Airport</t>
  </si>
  <si>
    <t>BDU</t>
  </si>
  <si>
    <t>ENDU</t>
  </si>
  <si>
    <t>Bardufoss Airport</t>
  </si>
  <si>
    <t>BDV</t>
  </si>
  <si>
    <t>FZRB</t>
  </si>
  <si>
    <t>Moba Airport</t>
  </si>
  <si>
    <t>BEB</t>
  </si>
  <si>
    <t>EGPL</t>
  </si>
  <si>
    <t>Benbecula Airport</t>
  </si>
  <si>
    <t>BEC</t>
  </si>
  <si>
    <t>KBEC</t>
  </si>
  <si>
    <t>Beech Factory Airport</t>
  </si>
  <si>
    <t>BED</t>
  </si>
  <si>
    <t>KBED</t>
  </si>
  <si>
    <t>Laurence G. Hanscom Field</t>
  </si>
  <si>
    <t>BEF</t>
  </si>
  <si>
    <t>MNBL</t>
  </si>
  <si>
    <t>Bluefields Airport</t>
  </si>
  <si>
    <t>BEG</t>
  </si>
  <si>
    <t>LYBE</t>
  </si>
  <si>
    <t>Belgrade Nikola Tesla Airport</t>
  </si>
  <si>
    <t>BEH</t>
  </si>
  <si>
    <t>KBEH</t>
  </si>
  <si>
    <t>Southwest Michigan Regional Airport</t>
  </si>
  <si>
    <t>BEI</t>
  </si>
  <si>
    <t>HABE</t>
  </si>
  <si>
    <t>Beica Airport</t>
  </si>
  <si>
    <t>BEJ</t>
  </si>
  <si>
    <t>WALK</t>
  </si>
  <si>
    <t>Berau Airport (Kalimaru Airport)</t>
  </si>
  <si>
    <t>BEK</t>
  </si>
  <si>
    <t>VIBY</t>
  </si>
  <si>
    <t>Bareli Airport</t>
  </si>
  <si>
    <t>BEL</t>
  </si>
  <si>
    <t>SBBE</t>
  </si>
  <si>
    <t>Val de Cães International Airport</t>
  </si>
  <si>
    <t>BEM</t>
  </si>
  <si>
    <t>FEFL</t>
  </si>
  <si>
    <t>Bossembélé Airport</t>
  </si>
  <si>
    <t>BEN</t>
  </si>
  <si>
    <t>HLLB</t>
  </si>
  <si>
    <t>Benina International Airport</t>
  </si>
  <si>
    <t>BEO</t>
  </si>
  <si>
    <t>YPEC</t>
  </si>
  <si>
    <t>Newcastle - Belmont Airport</t>
  </si>
  <si>
    <t>BEP</t>
  </si>
  <si>
    <t>VOBI</t>
  </si>
  <si>
    <t>Bellary Airport</t>
  </si>
  <si>
    <t>BEQ</t>
  </si>
  <si>
    <t>EGXH</t>
  </si>
  <si>
    <t>RAF Honington</t>
  </si>
  <si>
    <t>BES</t>
  </si>
  <si>
    <t>LFRB</t>
  </si>
  <si>
    <t>Brest Bretagne Airport</t>
  </si>
  <si>
    <t>BET</t>
  </si>
  <si>
    <t>PABE</t>
  </si>
  <si>
    <t>Bethel Airport</t>
  </si>
  <si>
    <t>BEU</t>
  </si>
  <si>
    <t>YBIE</t>
  </si>
  <si>
    <t>Bedourie Airport</t>
  </si>
  <si>
    <t>BEV</t>
  </si>
  <si>
    <t>LLBS</t>
  </si>
  <si>
    <t>Be'er Sheva Airport</t>
  </si>
  <si>
    <t>BEW</t>
  </si>
  <si>
    <t>FQBR</t>
  </si>
  <si>
    <t>Beira Airport</t>
  </si>
  <si>
    <t>BEX</t>
  </si>
  <si>
    <t>EGUB</t>
  </si>
  <si>
    <t>RAF Benson</t>
  </si>
  <si>
    <t>BEY</t>
  </si>
  <si>
    <t>OLBA</t>
  </si>
  <si>
    <t>Rafic Hariri International Airport</t>
  </si>
  <si>
    <t>BEZ</t>
  </si>
  <si>
    <t>NGBR</t>
  </si>
  <si>
    <t>Beru Airport</t>
  </si>
  <si>
    <t>BFD</t>
  </si>
  <si>
    <t>KBFD</t>
  </si>
  <si>
    <t>Bradford Regional Airport</t>
  </si>
  <si>
    <t>BFE</t>
  </si>
  <si>
    <t>EDLI</t>
  </si>
  <si>
    <t>Bielefeld Airport</t>
  </si>
  <si>
    <t>BFF</t>
  </si>
  <si>
    <t>KBFF</t>
  </si>
  <si>
    <t>Western Nebraska Regional Airport (William B. Heilig Field)</t>
  </si>
  <si>
    <t>BFH</t>
  </si>
  <si>
    <t>SBBI</t>
  </si>
  <si>
    <t>Bacacheri Airport</t>
  </si>
  <si>
    <t>BFI</t>
  </si>
  <si>
    <t>KBFI</t>
  </si>
  <si>
    <t>Boeing Field/King County International Airport</t>
  </si>
  <si>
    <t>BFJ</t>
  </si>
  <si>
    <t>NFFA</t>
  </si>
  <si>
    <t>Ba Airport</t>
  </si>
  <si>
    <t>BFL</t>
  </si>
  <si>
    <t>KBFL</t>
  </si>
  <si>
    <t>Meadows Field</t>
  </si>
  <si>
    <t>BFM</t>
  </si>
  <si>
    <t>KBFM</t>
  </si>
  <si>
    <t>Mobile Downtown Airport</t>
  </si>
  <si>
    <t>BFN</t>
  </si>
  <si>
    <t>FABL</t>
  </si>
  <si>
    <t>Bloemfontein Airport</t>
  </si>
  <si>
    <t>BFO</t>
  </si>
  <si>
    <t>FVCZ</t>
  </si>
  <si>
    <t>Buffalo Range Airport</t>
  </si>
  <si>
    <t>BFP</t>
  </si>
  <si>
    <t>KBVI</t>
  </si>
  <si>
    <t>Beaver County Airport</t>
  </si>
  <si>
    <t>BFR</t>
  </si>
  <si>
    <t>KBFR</t>
  </si>
  <si>
    <t>Virgil I. Grissom Municipal Airport</t>
  </si>
  <si>
    <t>BFS</t>
  </si>
  <si>
    <t>EGAA</t>
  </si>
  <si>
    <t>Belfast International Airport</t>
  </si>
  <si>
    <t>BFU</t>
  </si>
  <si>
    <t>ZSBB</t>
  </si>
  <si>
    <t>Bengbu Airport</t>
  </si>
  <si>
    <t>BFV</t>
  </si>
  <si>
    <t>VTUO</t>
  </si>
  <si>
    <t>Buriram Airport</t>
  </si>
  <si>
    <t>BFX</t>
  </si>
  <si>
    <t>FKKU</t>
  </si>
  <si>
    <t>Bafoussem Airport</t>
  </si>
  <si>
    <t>BGA</t>
  </si>
  <si>
    <t>SKBG</t>
  </si>
  <si>
    <t>Palonegro Airport</t>
  </si>
  <si>
    <t>BGB</t>
  </si>
  <si>
    <t>FOGB</t>
  </si>
  <si>
    <t>Booue Airport</t>
  </si>
  <si>
    <t>BGC</t>
  </si>
  <si>
    <t>LPBG</t>
  </si>
  <si>
    <t>Bragança Airport</t>
  </si>
  <si>
    <t>BGD</t>
  </si>
  <si>
    <t>KBGD</t>
  </si>
  <si>
    <t>Hutchinson County Airport</t>
  </si>
  <si>
    <t>BGE</t>
  </si>
  <si>
    <t>KBGE</t>
  </si>
  <si>
    <t>Decatur County Industrial Airpark</t>
  </si>
  <si>
    <t>BGF</t>
  </si>
  <si>
    <t>FEFF</t>
  </si>
  <si>
    <t>Bangui M'Poko International Airport</t>
  </si>
  <si>
    <t>BGH</t>
  </si>
  <si>
    <t>GQNE</t>
  </si>
  <si>
    <t>Abbaye Airport</t>
  </si>
  <si>
    <t>BGI</t>
  </si>
  <si>
    <t>TBPB</t>
  </si>
  <si>
    <t>Grantley Adams International Airport</t>
  </si>
  <si>
    <t>BGJ</t>
  </si>
  <si>
    <t>BIBF</t>
  </si>
  <si>
    <t>Borgarfjörður Airport</t>
  </si>
  <si>
    <t>BGL</t>
  </si>
  <si>
    <t>VNBL</t>
  </si>
  <si>
    <t>Baglung Airport</t>
  </si>
  <si>
    <t>BGM</t>
  </si>
  <si>
    <t>KBGM</t>
  </si>
  <si>
    <t>Greater Binghamton Airport (Edwin A. Link Field)</t>
  </si>
  <si>
    <t>BGN</t>
  </si>
  <si>
    <t>ETUR</t>
  </si>
  <si>
    <t>RAF Brüggen</t>
  </si>
  <si>
    <t>BGO</t>
  </si>
  <si>
    <t>ENBR</t>
  </si>
  <si>
    <t>Bergen Flesland Airport</t>
  </si>
  <si>
    <t>BGQ</t>
  </si>
  <si>
    <t>PBGQ</t>
  </si>
  <si>
    <t>Big Lake Airport</t>
  </si>
  <si>
    <t>BGR</t>
  </si>
  <si>
    <t>KBGR</t>
  </si>
  <si>
    <t>Bangor International Airport</t>
  </si>
  <si>
    <t>BGT</t>
  </si>
  <si>
    <t>KE51</t>
  </si>
  <si>
    <t>Bagdad Airport</t>
  </si>
  <si>
    <t>BGU</t>
  </si>
  <si>
    <t>FEFG</t>
  </si>
  <si>
    <t>Bangassou Airport</t>
  </si>
  <si>
    <t>BGX</t>
  </si>
  <si>
    <t>SBBG</t>
  </si>
  <si>
    <t>Comandante Gustavo Kraemer Airport</t>
  </si>
  <si>
    <t>BGY</t>
  </si>
  <si>
    <t>LIME</t>
  </si>
  <si>
    <t>Orio al Serio International Airport</t>
  </si>
  <si>
    <t>BGZ</t>
  </si>
  <si>
    <t>LPBR</t>
  </si>
  <si>
    <t>Braga Airport</t>
  </si>
  <si>
    <t>BHA</t>
  </si>
  <si>
    <t>SESV</t>
  </si>
  <si>
    <t>Los Perales</t>
  </si>
  <si>
    <t>BHB</t>
  </si>
  <si>
    <t>KBHB</t>
  </si>
  <si>
    <t>Hancock County-Bar Harbor Airport</t>
  </si>
  <si>
    <t>BHD</t>
  </si>
  <si>
    <t>EGAC</t>
  </si>
  <si>
    <t>George Best Belfast City Airport</t>
  </si>
  <si>
    <t>BHE</t>
  </si>
  <si>
    <t>NZWB</t>
  </si>
  <si>
    <t>Woodbourne Airport</t>
  </si>
  <si>
    <t>BHF</t>
  </si>
  <si>
    <t>SKCP</t>
  </si>
  <si>
    <t>Bahía Cupica Airport</t>
  </si>
  <si>
    <t>BHG</t>
  </si>
  <si>
    <t>MHBL</t>
  </si>
  <si>
    <t>Brus Laguna Airport</t>
  </si>
  <si>
    <t>BHH</t>
  </si>
  <si>
    <t>OEBH</t>
  </si>
  <si>
    <t>Bisha Airport</t>
  </si>
  <si>
    <t>BHI</t>
  </si>
  <si>
    <t>SAZB</t>
  </si>
  <si>
    <t>Comandante Espora Airport</t>
  </si>
  <si>
    <t>BHJ</t>
  </si>
  <si>
    <t>VABJ</t>
  </si>
  <si>
    <t>Bhuj Airport / Bhuj Rudra Mata Air Force Base</t>
  </si>
  <si>
    <t>BHK</t>
  </si>
  <si>
    <t>UTSB</t>
  </si>
  <si>
    <t>Bukhara Airport</t>
  </si>
  <si>
    <t>BHM</t>
  </si>
  <si>
    <t>KBHM</t>
  </si>
  <si>
    <t>Birmingham International Airport</t>
  </si>
  <si>
    <t>BHN</t>
  </si>
  <si>
    <t>OYBN</t>
  </si>
  <si>
    <t>Beihan Airport</t>
  </si>
  <si>
    <t>BHO</t>
  </si>
  <si>
    <t>VABP</t>
  </si>
  <si>
    <t>Bhopal Airport</t>
  </si>
  <si>
    <t>BHP</t>
  </si>
  <si>
    <t>VNBJ</t>
  </si>
  <si>
    <t>Bhojpur Airport</t>
  </si>
  <si>
    <t>BHQ</t>
  </si>
  <si>
    <t>YBHI</t>
  </si>
  <si>
    <t>Broken Hill Airport</t>
  </si>
  <si>
    <t>BHR</t>
  </si>
  <si>
    <t>VNBP</t>
  </si>
  <si>
    <t>Bharatpur Airport</t>
  </si>
  <si>
    <t>BHS</t>
  </si>
  <si>
    <t>YBTH</t>
  </si>
  <si>
    <t>Bathurst Airport</t>
  </si>
  <si>
    <t>BHU</t>
  </si>
  <si>
    <t>VABV</t>
  </si>
  <si>
    <t>Bhavnagar Airport</t>
  </si>
  <si>
    <t>BHV</t>
  </si>
  <si>
    <t>OPBW</t>
  </si>
  <si>
    <t>Bahawalpur Airport</t>
  </si>
  <si>
    <t>BHX</t>
  </si>
  <si>
    <t>EGBB</t>
  </si>
  <si>
    <t>Birmingham Airport</t>
  </si>
  <si>
    <t>BHY</t>
  </si>
  <si>
    <t>ZGBH</t>
  </si>
  <si>
    <t>Beihai Airport</t>
  </si>
  <si>
    <t>BIA</t>
  </si>
  <si>
    <t>LFKB</t>
  </si>
  <si>
    <t>Bastia - Poretta Airport</t>
  </si>
  <si>
    <t>BIB</t>
  </si>
  <si>
    <t>HCMB</t>
  </si>
  <si>
    <t>Baidoa Airport</t>
  </si>
  <si>
    <t>BID</t>
  </si>
  <si>
    <t>KBID</t>
  </si>
  <si>
    <t>Block Island State Airport</t>
  </si>
  <si>
    <t>BIE</t>
  </si>
  <si>
    <t>KBIE</t>
  </si>
  <si>
    <t>Beatrice Municipal Airport</t>
  </si>
  <si>
    <t>BIF</t>
  </si>
  <si>
    <t>KBIF</t>
  </si>
  <si>
    <t>Biggs Army Airfield</t>
  </si>
  <si>
    <t>BIG</t>
  </si>
  <si>
    <t>PABI</t>
  </si>
  <si>
    <t>Allen Army Airfield (formerly Big Delta Army Airfield)</t>
  </si>
  <si>
    <t>BIH</t>
  </si>
  <si>
    <t>KBIH</t>
  </si>
  <si>
    <t>Eastern Sierra Regional Airport</t>
  </si>
  <si>
    <t>BIK</t>
  </si>
  <si>
    <t>WABB</t>
  </si>
  <si>
    <t>Frans Kaisiepo Airport</t>
  </si>
  <si>
    <t>BIL</t>
  </si>
  <si>
    <t>WADL</t>
  </si>
  <si>
    <t>Bandara International Lombok Airport</t>
  </si>
  <si>
    <t>KBIL</t>
  </si>
  <si>
    <t>Billings Logan International Airport</t>
  </si>
  <si>
    <t>BIM</t>
  </si>
  <si>
    <t>MYBS</t>
  </si>
  <si>
    <t>South Bimini Airport</t>
  </si>
  <si>
    <t>BIN</t>
  </si>
  <si>
    <t>OABN</t>
  </si>
  <si>
    <t>Bamyan Airport</t>
  </si>
  <si>
    <t>BIO</t>
  </si>
  <si>
    <t>LEBB</t>
  </si>
  <si>
    <t>Bilbao Airport</t>
  </si>
  <si>
    <t>BIQ</t>
  </si>
  <si>
    <t>LFBZ</t>
  </si>
  <si>
    <t>Biarritz - Anglet - Bayonne Airport</t>
  </si>
  <si>
    <t>BIR</t>
  </si>
  <si>
    <t>VNVT</t>
  </si>
  <si>
    <t>Biratnagar Airport</t>
  </si>
  <si>
    <t>BIS</t>
  </si>
  <si>
    <t>KBIS</t>
  </si>
  <si>
    <t>Bismarck Municipal Airport</t>
  </si>
  <si>
    <t>BIT</t>
  </si>
  <si>
    <t>VNBT</t>
  </si>
  <si>
    <t>Baitadi Airport</t>
  </si>
  <si>
    <t>BIU</t>
  </si>
  <si>
    <t>BIBD</t>
  </si>
  <si>
    <t>Bíldudalur Airport</t>
  </si>
  <si>
    <t>BIV</t>
  </si>
  <si>
    <t>FEFR</t>
  </si>
  <si>
    <t>Bria Airport</t>
  </si>
  <si>
    <t>BIX</t>
  </si>
  <si>
    <t>KBIX</t>
  </si>
  <si>
    <t>Keesler Air Force Base</t>
  </si>
  <si>
    <t>BIY</t>
  </si>
  <si>
    <t>FABE</t>
  </si>
  <si>
    <t>Bisho Airport</t>
  </si>
  <si>
    <t>BJA</t>
  </si>
  <si>
    <t>DAAE</t>
  </si>
  <si>
    <t>Soummam Airport</t>
  </si>
  <si>
    <t>BJB</t>
  </si>
  <si>
    <t>OIMN</t>
  </si>
  <si>
    <t>Bojnord Airport</t>
  </si>
  <si>
    <t>BJC</t>
  </si>
  <si>
    <t>KBJC</t>
  </si>
  <si>
    <t>Rocky Mountain Metropolitan Airport</t>
  </si>
  <si>
    <t>BJD</t>
  </si>
  <si>
    <t>BIBK</t>
  </si>
  <si>
    <t>Bakkafjörður Airport</t>
  </si>
  <si>
    <t>BJF</t>
  </si>
  <si>
    <t>ENBS</t>
  </si>
  <si>
    <t>Båtsfjord Airport</t>
  </si>
  <si>
    <t>BJH</t>
  </si>
  <si>
    <t>VNBG</t>
  </si>
  <si>
    <t>Bajhang Airport</t>
  </si>
  <si>
    <t>BJI</t>
  </si>
  <si>
    <t>KBJI</t>
  </si>
  <si>
    <t>Bemidji Regional Airport</t>
  </si>
  <si>
    <t>BJJ</t>
  </si>
  <si>
    <t>KBJJ</t>
  </si>
  <si>
    <t>Wayne County Airport</t>
  </si>
  <si>
    <t>BJK</t>
  </si>
  <si>
    <t>WAPK</t>
  </si>
  <si>
    <t>Nangasuri Airport</t>
  </si>
  <si>
    <t>BJL</t>
  </si>
  <si>
    <t>GBYD</t>
  </si>
  <si>
    <t>Banjul International Airport</t>
  </si>
  <si>
    <t>BJM</t>
  </si>
  <si>
    <t>HBBA</t>
  </si>
  <si>
    <t>Bujumbura International Airport</t>
  </si>
  <si>
    <t>BJO</t>
  </si>
  <si>
    <t>SLBJ</t>
  </si>
  <si>
    <t>Bermejo Airport</t>
  </si>
  <si>
    <t>BJR</t>
  </si>
  <si>
    <t>HABD</t>
  </si>
  <si>
    <t>Bahar Dar Airport</t>
  </si>
  <si>
    <t>BJU</t>
  </si>
  <si>
    <t>VNBR</t>
  </si>
  <si>
    <t>Bajura Airport</t>
  </si>
  <si>
    <t>BJV</t>
  </si>
  <si>
    <t>LTFE</t>
  </si>
  <si>
    <t>Milas-Bodrum Airport</t>
  </si>
  <si>
    <t>BJW</t>
  </si>
  <si>
    <t>WATB</t>
  </si>
  <si>
    <t>Bajawa Padhameleda Airport</t>
  </si>
  <si>
    <t>WRKB</t>
  </si>
  <si>
    <t>Bajawa Airport</t>
  </si>
  <si>
    <t>BJX</t>
  </si>
  <si>
    <t>MMLO</t>
  </si>
  <si>
    <t>Del Bajío International Airport (Guanajuato Int'l Airport)</t>
  </si>
  <si>
    <t>BJY</t>
  </si>
  <si>
    <t>LYBT</t>
  </si>
  <si>
    <t>Batajnia Air Base</t>
  </si>
  <si>
    <t>BJZ</t>
  </si>
  <si>
    <t>LEBZ</t>
  </si>
  <si>
    <t>Talavera la Real Airport</t>
  </si>
  <si>
    <t>BKA</t>
  </si>
  <si>
    <t>UUBB</t>
  </si>
  <si>
    <t>Bykovo Airport</t>
  </si>
  <si>
    <t>BKB</t>
  </si>
  <si>
    <t>VIBK</t>
  </si>
  <si>
    <t>Nal Airport</t>
  </si>
  <si>
    <t>BKC</t>
  </si>
  <si>
    <t>PABL</t>
  </si>
  <si>
    <t>Buckland Airport</t>
  </si>
  <si>
    <t>BKD</t>
  </si>
  <si>
    <t>KBKD</t>
  </si>
  <si>
    <t>Stephens County Airport</t>
  </si>
  <si>
    <t>BKE</t>
  </si>
  <si>
    <t>KBKE</t>
  </si>
  <si>
    <t>Baker City Municipal Airport</t>
  </si>
  <si>
    <t>BKF</t>
  </si>
  <si>
    <t>KBKF</t>
  </si>
  <si>
    <t>Buckley Air Force Base</t>
  </si>
  <si>
    <t>BKH</t>
  </si>
  <si>
    <t>PHBK</t>
  </si>
  <si>
    <t>Barking Sands PMRF</t>
  </si>
  <si>
    <t>BKI</t>
  </si>
  <si>
    <t>WBKK</t>
  </si>
  <si>
    <t>Kota Kinabalu International Airport</t>
  </si>
  <si>
    <t>BKJ</t>
  </si>
  <si>
    <t>GUOK</t>
  </si>
  <si>
    <t>Boké Airport</t>
  </si>
  <si>
    <t>BKK</t>
  </si>
  <si>
    <t>VTBS</t>
  </si>
  <si>
    <t>Suvarnabhumi Airport</t>
  </si>
  <si>
    <t>BKL</t>
  </si>
  <si>
    <t>KBKL</t>
  </si>
  <si>
    <t>Burke Lakefront Airport</t>
  </si>
  <si>
    <t>BKM</t>
  </si>
  <si>
    <t>WBGQ</t>
  </si>
  <si>
    <t>Bakalalan Airport</t>
  </si>
  <si>
    <t>BKN</t>
  </si>
  <si>
    <t>DRRB</t>
  </si>
  <si>
    <t>Birni Nkoni Airport</t>
  </si>
  <si>
    <t>BKO</t>
  </si>
  <si>
    <t>GABS</t>
  </si>
  <si>
    <t>Senou International Airport</t>
  </si>
  <si>
    <t>BKQ</t>
  </si>
  <si>
    <t>YBCK</t>
  </si>
  <si>
    <t>Blackall Airport</t>
  </si>
  <si>
    <t>BKR</t>
  </si>
  <si>
    <t>FTTK</t>
  </si>
  <si>
    <t>Bokoro Airport</t>
  </si>
  <si>
    <t>BKS</t>
  </si>
  <si>
    <t>WIPL</t>
  </si>
  <si>
    <t>Padang Kemiling Airport (Fatmawati Soekarno Airport)</t>
  </si>
  <si>
    <t>BKT</t>
  </si>
  <si>
    <t>KBKT</t>
  </si>
  <si>
    <t>Allen C. Perkinson Airport / Blackstone Army Airfield</t>
  </si>
  <si>
    <t>BKU</t>
  </si>
  <si>
    <t>FMSV</t>
  </si>
  <si>
    <t>Betioky Airport</t>
  </si>
  <si>
    <t>BKW</t>
  </si>
  <si>
    <t>KBKW</t>
  </si>
  <si>
    <t>Raleigh County Memorial Airport</t>
  </si>
  <si>
    <t>BKX</t>
  </si>
  <si>
    <t>KBKX</t>
  </si>
  <si>
    <t>Brookings Regional Airport</t>
  </si>
  <si>
    <t>BKY</t>
  </si>
  <si>
    <t>FZMA</t>
  </si>
  <si>
    <t>Kuvumu Airport</t>
  </si>
  <si>
    <t>BKZ</t>
  </si>
  <si>
    <t>HTBU</t>
  </si>
  <si>
    <t>Bukoba Airport</t>
  </si>
  <si>
    <t>BLA</t>
  </si>
  <si>
    <t>SVBC</t>
  </si>
  <si>
    <t>Generál José Antonio Anzoátegui International Airport</t>
  </si>
  <si>
    <t>BLB</t>
  </si>
  <si>
    <t>MPHO</t>
  </si>
  <si>
    <t>Howard Airport (private, former Howard AFB)</t>
  </si>
  <si>
    <t>BLC</t>
  </si>
  <si>
    <t>FKKG</t>
  </si>
  <si>
    <t>Bali Airport</t>
  </si>
  <si>
    <t>BLE</t>
  </si>
  <si>
    <t>ESSD</t>
  </si>
  <si>
    <t>Borlänge Airport (Dala Airport)</t>
  </si>
  <si>
    <t>BLF</t>
  </si>
  <si>
    <t>KBLF</t>
  </si>
  <si>
    <t>Mercer County Airport</t>
  </si>
  <si>
    <t>BLG</t>
  </si>
  <si>
    <t>WBGC</t>
  </si>
  <si>
    <t>Belaga Airport</t>
  </si>
  <si>
    <t>BLH</t>
  </si>
  <si>
    <t>KBLH</t>
  </si>
  <si>
    <t>Blythe Airport</t>
  </si>
  <si>
    <t>BLI</t>
  </si>
  <si>
    <t>KBLI</t>
  </si>
  <si>
    <t>Bellingham International Airport</t>
  </si>
  <si>
    <t>BLJ</t>
  </si>
  <si>
    <t>DABT</t>
  </si>
  <si>
    <t>Batna Airport</t>
  </si>
  <si>
    <t>BLK</t>
  </si>
  <si>
    <t>EGNH</t>
  </si>
  <si>
    <t>Blackpool International Airport</t>
  </si>
  <si>
    <t>BLL</t>
  </si>
  <si>
    <t>EKBI</t>
  </si>
  <si>
    <t>Billund Airport</t>
  </si>
  <si>
    <t>BLM</t>
  </si>
  <si>
    <t>KBLM</t>
  </si>
  <si>
    <t>Monmouth Executive Airport</t>
  </si>
  <si>
    <t>BLN</t>
  </si>
  <si>
    <t>YBLA</t>
  </si>
  <si>
    <t>Benalla Airport</t>
  </si>
  <si>
    <t>BLO</t>
  </si>
  <si>
    <t>BIBL</t>
  </si>
  <si>
    <t>Hjaltabakki Airport</t>
  </si>
  <si>
    <t>BLP</t>
  </si>
  <si>
    <t>SPBL</t>
  </si>
  <si>
    <t>Huallaga Airport</t>
  </si>
  <si>
    <t>BLQ</t>
  </si>
  <si>
    <t>LIPE</t>
  </si>
  <si>
    <t>Bologna-Borgo Panigale "Guglielmo Marconi" Airport</t>
  </si>
  <si>
    <t>BLR</t>
  </si>
  <si>
    <t>VOBL</t>
  </si>
  <si>
    <t>Kempegowda International Airport</t>
  </si>
  <si>
    <t>BLS</t>
  </si>
  <si>
    <t>YBLL</t>
  </si>
  <si>
    <t>Bollon Airport</t>
  </si>
  <si>
    <t>BLT</t>
  </si>
  <si>
    <t>YBTR</t>
  </si>
  <si>
    <t>Blackwater Airport</t>
  </si>
  <si>
    <t>BLU</t>
  </si>
  <si>
    <t>KBLU</t>
  </si>
  <si>
    <t>Blue Canyon - Nyack Airport</t>
  </si>
  <si>
    <t>BLV</t>
  </si>
  <si>
    <t>KBLV</t>
  </si>
  <si>
    <t>MidAmerica St. Louis Airport / Scott Air Force Base</t>
  </si>
  <si>
    <t>BLX</t>
  </si>
  <si>
    <t>LIDB</t>
  </si>
  <si>
    <t>Arturo dell'Oro</t>
  </si>
  <si>
    <t>BLY</t>
  </si>
  <si>
    <t>EIBT</t>
  </si>
  <si>
    <t>Belmullet Airport</t>
  </si>
  <si>
    <t>BLZ</t>
  </si>
  <si>
    <t>FWCL</t>
  </si>
  <si>
    <t>Chileka International Airport</t>
  </si>
  <si>
    <t>BMA</t>
  </si>
  <si>
    <t>ESSB</t>
  </si>
  <si>
    <t>Stockholm-Bromma Airport</t>
  </si>
  <si>
    <t>BMB</t>
  </si>
  <si>
    <t>FZFU</t>
  </si>
  <si>
    <t>Bumbar Airport</t>
  </si>
  <si>
    <t>BMC</t>
  </si>
  <si>
    <t>KBMC</t>
  </si>
  <si>
    <t>Brigham City Airport</t>
  </si>
  <si>
    <t>BMD</t>
  </si>
  <si>
    <t>FMML</t>
  </si>
  <si>
    <t>Belo sur Tsiribihina Airport</t>
  </si>
  <si>
    <t>BME</t>
  </si>
  <si>
    <t>YBRM</t>
  </si>
  <si>
    <t>Broome International Airport</t>
  </si>
  <si>
    <t>BMF</t>
  </si>
  <si>
    <t>FEGM</t>
  </si>
  <si>
    <t>Bakouma Airport</t>
  </si>
  <si>
    <t>BMG</t>
  </si>
  <si>
    <t>KBMG</t>
  </si>
  <si>
    <t>Monroe County Airport</t>
  </si>
  <si>
    <t>BMI</t>
  </si>
  <si>
    <t>KBMI</t>
  </si>
  <si>
    <t>Central Illinois Regional Airport</t>
  </si>
  <si>
    <t>BMJ</t>
  </si>
  <si>
    <t>SYBR</t>
  </si>
  <si>
    <t>Baramita Airport</t>
  </si>
  <si>
    <t>BMK</t>
  </si>
  <si>
    <t>EDWR</t>
  </si>
  <si>
    <t>Borkum Airport</t>
  </si>
  <si>
    <t>BML</t>
  </si>
  <si>
    <t>KBML</t>
  </si>
  <si>
    <t>Berlin Municipal Airport</t>
  </si>
  <si>
    <t>BMM</t>
  </si>
  <si>
    <t>FOOB</t>
  </si>
  <si>
    <t>Bitam Airport</t>
  </si>
  <si>
    <t>BMN</t>
  </si>
  <si>
    <t>ORBB</t>
  </si>
  <si>
    <t>Bamarni Airport</t>
  </si>
  <si>
    <t>BMO</t>
  </si>
  <si>
    <t>VYBM</t>
  </si>
  <si>
    <t>Bhamo Airport</t>
  </si>
  <si>
    <t>BMP</t>
  </si>
  <si>
    <t>YBPI</t>
  </si>
  <si>
    <t>Brampton Island Airport</t>
  </si>
  <si>
    <t>BMR</t>
  </si>
  <si>
    <t>EDWZ</t>
  </si>
  <si>
    <t>Baltrum Airport</t>
  </si>
  <si>
    <t>BMS</t>
  </si>
  <si>
    <t>SNBU</t>
  </si>
  <si>
    <t>Socrates Mariani Bittencourt Airport</t>
  </si>
  <si>
    <t>BMT</t>
  </si>
  <si>
    <t>KBMT</t>
  </si>
  <si>
    <t>Beaumont Municipal Airport</t>
  </si>
  <si>
    <t>BMU</t>
  </si>
  <si>
    <t>WADB</t>
  </si>
  <si>
    <t>Bima Airport</t>
  </si>
  <si>
    <t>BMV</t>
  </si>
  <si>
    <t>VVBM</t>
  </si>
  <si>
    <t>Phung-Duc Airport</t>
  </si>
  <si>
    <t>BMW</t>
  </si>
  <si>
    <t>DATM</t>
  </si>
  <si>
    <t>Bordj Badji Mokhtar Airport</t>
  </si>
  <si>
    <t>BMX</t>
  </si>
  <si>
    <t>PABM</t>
  </si>
  <si>
    <t>Big Mountain Airport</t>
  </si>
  <si>
    <t>BMY</t>
  </si>
  <si>
    <t>NWWC</t>
  </si>
  <si>
    <t>Île Art - Waala Airport (Belep Islands Airport)</t>
  </si>
  <si>
    <t>BNA</t>
  </si>
  <si>
    <t>KBNA</t>
  </si>
  <si>
    <t>Nashville International Airport</t>
  </si>
  <si>
    <t>BNB</t>
  </si>
  <si>
    <t>FZGN</t>
  </si>
  <si>
    <t>Boende Airport</t>
  </si>
  <si>
    <t>BNC</t>
  </si>
  <si>
    <t>FZNP</t>
  </si>
  <si>
    <t>Beni Airport</t>
  </si>
  <si>
    <t>BND</t>
  </si>
  <si>
    <t>OIKB</t>
  </si>
  <si>
    <t>Bandar Abbas International Airport</t>
  </si>
  <si>
    <t>BNE</t>
  </si>
  <si>
    <t>YBBN</t>
  </si>
  <si>
    <t>Brisbane Airport</t>
  </si>
  <si>
    <t>BNG</t>
  </si>
  <si>
    <t>KBNG</t>
  </si>
  <si>
    <t>Banning Municipal Airport</t>
  </si>
  <si>
    <t>BNI</t>
  </si>
  <si>
    <t>DNBE</t>
  </si>
  <si>
    <t>Benin City Airport</t>
  </si>
  <si>
    <t>BNK</t>
  </si>
  <si>
    <t>YBNA</t>
  </si>
  <si>
    <t>Ballina Airport</t>
  </si>
  <si>
    <t>BNL</t>
  </si>
  <si>
    <t>KBNL</t>
  </si>
  <si>
    <t>Barnwell Regional Airport</t>
  </si>
  <si>
    <t>BNN</t>
  </si>
  <si>
    <t>ENBN</t>
  </si>
  <si>
    <t>Brønnøysund Airport, Brønnøy</t>
  </si>
  <si>
    <t>BNO</t>
  </si>
  <si>
    <t>KBNO</t>
  </si>
  <si>
    <t>Burns Municipal Airport</t>
  </si>
  <si>
    <t>BNP</t>
  </si>
  <si>
    <t>OPBN</t>
  </si>
  <si>
    <t>Bannu Airport</t>
  </si>
  <si>
    <t>BNR</t>
  </si>
  <si>
    <t>DFOB</t>
  </si>
  <si>
    <t>Banfora Airport</t>
  </si>
  <si>
    <t>BNS</t>
  </si>
  <si>
    <t>SVBI</t>
  </si>
  <si>
    <t>Barinas Airport</t>
  </si>
  <si>
    <t>BNU</t>
  </si>
  <si>
    <t>SSBL</t>
  </si>
  <si>
    <t>Blumenau Airport</t>
  </si>
  <si>
    <t>BNW</t>
  </si>
  <si>
    <t>KBNW</t>
  </si>
  <si>
    <t>Boone Municipal Airport</t>
  </si>
  <si>
    <t>BNX</t>
  </si>
  <si>
    <t>LQBK</t>
  </si>
  <si>
    <t>Banja Luka International Airport</t>
  </si>
  <si>
    <t>BNY</t>
  </si>
  <si>
    <t>AGGB</t>
  </si>
  <si>
    <t>Bellona/Anua Airport</t>
  </si>
  <si>
    <t>BOA</t>
  </si>
  <si>
    <t>FZAJ</t>
  </si>
  <si>
    <t>Boma Airport</t>
  </si>
  <si>
    <t>BOB</t>
  </si>
  <si>
    <t>NTTB</t>
  </si>
  <si>
    <t>Bora Bora Airport (Motu Mute Airport)</t>
  </si>
  <si>
    <t>BOC</t>
  </si>
  <si>
    <t>MPBO</t>
  </si>
  <si>
    <t>Bocas del Toro "Isla Colon" International Airport</t>
  </si>
  <si>
    <t>BOD</t>
  </si>
  <si>
    <t>LFBD</t>
  </si>
  <si>
    <t>Bordeaux - Mérignac Airport</t>
  </si>
  <si>
    <t>BOE</t>
  </si>
  <si>
    <t>FCOB</t>
  </si>
  <si>
    <t>Boundji Airport</t>
  </si>
  <si>
    <t>BOF</t>
  </si>
  <si>
    <t>KBOF</t>
  </si>
  <si>
    <t>Bolling Air Force Base</t>
  </si>
  <si>
    <t>BOG</t>
  </si>
  <si>
    <t>SKBO</t>
  </si>
  <si>
    <t>El Dorado International Airport</t>
  </si>
  <si>
    <t>BOH</t>
  </si>
  <si>
    <t>EGHH</t>
  </si>
  <si>
    <t>Bournemouth Airport</t>
  </si>
  <si>
    <t>BOI</t>
  </si>
  <si>
    <t>KBOI</t>
  </si>
  <si>
    <t>Boise Air Terminal (Gowen Field)</t>
  </si>
  <si>
    <t>BOJ</t>
  </si>
  <si>
    <t>LBBG</t>
  </si>
  <si>
    <t>Burgas Airport</t>
  </si>
  <si>
    <t>BOK</t>
  </si>
  <si>
    <t>KBOK</t>
  </si>
  <si>
    <t>Brookings Airport</t>
  </si>
  <si>
    <t>BOL</t>
  </si>
  <si>
    <t>EGQB</t>
  </si>
  <si>
    <t>Bally Kelly Airport</t>
  </si>
  <si>
    <t>BOM</t>
  </si>
  <si>
    <t>VABB</t>
  </si>
  <si>
    <t>Chhatrapati Shivaji Maharaj International Airport</t>
  </si>
  <si>
    <t>BON</t>
  </si>
  <si>
    <t>TNCB</t>
  </si>
  <si>
    <t>Flamingo International Airport</t>
  </si>
  <si>
    <t>BOO</t>
  </si>
  <si>
    <t>ENBO</t>
  </si>
  <si>
    <t>Bodø Airport</t>
  </si>
  <si>
    <t>BOP</t>
  </si>
  <si>
    <t>FEFO</t>
  </si>
  <si>
    <t>Bouar Airport</t>
  </si>
  <si>
    <t>BOR</t>
  </si>
  <si>
    <t>LFSQ</t>
  </si>
  <si>
    <t>Belfort - Fontaine Airport</t>
  </si>
  <si>
    <t>BOS</t>
  </si>
  <si>
    <t>KBOS</t>
  </si>
  <si>
    <t>Logan International Airport</t>
  </si>
  <si>
    <t>BOU</t>
  </si>
  <si>
    <t>LFLD</t>
  </si>
  <si>
    <t>Bourges Airport</t>
  </si>
  <si>
    <t>BOW</t>
  </si>
  <si>
    <t>KBOW</t>
  </si>
  <si>
    <t>Bartow Municipal Airport</t>
  </si>
  <si>
    <t>BOX</t>
  </si>
  <si>
    <t>YBRL</t>
  </si>
  <si>
    <t>Borroloola Airport</t>
  </si>
  <si>
    <t>BOY</t>
  </si>
  <si>
    <t>DFOO</t>
  </si>
  <si>
    <t>Bobo-Dioulasso Airport</t>
  </si>
  <si>
    <t>BOZ</t>
  </si>
  <si>
    <t>FEGZ</t>
  </si>
  <si>
    <t>Bozoum Airport</t>
  </si>
  <si>
    <t>BPC</t>
  </si>
  <si>
    <t>FKKV</t>
  </si>
  <si>
    <t>Bamenda Airport</t>
  </si>
  <si>
    <t>BPE</t>
  </si>
  <si>
    <t>VYBG</t>
  </si>
  <si>
    <t>Bagan Airport</t>
  </si>
  <si>
    <t>BPF</t>
  </si>
  <si>
    <t>AGBT</t>
  </si>
  <si>
    <t>Batuna Airport</t>
  </si>
  <si>
    <t>BPG</t>
  </si>
  <si>
    <t>SBBW</t>
  </si>
  <si>
    <t>Barra do Garças Airport</t>
  </si>
  <si>
    <t>BPH</t>
  </si>
  <si>
    <t>RPMF</t>
  </si>
  <si>
    <t>Bislig Airport</t>
  </si>
  <si>
    <t>BPI</t>
  </si>
  <si>
    <t>KBPI</t>
  </si>
  <si>
    <t>Big Piney-Marbleton Airport</t>
  </si>
  <si>
    <t>BPL</t>
  </si>
  <si>
    <t>ZWBL</t>
  </si>
  <si>
    <t>Alashankou Bole (Bortala) airport</t>
  </si>
  <si>
    <t>BPN</t>
  </si>
  <si>
    <t>WALL</t>
  </si>
  <si>
    <t>Sepinggan International Airport</t>
  </si>
  <si>
    <t>BPR</t>
  </si>
  <si>
    <t>RPVW</t>
  </si>
  <si>
    <t>Borongan Airport</t>
  </si>
  <si>
    <t>BPS</t>
  </si>
  <si>
    <t>SBPS</t>
  </si>
  <si>
    <t>Porto Seguro Airport</t>
  </si>
  <si>
    <t>BPT</t>
  </si>
  <si>
    <t>KBPT</t>
  </si>
  <si>
    <t>Southeast Texas Regional Airport</t>
  </si>
  <si>
    <t>BPX</t>
  </si>
  <si>
    <t>ZUBD</t>
  </si>
  <si>
    <t>Qamdo Bangda Airport</t>
  </si>
  <si>
    <t>BPY</t>
  </si>
  <si>
    <t>FMNQ</t>
  </si>
  <si>
    <t>Besalampy Airport</t>
  </si>
  <si>
    <t>BQA</t>
  </si>
  <si>
    <t>RPUR</t>
  </si>
  <si>
    <t>Baler Airport</t>
  </si>
  <si>
    <t>BQB</t>
  </si>
  <si>
    <t>YBLN</t>
  </si>
  <si>
    <t>Busselton Regional Airport</t>
  </si>
  <si>
    <t>BQD</t>
  </si>
  <si>
    <t>BIBR</t>
  </si>
  <si>
    <t>Búðardalur Airport</t>
  </si>
  <si>
    <t>BQE</t>
  </si>
  <si>
    <t>GGBU</t>
  </si>
  <si>
    <t>Bubaque Airport</t>
  </si>
  <si>
    <t>BQG</t>
  </si>
  <si>
    <t>UHNB</t>
  </si>
  <si>
    <t>Bogorodskoye Airport</t>
  </si>
  <si>
    <t>BQH</t>
  </si>
  <si>
    <t>EGKB</t>
  </si>
  <si>
    <t>London Biggin Hill Airport</t>
  </si>
  <si>
    <t>BQK</t>
  </si>
  <si>
    <t>KBQK</t>
  </si>
  <si>
    <t>Brunswick Golden Isles Airport</t>
  </si>
  <si>
    <t>BQL</t>
  </si>
  <si>
    <t>YBOU</t>
  </si>
  <si>
    <t>Boulia Airport</t>
  </si>
  <si>
    <t>BQN</t>
  </si>
  <si>
    <t>TJBQ</t>
  </si>
  <si>
    <t>Rafael Hernández Airport</t>
  </si>
  <si>
    <t>BQO</t>
  </si>
  <si>
    <t>DIBN</t>
  </si>
  <si>
    <t>Bouna Airport</t>
  </si>
  <si>
    <t>BQQ</t>
  </si>
  <si>
    <t>SNBX</t>
  </si>
  <si>
    <t>Barra Airport</t>
  </si>
  <si>
    <t>BQS</t>
  </si>
  <si>
    <t>UHBB</t>
  </si>
  <si>
    <t>Ignatyevo Airport</t>
  </si>
  <si>
    <t>BQT</t>
  </si>
  <si>
    <t>UMBB</t>
  </si>
  <si>
    <t>Brest Airport</t>
  </si>
  <si>
    <t>BQU</t>
  </si>
  <si>
    <t>TVSB</t>
  </si>
  <si>
    <t>J.F. Mitchell Airport</t>
  </si>
  <si>
    <t>BQW</t>
  </si>
  <si>
    <t>YBGO</t>
  </si>
  <si>
    <t>Balgo Hill Airport</t>
  </si>
  <si>
    <t>BRA</t>
  </si>
  <si>
    <t>SNBR</t>
  </si>
  <si>
    <t>Barreiras Airport</t>
  </si>
  <si>
    <t>BRB</t>
  </si>
  <si>
    <t>SBRR</t>
  </si>
  <si>
    <t>Barreirinhas Airport</t>
  </si>
  <si>
    <t>BRC</t>
  </si>
  <si>
    <t>SAZS</t>
  </si>
  <si>
    <t>San Carlos de Bariloche International Airport</t>
  </si>
  <si>
    <t>BRD</t>
  </si>
  <si>
    <t>KBRD</t>
  </si>
  <si>
    <t>Brainerd Lakes Regional Airport</t>
  </si>
  <si>
    <t>BRE</t>
  </si>
  <si>
    <t>EDDW</t>
  </si>
  <si>
    <t>Bremen Airport</t>
  </si>
  <si>
    <t>BRI</t>
  </si>
  <si>
    <t>LIBD</t>
  </si>
  <si>
    <t>Palese Macchie Airport</t>
  </si>
  <si>
    <t>BRK</t>
  </si>
  <si>
    <t>YBKE</t>
  </si>
  <si>
    <t>Bourke Airport</t>
  </si>
  <si>
    <t>BRL</t>
  </si>
  <si>
    <t>KBRL</t>
  </si>
  <si>
    <t>Southeast Iowa Regional Airport</t>
  </si>
  <si>
    <t>BRM</t>
  </si>
  <si>
    <t>SVBM</t>
  </si>
  <si>
    <t>Jacinto Lara International Airport</t>
  </si>
  <si>
    <t>BRN</t>
  </si>
  <si>
    <t>LSZB</t>
  </si>
  <si>
    <t>Bern Airport</t>
  </si>
  <si>
    <t>BRO</t>
  </si>
  <si>
    <t>KBRO</t>
  </si>
  <si>
    <t>Brownsville/South Padre Island International Airport</t>
  </si>
  <si>
    <t>BRQ</t>
  </si>
  <si>
    <t>LKTB</t>
  </si>
  <si>
    <t>Brno-Tu?any Airport</t>
  </si>
  <si>
    <t>BRR</t>
  </si>
  <si>
    <t>EGPR</t>
  </si>
  <si>
    <t>Barra Airport (Northbay Airport)</t>
  </si>
  <si>
    <t>BRS</t>
  </si>
  <si>
    <t>EGGD</t>
  </si>
  <si>
    <t>Bristol Airport</t>
  </si>
  <si>
    <t>BRT</t>
  </si>
  <si>
    <t>YBTI</t>
  </si>
  <si>
    <t>Bathurst Island Airport</t>
  </si>
  <si>
    <t>BRU</t>
  </si>
  <si>
    <t>EBBR</t>
  </si>
  <si>
    <t>Brussels Airport</t>
  </si>
  <si>
    <t>BRV</t>
  </si>
  <si>
    <t>EDWB</t>
  </si>
  <si>
    <t>Bremerhaven Airport</t>
  </si>
  <si>
    <t>BRW</t>
  </si>
  <si>
    <t>PABR</t>
  </si>
  <si>
    <t>Wiley Post-Will Rogers Memorial Airport</t>
  </si>
  <si>
    <t>BRX</t>
  </si>
  <si>
    <t>MDBH</t>
  </si>
  <si>
    <t>Maria Montez International Airport</t>
  </si>
  <si>
    <t>BRY</t>
  </si>
  <si>
    <t>KBRY</t>
  </si>
  <si>
    <t>Samuels Field</t>
  </si>
  <si>
    <t>BSA</t>
  </si>
  <si>
    <t>HCMF</t>
  </si>
  <si>
    <t>Bender Qassim International Airport</t>
  </si>
  <si>
    <t>BSB</t>
  </si>
  <si>
    <t>SBBR</t>
  </si>
  <si>
    <t>Presidente Juscelino Kubitschek International Airport</t>
  </si>
  <si>
    <t>BSC</t>
  </si>
  <si>
    <t>SKBS</t>
  </si>
  <si>
    <t>José Celestino Mutis Airport</t>
  </si>
  <si>
    <t>BSD</t>
  </si>
  <si>
    <t>ZPBS</t>
  </si>
  <si>
    <t>Baoshan Airport</t>
  </si>
  <si>
    <t>BSE</t>
  </si>
  <si>
    <t>WBGN</t>
  </si>
  <si>
    <t>Sematan Airport</t>
  </si>
  <si>
    <t>BSF</t>
  </si>
  <si>
    <t>PHSF</t>
  </si>
  <si>
    <t>Bradshaw Army Airfield</t>
  </si>
  <si>
    <t>BSG</t>
  </si>
  <si>
    <t>FGBT</t>
  </si>
  <si>
    <t>Bata Airport</t>
  </si>
  <si>
    <t>BSJ</t>
  </si>
  <si>
    <t>YBNS</t>
  </si>
  <si>
    <t>Bairnsdale Airport</t>
  </si>
  <si>
    <t>BSK</t>
  </si>
  <si>
    <t>DAUB</t>
  </si>
  <si>
    <t>Biskra Airport</t>
  </si>
  <si>
    <t>BSL</t>
  </si>
  <si>
    <t>LFSB</t>
  </si>
  <si>
    <t>EuroAirport Basel Mulhouse Freiburg</t>
  </si>
  <si>
    <t>BSM</t>
  </si>
  <si>
    <t>OINJ</t>
  </si>
  <si>
    <t>Bishe Kola Air Base</t>
  </si>
  <si>
    <t>BSN</t>
  </si>
  <si>
    <t>FEFS</t>
  </si>
  <si>
    <t>Bossangoa Airport</t>
  </si>
  <si>
    <t>BSO</t>
  </si>
  <si>
    <t>RPUO</t>
  </si>
  <si>
    <t>Basco Airport</t>
  </si>
  <si>
    <t>BSR</t>
  </si>
  <si>
    <t>ORMM</t>
  </si>
  <si>
    <t>Basrah International Airport</t>
  </si>
  <si>
    <t>BSS</t>
  </si>
  <si>
    <t>SNBS</t>
  </si>
  <si>
    <t>Balsas Airport</t>
  </si>
  <si>
    <t>BST</t>
  </si>
  <si>
    <t>OABT</t>
  </si>
  <si>
    <t>Bost Airport</t>
  </si>
  <si>
    <t>BSU</t>
  </si>
  <si>
    <t>FZEN</t>
  </si>
  <si>
    <t>Basankusu Airport</t>
  </si>
  <si>
    <t>BSX</t>
  </si>
  <si>
    <t>VYPN</t>
  </si>
  <si>
    <t>Bassein Airport</t>
  </si>
  <si>
    <t>BSY</t>
  </si>
  <si>
    <t>HCMD</t>
  </si>
  <si>
    <t>Bardera Airport</t>
  </si>
  <si>
    <t>BTA</t>
  </si>
  <si>
    <t>FKKO</t>
  </si>
  <si>
    <t>Bertoua Airport</t>
  </si>
  <si>
    <t>BTB</t>
  </si>
  <si>
    <t>FCOT</t>
  </si>
  <si>
    <t>Betou Airport</t>
  </si>
  <si>
    <t>BTC</t>
  </si>
  <si>
    <t>VCCB</t>
  </si>
  <si>
    <t>Batticaloa Airport</t>
  </si>
  <si>
    <t>BTE</t>
  </si>
  <si>
    <t>GFBN</t>
  </si>
  <si>
    <t>Bonthe Airport</t>
  </si>
  <si>
    <t>BTF</t>
  </si>
  <si>
    <t>KBTF</t>
  </si>
  <si>
    <t>Skypark Airport</t>
  </si>
  <si>
    <t>BTG</t>
  </si>
  <si>
    <t>FEGF</t>
  </si>
  <si>
    <t>Batangafo Airport</t>
  </si>
  <si>
    <t>BTH</t>
  </si>
  <si>
    <t>WIDD</t>
  </si>
  <si>
    <t>Hang Nadim Airport</t>
  </si>
  <si>
    <t>BTI</t>
  </si>
  <si>
    <t>PABA</t>
  </si>
  <si>
    <t>Barter Island LRRS</t>
  </si>
  <si>
    <t>BTJ</t>
  </si>
  <si>
    <t>WITT</t>
  </si>
  <si>
    <t>Sultan Iskandarmuda Airport</t>
  </si>
  <si>
    <t>BTK</t>
  </si>
  <si>
    <t>UIBB</t>
  </si>
  <si>
    <t>Bratsk Airport</t>
  </si>
  <si>
    <t>BTL</t>
  </si>
  <si>
    <t>KBTL</t>
  </si>
  <si>
    <t>W. K. Kellogg Airport</t>
  </si>
  <si>
    <t>BTM</t>
  </si>
  <si>
    <t>KBTM</t>
  </si>
  <si>
    <t>Bert Mooney Airport</t>
  </si>
  <si>
    <t>BTN</t>
  </si>
  <si>
    <t>KBBP</t>
  </si>
  <si>
    <t>Marlboro County Jetport</t>
  </si>
  <si>
    <t>BTP</t>
  </si>
  <si>
    <t>KBTP</t>
  </si>
  <si>
    <t>Butler County Airport (K.W. Scholter Field)</t>
  </si>
  <si>
    <t>BTQ</t>
  </si>
  <si>
    <t>HRYI</t>
  </si>
  <si>
    <t>Butare Airport</t>
  </si>
  <si>
    <t>BTR</t>
  </si>
  <si>
    <t>KBTR</t>
  </si>
  <si>
    <t>Baton Rouge Metropolitan Airport (Ryan Field)</t>
  </si>
  <si>
    <t>BTS</t>
  </si>
  <si>
    <t>LZIB</t>
  </si>
  <si>
    <t>Bratislava Airport</t>
  </si>
  <si>
    <t>BTT</t>
  </si>
  <si>
    <t>PABT</t>
  </si>
  <si>
    <t>Bettles Airport</t>
  </si>
  <si>
    <t>BTU</t>
  </si>
  <si>
    <t>WBGB</t>
  </si>
  <si>
    <t>Bintulu Airport</t>
  </si>
  <si>
    <t>BTV</t>
  </si>
  <si>
    <t>KBTV</t>
  </si>
  <si>
    <t>Burlington International Airport</t>
  </si>
  <si>
    <t>BTW</t>
  </si>
  <si>
    <t>WAOC</t>
  </si>
  <si>
    <t>Batu Licin Airport</t>
  </si>
  <si>
    <t>BTX</t>
  </si>
  <si>
    <t>YBEO</t>
  </si>
  <si>
    <t>Betoota Airport</t>
  </si>
  <si>
    <t>BTY</t>
  </si>
  <si>
    <t>KBTY</t>
  </si>
  <si>
    <t>Beatty Airport</t>
  </si>
  <si>
    <t>BTZ</t>
  </si>
  <si>
    <t>LTBE</t>
  </si>
  <si>
    <t>Bursa Airport</t>
  </si>
  <si>
    <t>BUA</t>
  </si>
  <si>
    <t>AYBK</t>
  </si>
  <si>
    <t>Buka Island Airport</t>
  </si>
  <si>
    <t>BUB</t>
  </si>
  <si>
    <t>KBUB</t>
  </si>
  <si>
    <t>Cram Field</t>
  </si>
  <si>
    <t>BUC</t>
  </si>
  <si>
    <t>YBKT</t>
  </si>
  <si>
    <t>Burketown Airport</t>
  </si>
  <si>
    <t>BUD</t>
  </si>
  <si>
    <t>LHBP</t>
  </si>
  <si>
    <t>Budapest Ferenc Liszt International Airport</t>
  </si>
  <si>
    <t>BUF</t>
  </si>
  <si>
    <t>KBUF</t>
  </si>
  <si>
    <t>Buffalo Niagara International Airport</t>
  </si>
  <si>
    <t>BUG</t>
  </si>
  <si>
    <t>FNBG</t>
  </si>
  <si>
    <t>Benguela Airport (Gen. V. Deslandes Airport)</t>
  </si>
  <si>
    <t>BUI</t>
  </si>
  <si>
    <t>WAJB</t>
  </si>
  <si>
    <t>Bokondini Airport</t>
  </si>
  <si>
    <t>BUJ</t>
  </si>
  <si>
    <t>DAAD</t>
  </si>
  <si>
    <t>Ain Eddis Airport</t>
  </si>
  <si>
    <t>BUM</t>
  </si>
  <si>
    <t>KBUM</t>
  </si>
  <si>
    <t>Butler Memorial Airport</t>
  </si>
  <si>
    <t>BUN</t>
  </si>
  <si>
    <t>SKBU</t>
  </si>
  <si>
    <t>Gerardo Tobar López Airport</t>
  </si>
  <si>
    <t>BUO</t>
  </si>
  <si>
    <t>HCMV</t>
  </si>
  <si>
    <t>Burao Airport</t>
  </si>
  <si>
    <t>BUP</t>
  </si>
  <si>
    <t>VIBT</t>
  </si>
  <si>
    <t>Bhisiana Air Force Base</t>
  </si>
  <si>
    <t>BUQ</t>
  </si>
  <si>
    <t>FVBU</t>
  </si>
  <si>
    <t>Joshua Mqabuko Nkomo International Airport</t>
  </si>
  <si>
    <t>BUR</t>
  </si>
  <si>
    <t>KBUR</t>
  </si>
  <si>
    <t>Bob Hope Airport</t>
  </si>
  <si>
    <t>BUS</t>
  </si>
  <si>
    <t>UGSB</t>
  </si>
  <si>
    <t>Batumi Airport (Chorokh Airport)</t>
  </si>
  <si>
    <t>BUT</t>
  </si>
  <si>
    <t>VQBT</t>
  </si>
  <si>
    <t>Bathpalathang Airport</t>
  </si>
  <si>
    <t>BUV</t>
  </si>
  <si>
    <t>SUBU</t>
  </si>
  <si>
    <t>Bella Unión Airport</t>
  </si>
  <si>
    <t>BUW</t>
  </si>
  <si>
    <t>WAWB</t>
  </si>
  <si>
    <t>Baubau Airport (Betoambari Airport)</t>
  </si>
  <si>
    <t>BUX</t>
  </si>
  <si>
    <t>FZKA</t>
  </si>
  <si>
    <t>Bunia Airport</t>
  </si>
  <si>
    <t>BUY</t>
  </si>
  <si>
    <t>YBUN</t>
  </si>
  <si>
    <t>Bunbury Airport</t>
  </si>
  <si>
    <t>BUZ</t>
  </si>
  <si>
    <t>OIBB</t>
  </si>
  <si>
    <t>Bushehr Airport</t>
  </si>
  <si>
    <t>BVA</t>
  </si>
  <si>
    <t>LFOB</t>
  </si>
  <si>
    <t>Paris Beauvais Tillé Airport</t>
  </si>
  <si>
    <t>BVB</t>
  </si>
  <si>
    <t>SBBV</t>
  </si>
  <si>
    <t>Boa Vista International Airport</t>
  </si>
  <si>
    <t>BVC</t>
  </si>
  <si>
    <t>GVBA</t>
  </si>
  <si>
    <t>Rabil Airport</t>
  </si>
  <si>
    <t>BVE</t>
  </si>
  <si>
    <t>LFBV</t>
  </si>
  <si>
    <t>Brive - La Roche Airport</t>
  </si>
  <si>
    <t>BVF</t>
  </si>
  <si>
    <t>NFNU</t>
  </si>
  <si>
    <t>Dama Airport</t>
  </si>
  <si>
    <t>BVG</t>
  </si>
  <si>
    <t>ENBV</t>
  </si>
  <si>
    <t>Berlevåg Airport</t>
  </si>
  <si>
    <t>BVH</t>
  </si>
  <si>
    <t>SBVH</t>
  </si>
  <si>
    <t>Vilhena Airport</t>
  </si>
  <si>
    <t>BVI</t>
  </si>
  <si>
    <t>YBDV</t>
  </si>
  <si>
    <t>Birdsville Airport</t>
  </si>
  <si>
    <t>BVK</t>
  </si>
  <si>
    <t>SLHJ</t>
  </si>
  <si>
    <t>Huacaraje Airport</t>
  </si>
  <si>
    <t>BVL</t>
  </si>
  <si>
    <t>SLBA</t>
  </si>
  <si>
    <t>Baures Airport</t>
  </si>
  <si>
    <t>SLBU</t>
  </si>
  <si>
    <t>BVM</t>
  </si>
  <si>
    <t>SNBL</t>
  </si>
  <si>
    <t>Belmonte Airport</t>
  </si>
  <si>
    <t>BVO</t>
  </si>
  <si>
    <t>KBVO</t>
  </si>
  <si>
    <t>Bartlesville Municipal Airport</t>
  </si>
  <si>
    <t>BVR</t>
  </si>
  <si>
    <t>GVBR</t>
  </si>
  <si>
    <t>Esparadinha Airport</t>
  </si>
  <si>
    <t>BVS</t>
  </si>
  <si>
    <t>SNVS</t>
  </si>
  <si>
    <t>Breves Airport</t>
  </si>
  <si>
    <t>BVU</t>
  </si>
  <si>
    <t>PABG</t>
  </si>
  <si>
    <t>Beluga Airport</t>
  </si>
  <si>
    <t>BVX</t>
  </si>
  <si>
    <t>KBVX</t>
  </si>
  <si>
    <t>Batesville Regional Airport</t>
  </si>
  <si>
    <t>BVY</t>
  </si>
  <si>
    <t>KBVY</t>
  </si>
  <si>
    <t>Beverly Municipal Airport</t>
  </si>
  <si>
    <t>BVZ</t>
  </si>
  <si>
    <t>YBYS</t>
  </si>
  <si>
    <t>Beverley Springs Airport</t>
  </si>
  <si>
    <t>BWA</t>
  </si>
  <si>
    <t>VNBW</t>
  </si>
  <si>
    <t>Gautam Buddha Airport</t>
  </si>
  <si>
    <t>BWB</t>
  </si>
  <si>
    <t>YBWX</t>
  </si>
  <si>
    <t>Barrow Island Airport</t>
  </si>
  <si>
    <t>BWC</t>
  </si>
  <si>
    <t>KBWC</t>
  </si>
  <si>
    <t>Brawley Municipal Airport</t>
  </si>
  <si>
    <t>BWD</t>
  </si>
  <si>
    <t>KBWD</t>
  </si>
  <si>
    <t>Brownwood Regional Airport</t>
  </si>
  <si>
    <t>BWE</t>
  </si>
  <si>
    <t>EDVE</t>
  </si>
  <si>
    <t>Braunschweig-Wolfsburg Regional Airport</t>
  </si>
  <si>
    <t>BWF</t>
  </si>
  <si>
    <t>EGNL</t>
  </si>
  <si>
    <t>Barrow/Walney Island Airfield</t>
  </si>
  <si>
    <t>BWG</t>
  </si>
  <si>
    <t>KBWG</t>
  </si>
  <si>
    <t>Bowling Green-Warren County Regional Airport</t>
  </si>
  <si>
    <t>BWH</t>
  </si>
  <si>
    <t>WMKB</t>
  </si>
  <si>
    <t>RMAF Butterworth</t>
  </si>
  <si>
    <t>BWI</t>
  </si>
  <si>
    <t>KBWI</t>
  </si>
  <si>
    <t>Baltimore-Washington International Thurgood Marshall Airport</t>
  </si>
  <si>
    <t>BWK</t>
  </si>
  <si>
    <t>LDSB</t>
  </si>
  <si>
    <t>Bol Airport</t>
  </si>
  <si>
    <t>BWM</t>
  </si>
  <si>
    <t>KBPP</t>
  </si>
  <si>
    <t>Bowman Municipal Airport</t>
  </si>
  <si>
    <t>BWN</t>
  </si>
  <si>
    <t>WBSB</t>
  </si>
  <si>
    <t>Brunei International Airport</t>
  </si>
  <si>
    <t>BWO</t>
  </si>
  <si>
    <t>UWSB</t>
  </si>
  <si>
    <t>Balakovo Airport</t>
  </si>
  <si>
    <t>BWQ</t>
  </si>
  <si>
    <t>YBRW</t>
  </si>
  <si>
    <t>Brewarrina Airport</t>
  </si>
  <si>
    <t>BWT</t>
  </si>
  <si>
    <t>YWYY</t>
  </si>
  <si>
    <t>Wynyard Airport</t>
  </si>
  <si>
    <t>BWU</t>
  </si>
  <si>
    <t>YSBK</t>
  </si>
  <si>
    <t>Bankstown Airport</t>
  </si>
  <si>
    <t>BWW</t>
  </si>
  <si>
    <t>MUBR</t>
  </si>
  <si>
    <t>Las Brujas Airport</t>
  </si>
  <si>
    <t>BXA</t>
  </si>
  <si>
    <t>KBXA</t>
  </si>
  <si>
    <t>George R. Carr Memorial Air Field</t>
  </si>
  <si>
    <t>BXB</t>
  </si>
  <si>
    <t>WASO</t>
  </si>
  <si>
    <t>Babo Airport</t>
  </si>
  <si>
    <t>BXD</t>
  </si>
  <si>
    <t>WAKE</t>
  </si>
  <si>
    <t>Bade Airport</t>
  </si>
  <si>
    <t>BXE</t>
  </si>
  <si>
    <t>GOTB</t>
  </si>
  <si>
    <t>Bakel Airport</t>
  </si>
  <si>
    <t>BXG</t>
  </si>
  <si>
    <t>YBDG</t>
  </si>
  <si>
    <t>Bendigo Airport</t>
  </si>
  <si>
    <t>BXH</t>
  </si>
  <si>
    <t>UAAH</t>
  </si>
  <si>
    <t>Balkhash Airport</t>
  </si>
  <si>
    <t>BXI</t>
  </si>
  <si>
    <t>DIBI</t>
  </si>
  <si>
    <t>Boundiali Airport</t>
  </si>
  <si>
    <t>BXJ</t>
  </si>
  <si>
    <t>UAAR</t>
  </si>
  <si>
    <t>Boralday Airport</t>
  </si>
  <si>
    <t>BXK</t>
  </si>
  <si>
    <t>KBXK</t>
  </si>
  <si>
    <t>Buckeye Municipal Airport</t>
  </si>
  <si>
    <t>BXN</t>
  </si>
  <si>
    <t>LTBV</t>
  </si>
  <si>
    <t>Bodrum-Imsik Airport</t>
  </si>
  <si>
    <t>BXO</t>
  </si>
  <si>
    <t>LSZC</t>
  </si>
  <si>
    <t>Buochs Airport</t>
  </si>
  <si>
    <t>BXR</t>
  </si>
  <si>
    <t>OIKM</t>
  </si>
  <si>
    <t>Bam Airport</t>
  </si>
  <si>
    <t>BXT</t>
  </si>
  <si>
    <t>WRLC</t>
  </si>
  <si>
    <t>Bontang Airport</t>
  </si>
  <si>
    <t>BXU</t>
  </si>
  <si>
    <t>RPME</t>
  </si>
  <si>
    <t>Butuan Airport</t>
  </si>
  <si>
    <t>BXV</t>
  </si>
  <si>
    <t>BIBV</t>
  </si>
  <si>
    <t>Breiðdalsvík Airport</t>
  </si>
  <si>
    <t>BYC</t>
  </si>
  <si>
    <t>SLYA</t>
  </si>
  <si>
    <t>Yacuiba Airport</t>
  </si>
  <si>
    <t>BYF</t>
  </si>
  <si>
    <t>LFAQ</t>
  </si>
  <si>
    <t>Albert-Bray Airport</t>
  </si>
  <si>
    <t>BYG</t>
  </si>
  <si>
    <t>KBYG</t>
  </si>
  <si>
    <t>Johnson County Airport</t>
  </si>
  <si>
    <t>BYH</t>
  </si>
  <si>
    <t>KBYH</t>
  </si>
  <si>
    <t>Arkansas International Airport</t>
  </si>
  <si>
    <t>BYI</t>
  </si>
  <si>
    <t>KBYI</t>
  </si>
  <si>
    <t>Burley Municipal Airport</t>
  </si>
  <si>
    <t>BYJ</t>
  </si>
  <si>
    <t>LPBJ</t>
  </si>
  <si>
    <t>Beja International Airport</t>
  </si>
  <si>
    <t>BYK</t>
  </si>
  <si>
    <t>DIBK</t>
  </si>
  <si>
    <t>Bouaké Airport</t>
  </si>
  <si>
    <t>BYM</t>
  </si>
  <si>
    <t>MUBY</t>
  </si>
  <si>
    <t>Carlos Manuel de Céspedes Airport</t>
  </si>
  <si>
    <t>BYN</t>
  </si>
  <si>
    <t>ZMBH</t>
  </si>
  <si>
    <t>Bayankhongor Airport</t>
  </si>
  <si>
    <t>BYQ</t>
  </si>
  <si>
    <t>WALV</t>
  </si>
  <si>
    <t>Bunyu Airport</t>
  </si>
  <si>
    <t>BYR</t>
  </si>
  <si>
    <t>EKLS</t>
  </si>
  <si>
    <t>Læsø Airport</t>
  </si>
  <si>
    <t>BYS</t>
  </si>
  <si>
    <t>KBYS</t>
  </si>
  <si>
    <t>Bicycle Lake Army Airfield (Fort Irwin)</t>
  </si>
  <si>
    <t>BYT</t>
  </si>
  <si>
    <t>EIBN</t>
  </si>
  <si>
    <t>Bantry Airport</t>
  </si>
  <si>
    <t>BYU</t>
  </si>
  <si>
    <t>EDQD</t>
  </si>
  <si>
    <t>Bindlacher Berg Airport</t>
  </si>
  <si>
    <t>BZA</t>
  </si>
  <si>
    <t>MNBZ</t>
  </si>
  <si>
    <t>Bonanza Airport</t>
  </si>
  <si>
    <t>BZC</t>
  </si>
  <si>
    <t>SBBZ</t>
  </si>
  <si>
    <t>Umberto Modiano Airport</t>
  </si>
  <si>
    <t>BZD</t>
  </si>
  <si>
    <t>YBRN</t>
  </si>
  <si>
    <t>Balranald Airport</t>
  </si>
  <si>
    <t>BZE</t>
  </si>
  <si>
    <t>MZBZ</t>
  </si>
  <si>
    <t>Philip S. W. Goldson International Airport</t>
  </si>
  <si>
    <t>BZF</t>
  </si>
  <si>
    <t>O85</t>
  </si>
  <si>
    <t>Benton Field</t>
  </si>
  <si>
    <t>BZG</t>
  </si>
  <si>
    <t>EPBY</t>
  </si>
  <si>
    <t>Bydgoszcz Ignacy Jan Paderewski Airport</t>
  </si>
  <si>
    <t>BZI</t>
  </si>
  <si>
    <t>LTBF</t>
  </si>
  <si>
    <t>Balıkesir Merkez Airport</t>
  </si>
  <si>
    <t>BZK</t>
  </si>
  <si>
    <t>UUBP</t>
  </si>
  <si>
    <t>Briansk Airport</t>
  </si>
  <si>
    <t>BZL</t>
  </si>
  <si>
    <t>VGBR</t>
  </si>
  <si>
    <t>Barisal Airport</t>
  </si>
  <si>
    <t>BZM</t>
  </si>
  <si>
    <t>EHWO</t>
  </si>
  <si>
    <t>Woensdrecht Air Base</t>
  </si>
  <si>
    <t>BZN</t>
  </si>
  <si>
    <t>KBZN</t>
  </si>
  <si>
    <t>Gallatin Field Airport</t>
  </si>
  <si>
    <t>BZO</t>
  </si>
  <si>
    <t>LIPB</t>
  </si>
  <si>
    <t>Bolzano Airport</t>
  </si>
  <si>
    <t>BZR</t>
  </si>
  <si>
    <t>LFMU</t>
  </si>
  <si>
    <t>Béziers Vias Airport</t>
  </si>
  <si>
    <t>BZU</t>
  </si>
  <si>
    <t>FZKJ</t>
  </si>
  <si>
    <t>Buta Zega Airport</t>
  </si>
  <si>
    <t>BZV</t>
  </si>
  <si>
    <t>FCBB</t>
  </si>
  <si>
    <t>Maya Maya Airport</t>
  </si>
  <si>
    <t>BZY</t>
  </si>
  <si>
    <t>LUBL</t>
  </si>
  <si>
    <t>Bălți International Airport</t>
  </si>
  <si>
    <t>BZZ</t>
  </si>
  <si>
    <t>EGVN</t>
  </si>
  <si>
    <t>RAF Brize Norton</t>
  </si>
  <si>
    <t>CAA</t>
  </si>
  <si>
    <t>MHCA</t>
  </si>
  <si>
    <t>Catacamas Airport</t>
  </si>
  <si>
    <t>CAB</t>
  </si>
  <si>
    <t>FNCA</t>
  </si>
  <si>
    <t>Cabinda Airport</t>
  </si>
  <si>
    <t>CAC</t>
  </si>
  <si>
    <t>SBCA</t>
  </si>
  <si>
    <t>Cascavel Airport</t>
  </si>
  <si>
    <t>CAD</t>
  </si>
  <si>
    <t>KCAD</t>
  </si>
  <si>
    <t>Wexford County Airport</t>
  </si>
  <si>
    <t>CAE</t>
  </si>
  <si>
    <t>KCAE</t>
  </si>
  <si>
    <t>Columbia Metropolitan Airport</t>
  </si>
  <si>
    <t>CAF</t>
  </si>
  <si>
    <t>SWCA</t>
  </si>
  <si>
    <t>Carauari Airport</t>
  </si>
  <si>
    <t>CAG</t>
  </si>
  <si>
    <t>LIEE</t>
  </si>
  <si>
    <t>Cagliari Airport</t>
  </si>
  <si>
    <t>CAH</t>
  </si>
  <si>
    <t>VVCM</t>
  </si>
  <si>
    <t>Ca Mau Airport</t>
  </si>
  <si>
    <t>CAI</t>
  </si>
  <si>
    <t>HECA</t>
  </si>
  <si>
    <t>Cairo International Airport</t>
  </si>
  <si>
    <t>CAJ</t>
  </si>
  <si>
    <t>SVCN</t>
  </si>
  <si>
    <t>Canaima Airport</t>
  </si>
  <si>
    <t>CAK</t>
  </si>
  <si>
    <t>KCAK</t>
  </si>
  <si>
    <t>Akron-Canton Regional Airport</t>
  </si>
  <si>
    <t>CAL</t>
  </si>
  <si>
    <t>EGEC</t>
  </si>
  <si>
    <t>Campbeltown Airport (RAF Machrihanish)</t>
  </si>
  <si>
    <t>CAM</t>
  </si>
  <si>
    <t>SLCA</t>
  </si>
  <si>
    <t>Camiri Airport</t>
  </si>
  <si>
    <t>CAN</t>
  </si>
  <si>
    <t>ZGGG</t>
  </si>
  <si>
    <t>Guangzhou Baiyun International Airport</t>
  </si>
  <si>
    <t>CAO</t>
  </si>
  <si>
    <t>KCAO</t>
  </si>
  <si>
    <t>Clayton Municipal Airpark</t>
  </si>
  <si>
    <t>CAP</t>
  </si>
  <si>
    <t>MTCH</t>
  </si>
  <si>
    <t>Cap-Haïtien International Airport</t>
  </si>
  <si>
    <t>CAQ</t>
  </si>
  <si>
    <t>SKCU</t>
  </si>
  <si>
    <t>Caucasia Airport</t>
  </si>
  <si>
    <t>CAR</t>
  </si>
  <si>
    <t>KCAR</t>
  </si>
  <si>
    <t>Caribou Municipal Airport</t>
  </si>
  <si>
    <t>SUCM</t>
  </si>
  <si>
    <t>Carmelo International Airport</t>
  </si>
  <si>
    <t>CAS</t>
  </si>
  <si>
    <t>GMMC</t>
  </si>
  <si>
    <t>Anfa Airport</t>
  </si>
  <si>
    <t>CAT</t>
  </si>
  <si>
    <t>MYCB</t>
  </si>
  <si>
    <t>New Bight Airport</t>
  </si>
  <si>
    <t>CAU</t>
  </si>
  <si>
    <t>SNRU</t>
  </si>
  <si>
    <t>Oscar Laranjeias Airport</t>
  </si>
  <si>
    <t>CAV</t>
  </si>
  <si>
    <t>FNCZ</t>
  </si>
  <si>
    <t>Cazombo Airport</t>
  </si>
  <si>
    <t>CAW</t>
  </si>
  <si>
    <t>SBCP</t>
  </si>
  <si>
    <t>Bartolomeu Lisandro Airport</t>
  </si>
  <si>
    <t>CAX</t>
  </si>
  <si>
    <t>EGNC</t>
  </si>
  <si>
    <t>Carlisle Airport</t>
  </si>
  <si>
    <t>CAY</t>
  </si>
  <si>
    <t>SOCA</t>
  </si>
  <si>
    <t>Cayenne-Rochambeau Airport</t>
  </si>
  <si>
    <t>CAZ</t>
  </si>
  <si>
    <t>YCBA</t>
  </si>
  <si>
    <t>Cobar Airport</t>
  </si>
  <si>
    <t>CBB</t>
  </si>
  <si>
    <t>SLCB</t>
  </si>
  <si>
    <t>Jorge Wilstermann International Airport</t>
  </si>
  <si>
    <t>CBD</t>
  </si>
  <si>
    <t>VOCX</t>
  </si>
  <si>
    <t>Car Nicobar Air Force Base</t>
  </si>
  <si>
    <t>CBE</t>
  </si>
  <si>
    <t>KCBE</t>
  </si>
  <si>
    <t>Greater Cumberland Regional Airport</t>
  </si>
  <si>
    <t>CBF</t>
  </si>
  <si>
    <t>KCBF</t>
  </si>
  <si>
    <t>Council Bluffs Municipal Airport</t>
  </si>
  <si>
    <t>CBG</t>
  </si>
  <si>
    <t>EGSC</t>
  </si>
  <si>
    <t>Cambridge Airport</t>
  </si>
  <si>
    <t>CBH</t>
  </si>
  <si>
    <t>DAOR</t>
  </si>
  <si>
    <t>Boudghene Ben Ali Lotfi Airport</t>
  </si>
  <si>
    <t>CBI</t>
  </si>
  <si>
    <t>YCBN</t>
  </si>
  <si>
    <t>Cape Barren Island Airport</t>
  </si>
  <si>
    <t>CBJ</t>
  </si>
  <si>
    <t>MDCR</t>
  </si>
  <si>
    <t>Cabo Rojo Airport</t>
  </si>
  <si>
    <t>CBK</t>
  </si>
  <si>
    <t>KCBK</t>
  </si>
  <si>
    <t>Colby Municipal Airport (Shalz Field)</t>
  </si>
  <si>
    <t>CBL</t>
  </si>
  <si>
    <t>SVCB</t>
  </si>
  <si>
    <t>Tomás de Heres Airport</t>
  </si>
  <si>
    <t>CBM</t>
  </si>
  <si>
    <t>KCBM</t>
  </si>
  <si>
    <t>Columbus Air Force Base</t>
  </si>
  <si>
    <t>CBN</t>
  </si>
  <si>
    <t>WICD</t>
  </si>
  <si>
    <t>Penggung Airport</t>
  </si>
  <si>
    <t>CBO</t>
  </si>
  <si>
    <t>RPMC</t>
  </si>
  <si>
    <t>Awang Airport</t>
  </si>
  <si>
    <t>CBP</t>
  </si>
  <si>
    <t>LPCO</t>
  </si>
  <si>
    <t>Coimbra Airport</t>
  </si>
  <si>
    <t>CBQ</t>
  </si>
  <si>
    <t>DNCA</t>
  </si>
  <si>
    <t>Calabar Airport</t>
  </si>
  <si>
    <t>CBR</t>
  </si>
  <si>
    <t>YSCB</t>
  </si>
  <si>
    <t>Canberra International Airport</t>
  </si>
  <si>
    <t>CBS</t>
  </si>
  <si>
    <t>SVON</t>
  </si>
  <si>
    <t>Oro Negro Airport</t>
  </si>
  <si>
    <t>CBT</t>
  </si>
  <si>
    <t>FNCT</t>
  </si>
  <si>
    <t>Catumbela Airport</t>
  </si>
  <si>
    <t>CBU</t>
  </si>
  <si>
    <t>EDCD</t>
  </si>
  <si>
    <t>Drewitz Airport</t>
  </si>
  <si>
    <t>CBV</t>
  </si>
  <si>
    <t>MGCB</t>
  </si>
  <si>
    <t>Cobán Airport</t>
  </si>
  <si>
    <t>CBW</t>
  </si>
  <si>
    <t>SSKM</t>
  </si>
  <si>
    <t>Campo Mourão Airport</t>
  </si>
  <si>
    <t>CBX</t>
  </si>
  <si>
    <t>YCDO</t>
  </si>
  <si>
    <t>Condobolin Airport</t>
  </si>
  <si>
    <t>CBY</t>
  </si>
  <si>
    <t>YCBE</t>
  </si>
  <si>
    <t>Canobie Airport</t>
  </si>
  <si>
    <t>CCB</t>
  </si>
  <si>
    <t>KCCB</t>
  </si>
  <si>
    <t>Cable Airport</t>
  </si>
  <si>
    <t>CCC</t>
  </si>
  <si>
    <t>MUCC</t>
  </si>
  <si>
    <t>Jardines Del Rey Airport</t>
  </si>
  <si>
    <t>MUOC</t>
  </si>
  <si>
    <t>CCE</t>
  </si>
  <si>
    <t>TFFG</t>
  </si>
  <si>
    <t>L'Espérance Airport (Grand Case Airport)</t>
  </si>
  <si>
    <t>CCF</t>
  </si>
  <si>
    <t>LFMK</t>
  </si>
  <si>
    <t>Carcassonne Salvaza Airport</t>
  </si>
  <si>
    <t>CCH</t>
  </si>
  <si>
    <t>SCCC</t>
  </si>
  <si>
    <t>Chile Chico Airport</t>
  </si>
  <si>
    <t>CCI</t>
  </si>
  <si>
    <t>SSCK</t>
  </si>
  <si>
    <t>Concordia Airport</t>
  </si>
  <si>
    <t>CCJ</t>
  </si>
  <si>
    <t>VOCL</t>
  </si>
  <si>
    <t>Calicut International Airport</t>
  </si>
  <si>
    <t>CCK</t>
  </si>
  <si>
    <t>YPCC</t>
  </si>
  <si>
    <t>Cocos (Keeling) Islands Airport</t>
  </si>
  <si>
    <t>CCL</t>
  </si>
  <si>
    <t>YCCA</t>
  </si>
  <si>
    <t>Chinchilla Airport</t>
  </si>
  <si>
    <t>CCM</t>
  </si>
  <si>
    <t>SBCM</t>
  </si>
  <si>
    <t>Forquilhinha Airport</t>
  </si>
  <si>
    <t>CCN</t>
  </si>
  <si>
    <t>OACC</t>
  </si>
  <si>
    <t>Chaghcharan Airport</t>
  </si>
  <si>
    <t>CCO</t>
  </si>
  <si>
    <t>SKCI</t>
  </si>
  <si>
    <t>Carimagua Airport</t>
  </si>
  <si>
    <t>CCP</t>
  </si>
  <si>
    <t>SCIE</t>
  </si>
  <si>
    <t>Carriel Sur International Airport</t>
  </si>
  <si>
    <t>CCR</t>
  </si>
  <si>
    <t>KCCR</t>
  </si>
  <si>
    <t>Buchanan Field</t>
  </si>
  <si>
    <t>CCS</t>
  </si>
  <si>
    <t>SVMI</t>
  </si>
  <si>
    <t>Simon Bolivar International Airport</t>
  </si>
  <si>
    <t>CCT</t>
  </si>
  <si>
    <t>SA30</t>
  </si>
  <si>
    <t>Colonia Catriel Airport</t>
  </si>
  <si>
    <t>CCU</t>
  </si>
  <si>
    <t>VECC</t>
  </si>
  <si>
    <t>Netaji Subhash Chandra Bose International Airport</t>
  </si>
  <si>
    <t>CCV</t>
  </si>
  <si>
    <t>NVSF</t>
  </si>
  <si>
    <t>Craig Cove Airport</t>
  </si>
  <si>
    <t>CCW</t>
  </si>
  <si>
    <t>YCWL</t>
  </si>
  <si>
    <t>Cowell Airport</t>
  </si>
  <si>
    <t>CCX</t>
  </si>
  <si>
    <t>SWKC</t>
  </si>
  <si>
    <t>Cáceres Airport</t>
  </si>
  <si>
    <t>LEGU</t>
  </si>
  <si>
    <t>Guadalupe Airport</t>
  </si>
  <si>
    <t>CCY</t>
  </si>
  <si>
    <t>KCCY</t>
  </si>
  <si>
    <t>Northeast Iowa Regional Airport</t>
  </si>
  <si>
    <t>CCZ</t>
  </si>
  <si>
    <t>MYBC</t>
  </si>
  <si>
    <t>Chub Cay International Airport</t>
  </si>
  <si>
    <t>CDA</t>
  </si>
  <si>
    <t>YCOO</t>
  </si>
  <si>
    <t>Cooinda Airport</t>
  </si>
  <si>
    <t>CDB</t>
  </si>
  <si>
    <t>PACD</t>
  </si>
  <si>
    <t>Cold Bay Airport</t>
  </si>
  <si>
    <t>CDC</t>
  </si>
  <si>
    <t>KCDC</t>
  </si>
  <si>
    <t>Cedar City Regional Airport</t>
  </si>
  <si>
    <t>CDD</t>
  </si>
  <si>
    <t>MHCU</t>
  </si>
  <si>
    <t>Cauquira Airport</t>
  </si>
  <si>
    <t>CDE</t>
  </si>
  <si>
    <t>PACE</t>
  </si>
  <si>
    <t>Cape Decision Coast Guard Heliport</t>
  </si>
  <si>
    <t>CDG</t>
  </si>
  <si>
    <t>LFPG</t>
  </si>
  <si>
    <t>Charles de Gaulle International Airport</t>
  </si>
  <si>
    <t>CDH</t>
  </si>
  <si>
    <t>KCDH</t>
  </si>
  <si>
    <t>Harrell Field</t>
  </si>
  <si>
    <t>CDJ</t>
  </si>
  <si>
    <t>SBAA</t>
  </si>
  <si>
    <t>Conceição do Araguaia Airport</t>
  </si>
  <si>
    <t>CDK</t>
  </si>
  <si>
    <t>KCDK</t>
  </si>
  <si>
    <t>George T. Lewis Airport</t>
  </si>
  <si>
    <t>CDN</t>
  </si>
  <si>
    <t>KCDN</t>
  </si>
  <si>
    <t>Woodward Field</t>
  </si>
  <si>
    <t>CDO</t>
  </si>
  <si>
    <t>FACD</t>
  </si>
  <si>
    <t>Cradock Airport</t>
  </si>
  <si>
    <t>CDP</t>
  </si>
  <si>
    <t>VOCP</t>
  </si>
  <si>
    <t>Cuddapah Airport</t>
  </si>
  <si>
    <t>CDQ</t>
  </si>
  <si>
    <t>YCRY</t>
  </si>
  <si>
    <t>Croydon Airport</t>
  </si>
  <si>
    <t>CDR</t>
  </si>
  <si>
    <t>KCDR</t>
  </si>
  <si>
    <t>Chadron Municipal Airport</t>
  </si>
  <si>
    <t>CDS</t>
  </si>
  <si>
    <t>KCDS</t>
  </si>
  <si>
    <t>Childress Municipal Airport</t>
  </si>
  <si>
    <t>CDT</t>
  </si>
  <si>
    <t>LECN</t>
  </si>
  <si>
    <t>Castellon De La Plana Airport</t>
  </si>
  <si>
    <t>CDU</t>
  </si>
  <si>
    <t>YSCN</t>
  </si>
  <si>
    <t>Camden Airport</t>
  </si>
  <si>
    <t>CDV</t>
  </si>
  <si>
    <t>PACV</t>
  </si>
  <si>
    <t>Merle K. (Mudhole) Smith Airport</t>
  </si>
  <si>
    <t>CDW</t>
  </si>
  <si>
    <t>KCDW</t>
  </si>
  <si>
    <t>Essex County Airport</t>
  </si>
  <si>
    <t>CDY</t>
  </si>
  <si>
    <t>RPMU</t>
  </si>
  <si>
    <t>Cagayan de Sulu Airport</t>
  </si>
  <si>
    <t>CEA</t>
  </si>
  <si>
    <t>KCEA</t>
  </si>
  <si>
    <t>Cessna Aircraft Field</t>
  </si>
  <si>
    <t>CEB</t>
  </si>
  <si>
    <t>RPVM</t>
  </si>
  <si>
    <t>Mactan-Cebu International Airport</t>
  </si>
  <si>
    <t>CEC</t>
  </si>
  <si>
    <t>KCEC</t>
  </si>
  <si>
    <t>Jack McNamara Field</t>
  </si>
  <si>
    <t>CED</t>
  </si>
  <si>
    <t>YCDU</t>
  </si>
  <si>
    <t>Ceduna Airport</t>
  </si>
  <si>
    <t>CEE</t>
  </si>
  <si>
    <t>ULBC</t>
  </si>
  <si>
    <t>Cherepovets Airport</t>
  </si>
  <si>
    <t>ULWC</t>
  </si>
  <si>
    <t>CEF</t>
  </si>
  <si>
    <t>KCEF</t>
  </si>
  <si>
    <t>Westover ARB/Westover Metropolitan Airport</t>
  </si>
  <si>
    <t>CEG</t>
  </si>
  <si>
    <t>EGNR</t>
  </si>
  <si>
    <t>Hawarden Airport (Chester Airport)</t>
  </si>
  <si>
    <t>CEH</t>
  </si>
  <si>
    <t>FWCD</t>
  </si>
  <si>
    <t>Chelinda Airport</t>
  </si>
  <si>
    <t>CEI</t>
  </si>
  <si>
    <t>VTCT</t>
  </si>
  <si>
    <t>Chiang Rai International Airport</t>
  </si>
  <si>
    <t>CEJ</t>
  </si>
  <si>
    <t>UKKL</t>
  </si>
  <si>
    <t>Chernihiv Shestovitsa Airport</t>
  </si>
  <si>
    <t>CEK</t>
  </si>
  <si>
    <t>USCC</t>
  </si>
  <si>
    <t>Chelyabinsk Balandino Airport</t>
  </si>
  <si>
    <t>CEL</t>
  </si>
  <si>
    <t>MYEC</t>
  </si>
  <si>
    <t>Cape Eleuthera Airport</t>
  </si>
  <si>
    <t>CEM</t>
  </si>
  <si>
    <t>PARL</t>
  </si>
  <si>
    <t>Central Airport</t>
  </si>
  <si>
    <t>CEN</t>
  </si>
  <si>
    <t>MMCN</t>
  </si>
  <si>
    <t>Ciudad Obregón International Airport</t>
  </si>
  <si>
    <t>CEO</t>
  </si>
  <si>
    <t>FNWK</t>
  </si>
  <si>
    <t>Waco Kungo Airport</t>
  </si>
  <si>
    <t>CEP</t>
  </si>
  <si>
    <t>SLCP</t>
  </si>
  <si>
    <t>Concepción Airport</t>
  </si>
  <si>
    <t>CEQ</t>
  </si>
  <si>
    <t>LFMD</t>
  </si>
  <si>
    <t>Cannes - Mandelieu Airport</t>
  </si>
  <si>
    <t>CER</t>
  </si>
  <si>
    <t>LFRC</t>
  </si>
  <si>
    <t>Cherbourg - Maupertus Airport</t>
  </si>
  <si>
    <t>CES</t>
  </si>
  <si>
    <t>YCNK</t>
  </si>
  <si>
    <t>Cessnock Airport</t>
  </si>
  <si>
    <t>CET</t>
  </si>
  <si>
    <t>LFOU</t>
  </si>
  <si>
    <t>Le Pontreau Airport</t>
  </si>
  <si>
    <t>CEU</t>
  </si>
  <si>
    <t>KCEU</t>
  </si>
  <si>
    <t>Oconee County Regional Airport</t>
  </si>
  <si>
    <t>CEV</t>
  </si>
  <si>
    <t>KCEV</t>
  </si>
  <si>
    <t>Mettel Field</t>
  </si>
  <si>
    <t>CEW</t>
  </si>
  <si>
    <t>KCEW</t>
  </si>
  <si>
    <t>Bob Sikes Airport</t>
  </si>
  <si>
    <t>CEY</t>
  </si>
  <si>
    <t>KCEY</t>
  </si>
  <si>
    <t>Kyle-Oakley Field</t>
  </si>
  <si>
    <t>CEZ</t>
  </si>
  <si>
    <t>KCEZ</t>
  </si>
  <si>
    <t>Cortez Municipal Airport</t>
  </si>
  <si>
    <t>CFB</t>
  </si>
  <si>
    <t>SBCB</t>
  </si>
  <si>
    <t>Cabo Frio International Airport</t>
  </si>
  <si>
    <t>CFD</t>
  </si>
  <si>
    <t>KCFD</t>
  </si>
  <si>
    <t>Coulter Field</t>
  </si>
  <si>
    <t>CFE</t>
  </si>
  <si>
    <t>LFLC</t>
  </si>
  <si>
    <t>CFF</t>
  </si>
  <si>
    <t>FNCF</t>
  </si>
  <si>
    <t>Cafunfo Airport</t>
  </si>
  <si>
    <t>CFG</t>
  </si>
  <si>
    <t>MUCF</t>
  </si>
  <si>
    <t>Jaime González Airport</t>
  </si>
  <si>
    <t>CFI</t>
  </si>
  <si>
    <t>YCFD</t>
  </si>
  <si>
    <t>Camfield Airport</t>
  </si>
  <si>
    <t>CFN</t>
  </si>
  <si>
    <t>EIDL</t>
  </si>
  <si>
    <t>Donegal Airport</t>
  </si>
  <si>
    <t>CFO</t>
  </si>
  <si>
    <t>SJHG</t>
  </si>
  <si>
    <t>Confresa Airport</t>
  </si>
  <si>
    <t>CFR</t>
  </si>
  <si>
    <t>LFRK</t>
  </si>
  <si>
    <t>Caen - Carpiquet_Airport</t>
  </si>
  <si>
    <t>CFS</t>
  </si>
  <si>
    <t>YCFS</t>
  </si>
  <si>
    <t>Coffs Harbour Airport</t>
  </si>
  <si>
    <t>YSCH</t>
  </si>
  <si>
    <t>CFT</t>
  </si>
  <si>
    <t>KCFT</t>
  </si>
  <si>
    <t>Greenlee County Airport</t>
  </si>
  <si>
    <t>CFU</t>
  </si>
  <si>
    <t>LGKR</t>
  </si>
  <si>
    <t>Ioannis Kapodistrias International Airport (Corfu Internatio</t>
  </si>
  <si>
    <t>CFV</t>
  </si>
  <si>
    <t>KCFV</t>
  </si>
  <si>
    <t>Coffeyville Municipal Airport</t>
  </si>
  <si>
    <t>CGB</t>
  </si>
  <si>
    <t>SBCY</t>
  </si>
  <si>
    <t>Marechal Rondon Airport</t>
  </si>
  <si>
    <t>CGD</t>
  </si>
  <si>
    <t>ZGCD</t>
  </si>
  <si>
    <t>Changde Airport</t>
  </si>
  <si>
    <t>CGE</t>
  </si>
  <si>
    <t>KCGE</t>
  </si>
  <si>
    <t>Cambridge-Dorchester Airport</t>
  </si>
  <si>
    <t>CGF</t>
  </si>
  <si>
    <t>KCGF</t>
  </si>
  <si>
    <t>Cuyahoga County Airport</t>
  </si>
  <si>
    <t>CGH</t>
  </si>
  <si>
    <t>SBSP</t>
  </si>
  <si>
    <t>São Paulo/Congonhas Airport</t>
  </si>
  <si>
    <t>CGI</t>
  </si>
  <si>
    <t>KCGI</t>
  </si>
  <si>
    <t>Cape Girardeau Regional Airport</t>
  </si>
  <si>
    <t>CGK</t>
  </si>
  <si>
    <t>WIII</t>
  </si>
  <si>
    <t>Soekarno-Hatta International Airport</t>
  </si>
  <si>
    <t>CGM</t>
  </si>
  <si>
    <t>RPMH</t>
  </si>
  <si>
    <t>Camiguin Airport</t>
  </si>
  <si>
    <t>CGN</t>
  </si>
  <si>
    <t>EDDK</t>
  </si>
  <si>
    <t>Cologne Bonn Airport (KÃ¶ln/Bonn - Konrad Adenauer)</t>
  </si>
  <si>
    <t>CGO</t>
  </si>
  <si>
    <t>ZHCC</t>
  </si>
  <si>
    <t>Zhengzhou Xinzheng International Airport</t>
  </si>
  <si>
    <t>CGP</t>
  </si>
  <si>
    <t>VGEG</t>
  </si>
  <si>
    <t>Shah Amanat International Airport</t>
  </si>
  <si>
    <t>CGQ</t>
  </si>
  <si>
    <t>ZYCC</t>
  </si>
  <si>
    <t>Changchun Longjia International Airport</t>
  </si>
  <si>
    <t>CGR</t>
  </si>
  <si>
    <t>SBCG</t>
  </si>
  <si>
    <t>Campo Grande International Airport</t>
  </si>
  <si>
    <t>CGS</t>
  </si>
  <si>
    <t>KCGS</t>
  </si>
  <si>
    <t>College Park Airport</t>
  </si>
  <si>
    <t>CGV</t>
  </si>
  <si>
    <t>YCAG</t>
  </si>
  <si>
    <t>Caiguna Airport</t>
  </si>
  <si>
    <t>CGY</t>
  </si>
  <si>
    <t>RPML</t>
  </si>
  <si>
    <t>Lumbia Airport</t>
  </si>
  <si>
    <t>CGZ</t>
  </si>
  <si>
    <t>KCGZ</t>
  </si>
  <si>
    <t>Casa Grande Municipal Airport</t>
  </si>
  <si>
    <t>CHA</t>
  </si>
  <si>
    <t>KCHA</t>
  </si>
  <si>
    <t>Chattanooga Metropolitan Airport (Lovell Field)</t>
  </si>
  <si>
    <t>CHB</t>
  </si>
  <si>
    <t>OPCL</t>
  </si>
  <si>
    <t>Chilas Airport</t>
  </si>
  <si>
    <t>CHC</t>
  </si>
  <si>
    <t>NZCH</t>
  </si>
  <si>
    <t>Christchurch International Airport</t>
  </si>
  <si>
    <t>CHF</t>
  </si>
  <si>
    <t>RKPE</t>
  </si>
  <si>
    <t>Chinhae Airport</t>
  </si>
  <si>
    <t>CHG</t>
  </si>
  <si>
    <t>ZYCY</t>
  </si>
  <si>
    <t>Chaoyang Airport</t>
  </si>
  <si>
    <t>CHH</t>
  </si>
  <si>
    <t>SPPY</t>
  </si>
  <si>
    <t>Chachapoyas Airport</t>
  </si>
  <si>
    <t>CHJ</t>
  </si>
  <si>
    <t>FVCH</t>
  </si>
  <si>
    <t>Chipinge Airport</t>
  </si>
  <si>
    <t>CHK</t>
  </si>
  <si>
    <t>KCHK</t>
  </si>
  <si>
    <t>Chickasha Municipal Airport</t>
  </si>
  <si>
    <t>CHL</t>
  </si>
  <si>
    <t>KLLJ</t>
  </si>
  <si>
    <t>Challis Airport</t>
  </si>
  <si>
    <t>CHM</t>
  </si>
  <si>
    <t>SPEO</t>
  </si>
  <si>
    <t>Tnte. FAP Jaime Montreuil Morales Airport</t>
  </si>
  <si>
    <t>SPMF</t>
  </si>
  <si>
    <t>Manuel Prado Ugarteche Airport</t>
  </si>
  <si>
    <t>CHN</t>
  </si>
  <si>
    <t>RKJU</t>
  </si>
  <si>
    <t>Chonju Airport</t>
  </si>
  <si>
    <t>CHO</t>
  </si>
  <si>
    <t>KCHO</t>
  </si>
  <si>
    <t>Charlottesville-Albemarle Airport</t>
  </si>
  <si>
    <t>CHQ</t>
  </si>
  <si>
    <t>LGSA</t>
  </si>
  <si>
    <t>Chania International Airport ("Ioannis Daskalogiannis")</t>
  </si>
  <si>
    <t>CHR</t>
  </si>
  <si>
    <t>LFLX</t>
  </si>
  <si>
    <t>Châteauroux-Déols "Marcel Dassault" Airport</t>
  </si>
  <si>
    <t>CHS</t>
  </si>
  <si>
    <t>KCHS</t>
  </si>
  <si>
    <t>Charleston International Airport / Charleston AFB</t>
  </si>
  <si>
    <t>CHT</t>
  </si>
  <si>
    <t>NZCI</t>
  </si>
  <si>
    <t>Chatham Islands / Tuuta Airport</t>
  </si>
  <si>
    <t>KCHT</t>
  </si>
  <si>
    <t>Chillicothe Municipal Airport</t>
  </si>
  <si>
    <t>CHV</t>
  </si>
  <si>
    <t>LPCH</t>
  </si>
  <si>
    <t>Chaves Airport</t>
  </si>
  <si>
    <t>CHW</t>
  </si>
  <si>
    <t>ZLJQ</t>
  </si>
  <si>
    <t>Jiuquan Airport</t>
  </si>
  <si>
    <t>CHX</t>
  </si>
  <si>
    <t>MPCH</t>
  </si>
  <si>
    <t>Captain Manuel Niño International Airport</t>
  </si>
  <si>
    <t>CHY</t>
  </si>
  <si>
    <t>AGGC</t>
  </si>
  <si>
    <t>Choiseul Bay Airport</t>
  </si>
  <si>
    <t>CIA</t>
  </si>
  <si>
    <t>LIRA</t>
  </si>
  <si>
    <t>Rome Ciampino Airport</t>
  </si>
  <si>
    <t>CIB</t>
  </si>
  <si>
    <t>KAVX</t>
  </si>
  <si>
    <t>Catalina Airport</t>
  </si>
  <si>
    <t>CIC</t>
  </si>
  <si>
    <t>KCIC</t>
  </si>
  <si>
    <t>Chico Municipal Airport</t>
  </si>
  <si>
    <t>CID</t>
  </si>
  <si>
    <t>KCID</t>
  </si>
  <si>
    <t>The Eastern Iowa Airport</t>
  </si>
  <si>
    <t>CIF</t>
  </si>
  <si>
    <t>ZBCF</t>
  </si>
  <si>
    <t>Chifeng Airport</t>
  </si>
  <si>
    <t>CIG</t>
  </si>
  <si>
    <t>KCAG</t>
  </si>
  <si>
    <t>Craig-Moffat Airport</t>
  </si>
  <si>
    <t>CIH</t>
  </si>
  <si>
    <t>ZBCZ</t>
  </si>
  <si>
    <t>Changzhi Airport</t>
  </si>
  <si>
    <t>CIJ</t>
  </si>
  <si>
    <t>SLCO</t>
  </si>
  <si>
    <t>Capitan Anibal Arab Airport</t>
  </si>
  <si>
    <t>CIM</t>
  </si>
  <si>
    <t>SKCM</t>
  </si>
  <si>
    <t>Cimitarra Airport</t>
  </si>
  <si>
    <t>CIN</t>
  </si>
  <si>
    <t>KCIN</t>
  </si>
  <si>
    <t>Arthur N. Neu Airport</t>
  </si>
  <si>
    <t>CIO</t>
  </si>
  <si>
    <t>SGCO</t>
  </si>
  <si>
    <t>Teniente Coronel Carmelo Peralta Airport</t>
  </si>
  <si>
    <t>CIP</t>
  </si>
  <si>
    <t>FLCP</t>
  </si>
  <si>
    <t>Chipata Airport</t>
  </si>
  <si>
    <t>CIR</t>
  </si>
  <si>
    <t>KCIR</t>
  </si>
  <si>
    <t>Cairo Regional Airport</t>
  </si>
  <si>
    <t>CIS</t>
  </si>
  <si>
    <t>PCIS</t>
  </si>
  <si>
    <t>Canton Island Airport</t>
  </si>
  <si>
    <t>CIT</t>
  </si>
  <si>
    <t>UAII</t>
  </si>
  <si>
    <t>Shymkent Airport</t>
  </si>
  <si>
    <t>CIU</t>
  </si>
  <si>
    <t>KCIU</t>
  </si>
  <si>
    <t>Chippewa County International Airport</t>
  </si>
  <si>
    <t>CIW</t>
  </si>
  <si>
    <t>TVSC</t>
  </si>
  <si>
    <t>Canouan Island Airport</t>
  </si>
  <si>
    <t>CIX</t>
  </si>
  <si>
    <t>SPHI</t>
  </si>
  <si>
    <t>Capitán FAP José A. Quiñones Gonzales International Airport</t>
  </si>
  <si>
    <t>CIY</t>
  </si>
  <si>
    <t>LICB</t>
  </si>
  <si>
    <t>Comiso "Pio La Torre" Airport</t>
  </si>
  <si>
    <t>CIZ</t>
  </si>
  <si>
    <t>SWKO</t>
  </si>
  <si>
    <t>Coari Airport</t>
  </si>
  <si>
    <t>CJA</t>
  </si>
  <si>
    <t>SPJR</t>
  </si>
  <si>
    <t>Major General FAP Armando Revoredo Iglesias Airport</t>
  </si>
  <si>
    <t>CJB</t>
  </si>
  <si>
    <t>VOCB</t>
  </si>
  <si>
    <t>Coimbatore Airport (Peelamedu Airport)</t>
  </si>
  <si>
    <t>CJC</t>
  </si>
  <si>
    <t>SCCF</t>
  </si>
  <si>
    <t>El Loa Airport</t>
  </si>
  <si>
    <t>CJI</t>
  </si>
  <si>
    <t>LEDQ</t>
  </si>
  <si>
    <t>Ciudad Real Central Airport</t>
  </si>
  <si>
    <t>CJJ</t>
  </si>
  <si>
    <t>RKTU</t>
  </si>
  <si>
    <t>Cheong Ju International Airport</t>
  </si>
  <si>
    <t>CJL</t>
  </si>
  <si>
    <t>OPCH</t>
  </si>
  <si>
    <t>Chitral Airport</t>
  </si>
  <si>
    <t>CJM</t>
  </si>
  <si>
    <t>VTSE</t>
  </si>
  <si>
    <t>Chumphon Airport</t>
  </si>
  <si>
    <t>CJS</t>
  </si>
  <si>
    <t>MMCS</t>
  </si>
  <si>
    <t>Abraham González International Airport</t>
  </si>
  <si>
    <t>CJT</t>
  </si>
  <si>
    <t>MMCO</t>
  </si>
  <si>
    <t>Copalar Airport</t>
  </si>
  <si>
    <t>CJU</t>
  </si>
  <si>
    <t>RKPC</t>
  </si>
  <si>
    <t>Jeju International Airport</t>
  </si>
  <si>
    <t>CKA</t>
  </si>
  <si>
    <t>KCKA</t>
  </si>
  <si>
    <t>Kegelman Air Force Auxiliary Field</t>
  </si>
  <si>
    <t>CKB</t>
  </si>
  <si>
    <t>KCKB</t>
  </si>
  <si>
    <t>North Central West Virginia Airport</t>
  </si>
  <si>
    <t>CKC</t>
  </si>
  <si>
    <t>UKKE</t>
  </si>
  <si>
    <t>Cherkassy Airport</t>
  </si>
  <si>
    <t>CKF</t>
  </si>
  <si>
    <t>KCKF</t>
  </si>
  <si>
    <t>Crisp County-Cordele Airport</t>
  </si>
  <si>
    <t>CKG</t>
  </si>
  <si>
    <t>ZUCK</t>
  </si>
  <si>
    <t>Chongqing Jiangbei International Airport</t>
  </si>
  <si>
    <t>CKH</t>
  </si>
  <si>
    <t>UESO</t>
  </si>
  <si>
    <t>Chokurdah Airport</t>
  </si>
  <si>
    <t>CKI</t>
  </si>
  <si>
    <t>YCKI</t>
  </si>
  <si>
    <t>Croker Island Airport</t>
  </si>
  <si>
    <t>CKM</t>
  </si>
  <si>
    <t>KCKM</t>
  </si>
  <si>
    <t>Fletcher Field</t>
  </si>
  <si>
    <t>CKN</t>
  </si>
  <si>
    <t>KCKN</t>
  </si>
  <si>
    <t>Crookston Municipal Kirkwood Field</t>
  </si>
  <si>
    <t>CKO</t>
  </si>
  <si>
    <t>SSCP</t>
  </si>
  <si>
    <t>Cornelio Procopio Airport</t>
  </si>
  <si>
    <t>CKS</t>
  </si>
  <si>
    <t>SBCJ</t>
  </si>
  <si>
    <t>Carajas Airport</t>
  </si>
  <si>
    <t>CKT</t>
  </si>
  <si>
    <t>OIMC</t>
  </si>
  <si>
    <t>Sarakhs Airport</t>
  </si>
  <si>
    <t>CKV</t>
  </si>
  <si>
    <t>KCKV</t>
  </si>
  <si>
    <t>Outlaw Field</t>
  </si>
  <si>
    <t>CKY</t>
  </si>
  <si>
    <t>GUCY</t>
  </si>
  <si>
    <t>Gbessia Airport</t>
  </si>
  <si>
    <t>CKZ</t>
  </si>
  <si>
    <t>LTBH</t>
  </si>
  <si>
    <t>Canakkale Airport</t>
  </si>
  <si>
    <t>CLA</t>
  </si>
  <si>
    <t>VGCM</t>
  </si>
  <si>
    <t>Comilla Airport</t>
  </si>
  <si>
    <t>CLB</t>
  </si>
  <si>
    <t>EICB</t>
  </si>
  <si>
    <t>Castlebar Airport</t>
  </si>
  <si>
    <t>CLD</t>
  </si>
  <si>
    <t>KCRQ</t>
  </si>
  <si>
    <t>McClellan-Palomar Airport</t>
  </si>
  <si>
    <t>CLE</t>
  </si>
  <si>
    <t>KCLE</t>
  </si>
  <si>
    <t>Cleveland Hopkins International Airport</t>
  </si>
  <si>
    <t>CLF</t>
  </si>
  <si>
    <t>PACL</t>
  </si>
  <si>
    <t>Clear Sky Lodge Airport</t>
  </si>
  <si>
    <t>CLH</t>
  </si>
  <si>
    <t>YCAH</t>
  </si>
  <si>
    <t>Coolah Airport</t>
  </si>
  <si>
    <t>CLI</t>
  </si>
  <si>
    <t>KCLI</t>
  </si>
  <si>
    <t>Clintonville Municipal Airport</t>
  </si>
  <si>
    <t>CLJ</t>
  </si>
  <si>
    <t>LRCL</t>
  </si>
  <si>
    <t>Cluj-Napoca International Airport</t>
  </si>
  <si>
    <t>CLK</t>
  </si>
  <si>
    <t>KCLK</t>
  </si>
  <si>
    <t>Clinton Regional Airport</t>
  </si>
  <si>
    <t>CLL</t>
  </si>
  <si>
    <t>KCLL</t>
  </si>
  <si>
    <t>Easterwood Airport (Easterwood Field)</t>
  </si>
  <si>
    <t>CLM</t>
  </si>
  <si>
    <t>KCLM</t>
  </si>
  <si>
    <t>William R. Fairchild International Airport</t>
  </si>
  <si>
    <t>CLN</t>
  </si>
  <si>
    <t>SBCI</t>
  </si>
  <si>
    <t>Carolina Airport</t>
  </si>
  <si>
    <t>CLO</t>
  </si>
  <si>
    <t>SKCL</t>
  </si>
  <si>
    <t>Alfonso Bonilla Aragón International Airport</t>
  </si>
  <si>
    <t>CLQ</t>
  </si>
  <si>
    <t>MMIA</t>
  </si>
  <si>
    <t>Licenciado Miguel de la Madrid Airport</t>
  </si>
  <si>
    <t>CLR</t>
  </si>
  <si>
    <t>KCLR</t>
  </si>
  <si>
    <t>Cliff Hatfield Memorial Airport</t>
  </si>
  <si>
    <t>CLS</t>
  </si>
  <si>
    <t>KCLS</t>
  </si>
  <si>
    <t>Chehalis-Centralia Airport</t>
  </si>
  <si>
    <t>CLT</t>
  </si>
  <si>
    <t>KCLT</t>
  </si>
  <si>
    <t>Charlotte/Douglas International Airport</t>
  </si>
  <si>
    <t>CLU</t>
  </si>
  <si>
    <t>KBAK</t>
  </si>
  <si>
    <t>Columbus Municipal Airport</t>
  </si>
  <si>
    <t>CLV</t>
  </si>
  <si>
    <t>SBCN</t>
  </si>
  <si>
    <t>Caldas Novas Airport</t>
  </si>
  <si>
    <t>SWKN</t>
  </si>
  <si>
    <t>CLW</t>
  </si>
  <si>
    <t>KCLW</t>
  </si>
  <si>
    <t>Clearwater Air Park</t>
  </si>
  <si>
    <t>CLX</t>
  </si>
  <si>
    <t>SATC</t>
  </si>
  <si>
    <t>Clorinda Airport</t>
  </si>
  <si>
    <t>CLY</t>
  </si>
  <si>
    <t>LFKC</t>
  </si>
  <si>
    <t>Calvi Sainte-Catherine Airport</t>
  </si>
  <si>
    <t>CLZ</t>
  </si>
  <si>
    <t>SVCL</t>
  </si>
  <si>
    <t>Calabozo Airport</t>
  </si>
  <si>
    <t>CMA</t>
  </si>
  <si>
    <t>YCMU</t>
  </si>
  <si>
    <t>Cunnamulla Airport</t>
  </si>
  <si>
    <t>CMB</t>
  </si>
  <si>
    <t>VCBI</t>
  </si>
  <si>
    <t>Bandaranaike International Airport</t>
  </si>
  <si>
    <t>CMC</t>
  </si>
  <si>
    <t>SNWC</t>
  </si>
  <si>
    <t>Camocim Airport</t>
  </si>
  <si>
    <t>CMD</t>
  </si>
  <si>
    <t>YCTM</t>
  </si>
  <si>
    <t>Cootamundra Airport</t>
  </si>
  <si>
    <t>CME</t>
  </si>
  <si>
    <t>MMCE</t>
  </si>
  <si>
    <t>Ciudad del Carmen International Airport</t>
  </si>
  <si>
    <t>CMF</t>
  </si>
  <si>
    <t>LFLB</t>
  </si>
  <si>
    <t>Chambéry Airport</t>
  </si>
  <si>
    <t>CMG</t>
  </si>
  <si>
    <t>SBCR</t>
  </si>
  <si>
    <t>Corumbá International Airport</t>
  </si>
  <si>
    <t>CMH</t>
  </si>
  <si>
    <t>KCMH</t>
  </si>
  <si>
    <t>Port Columbus International Airport</t>
  </si>
  <si>
    <t>CMI</t>
  </si>
  <si>
    <t>KCMI</t>
  </si>
  <si>
    <t>University of Illinois Willard Airport</t>
  </si>
  <si>
    <t>CMJ</t>
  </si>
  <si>
    <t>RCCM</t>
  </si>
  <si>
    <t>Qimei Airport</t>
  </si>
  <si>
    <t>CMK</t>
  </si>
  <si>
    <t>FWCM</t>
  </si>
  <si>
    <t>Club Makokola Airport</t>
  </si>
  <si>
    <t>CML</t>
  </si>
  <si>
    <t>YCMW</t>
  </si>
  <si>
    <t>Camooweal Airport</t>
  </si>
  <si>
    <t>CMM</t>
  </si>
  <si>
    <t>MGCR</t>
  </si>
  <si>
    <t>Carmelita Airport</t>
  </si>
  <si>
    <t>CMN</t>
  </si>
  <si>
    <t>GMMN</t>
  </si>
  <si>
    <t>Mohammed V International Airport</t>
  </si>
  <si>
    <t>CMO</t>
  </si>
  <si>
    <t>HCMO</t>
  </si>
  <si>
    <t>Obbia Airport</t>
  </si>
  <si>
    <t>CMP</t>
  </si>
  <si>
    <t>SNKE</t>
  </si>
  <si>
    <t>Santana do Araguaia Airport</t>
  </si>
  <si>
    <t>CMQ</t>
  </si>
  <si>
    <t>YCMT</t>
  </si>
  <si>
    <t>Clermont Airport</t>
  </si>
  <si>
    <t>CMR</t>
  </si>
  <si>
    <t>LFGA</t>
  </si>
  <si>
    <t>Colmar-Houssen Airport</t>
  </si>
  <si>
    <t>KCMR</t>
  </si>
  <si>
    <t>H.A. Clark Memorial Field</t>
  </si>
  <si>
    <t>CMS</t>
  </si>
  <si>
    <t>HCMS</t>
  </si>
  <si>
    <t>Scusciuban Airport</t>
  </si>
  <si>
    <t>CMU</t>
  </si>
  <si>
    <t>AYCH</t>
  </si>
  <si>
    <t>Chimbu Airport</t>
  </si>
  <si>
    <t>CMV</t>
  </si>
  <si>
    <t>NZCX</t>
  </si>
  <si>
    <t>Coromandel Aerodrome</t>
  </si>
  <si>
    <t>CMW</t>
  </si>
  <si>
    <t>MUCM</t>
  </si>
  <si>
    <t>Ignacio Agramonte International Airport</t>
  </si>
  <si>
    <t>CMX</t>
  </si>
  <si>
    <t>KCMX</t>
  </si>
  <si>
    <t>Houghton County Memorial Airport</t>
  </si>
  <si>
    <t>CMY</t>
  </si>
  <si>
    <t>KCMY</t>
  </si>
  <si>
    <t>Sparta/Fort McCoy Airport</t>
  </si>
  <si>
    <t>CNA</t>
  </si>
  <si>
    <t>MMCA</t>
  </si>
  <si>
    <t>Cananea Airport</t>
  </si>
  <si>
    <t>CNB</t>
  </si>
  <si>
    <t>YCNM</t>
  </si>
  <si>
    <t>Coonamble Airport</t>
  </si>
  <si>
    <t>CNC</t>
  </si>
  <si>
    <t>YCCT</t>
  </si>
  <si>
    <t>Coconut Island Airport</t>
  </si>
  <si>
    <t>KCNC</t>
  </si>
  <si>
    <t>Chariton Municipal Airport</t>
  </si>
  <si>
    <t>CND</t>
  </si>
  <si>
    <t>LRCK</t>
  </si>
  <si>
    <t>Mihail Kog?lniceanu International Airport</t>
  </si>
  <si>
    <t>CNF</t>
  </si>
  <si>
    <t>SBCF</t>
  </si>
  <si>
    <t>Tancredo Neves International Airport</t>
  </si>
  <si>
    <t>CNG</t>
  </si>
  <si>
    <t>LFBG</t>
  </si>
  <si>
    <t>Cognac-Châteaubernard (BA 709) Air Base</t>
  </si>
  <si>
    <t>CNH</t>
  </si>
  <si>
    <t>KCNH</t>
  </si>
  <si>
    <t>Claremont Municipal Airport</t>
  </si>
  <si>
    <t>CNI</t>
  </si>
  <si>
    <t>ZYCH</t>
  </si>
  <si>
    <t>Changhai Airport</t>
  </si>
  <si>
    <t>CNJ</t>
  </si>
  <si>
    <t>YCCY</t>
  </si>
  <si>
    <t>Cloncurry Airport</t>
  </si>
  <si>
    <t>CNK</t>
  </si>
  <si>
    <t>KCNK</t>
  </si>
  <si>
    <t>Blosser Municipal Airport</t>
  </si>
  <si>
    <t>CNL</t>
  </si>
  <si>
    <t>EKSN</t>
  </si>
  <si>
    <t>Sindal Airport</t>
  </si>
  <si>
    <t>CNM</t>
  </si>
  <si>
    <t>KCNM</t>
  </si>
  <si>
    <t>Cavern City Air Trml Airport</t>
  </si>
  <si>
    <t>CNN</t>
  </si>
  <si>
    <t>VOKN</t>
  </si>
  <si>
    <t>Kannur International Airport</t>
  </si>
  <si>
    <t>CNO</t>
  </si>
  <si>
    <t>KCNO</t>
  </si>
  <si>
    <t>Chino Airport</t>
  </si>
  <si>
    <t>CNP</t>
  </si>
  <si>
    <t>BGCO</t>
  </si>
  <si>
    <t>Neerlerit Inaat Airport</t>
  </si>
  <si>
    <t>KCNP</t>
  </si>
  <si>
    <t>Billy G. Ray Field</t>
  </si>
  <si>
    <t>CNQ</t>
  </si>
  <si>
    <t>SARC</t>
  </si>
  <si>
    <t>Doctor Fernando Piragine Niveyro International Airport</t>
  </si>
  <si>
    <t>CNR</t>
  </si>
  <si>
    <t>SCRA</t>
  </si>
  <si>
    <t>Chañaral Airport</t>
  </si>
  <si>
    <t>CNS</t>
  </si>
  <si>
    <t>YBCS</t>
  </si>
  <si>
    <t>Cairns International Airport</t>
  </si>
  <si>
    <t>CNU</t>
  </si>
  <si>
    <t>KCNU</t>
  </si>
  <si>
    <t>Chanute Martin Johnson Airport</t>
  </si>
  <si>
    <t>CNV</t>
  </si>
  <si>
    <t>SNED</t>
  </si>
  <si>
    <t>Canavieiras Airport</t>
  </si>
  <si>
    <t>CNW</t>
  </si>
  <si>
    <t>KCNW</t>
  </si>
  <si>
    <t>TSTC Waco Airport</t>
  </si>
  <si>
    <t>CNX</t>
  </si>
  <si>
    <t>VTCC</t>
  </si>
  <si>
    <t>Chiang Mai International Airport</t>
  </si>
  <si>
    <t>CNY</t>
  </si>
  <si>
    <t>KCNY</t>
  </si>
  <si>
    <t>Canyonlands Field</t>
  </si>
  <si>
    <t>COC</t>
  </si>
  <si>
    <t>SAAC</t>
  </si>
  <si>
    <t>Concordia Pierrestegui Airport</t>
  </si>
  <si>
    <t>COD</t>
  </si>
  <si>
    <t>KCOD</t>
  </si>
  <si>
    <t>Yellowstone Regional Airport</t>
  </si>
  <si>
    <t>COE</t>
  </si>
  <si>
    <t>KCOE</t>
  </si>
  <si>
    <t>Coeur d'Alene Air Terminal</t>
  </si>
  <si>
    <t>COF</t>
  </si>
  <si>
    <t>KCOF</t>
  </si>
  <si>
    <t>Patrick Air Force Base</t>
  </si>
  <si>
    <t>COG</t>
  </si>
  <si>
    <t>SKCD</t>
  </si>
  <si>
    <t>Mandinga Airport</t>
  </si>
  <si>
    <t>COH</t>
  </si>
  <si>
    <t>VECO</t>
  </si>
  <si>
    <t>Cooch Behar Airport</t>
  </si>
  <si>
    <t>COI</t>
  </si>
  <si>
    <t>KCOI</t>
  </si>
  <si>
    <t>Merritt Island Airport</t>
  </si>
  <si>
    <t>COJ</t>
  </si>
  <si>
    <t>YCBB</t>
  </si>
  <si>
    <t>Coonabarabran Airport</t>
  </si>
  <si>
    <t>COK</t>
  </si>
  <si>
    <t>VOCI</t>
  </si>
  <si>
    <t>Cochin International Airport</t>
  </si>
  <si>
    <t>COL</t>
  </si>
  <si>
    <t>EGEL</t>
  </si>
  <si>
    <t>Coll Airport</t>
  </si>
  <si>
    <t>COM</t>
  </si>
  <si>
    <t>KCOM</t>
  </si>
  <si>
    <t>Coleman Municipal Airport</t>
  </si>
  <si>
    <t>CON</t>
  </si>
  <si>
    <t>KCON</t>
  </si>
  <si>
    <t>Concord Municipal Airport</t>
  </si>
  <si>
    <t>COO</t>
  </si>
  <si>
    <t>DBBB</t>
  </si>
  <si>
    <t>Cadjehoun Airport</t>
  </si>
  <si>
    <t>COQ</t>
  </si>
  <si>
    <t>ZMCD</t>
  </si>
  <si>
    <t>Choibalsan Airport</t>
  </si>
  <si>
    <t>KCOQ</t>
  </si>
  <si>
    <t>Cloquet Carlton County Airport</t>
  </si>
  <si>
    <t>COR</t>
  </si>
  <si>
    <t>SACO</t>
  </si>
  <si>
    <t>Ingeniero Ambrosio L.V. Taravella International Airport</t>
  </si>
  <si>
    <t>COS</t>
  </si>
  <si>
    <t>KCOS</t>
  </si>
  <si>
    <t>Colorado Springs Airport</t>
  </si>
  <si>
    <t>COT</t>
  </si>
  <si>
    <t>KCOT</t>
  </si>
  <si>
    <t>Cotulla-La Salle County Airport</t>
  </si>
  <si>
    <t>COU</t>
  </si>
  <si>
    <t>KCOU</t>
  </si>
  <si>
    <t>Columbia Regional Airport</t>
  </si>
  <si>
    <t>COV</t>
  </si>
  <si>
    <t>LPCV</t>
  </si>
  <si>
    <t>Covilha Airport</t>
  </si>
  <si>
    <t>COX</t>
  </si>
  <si>
    <t>MYAK</t>
  </si>
  <si>
    <t>Congo Town Airport</t>
  </si>
  <si>
    <t>COZ</t>
  </si>
  <si>
    <t>MDCZ</t>
  </si>
  <si>
    <t>Constanza Airport</t>
  </si>
  <si>
    <t>CPA</t>
  </si>
  <si>
    <t>GLCP</t>
  </si>
  <si>
    <t>Cape Palmas Airport</t>
  </si>
  <si>
    <t>CPB</t>
  </si>
  <si>
    <t>SKCA</t>
  </si>
  <si>
    <t>Capurganá Airport</t>
  </si>
  <si>
    <t>CPC</t>
  </si>
  <si>
    <t>SAMI</t>
  </si>
  <si>
    <t>Aviador Carlos Campos Airport</t>
  </si>
  <si>
    <t>SAZY</t>
  </si>
  <si>
    <t>Aviador C. Campos Airport</t>
  </si>
  <si>
    <t>CPD</t>
  </si>
  <si>
    <t>YCBP</t>
  </si>
  <si>
    <t>Coober Pedy Airport</t>
  </si>
  <si>
    <t>CPE</t>
  </si>
  <si>
    <t>MMCP</t>
  </si>
  <si>
    <t>Ing. Alberto Acuña Ongay International Airport</t>
  </si>
  <si>
    <t>CPF</t>
  </si>
  <si>
    <t>WARC</t>
  </si>
  <si>
    <t>Cepu Airport</t>
  </si>
  <si>
    <t>CPH</t>
  </si>
  <si>
    <t>EKCH</t>
  </si>
  <si>
    <t>Copenhagen Airport</t>
  </si>
  <si>
    <t>CPK</t>
  </si>
  <si>
    <t>KCPK</t>
  </si>
  <si>
    <t>Chesapeake Regional Airport</t>
  </si>
  <si>
    <t>CPL</t>
  </si>
  <si>
    <t>SKHA</t>
  </si>
  <si>
    <t>Chaparral Airport</t>
  </si>
  <si>
    <t>CPM</t>
  </si>
  <si>
    <t>KCPM</t>
  </si>
  <si>
    <t>Compton/Woodley Airport</t>
  </si>
  <si>
    <t>CPO</t>
  </si>
  <si>
    <t>SCHA</t>
  </si>
  <si>
    <t>Chamonate Airport</t>
  </si>
  <si>
    <t>CPQ</t>
  </si>
  <si>
    <t>SDAM</t>
  </si>
  <si>
    <t>Amarais Airport</t>
  </si>
  <si>
    <t>CPR</t>
  </si>
  <si>
    <t>KCPR</t>
  </si>
  <si>
    <t>Natrona County International Airport</t>
  </si>
  <si>
    <t>CPS</t>
  </si>
  <si>
    <t>KCPS</t>
  </si>
  <si>
    <t>St. Louis Downtown Airport</t>
  </si>
  <si>
    <t>CPT</t>
  </si>
  <si>
    <t>FACT</t>
  </si>
  <si>
    <t>Cape Town International Airport</t>
  </si>
  <si>
    <t>CPU</t>
  </si>
  <si>
    <t>SNCU</t>
  </si>
  <si>
    <t>Cururupu Airport</t>
  </si>
  <si>
    <t>KCPU</t>
  </si>
  <si>
    <t>Calaveras County-Maury Rasmussen Field</t>
  </si>
  <si>
    <t>CPV</t>
  </si>
  <si>
    <t>SBKG</t>
  </si>
  <si>
    <t>Presidente Vargas Airport</t>
  </si>
  <si>
    <t>CPX</t>
  </si>
  <si>
    <t>TJCP</t>
  </si>
  <si>
    <t>Benjamin Rivera Noriega Airport</t>
  </si>
  <si>
    <t>CQA</t>
  </si>
  <si>
    <t>SWEK</t>
  </si>
  <si>
    <t>Canarana Airport</t>
  </si>
  <si>
    <t>CQD</t>
  </si>
  <si>
    <t>OIFS</t>
  </si>
  <si>
    <t>Shahre-Kord Airport</t>
  </si>
  <si>
    <t>CQF</t>
  </si>
  <si>
    <t>LFAC</t>
  </si>
  <si>
    <t>Calais - Dunkerque Airport</t>
  </si>
  <si>
    <t>CQM</t>
  </si>
  <si>
    <t>LERL</t>
  </si>
  <si>
    <t>CQS</t>
  </si>
  <si>
    <t>SWCQ</t>
  </si>
  <si>
    <t>Costa Marques Airport</t>
  </si>
  <si>
    <t>CRA</t>
  </si>
  <si>
    <t>LRCV</t>
  </si>
  <si>
    <t>Craiova Airport</t>
  </si>
  <si>
    <t>CRB</t>
  </si>
  <si>
    <t>YCBR</t>
  </si>
  <si>
    <t>Collarenebri Airport</t>
  </si>
  <si>
    <t>CRC</t>
  </si>
  <si>
    <t>SKGO</t>
  </si>
  <si>
    <t>Santa Ana Airport</t>
  </si>
  <si>
    <t>CRD</t>
  </si>
  <si>
    <t>SAVC</t>
  </si>
  <si>
    <t>General Enrique Mosconi International Airport</t>
  </si>
  <si>
    <t>CRE</t>
  </si>
  <si>
    <t>KCRE</t>
  </si>
  <si>
    <t>Grand Strand Airport</t>
  </si>
  <si>
    <t>CRF</t>
  </si>
  <si>
    <t>FEFC</t>
  </si>
  <si>
    <t>Carnot Airport</t>
  </si>
  <si>
    <t>CRG</t>
  </si>
  <si>
    <t>KCRG</t>
  </si>
  <si>
    <t>Craig Municipal Airport</t>
  </si>
  <si>
    <t>CRI</t>
  </si>
  <si>
    <t>MYCI</t>
  </si>
  <si>
    <t>Colonel Hill Airport</t>
  </si>
  <si>
    <t>CRK</t>
  </si>
  <si>
    <t>RPLC</t>
  </si>
  <si>
    <t>Diosdado Macapagal International Airport</t>
  </si>
  <si>
    <t>CRL</t>
  </si>
  <si>
    <t>EBCI</t>
  </si>
  <si>
    <t>Brussels South Charleroi Airport</t>
  </si>
  <si>
    <t>CRM</t>
  </si>
  <si>
    <t>RPVF</t>
  </si>
  <si>
    <t>Catarman National Airport</t>
  </si>
  <si>
    <t>CRO</t>
  </si>
  <si>
    <t>KCRO</t>
  </si>
  <si>
    <t>Corcoran Airport</t>
  </si>
  <si>
    <t>CRP</t>
  </si>
  <si>
    <t>KCRP</t>
  </si>
  <si>
    <t>Corpus Christi International Airport</t>
  </si>
  <si>
    <t>CRQ</t>
  </si>
  <si>
    <t>SBCV</t>
  </si>
  <si>
    <t>Caravelas Airport</t>
  </si>
  <si>
    <t>CRR</t>
  </si>
  <si>
    <t>SANW</t>
  </si>
  <si>
    <t>Ceres Airport</t>
  </si>
  <si>
    <t>CRS</t>
  </si>
  <si>
    <t>KCRS</t>
  </si>
  <si>
    <t>Corsicana Municipal Airport (C. David Campbell Field)</t>
  </si>
  <si>
    <t>CRT</t>
  </si>
  <si>
    <t>KCRT</t>
  </si>
  <si>
    <t>Z.M. Jack Stell Field</t>
  </si>
  <si>
    <t>CRU</t>
  </si>
  <si>
    <t>TGPZ</t>
  </si>
  <si>
    <t>Lauriston Airport</t>
  </si>
  <si>
    <t>CRV</t>
  </si>
  <si>
    <t>LIBC</t>
  </si>
  <si>
    <t>Crotone Airport</t>
  </si>
  <si>
    <t>CRW</t>
  </si>
  <si>
    <t>KCRW</t>
  </si>
  <si>
    <t>Yeager Airport</t>
  </si>
  <si>
    <t>CRX</t>
  </si>
  <si>
    <t>KCRX</t>
  </si>
  <si>
    <t>Roscoe Turner Airport</t>
  </si>
  <si>
    <t>CRZ</t>
  </si>
  <si>
    <t>UTAV</t>
  </si>
  <si>
    <t>Turkmenabat Airport</t>
  </si>
  <si>
    <t>CSA</t>
  </si>
  <si>
    <t>EGEY</t>
  </si>
  <si>
    <t>Colonsay Airstrip</t>
  </si>
  <si>
    <t>CSB</t>
  </si>
  <si>
    <t>LRCS</t>
  </si>
  <si>
    <t>Caransebe? Airport</t>
  </si>
  <si>
    <t>CSC</t>
  </si>
  <si>
    <t>MRCA</t>
  </si>
  <si>
    <t>Codela Airport</t>
  </si>
  <si>
    <t>CSF</t>
  </si>
  <si>
    <t>LFPC</t>
  </si>
  <si>
    <t>Creil Air Base</t>
  </si>
  <si>
    <t>CSG</t>
  </si>
  <si>
    <t>KCSG</t>
  </si>
  <si>
    <t>Columbus Metropolitan Airport</t>
  </si>
  <si>
    <t>CSH</t>
  </si>
  <si>
    <t>ULAS</t>
  </si>
  <si>
    <t>Solovki Airport</t>
  </si>
  <si>
    <t>CSI</t>
  </si>
  <si>
    <t>YCAS</t>
  </si>
  <si>
    <t>Casino Airport</t>
  </si>
  <si>
    <t>CSK</t>
  </si>
  <si>
    <t>GOGS</t>
  </si>
  <si>
    <t>Cap Skirring Airport</t>
  </si>
  <si>
    <t>CSL</t>
  </si>
  <si>
    <t>MMSL</t>
  </si>
  <si>
    <t>Cabo San Lucas International Airport</t>
  </si>
  <si>
    <t>CSM</t>
  </si>
  <si>
    <t>KCSM</t>
  </si>
  <si>
    <t>Clinton-Sherman Airport</t>
  </si>
  <si>
    <t>CSP</t>
  </si>
  <si>
    <t>PACA</t>
  </si>
  <si>
    <t>Cape Spencer Coast Guard Heliport</t>
  </si>
  <si>
    <t>CSQ</t>
  </si>
  <si>
    <t>KCSQ</t>
  </si>
  <si>
    <t>Creston Municipal Airport</t>
  </si>
  <si>
    <t>CSU</t>
  </si>
  <si>
    <t>SSSC</t>
  </si>
  <si>
    <t>Santa Cruz do Sul Airport</t>
  </si>
  <si>
    <t>CSV</t>
  </si>
  <si>
    <t>KCSV</t>
  </si>
  <si>
    <t>Crossville Memorial-Whitson Field</t>
  </si>
  <si>
    <t>CSX</t>
  </si>
  <si>
    <t>ZGHA</t>
  </si>
  <si>
    <t>Changsha Huanghua International Airport</t>
  </si>
  <si>
    <t>CSY</t>
  </si>
  <si>
    <t>UWKS</t>
  </si>
  <si>
    <t>Cheboksary Airport</t>
  </si>
  <si>
    <t>CSZ</t>
  </si>
  <si>
    <t>SAZC</t>
  </si>
  <si>
    <t>Brigadier D.H.E. Ruiz Airport</t>
  </si>
  <si>
    <t>CTA</t>
  </si>
  <si>
    <t>LICC</t>
  </si>
  <si>
    <t>Catania-Fontanarossa Airport</t>
  </si>
  <si>
    <t>CTB</t>
  </si>
  <si>
    <t>KCTB</t>
  </si>
  <si>
    <t>Cut Bank Municipal Airport</t>
  </si>
  <si>
    <t>CTC</t>
  </si>
  <si>
    <t>SANC</t>
  </si>
  <si>
    <t>Catamarca Airport</t>
  </si>
  <si>
    <t>CTD</t>
  </si>
  <si>
    <t>MPCE</t>
  </si>
  <si>
    <t>Alonso Valderrama Airport</t>
  </si>
  <si>
    <t>CTF</t>
  </si>
  <si>
    <t>MGCT</t>
  </si>
  <si>
    <t>Coatepeque Airport</t>
  </si>
  <si>
    <t>SPCM</t>
  </si>
  <si>
    <t>Contamana Airport</t>
  </si>
  <si>
    <t>CTG</t>
  </si>
  <si>
    <t>SKCG</t>
  </si>
  <si>
    <t>Rafael Núñez International Airport</t>
  </si>
  <si>
    <t>CTI</t>
  </si>
  <si>
    <t>FNCV</t>
  </si>
  <si>
    <t>Cuito Cuanavale Airport</t>
  </si>
  <si>
    <t>CTK</t>
  </si>
  <si>
    <t>KCTK</t>
  </si>
  <si>
    <t>Ingersoll Airport</t>
  </si>
  <si>
    <t>CTL</t>
  </si>
  <si>
    <t>YBCV</t>
  </si>
  <si>
    <t>Charleville Airport</t>
  </si>
  <si>
    <t>CTM</t>
  </si>
  <si>
    <t>MMCM</t>
  </si>
  <si>
    <t>Chetumal International Airport</t>
  </si>
  <si>
    <t>CTN</t>
  </si>
  <si>
    <t>YCKN</t>
  </si>
  <si>
    <t>Cooktown Airport</t>
  </si>
  <si>
    <t>CTP</t>
  </si>
  <si>
    <t>SNCP</t>
  </si>
  <si>
    <t>Carutapera Airport</t>
  </si>
  <si>
    <t>CTQ</t>
  </si>
  <si>
    <t>SSVP</t>
  </si>
  <si>
    <t>Santa Vitória do Palmar Airport</t>
  </si>
  <si>
    <t>CTS</t>
  </si>
  <si>
    <t>RJCC</t>
  </si>
  <si>
    <t>New Chitose Airport</t>
  </si>
  <si>
    <t>CTT</t>
  </si>
  <si>
    <t>LFMQ</t>
  </si>
  <si>
    <t>Le Castellet Airport</t>
  </si>
  <si>
    <t>CTU</t>
  </si>
  <si>
    <t>ZUUU</t>
  </si>
  <si>
    <t>Chengdu Shuangliu International Airport</t>
  </si>
  <si>
    <t>CTY</t>
  </si>
  <si>
    <t>KCTY</t>
  </si>
  <si>
    <t>Cross City Airport</t>
  </si>
  <si>
    <t>CTZ</t>
  </si>
  <si>
    <t>KCTZ</t>
  </si>
  <si>
    <t>Sampson County Airport</t>
  </si>
  <si>
    <t>CUA</t>
  </si>
  <si>
    <t>MMDA</t>
  </si>
  <si>
    <t>Ciudad Constitución Airport</t>
  </si>
  <si>
    <t>CUB</t>
  </si>
  <si>
    <t>KCUB</t>
  </si>
  <si>
    <t>Columbia Owens Downtown Airport</t>
  </si>
  <si>
    <t>CUC</t>
  </si>
  <si>
    <t>SKCC</t>
  </si>
  <si>
    <t>Camilo Daza International Airport</t>
  </si>
  <si>
    <t>CUD</t>
  </si>
  <si>
    <t>YCDR</t>
  </si>
  <si>
    <t>Caloundra Airport</t>
  </si>
  <si>
    <t>CUE</t>
  </si>
  <si>
    <t>SECU</t>
  </si>
  <si>
    <t>Mariscal Lamar Airport</t>
  </si>
  <si>
    <t>CUF</t>
  </si>
  <si>
    <t>LIMZ</t>
  </si>
  <si>
    <t>Cuneo / Levaldigi Airport</t>
  </si>
  <si>
    <t>CUG</t>
  </si>
  <si>
    <t>YCUA</t>
  </si>
  <si>
    <t>Cudal Airport</t>
  </si>
  <si>
    <t>CUH</t>
  </si>
  <si>
    <t>KCUH</t>
  </si>
  <si>
    <t>Cushing Municipal Airport</t>
  </si>
  <si>
    <t>CUK</t>
  </si>
  <si>
    <t>KCUL</t>
  </si>
  <si>
    <t>Caye Caulker Airport</t>
  </si>
  <si>
    <t>CUL</t>
  </si>
  <si>
    <t>MMCL</t>
  </si>
  <si>
    <t>Federal de Bachigualato International Airport</t>
  </si>
  <si>
    <t>CUM</t>
  </si>
  <si>
    <t>SVCU</t>
  </si>
  <si>
    <t>Antonio José de Sucre Airport</t>
  </si>
  <si>
    <t>CUN</t>
  </si>
  <si>
    <t>MMUN</t>
  </si>
  <si>
    <t>Cancún International Airport</t>
  </si>
  <si>
    <t>CUO</t>
  </si>
  <si>
    <t>SKCR</t>
  </si>
  <si>
    <t>Carurú Airport</t>
  </si>
  <si>
    <t>CUP</t>
  </si>
  <si>
    <t>SVCP</t>
  </si>
  <si>
    <t>General José Francisco Bermúdez Airport</t>
  </si>
  <si>
    <t>CUQ</t>
  </si>
  <si>
    <t>YCOE</t>
  </si>
  <si>
    <t>Coen Airport</t>
  </si>
  <si>
    <t>CUR</t>
  </si>
  <si>
    <t>TNCC</t>
  </si>
  <si>
    <t>Hato International Airport</t>
  </si>
  <si>
    <t>CUT</t>
  </si>
  <si>
    <t>SAZW</t>
  </si>
  <si>
    <t>Cutral-Co Airport</t>
  </si>
  <si>
    <t>KCUT</t>
  </si>
  <si>
    <t>Custer County Airport</t>
  </si>
  <si>
    <t>CUU</t>
  </si>
  <si>
    <t>MMCU</t>
  </si>
  <si>
    <t>General Roberto Fierro Villalobos International Airport</t>
  </si>
  <si>
    <t>CUV</t>
  </si>
  <si>
    <t>SVCG</t>
  </si>
  <si>
    <t>Casigua El Cubo Airport</t>
  </si>
  <si>
    <t>CUY</t>
  </si>
  <si>
    <t>YCUE</t>
  </si>
  <si>
    <t>Cue Airport</t>
  </si>
  <si>
    <t>CUZ</t>
  </si>
  <si>
    <t>SPZO</t>
  </si>
  <si>
    <t>Alejandro Velasco Astete International Airport</t>
  </si>
  <si>
    <t>CVC</t>
  </si>
  <si>
    <t>YCEE</t>
  </si>
  <si>
    <t>Cleve Airport</t>
  </si>
  <si>
    <t>CVE</t>
  </si>
  <si>
    <t>SKCV</t>
  </si>
  <si>
    <t>Coveñas Airport</t>
  </si>
  <si>
    <t>CVF</t>
  </si>
  <si>
    <t>LFLJ</t>
  </si>
  <si>
    <t>Courchevel Airport</t>
  </si>
  <si>
    <t>CVG</t>
  </si>
  <si>
    <t>KCVG</t>
  </si>
  <si>
    <t>Cincinnati/Northern Kentucky International Airport</t>
  </si>
  <si>
    <t>CVH</t>
  </si>
  <si>
    <t>SAHE</t>
  </si>
  <si>
    <t>Caviahue Airport</t>
  </si>
  <si>
    <t>CVJ</t>
  </si>
  <si>
    <t>MMCB</t>
  </si>
  <si>
    <t>General Mariano Matamoros Airport</t>
  </si>
  <si>
    <t>CVM</t>
  </si>
  <si>
    <t>MMCV</t>
  </si>
  <si>
    <t>General Pedro J. Méndez National Airport</t>
  </si>
  <si>
    <t>CVN</t>
  </si>
  <si>
    <t>KCVN</t>
  </si>
  <si>
    <t>Clovis Municipal Airport</t>
  </si>
  <si>
    <t>CVO</t>
  </si>
  <si>
    <t>KCVO</t>
  </si>
  <si>
    <t>Corvallis Municipal Airport</t>
  </si>
  <si>
    <t>CVQ</t>
  </si>
  <si>
    <t>YCAR</t>
  </si>
  <si>
    <t>Carnarvon Airport</t>
  </si>
  <si>
    <t>CVS</t>
  </si>
  <si>
    <t>KCVS</t>
  </si>
  <si>
    <t>Cannon Air Force Base</t>
  </si>
  <si>
    <t>CVT</t>
  </si>
  <si>
    <t>EGBE</t>
  </si>
  <si>
    <t>Coventry Airport</t>
  </si>
  <si>
    <t>CVU</t>
  </si>
  <si>
    <t>LPCR</t>
  </si>
  <si>
    <t>Corvo Airport</t>
  </si>
  <si>
    <t>CWA</t>
  </si>
  <si>
    <t>KCWA</t>
  </si>
  <si>
    <t>Central Wisconsin Airport</t>
  </si>
  <si>
    <t>CWB</t>
  </si>
  <si>
    <t>SBCT</t>
  </si>
  <si>
    <t>Afonso Pena International Airport</t>
  </si>
  <si>
    <t>CWC</t>
  </si>
  <si>
    <t>UKLN</t>
  </si>
  <si>
    <t>Chernivtsi International Airport</t>
  </si>
  <si>
    <t>CWE</t>
  </si>
  <si>
    <t>HECW</t>
  </si>
  <si>
    <t>Cairo West Airport</t>
  </si>
  <si>
    <t>CWF</t>
  </si>
  <si>
    <t>KCWF</t>
  </si>
  <si>
    <t>Chennault International Airport</t>
  </si>
  <si>
    <t>CWI</t>
  </si>
  <si>
    <t>KCWI</t>
  </si>
  <si>
    <t>Clinton Municipal Airport</t>
  </si>
  <si>
    <t>CWL</t>
  </si>
  <si>
    <t>EGFF</t>
  </si>
  <si>
    <t>Cardiff Airport</t>
  </si>
  <si>
    <t>CWR</t>
  </si>
  <si>
    <t>YCWI</t>
  </si>
  <si>
    <t>Cowarie Airport</t>
  </si>
  <si>
    <t>CWS</t>
  </si>
  <si>
    <t>KCWS</t>
  </si>
  <si>
    <t>Dennis F. Cantrell Field</t>
  </si>
  <si>
    <t>CWT</t>
  </si>
  <si>
    <t>YCWR</t>
  </si>
  <si>
    <t>Cowra Airport</t>
  </si>
  <si>
    <t>CWW</t>
  </si>
  <si>
    <t>YCOR</t>
  </si>
  <si>
    <t>Corowa Airport</t>
  </si>
  <si>
    <t>CWX</t>
  </si>
  <si>
    <t>KP33</t>
  </si>
  <si>
    <t>Cochise County Airport</t>
  </si>
  <si>
    <t>CXA</t>
  </si>
  <si>
    <t>SVCD</t>
  </si>
  <si>
    <t>Caicara del Orinoco Airport</t>
  </si>
  <si>
    <t>CXB</t>
  </si>
  <si>
    <t>VGCB</t>
  </si>
  <si>
    <t>Cox's Bazar Airport</t>
  </si>
  <si>
    <t>CXH</t>
  </si>
  <si>
    <t>CYHC</t>
  </si>
  <si>
    <t>Vancouver Harbour Water Aerodrome</t>
  </si>
  <si>
    <t>CXI</t>
  </si>
  <si>
    <t>PLCH</t>
  </si>
  <si>
    <t>Cassidy International Airport</t>
  </si>
  <si>
    <t>CXJ</t>
  </si>
  <si>
    <t>SBCX</t>
  </si>
  <si>
    <t>Aeroporto Hugo Cantergiani</t>
  </si>
  <si>
    <t>CXL</t>
  </si>
  <si>
    <t>KCXL</t>
  </si>
  <si>
    <t>Calexico International Airport</t>
  </si>
  <si>
    <t>CXM</t>
  </si>
  <si>
    <t>FNCX</t>
  </si>
  <si>
    <t>Camaxilo Airport</t>
  </si>
  <si>
    <t>CXN</t>
  </si>
  <si>
    <t>HCMC</t>
  </si>
  <si>
    <t>Candala Airport</t>
  </si>
  <si>
    <t>CXO</t>
  </si>
  <si>
    <t>KCXO</t>
  </si>
  <si>
    <t>Lone Star Executive Airport</t>
  </si>
  <si>
    <t>CXP</t>
  </si>
  <si>
    <t>WIHL</t>
  </si>
  <si>
    <t>Tunggul Wulung Airport</t>
  </si>
  <si>
    <t>KCXP</t>
  </si>
  <si>
    <t>Carson Airport</t>
  </si>
  <si>
    <t>CXR</t>
  </si>
  <si>
    <t>VVCR</t>
  </si>
  <si>
    <t>Cam Ranh International Airport</t>
  </si>
  <si>
    <t>CXT</t>
  </si>
  <si>
    <t>YCHT</t>
  </si>
  <si>
    <t>Charters Towers Airport</t>
  </si>
  <si>
    <t>CXY</t>
  </si>
  <si>
    <t>MYCC</t>
  </si>
  <si>
    <t>Cat Cay Airport</t>
  </si>
  <si>
    <t>CYA</t>
  </si>
  <si>
    <t>MTCA</t>
  </si>
  <si>
    <t>Les Cayes Airport</t>
  </si>
  <si>
    <t>CYB</t>
  </si>
  <si>
    <t>MWCB</t>
  </si>
  <si>
    <t>Gerrard Smith International Airport</t>
  </si>
  <si>
    <t>CYG</t>
  </si>
  <si>
    <t>YCRG</t>
  </si>
  <si>
    <t>Corryong Airport</t>
  </si>
  <si>
    <t>CYI</t>
  </si>
  <si>
    <t>RCKU</t>
  </si>
  <si>
    <t>Chiayi Airport</t>
  </si>
  <si>
    <t>CYO</t>
  </si>
  <si>
    <t>MUCL</t>
  </si>
  <si>
    <t>Vilo Acuna International Airport</t>
  </si>
  <si>
    <t>KCYO</t>
  </si>
  <si>
    <t>Pickaway County Memorial Airport</t>
  </si>
  <si>
    <t>CYP</t>
  </si>
  <si>
    <t>RPVC</t>
  </si>
  <si>
    <t>Calbayog Airport</t>
  </si>
  <si>
    <t>CYR</t>
  </si>
  <si>
    <t>SUCA</t>
  </si>
  <si>
    <t>Laguna de Los Patos International Airport</t>
  </si>
  <si>
    <t>CYS</t>
  </si>
  <si>
    <t>KCYS</t>
  </si>
  <si>
    <t>Cheyenne Regional Airport (Jerry Olson Field)</t>
  </si>
  <si>
    <t>CYT</t>
  </si>
  <si>
    <t>PACY</t>
  </si>
  <si>
    <t>Yakataga Airport</t>
  </si>
  <si>
    <t>CYU</t>
  </si>
  <si>
    <t>RPLO</t>
  </si>
  <si>
    <t>Cuyo Airport</t>
  </si>
  <si>
    <t>CYW</t>
  </si>
  <si>
    <t>MMCY</t>
  </si>
  <si>
    <t>Captain Rogelio Castillo National Airport</t>
  </si>
  <si>
    <t>CYX</t>
  </si>
  <si>
    <t>UESS</t>
  </si>
  <si>
    <t>Cherskiy Airport</t>
  </si>
  <si>
    <t>CYZ</t>
  </si>
  <si>
    <t>RPUY</t>
  </si>
  <si>
    <t>Cauayan Airport</t>
  </si>
  <si>
    <t>CZA</t>
  </si>
  <si>
    <t>MMCT</t>
  </si>
  <si>
    <t>Chichen Itza International Airport</t>
  </si>
  <si>
    <t>CZE</t>
  </si>
  <si>
    <t>SVCR</t>
  </si>
  <si>
    <t>José Leonardo Chirinos Airport</t>
  </si>
  <si>
    <t>CZF</t>
  </si>
  <si>
    <t>PACZ</t>
  </si>
  <si>
    <t>Cape Romanzof Long Range Radar Station</t>
  </si>
  <si>
    <t>CZK</t>
  </si>
  <si>
    <t>KCZK</t>
  </si>
  <si>
    <t>Cascade Locks State Airport</t>
  </si>
  <si>
    <t>CZL</t>
  </si>
  <si>
    <t>DABC</t>
  </si>
  <si>
    <t>Mohamed Boudiaf International Airport</t>
  </si>
  <si>
    <t>CZM</t>
  </si>
  <si>
    <t>MMCZ</t>
  </si>
  <si>
    <t>Cozumel International Airport</t>
  </si>
  <si>
    <t>CZS</t>
  </si>
  <si>
    <t>SBCZ</t>
  </si>
  <si>
    <t>Cruzeiro do Sul International Airport</t>
  </si>
  <si>
    <t>CZT</t>
  </si>
  <si>
    <t>KCZT</t>
  </si>
  <si>
    <t>Dimmit County Airport</t>
  </si>
  <si>
    <t>CZU</t>
  </si>
  <si>
    <t>SKCZ</t>
  </si>
  <si>
    <t>CZW</t>
  </si>
  <si>
    <t>EPCH</t>
  </si>
  <si>
    <t>Częstochowa-Rudniki</t>
  </si>
  <si>
    <t>CZX</t>
  </si>
  <si>
    <t>ZSCG</t>
  </si>
  <si>
    <t>Changzhou Benniu Airport</t>
  </si>
  <si>
    <t>CZY</t>
  </si>
  <si>
    <t>YUNY</t>
  </si>
  <si>
    <t>Cluny Airport</t>
  </si>
  <si>
    <t>DAA</t>
  </si>
  <si>
    <t>KDAA</t>
  </si>
  <si>
    <t>Davison Army Airfield</t>
  </si>
  <si>
    <t>DAB</t>
  </si>
  <si>
    <t>KDAB</t>
  </si>
  <si>
    <t>Daytona Beach International Airport</t>
  </si>
  <si>
    <t>DAC</t>
  </si>
  <si>
    <t>VGHS</t>
  </si>
  <si>
    <t>Hazrat Shahjalal International Airport</t>
  </si>
  <si>
    <t>VGZR</t>
  </si>
  <si>
    <t>Zia International Airport</t>
  </si>
  <si>
    <t>DAD</t>
  </si>
  <si>
    <t>VVDN</t>
  </si>
  <si>
    <t>Da Nang International Airport</t>
  </si>
  <si>
    <t>DAE</t>
  </si>
  <si>
    <t>VEDZ</t>
  </si>
  <si>
    <t>Daporijo Airport</t>
  </si>
  <si>
    <t>DAG</t>
  </si>
  <si>
    <t>KDAG</t>
  </si>
  <si>
    <t>Barstow-Daggett Airport</t>
  </si>
  <si>
    <t>DAK</t>
  </si>
  <si>
    <t>HEDK</t>
  </si>
  <si>
    <t>Dakhla Oasis Airport</t>
  </si>
  <si>
    <t>DAL</t>
  </si>
  <si>
    <t>KDAL</t>
  </si>
  <si>
    <t>Dallas Love Field</t>
  </si>
  <si>
    <t>DAM</t>
  </si>
  <si>
    <t>OSDI</t>
  </si>
  <si>
    <t>Damascus International Airport</t>
  </si>
  <si>
    <t>DAN</t>
  </si>
  <si>
    <t>KDAN</t>
  </si>
  <si>
    <t>Danville Regional Airport</t>
  </si>
  <si>
    <t>DAP</t>
  </si>
  <si>
    <t>VNDL</t>
  </si>
  <si>
    <t>Darchula Airport</t>
  </si>
  <si>
    <t>DAR</t>
  </si>
  <si>
    <t>HTDA</t>
  </si>
  <si>
    <t>Dar Es Salaam Airport</t>
  </si>
  <si>
    <t>DAT</t>
  </si>
  <si>
    <t>SCAT</t>
  </si>
  <si>
    <t>Desierto de Atacama Airport</t>
  </si>
  <si>
    <t>ZBDT</t>
  </si>
  <si>
    <t>Datong Airport</t>
  </si>
  <si>
    <t>DAU</t>
  </si>
  <si>
    <t>AYDU</t>
  </si>
  <si>
    <t>Daru Airport</t>
  </si>
  <si>
    <t>DAV</t>
  </si>
  <si>
    <t>MPDA</t>
  </si>
  <si>
    <t>Enrique Malek International Airport</t>
  </si>
  <si>
    <t>DAX</t>
  </si>
  <si>
    <t>ZUDX</t>
  </si>
  <si>
    <t>Dachuan Airport</t>
  </si>
  <si>
    <t>DAY</t>
  </si>
  <si>
    <t>KDAY</t>
  </si>
  <si>
    <t>James M. Cox International Airport</t>
  </si>
  <si>
    <t>DAZ</t>
  </si>
  <si>
    <t>OADZ</t>
  </si>
  <si>
    <t>Darwaz Airport</t>
  </si>
  <si>
    <t>DBA</t>
  </si>
  <si>
    <t>OPDB</t>
  </si>
  <si>
    <t>Dalbandin Airport</t>
  </si>
  <si>
    <t>DBB</t>
  </si>
  <si>
    <t>HEAL</t>
  </si>
  <si>
    <t>El Alamein International Airport</t>
  </si>
  <si>
    <t>DBD</t>
  </si>
  <si>
    <t>VEDB</t>
  </si>
  <si>
    <t>Dhanbad Airport</t>
  </si>
  <si>
    <t>DBM</t>
  </si>
  <si>
    <t>HADM</t>
  </si>
  <si>
    <t>Debre Marcos Airport</t>
  </si>
  <si>
    <t>DBN</t>
  </si>
  <si>
    <t>KDBN</t>
  </si>
  <si>
    <t>W. H. 'Bud' Barron Airport</t>
  </si>
  <si>
    <t>DBO</t>
  </si>
  <si>
    <t>YSDU</t>
  </si>
  <si>
    <t>Dubbo Airport</t>
  </si>
  <si>
    <t>DBQ</t>
  </si>
  <si>
    <t>KDBQ</t>
  </si>
  <si>
    <t>Dubuque Regional Airport</t>
  </si>
  <si>
    <t>DBT</t>
  </si>
  <si>
    <t>HADT</t>
  </si>
  <si>
    <t>Debre Tabor Airport</t>
  </si>
  <si>
    <t>DBV</t>
  </si>
  <si>
    <t>LDDU</t>
  </si>
  <si>
    <t>Dubrovnik Airport</t>
  </si>
  <si>
    <t>DBY</t>
  </si>
  <si>
    <t>YDAY</t>
  </si>
  <si>
    <t>Dalby Airport</t>
  </si>
  <si>
    <t>DCA</t>
  </si>
  <si>
    <t>KDCA</t>
  </si>
  <si>
    <t>Ronald Reagan Washington National Airport</t>
  </si>
  <si>
    <t>DCF</t>
  </si>
  <si>
    <t>TDCF</t>
  </si>
  <si>
    <t>Canefield Airport</t>
  </si>
  <si>
    <t>DCI</t>
  </si>
  <si>
    <t>LIED</t>
  </si>
  <si>
    <t>Rafsu Decimomannu Airport</t>
  </si>
  <si>
    <t>DCM</t>
  </si>
  <si>
    <t>LFCK</t>
  </si>
  <si>
    <t>Castres-Mazamet Airport</t>
  </si>
  <si>
    <t>DCR</t>
  </si>
  <si>
    <t>KDCR</t>
  </si>
  <si>
    <t>Decatur Hi-Way Airport</t>
  </si>
  <si>
    <t>DCT</t>
  </si>
  <si>
    <t>MYRD</t>
  </si>
  <si>
    <t>Duncan Town Airport</t>
  </si>
  <si>
    <t>DCU</t>
  </si>
  <si>
    <t>KDCU</t>
  </si>
  <si>
    <t>Pryor Field Regional Airport</t>
  </si>
  <si>
    <t>DDC</t>
  </si>
  <si>
    <t>KDDC</t>
  </si>
  <si>
    <t>Dodge City Regional Airport</t>
  </si>
  <si>
    <t>DDG</t>
  </si>
  <si>
    <t>ZYDD</t>
  </si>
  <si>
    <t>Dandong Airport</t>
  </si>
  <si>
    <t>DDN</t>
  </si>
  <si>
    <t>YDLT</t>
  </si>
  <si>
    <t>Delta Downs Airport</t>
  </si>
  <si>
    <t>DDU</t>
  </si>
  <si>
    <t>OP17</t>
  </si>
  <si>
    <t>Dadu West Airport</t>
  </si>
  <si>
    <t>OPDD</t>
  </si>
  <si>
    <t>Dadu Airport</t>
  </si>
  <si>
    <t>DEA</t>
  </si>
  <si>
    <t>OPDG</t>
  </si>
  <si>
    <t>Dera Ghazi Khan Airport</t>
  </si>
  <si>
    <t>DEB</t>
  </si>
  <si>
    <t>LHDC</t>
  </si>
  <si>
    <t>Debrecen Airport</t>
  </si>
  <si>
    <t>DEC</t>
  </si>
  <si>
    <t>KDEC</t>
  </si>
  <si>
    <t>Decatur Airport</t>
  </si>
  <si>
    <t>DED</t>
  </si>
  <si>
    <t>VIDN</t>
  </si>
  <si>
    <t>Dehradun Airport</t>
  </si>
  <si>
    <t>DEE</t>
  </si>
  <si>
    <t>UHSM</t>
  </si>
  <si>
    <t>Mendeleyevo Airport</t>
  </si>
  <si>
    <t>DEH</t>
  </si>
  <si>
    <t>KDEH</t>
  </si>
  <si>
    <t>Decorah Municipal Airport</t>
  </si>
  <si>
    <t>DEI</t>
  </si>
  <si>
    <t>FSSD</t>
  </si>
  <si>
    <t>Denis Island Airport</t>
  </si>
  <si>
    <t>DEL</t>
  </si>
  <si>
    <t>VIDP</t>
  </si>
  <si>
    <t>Indira Gandhi International Airport</t>
  </si>
  <si>
    <t>DEM</t>
  </si>
  <si>
    <t>HADD</t>
  </si>
  <si>
    <t>Dembidolo Airport</t>
  </si>
  <si>
    <t>DEN</t>
  </si>
  <si>
    <t>KDEN</t>
  </si>
  <si>
    <t>Denver International Airport</t>
  </si>
  <si>
    <t>DES</t>
  </si>
  <si>
    <t>FSDR</t>
  </si>
  <si>
    <t>Desroches Airport</t>
  </si>
  <si>
    <t>DET</t>
  </si>
  <si>
    <t>KDET</t>
  </si>
  <si>
    <t>Coleman A. Young International Airport</t>
  </si>
  <si>
    <t>DEZ</t>
  </si>
  <si>
    <t>OSDZ</t>
  </si>
  <si>
    <t>Deir ez-Zor Airport</t>
  </si>
  <si>
    <t>DFI</t>
  </si>
  <si>
    <t>KDFI</t>
  </si>
  <si>
    <t>Defiance Memorial Airport</t>
  </si>
  <si>
    <t>DFP</t>
  </si>
  <si>
    <t>YDDF</t>
  </si>
  <si>
    <t>Drumduff Airport</t>
  </si>
  <si>
    <t>DFW</t>
  </si>
  <si>
    <t>KDFW</t>
  </si>
  <si>
    <t>Dallas-Fort Worth International Airport</t>
  </si>
  <si>
    <t>DGE</t>
  </si>
  <si>
    <t>YMDG</t>
  </si>
  <si>
    <t>Mudgee Airport</t>
  </si>
  <si>
    <t>DGL</t>
  </si>
  <si>
    <t>KDGL</t>
  </si>
  <si>
    <t>Douglas Municipal Airport</t>
  </si>
  <si>
    <t>DGO</t>
  </si>
  <si>
    <t>MMDO</t>
  </si>
  <si>
    <t>General Guadalupe Victoria International Airport</t>
  </si>
  <si>
    <t>DGP</t>
  </si>
  <si>
    <t>EVDA</t>
  </si>
  <si>
    <t>Daugavpils Airport</t>
  </si>
  <si>
    <t>DGR</t>
  </si>
  <si>
    <t>NZDA</t>
  </si>
  <si>
    <t>Dargaville Airport</t>
  </si>
  <si>
    <t>DGT</t>
  </si>
  <si>
    <t>RPVD</t>
  </si>
  <si>
    <t>Dumaguete Airport</t>
  </si>
  <si>
    <t>DGU</t>
  </si>
  <si>
    <t>DFOD</t>
  </si>
  <si>
    <t>Dedougou Airport</t>
  </si>
  <si>
    <t>DGW</t>
  </si>
  <si>
    <t>KDGW</t>
  </si>
  <si>
    <t>Converse County Airport</t>
  </si>
  <si>
    <t>DGX</t>
  </si>
  <si>
    <t>EGDX</t>
  </si>
  <si>
    <t>RAF St Athan</t>
  </si>
  <si>
    <t>DHA</t>
  </si>
  <si>
    <t>OEDR</t>
  </si>
  <si>
    <t>Dhahran International Airport</t>
  </si>
  <si>
    <t>DHD</t>
  </si>
  <si>
    <t>YDRH</t>
  </si>
  <si>
    <t>Durham Downs Airport</t>
  </si>
  <si>
    <t>DHF</t>
  </si>
  <si>
    <t>OMAM</t>
  </si>
  <si>
    <t>Al Dhafra Airport</t>
  </si>
  <si>
    <t>DHI</t>
  </si>
  <si>
    <t>VNDH</t>
  </si>
  <si>
    <t>Dhangarhi Airport</t>
  </si>
  <si>
    <t>DHM</t>
  </si>
  <si>
    <t>VIGG</t>
  </si>
  <si>
    <t>Gaggal Airport</t>
  </si>
  <si>
    <t>DHN</t>
  </si>
  <si>
    <t>KDHN</t>
  </si>
  <si>
    <t>Dothan Regional Airport</t>
  </si>
  <si>
    <t>DHR</t>
  </si>
  <si>
    <t>EHKD</t>
  </si>
  <si>
    <t>De Kooy Airport</t>
  </si>
  <si>
    <t>DHT</t>
  </si>
  <si>
    <t>KDHT</t>
  </si>
  <si>
    <t>Dalhart Municipal Airport</t>
  </si>
  <si>
    <t>DIA</t>
  </si>
  <si>
    <t>OTBD</t>
  </si>
  <si>
    <t>Doha International Airport</t>
  </si>
  <si>
    <t>DIB</t>
  </si>
  <si>
    <t>VEMN</t>
  </si>
  <si>
    <t>Dibrugarh Airport</t>
  </si>
  <si>
    <t>DIE</t>
  </si>
  <si>
    <t>FMNA</t>
  </si>
  <si>
    <t>Arrachart Airport</t>
  </si>
  <si>
    <t>DIG</t>
  </si>
  <si>
    <t>ZPDQ</t>
  </si>
  <si>
    <t>Diqing Airport</t>
  </si>
  <si>
    <t>DIJ</t>
  </si>
  <si>
    <t>LFSD</t>
  </si>
  <si>
    <t>Dijon-Longvic Airbase (Bourgogne Aéroport)</t>
  </si>
  <si>
    <t>DIK</t>
  </si>
  <si>
    <t>KDIK</t>
  </si>
  <si>
    <t>Theodore Roosevelt Regional Airport</t>
  </si>
  <si>
    <t>DIL</t>
  </si>
  <si>
    <t>WPDL</t>
  </si>
  <si>
    <t>Presidente Nicolau Lobato International Airport</t>
  </si>
  <si>
    <t>DIM</t>
  </si>
  <si>
    <t>DIDK</t>
  </si>
  <si>
    <t>Dimbokro Airport</t>
  </si>
  <si>
    <t>DIN</t>
  </si>
  <si>
    <t>VVDB</t>
  </si>
  <si>
    <t>Dien Bien Phu Airport</t>
  </si>
  <si>
    <t>DIP</t>
  </si>
  <si>
    <t>DFED</t>
  </si>
  <si>
    <t>Diapaga Airport</t>
  </si>
  <si>
    <t>DIQ</t>
  </si>
  <si>
    <t>SNDV</t>
  </si>
  <si>
    <t>Divinópolis Airport</t>
  </si>
  <si>
    <t>DIR</t>
  </si>
  <si>
    <t>HADR</t>
  </si>
  <si>
    <t>Dire Dawa International Airport</t>
  </si>
  <si>
    <t>DIS</t>
  </si>
  <si>
    <t>FCPL</t>
  </si>
  <si>
    <t>Loubomo Airport</t>
  </si>
  <si>
    <t>DIU</t>
  </si>
  <si>
    <t>VA1P</t>
  </si>
  <si>
    <t>Diu Airport</t>
  </si>
  <si>
    <t>DIY</t>
  </si>
  <si>
    <t>LTCC</t>
  </si>
  <si>
    <t>Diyarbak?r Airport</t>
  </si>
  <si>
    <t>DJB</t>
  </si>
  <si>
    <t>WIPA</t>
  </si>
  <si>
    <t>Sultan Thaha Airport</t>
  </si>
  <si>
    <t>DJE</t>
  </si>
  <si>
    <t>DTTJ</t>
  </si>
  <si>
    <t>Zarzis Airport</t>
  </si>
  <si>
    <t>DJG</t>
  </si>
  <si>
    <t>DAAJ</t>
  </si>
  <si>
    <t>Tiska Airport</t>
  </si>
  <si>
    <t>DJJ</t>
  </si>
  <si>
    <t>WAJJ</t>
  </si>
  <si>
    <t>Sentani Airport</t>
  </si>
  <si>
    <t>DJM</t>
  </si>
  <si>
    <t>FCBD</t>
  </si>
  <si>
    <t>Djambala Airport</t>
  </si>
  <si>
    <t>DJO</t>
  </si>
  <si>
    <t>DIDL</t>
  </si>
  <si>
    <t>Daloa Airport</t>
  </si>
  <si>
    <t>DJR</t>
  </si>
  <si>
    <t>YDAJ</t>
  </si>
  <si>
    <t>Dajarra Airport</t>
  </si>
  <si>
    <t>DJU</t>
  </si>
  <si>
    <t>BIDV</t>
  </si>
  <si>
    <t>Djúpivogur Airport</t>
  </si>
  <si>
    <t>DKI</t>
  </si>
  <si>
    <t>YDKI</t>
  </si>
  <si>
    <t>Dunk Island Airport</t>
  </si>
  <si>
    <t>DKK</t>
  </si>
  <si>
    <t>KDKK</t>
  </si>
  <si>
    <t>Chautauqua County/Dunkirk Airport</t>
  </si>
  <si>
    <t>DKR</t>
  </si>
  <si>
    <t>GOOY</t>
  </si>
  <si>
    <t>Dakar-Yoff-Léopold Sédar Senghor International Airport</t>
  </si>
  <si>
    <t>DKS</t>
  </si>
  <si>
    <t>UODD</t>
  </si>
  <si>
    <t>Dikson Airport</t>
  </si>
  <si>
    <t>DKV</t>
  </si>
  <si>
    <t>YDVR</t>
  </si>
  <si>
    <t>Docker River Airport</t>
  </si>
  <si>
    <t>DLA</t>
  </si>
  <si>
    <t>FKKD</t>
  </si>
  <si>
    <t>Douala Airport</t>
  </si>
  <si>
    <t>DLC</t>
  </si>
  <si>
    <t>ZYTL</t>
  </si>
  <si>
    <t>Dalian Zhoushuizi International Airport</t>
  </si>
  <si>
    <t>DLD</t>
  </si>
  <si>
    <t>ENDI</t>
  </si>
  <si>
    <t>Dagali Airport</t>
  </si>
  <si>
    <t>DLE</t>
  </si>
  <si>
    <t>LFGJ</t>
  </si>
  <si>
    <t>Dole/Tavaux Airport</t>
  </si>
  <si>
    <t>DLF</t>
  </si>
  <si>
    <t>KDLF</t>
  </si>
  <si>
    <t>Laughlin Air Force Base</t>
  </si>
  <si>
    <t>DLG</t>
  </si>
  <si>
    <t>PADL</t>
  </si>
  <si>
    <t>Dillingham Airport</t>
  </si>
  <si>
    <t>DLH</t>
  </si>
  <si>
    <t>KDLH</t>
  </si>
  <si>
    <t>Duluth International Airport</t>
  </si>
  <si>
    <t>DLI</t>
  </si>
  <si>
    <t>VVDL</t>
  </si>
  <si>
    <t>Lien Khuong Airport</t>
  </si>
  <si>
    <t>DLK</t>
  </si>
  <si>
    <t>YDLK</t>
  </si>
  <si>
    <t>Dulkaninna Airport</t>
  </si>
  <si>
    <t>DLL</t>
  </si>
  <si>
    <t>KDLC</t>
  </si>
  <si>
    <t>Dillon County Airport</t>
  </si>
  <si>
    <t>DLM</t>
  </si>
  <si>
    <t>LTBS</t>
  </si>
  <si>
    <t>Dalaman Airport</t>
  </si>
  <si>
    <t>DLN</t>
  </si>
  <si>
    <t>KDLN</t>
  </si>
  <si>
    <t>Dillon Airport</t>
  </si>
  <si>
    <t>DLO</t>
  </si>
  <si>
    <t>KDLO</t>
  </si>
  <si>
    <t>Delano Municipal Airport</t>
  </si>
  <si>
    <t>DLS</t>
  </si>
  <si>
    <t>KDLS</t>
  </si>
  <si>
    <t>Columbia Gorge Regional Airport (The Dalles Municipal Airpor</t>
  </si>
  <si>
    <t>DLU</t>
  </si>
  <si>
    <t>ZPDL</t>
  </si>
  <si>
    <t>Dali Airport</t>
  </si>
  <si>
    <t>DLV</t>
  </si>
  <si>
    <t>YDLV</t>
  </si>
  <si>
    <t>Delissaville Airport</t>
  </si>
  <si>
    <t>DLX</t>
  </si>
  <si>
    <t>UASS</t>
  </si>
  <si>
    <t>Semipalatinsk Airport</t>
  </si>
  <si>
    <t>DLY</t>
  </si>
  <si>
    <t>NVVD</t>
  </si>
  <si>
    <t>Dillon's Bay Airport</t>
  </si>
  <si>
    <t>DLZ</t>
  </si>
  <si>
    <t>ZMDZ</t>
  </si>
  <si>
    <t>Dalanzadgad Airport</t>
  </si>
  <si>
    <t>KDLZ</t>
  </si>
  <si>
    <t>Delaware Municipal Airport</t>
  </si>
  <si>
    <t>DMA</t>
  </si>
  <si>
    <t>KDMA</t>
  </si>
  <si>
    <t>Davis Monthan AFB</t>
  </si>
  <si>
    <t>DMB</t>
  </si>
  <si>
    <t>UADD</t>
  </si>
  <si>
    <t>Taraz Airport</t>
  </si>
  <si>
    <t>DMD</t>
  </si>
  <si>
    <t>YDMG</t>
  </si>
  <si>
    <t>Doomadgee Airport</t>
  </si>
  <si>
    <t>DME</t>
  </si>
  <si>
    <t>UUDD</t>
  </si>
  <si>
    <t>Moscow Domodedovo Airport</t>
  </si>
  <si>
    <t>DMK</t>
  </si>
  <si>
    <t>VTBD</t>
  </si>
  <si>
    <t>Don Mueang International Airport</t>
  </si>
  <si>
    <t>DMM</t>
  </si>
  <si>
    <t>OEDF</t>
  </si>
  <si>
    <t>King Fahd Dhahran Air Terminal</t>
  </si>
  <si>
    <t>DMN</t>
  </si>
  <si>
    <t>KDMN</t>
  </si>
  <si>
    <t>Deming Municipal Airport</t>
  </si>
  <si>
    <t>DMO</t>
  </si>
  <si>
    <t>KDMO</t>
  </si>
  <si>
    <t>Sedalia Memorial Airport</t>
  </si>
  <si>
    <t>DMT</t>
  </si>
  <si>
    <t>SWDM</t>
  </si>
  <si>
    <t>Diamantino Airport</t>
  </si>
  <si>
    <t>DMU</t>
  </si>
  <si>
    <t>VEMR</t>
  </si>
  <si>
    <t>Dimapur Airport</t>
  </si>
  <si>
    <t>DNA</t>
  </si>
  <si>
    <t>RODN</t>
  </si>
  <si>
    <t>Kadena Air Base</t>
  </si>
  <si>
    <t>DNB</t>
  </si>
  <si>
    <t>YDBR</t>
  </si>
  <si>
    <t>Dunbar Airport</t>
  </si>
  <si>
    <t>DND</t>
  </si>
  <si>
    <t>EGPN</t>
  </si>
  <si>
    <t>Dundee Airport</t>
  </si>
  <si>
    <t>DNH</t>
  </si>
  <si>
    <t>ZLDH</t>
  </si>
  <si>
    <t>Dunhuang Airport</t>
  </si>
  <si>
    <t>DNK</t>
  </si>
  <si>
    <t>UKDD</t>
  </si>
  <si>
    <t>Dnipropetrovsk International Airport</t>
  </si>
  <si>
    <t>DNL</t>
  </si>
  <si>
    <t>KDNL</t>
  </si>
  <si>
    <t>Daniel Field</t>
  </si>
  <si>
    <t>DNM</t>
  </si>
  <si>
    <t>YSHK</t>
  </si>
  <si>
    <t>Shark Bay Airport</t>
  </si>
  <si>
    <t>DNN</t>
  </si>
  <si>
    <t>KDNN</t>
  </si>
  <si>
    <t>Dalton Municipal Airport</t>
  </si>
  <si>
    <t>DNO</t>
  </si>
  <si>
    <t>SWDN</t>
  </si>
  <si>
    <t>Dianópolis Airport</t>
  </si>
  <si>
    <t>DNP</t>
  </si>
  <si>
    <t>VNDG</t>
  </si>
  <si>
    <t>Dang Airport</t>
  </si>
  <si>
    <t>DNR</t>
  </si>
  <si>
    <t>LFRD</t>
  </si>
  <si>
    <t>Dinard/Plertuit/St. Malo Airport</t>
  </si>
  <si>
    <t>DNS</t>
  </si>
  <si>
    <t>KDNS</t>
  </si>
  <si>
    <t>Denison Municipal Airport</t>
  </si>
  <si>
    <t>DNV</t>
  </si>
  <si>
    <t>KDNV</t>
  </si>
  <si>
    <t>Vermilion County Airport</t>
  </si>
  <si>
    <t>DNX</t>
  </si>
  <si>
    <t>HSGG</t>
  </si>
  <si>
    <t>Galegu Airport</t>
  </si>
  <si>
    <t>DNZ</t>
  </si>
  <si>
    <t>LTAY</t>
  </si>
  <si>
    <t>Çardak Airport</t>
  </si>
  <si>
    <t>DOB</t>
  </si>
  <si>
    <t>WAPD</t>
  </si>
  <si>
    <t>Dobo Airport</t>
  </si>
  <si>
    <t>DOD</t>
  </si>
  <si>
    <t>HTDO</t>
  </si>
  <si>
    <t>Dodoma Airport</t>
  </si>
  <si>
    <t>DOG</t>
  </si>
  <si>
    <t>HSDN</t>
  </si>
  <si>
    <t>Dongola Airport</t>
  </si>
  <si>
    <t>DOH</t>
  </si>
  <si>
    <t>OTHH</t>
  </si>
  <si>
    <t>Hamad International Airport</t>
  </si>
  <si>
    <t>DOK</t>
  </si>
  <si>
    <t>UKCC</t>
  </si>
  <si>
    <t>Donetsk Airport</t>
  </si>
  <si>
    <t>DOL</t>
  </si>
  <si>
    <t>LFRG</t>
  </si>
  <si>
    <t>Deauville/Saint Gatien Airport</t>
  </si>
  <si>
    <t>DOM</t>
  </si>
  <si>
    <t>TDPD</t>
  </si>
  <si>
    <t>Melville Hall Airport</t>
  </si>
  <si>
    <t>DOP</t>
  </si>
  <si>
    <t>VNDP</t>
  </si>
  <si>
    <t>Dolpa Airport</t>
  </si>
  <si>
    <t>DOR</t>
  </si>
  <si>
    <t>DFEE</t>
  </si>
  <si>
    <t>Dori Airport</t>
  </si>
  <si>
    <t>DOT</t>
  </si>
  <si>
    <t>SADD</t>
  </si>
  <si>
    <t>Don Torcuato International Airport</t>
  </si>
  <si>
    <t>DOU</t>
  </si>
  <si>
    <t>SSDO</t>
  </si>
  <si>
    <t>Dourados Airport</t>
  </si>
  <si>
    <t>DOV</t>
  </si>
  <si>
    <t>KDOV</t>
  </si>
  <si>
    <t>Dover Air Force Base</t>
  </si>
  <si>
    <t>DPA</t>
  </si>
  <si>
    <t>KDPA</t>
  </si>
  <si>
    <t>Dupage Airport</t>
  </si>
  <si>
    <t>DPE</t>
  </si>
  <si>
    <t>LFAB</t>
  </si>
  <si>
    <t>St Aubin Airport</t>
  </si>
  <si>
    <t>DPG</t>
  </si>
  <si>
    <t>KDPG</t>
  </si>
  <si>
    <t>Michael Army Airfield</t>
  </si>
  <si>
    <t>DPL</t>
  </si>
  <si>
    <t>RPMG</t>
  </si>
  <si>
    <t>Dipolog Airport</t>
  </si>
  <si>
    <t>DPO</t>
  </si>
  <si>
    <t>YDPO</t>
  </si>
  <si>
    <t>Devonport Airport</t>
  </si>
  <si>
    <t>DPS</t>
  </si>
  <si>
    <t>WADD</t>
  </si>
  <si>
    <t>Ngurah Rai International Airport</t>
  </si>
  <si>
    <t>DQA</t>
  </si>
  <si>
    <t>ZYDQ</t>
  </si>
  <si>
    <t>Saertu Airport</t>
  </si>
  <si>
    <t>DRA</t>
  </si>
  <si>
    <t>KDRA</t>
  </si>
  <si>
    <t>Desert Rock Airport</t>
  </si>
  <si>
    <t>DRB</t>
  </si>
  <si>
    <t>YDBY</t>
  </si>
  <si>
    <t>Derby Airport</t>
  </si>
  <si>
    <t>DRD</t>
  </si>
  <si>
    <t>YDOR</t>
  </si>
  <si>
    <t>Dorunda Airport</t>
  </si>
  <si>
    <t>DRE</t>
  </si>
  <si>
    <t>KDRM</t>
  </si>
  <si>
    <t>Drummond Island Airport</t>
  </si>
  <si>
    <t>DRG</t>
  </si>
  <si>
    <t>PADE</t>
  </si>
  <si>
    <t>Deering Airport</t>
  </si>
  <si>
    <t>DRI</t>
  </si>
  <si>
    <t>KDRI</t>
  </si>
  <si>
    <t>Beauregard Regional Airport</t>
  </si>
  <si>
    <t>DRJ</t>
  </si>
  <si>
    <t>SMDA</t>
  </si>
  <si>
    <t>Drietabbetje Airport</t>
  </si>
  <si>
    <t>DRK</t>
  </si>
  <si>
    <t>MRDK</t>
  </si>
  <si>
    <t>Drake Bay Airport</t>
  </si>
  <si>
    <t>DRN</t>
  </si>
  <si>
    <t>YDBI</t>
  </si>
  <si>
    <t>Dirranbandi Airport</t>
  </si>
  <si>
    <t>DRO</t>
  </si>
  <si>
    <t>KDRO</t>
  </si>
  <si>
    <t>Durango-La Plata County Airport</t>
  </si>
  <si>
    <t>DRR</t>
  </si>
  <si>
    <t>YDRI</t>
  </si>
  <si>
    <t>Durrie Airport</t>
  </si>
  <si>
    <t>DRS</t>
  </si>
  <si>
    <t>EDDC</t>
  </si>
  <si>
    <t>Dresden Klotzsche Airport (Flughafen Dresden)</t>
  </si>
  <si>
    <t>DRT</t>
  </si>
  <si>
    <t>KDRT</t>
  </si>
  <si>
    <t>Del Rio International Airport</t>
  </si>
  <si>
    <t>DRW</t>
  </si>
  <si>
    <t>YPDN</t>
  </si>
  <si>
    <t>Darwin International Airport</t>
  </si>
  <si>
    <t>DSA</t>
  </si>
  <si>
    <t>EGCN</t>
  </si>
  <si>
    <t>Doncaster Sheffield Airport</t>
  </si>
  <si>
    <t>DSC</t>
  </si>
  <si>
    <t>FKKS</t>
  </si>
  <si>
    <t>Dschang Airport</t>
  </si>
  <si>
    <t>DSD</t>
  </si>
  <si>
    <t>TFFA</t>
  </si>
  <si>
    <t>La Désirade Airport</t>
  </si>
  <si>
    <t>DSE</t>
  </si>
  <si>
    <t>HADC</t>
  </si>
  <si>
    <t>Combolcha Airport</t>
  </si>
  <si>
    <t>DSI</t>
  </si>
  <si>
    <t>KDTS</t>
  </si>
  <si>
    <t>Destin-Fort Walton Beach Airport</t>
  </si>
  <si>
    <t>DSK</t>
  </si>
  <si>
    <t>OPDI</t>
  </si>
  <si>
    <t>Dera Ismael Khan Airport</t>
  </si>
  <si>
    <t>DSM</t>
  </si>
  <si>
    <t>KDSM</t>
  </si>
  <si>
    <t>Des Moines International Airport</t>
  </si>
  <si>
    <t>DSN</t>
  </si>
  <si>
    <t>ZBDS</t>
  </si>
  <si>
    <t>Ordos Ejin Horo Airport</t>
  </si>
  <si>
    <t>DSV</t>
  </si>
  <si>
    <t>KDSV</t>
  </si>
  <si>
    <t>Dansville Municipal Airport</t>
  </si>
  <si>
    <t>DTA</t>
  </si>
  <si>
    <t>KDTA</t>
  </si>
  <si>
    <t>Andrew Municipal Airport</t>
  </si>
  <si>
    <t>DTD</t>
  </si>
  <si>
    <t>WALJ</t>
  </si>
  <si>
    <t>Datadawai Airport</t>
  </si>
  <si>
    <t>DTE</t>
  </si>
  <si>
    <t>RPUD</t>
  </si>
  <si>
    <t>Bagasbas Airport</t>
  </si>
  <si>
    <t>DTL</t>
  </si>
  <si>
    <t>KDTL</t>
  </si>
  <si>
    <t>Detroit Lakes Airport (Wething Field)</t>
  </si>
  <si>
    <t>DTM</t>
  </si>
  <si>
    <t>EDLW</t>
  </si>
  <si>
    <t>Dortmund Airport (Flughafen Dortmund)</t>
  </si>
  <si>
    <t>DTN</t>
  </si>
  <si>
    <t>KDTN</t>
  </si>
  <si>
    <t>Shreveport Downtown Airport</t>
  </si>
  <si>
    <t>DTW</t>
  </si>
  <si>
    <t>KDTW</t>
  </si>
  <si>
    <t>Detroit Metropolitan Wayne County Airport</t>
  </si>
  <si>
    <t>DUA</t>
  </si>
  <si>
    <t>KDUA</t>
  </si>
  <si>
    <t>Eaker Field</t>
  </si>
  <si>
    <t>DUB</t>
  </si>
  <si>
    <t>EIDW</t>
  </si>
  <si>
    <t>Dublin Airport</t>
  </si>
  <si>
    <t>DUC</t>
  </si>
  <si>
    <t>KDUC</t>
  </si>
  <si>
    <t>Halliburton Field</t>
  </si>
  <si>
    <t>DUD</t>
  </si>
  <si>
    <t>NZDN</t>
  </si>
  <si>
    <t>Dunedin Airport</t>
  </si>
  <si>
    <t>DUE</t>
  </si>
  <si>
    <t>FNDU</t>
  </si>
  <si>
    <t>Dundo Airport</t>
  </si>
  <si>
    <t>DUG</t>
  </si>
  <si>
    <t>KDUG</t>
  </si>
  <si>
    <t>Bisbee-Douglas International Airport</t>
  </si>
  <si>
    <t>DUJ</t>
  </si>
  <si>
    <t>KDUJ</t>
  </si>
  <si>
    <t>DuBois Regional Airport (formerly DuBois-Jefferson County Ai</t>
  </si>
  <si>
    <t>DUK</t>
  </si>
  <si>
    <t>FADK</t>
  </si>
  <si>
    <t>Mubatuba Airport</t>
  </si>
  <si>
    <t>DUM</t>
  </si>
  <si>
    <t>WIBD</t>
  </si>
  <si>
    <t>Pinang Kampai Airport</t>
  </si>
  <si>
    <t>DUR</t>
  </si>
  <si>
    <t>FADN</t>
  </si>
  <si>
    <t>Durban International Airport (formerly Louis Botha Airport)</t>
  </si>
  <si>
    <t>FALE</t>
  </si>
  <si>
    <t>King Shaka International Airport</t>
  </si>
  <si>
    <t>DUS</t>
  </si>
  <si>
    <t>EDDL</t>
  </si>
  <si>
    <t>Düsseldorf International Airport</t>
  </si>
  <si>
    <t>DUT</t>
  </si>
  <si>
    <t>PADU</t>
  </si>
  <si>
    <t>Unalaska Airport</t>
  </si>
  <si>
    <t>DVA</t>
  </si>
  <si>
    <t>LRDV</t>
  </si>
  <si>
    <t>Deva Airport</t>
  </si>
  <si>
    <t>DVL</t>
  </si>
  <si>
    <t>KDVL</t>
  </si>
  <si>
    <t>Devils Lake Municipal Airport</t>
  </si>
  <si>
    <t>DVN</t>
  </si>
  <si>
    <t>KDVN</t>
  </si>
  <si>
    <t>Davenport Municipal Airport</t>
  </si>
  <si>
    <t>DVO</t>
  </si>
  <si>
    <t>RPMD</t>
  </si>
  <si>
    <t>Francisco Bangoy International Airport</t>
  </si>
  <si>
    <t>RPWD</t>
  </si>
  <si>
    <t>Davao International Airport</t>
  </si>
  <si>
    <t>DVP</t>
  </si>
  <si>
    <t>YDPD</t>
  </si>
  <si>
    <t>Davenport Downs Airport</t>
  </si>
  <si>
    <t>KDVP</t>
  </si>
  <si>
    <t>Slayton Municipal Airport</t>
  </si>
  <si>
    <t>DVR</t>
  </si>
  <si>
    <t>YDMN</t>
  </si>
  <si>
    <t>Daly River Airport</t>
  </si>
  <si>
    <t>DVT</t>
  </si>
  <si>
    <t>KDVT</t>
  </si>
  <si>
    <t>Phoenix Deer Valley Airport</t>
  </si>
  <si>
    <t>DWA</t>
  </si>
  <si>
    <t>FWDW</t>
  </si>
  <si>
    <t>Dwangwa Airport</t>
  </si>
  <si>
    <t>DWB</t>
  </si>
  <si>
    <t>FMNO</t>
  </si>
  <si>
    <t>Soalala Airport</t>
  </si>
  <si>
    <t>DWC</t>
  </si>
  <si>
    <t>OMDW</t>
  </si>
  <si>
    <t>Al Maktoum International Airport</t>
  </si>
  <si>
    <t>DWD</t>
  </si>
  <si>
    <t>OEDW</t>
  </si>
  <si>
    <t>Dawadmi Domestic Airport</t>
  </si>
  <si>
    <t>DWH</t>
  </si>
  <si>
    <t>KDWH</t>
  </si>
  <si>
    <t>David Wayne Hooks Memorial Airport</t>
  </si>
  <si>
    <t>DXB</t>
  </si>
  <si>
    <t>OMDB</t>
  </si>
  <si>
    <t>Dubai International Airport</t>
  </si>
  <si>
    <t>DXR</t>
  </si>
  <si>
    <t>KDXR</t>
  </si>
  <si>
    <t>Danbury Municipal Airport</t>
  </si>
  <si>
    <t>DYA</t>
  </si>
  <si>
    <t>YDYS</t>
  </si>
  <si>
    <t>Dysart Airport</t>
  </si>
  <si>
    <t>DYG</t>
  </si>
  <si>
    <t>ZGDY</t>
  </si>
  <si>
    <t>Dayong Airport</t>
  </si>
  <si>
    <t>DYL</t>
  </si>
  <si>
    <t>KDYL</t>
  </si>
  <si>
    <t>Doylestown Airport</t>
  </si>
  <si>
    <t>DYR</t>
  </si>
  <si>
    <t>UHMA</t>
  </si>
  <si>
    <t>Anadyr Ugolny Airport</t>
  </si>
  <si>
    <t>DYS</t>
  </si>
  <si>
    <t>KDYS</t>
  </si>
  <si>
    <t>Dyess Air Force Base</t>
  </si>
  <si>
    <t>DYU</t>
  </si>
  <si>
    <t>UTDD</t>
  </si>
  <si>
    <t>Dushanbe Airport</t>
  </si>
  <si>
    <t>DZA</t>
  </si>
  <si>
    <t>FMCZ</t>
  </si>
  <si>
    <t>Dzaoudzi Pamandzi International Airport</t>
  </si>
  <si>
    <t>DZN</t>
  </si>
  <si>
    <t>UAKD</t>
  </si>
  <si>
    <t>Zhezkazgan Airport</t>
  </si>
  <si>
    <t>DZO</t>
  </si>
  <si>
    <t>SUDU</t>
  </si>
  <si>
    <t>Santa Bernardina International Airport</t>
  </si>
  <si>
    <t>EAA</t>
  </si>
  <si>
    <t>PAEG</t>
  </si>
  <si>
    <t>Eagle Airport</t>
  </si>
  <si>
    <t>EAB</t>
  </si>
  <si>
    <t>ODAS</t>
  </si>
  <si>
    <t>Abbse Airport</t>
  </si>
  <si>
    <t>OYAB</t>
  </si>
  <si>
    <t>EAE</t>
  </si>
  <si>
    <t>NVSE</t>
  </si>
  <si>
    <t>Emae Airport</t>
  </si>
  <si>
    <t>EAM</t>
  </si>
  <si>
    <t>OENG</t>
  </si>
  <si>
    <t>Najran Domestic Airport</t>
  </si>
  <si>
    <t>EAN</t>
  </si>
  <si>
    <t>KEAN</t>
  </si>
  <si>
    <t>Phifer Airfield</t>
  </si>
  <si>
    <t>EAR</t>
  </si>
  <si>
    <t>KEAR</t>
  </si>
  <si>
    <t>Kearney Regional Airport</t>
  </si>
  <si>
    <t>EAS</t>
  </si>
  <si>
    <t>LESO</t>
  </si>
  <si>
    <t>San Sebastián Airport (or Fuenterrabia Airport)</t>
  </si>
  <si>
    <t>EAT</t>
  </si>
  <si>
    <t>KEAT</t>
  </si>
  <si>
    <t>Pangborn Memorial Airport</t>
  </si>
  <si>
    <t>EAU</t>
  </si>
  <si>
    <t>KEAU</t>
  </si>
  <si>
    <t>Chippewa Valley Regional Airport</t>
  </si>
  <si>
    <t>EBA</t>
  </si>
  <si>
    <t>LIRJ</t>
  </si>
  <si>
    <t>Marina di Campo Airport</t>
  </si>
  <si>
    <t>EBB</t>
  </si>
  <si>
    <t>HUEN</t>
  </si>
  <si>
    <t>Entebbe International Airport</t>
  </si>
  <si>
    <t>EBD</t>
  </si>
  <si>
    <t>HSOB</t>
  </si>
  <si>
    <t>El Obeid Airport</t>
  </si>
  <si>
    <t>EBG</t>
  </si>
  <si>
    <t>SKEB</t>
  </si>
  <si>
    <t>El Bagre Airport</t>
  </si>
  <si>
    <t>EBH</t>
  </si>
  <si>
    <t>DAOY</t>
  </si>
  <si>
    <t>El Bayadh Airport</t>
  </si>
  <si>
    <t>EBJ</t>
  </si>
  <si>
    <t>EKEB</t>
  </si>
  <si>
    <t>Esbjerg Airport</t>
  </si>
  <si>
    <t>EBL</t>
  </si>
  <si>
    <t>ORER</t>
  </si>
  <si>
    <t>Erbil International Airport</t>
  </si>
  <si>
    <t>EBM</t>
  </si>
  <si>
    <t>DTTR</t>
  </si>
  <si>
    <t>El Borma Airport</t>
  </si>
  <si>
    <t>EBS</t>
  </si>
  <si>
    <t>KEBS</t>
  </si>
  <si>
    <t>Webster City Municipal Airport</t>
  </si>
  <si>
    <t>EBU</t>
  </si>
  <si>
    <t>LFMH</t>
  </si>
  <si>
    <t>Saint-Étienne - Bouthéon Airport</t>
  </si>
  <si>
    <t>EBW</t>
  </si>
  <si>
    <t>FKKW</t>
  </si>
  <si>
    <t>Ebolowa Airport</t>
  </si>
  <si>
    <t>ECG</t>
  </si>
  <si>
    <t>KECG</t>
  </si>
  <si>
    <t>Elizabeth City Regional Airport / Elizabeth City CGAS</t>
  </si>
  <si>
    <t>ECH</t>
  </si>
  <si>
    <t>YECH</t>
  </si>
  <si>
    <t>Echuca Airport</t>
  </si>
  <si>
    <t>ECN</t>
  </si>
  <si>
    <t>LCEN</t>
  </si>
  <si>
    <t>Ercan International Airport</t>
  </si>
  <si>
    <t>ECP</t>
  </si>
  <si>
    <t>KECP</t>
  </si>
  <si>
    <t>Northwest Florida Beaches International Airport</t>
  </si>
  <si>
    <t>ECS</t>
  </si>
  <si>
    <t>KECS</t>
  </si>
  <si>
    <t>Mondell Field</t>
  </si>
  <si>
    <t>EDB</t>
  </si>
  <si>
    <t>HSDB</t>
  </si>
  <si>
    <t>El Debba Airport</t>
  </si>
  <si>
    <t>EDE</t>
  </si>
  <si>
    <t>KEDE</t>
  </si>
  <si>
    <t>Northeastern Regional Airport</t>
  </si>
  <si>
    <t>EDF</t>
  </si>
  <si>
    <t>PAED</t>
  </si>
  <si>
    <t>Elmendorf Air Force Base</t>
  </si>
  <si>
    <t>EDG</t>
  </si>
  <si>
    <t>KEDG</t>
  </si>
  <si>
    <t>Weide AHP</t>
  </si>
  <si>
    <t>EDI</t>
  </si>
  <si>
    <t>EGPH</t>
  </si>
  <si>
    <t>Edinburgh Airport</t>
  </si>
  <si>
    <t>EDK</t>
  </si>
  <si>
    <t>KEQA</t>
  </si>
  <si>
    <t>Captain Jack Thomas/El Dorado Airport</t>
  </si>
  <si>
    <t>EDL</t>
  </si>
  <si>
    <t>HKEL</t>
  </si>
  <si>
    <t>Eldoret International Airport</t>
  </si>
  <si>
    <t>EDM</t>
  </si>
  <si>
    <t>LFRI</t>
  </si>
  <si>
    <t>La Roche-sur-Yon Aerodrome</t>
  </si>
  <si>
    <t>EDO</t>
  </si>
  <si>
    <t>LTFD</t>
  </si>
  <si>
    <t>Edremit Korfez Airport</t>
  </si>
  <si>
    <t>EDR</t>
  </si>
  <si>
    <t>YPMP</t>
  </si>
  <si>
    <t>Edward River Airport</t>
  </si>
  <si>
    <t>EDW</t>
  </si>
  <si>
    <t>KEDW</t>
  </si>
  <si>
    <t>Edwards Air Force Base</t>
  </si>
  <si>
    <t>EED</t>
  </si>
  <si>
    <t>KEED</t>
  </si>
  <si>
    <t>Needles Airport</t>
  </si>
  <si>
    <t>EEK</t>
  </si>
  <si>
    <t>PAEE</t>
  </si>
  <si>
    <t>Eek Airport</t>
  </si>
  <si>
    <t>EEN</t>
  </si>
  <si>
    <t>KEEN</t>
  </si>
  <si>
    <t>Dillant-Hopkins Airport</t>
  </si>
  <si>
    <t>EFD</t>
  </si>
  <si>
    <t>KEFD</t>
  </si>
  <si>
    <t>Ellington Field</t>
  </si>
  <si>
    <t>EFK</t>
  </si>
  <si>
    <t>KEFK</t>
  </si>
  <si>
    <t>Newport State Airport</t>
  </si>
  <si>
    <t>EFL</t>
  </si>
  <si>
    <t>LGKF</t>
  </si>
  <si>
    <t>Kefallinia Airport</t>
  </si>
  <si>
    <t>EFW</t>
  </si>
  <si>
    <t>KEFW</t>
  </si>
  <si>
    <t>Jefferson Municipal Airport</t>
  </si>
  <si>
    <t>EGC</t>
  </si>
  <si>
    <t>LFBE</t>
  </si>
  <si>
    <t>Bergerac-Roumanière Airport</t>
  </si>
  <si>
    <t>EGE</t>
  </si>
  <si>
    <t>KEGE</t>
  </si>
  <si>
    <t>Eagle County Regional Airport</t>
  </si>
  <si>
    <t>EGH</t>
  </si>
  <si>
    <t>HEGR</t>
  </si>
  <si>
    <t>El Gora Airport</t>
  </si>
  <si>
    <t>EGI</t>
  </si>
  <si>
    <t>KEGI</t>
  </si>
  <si>
    <t>Duke Field (Eglin Auxiliary Field 3)</t>
  </si>
  <si>
    <t>EGL</t>
  </si>
  <si>
    <t>HANG</t>
  </si>
  <si>
    <t>Negele Boran, Ethiopia</t>
  </si>
  <si>
    <t>EGM</t>
  </si>
  <si>
    <t>AGGS</t>
  </si>
  <si>
    <t>Sege Airport</t>
  </si>
  <si>
    <t>EGN</t>
  </si>
  <si>
    <t>HSGN</t>
  </si>
  <si>
    <t>Geneina Airport</t>
  </si>
  <si>
    <t>EGO</t>
  </si>
  <si>
    <t>UUOB</t>
  </si>
  <si>
    <t>Belgorod, Russia</t>
  </si>
  <si>
    <t>EGS</t>
  </si>
  <si>
    <t>BIEG</t>
  </si>
  <si>
    <t>Egilsstaðir Airport</t>
  </si>
  <si>
    <t>EGV</t>
  </si>
  <si>
    <t>KEGV</t>
  </si>
  <si>
    <t>Eagle River Union Airport</t>
  </si>
  <si>
    <t>EGX</t>
  </si>
  <si>
    <t>PAII</t>
  </si>
  <si>
    <t>Egegik Airport</t>
  </si>
  <si>
    <t>EHL</t>
  </si>
  <si>
    <t>SAVB</t>
  </si>
  <si>
    <t>El Bolson Airport</t>
  </si>
  <si>
    <t>EHM</t>
  </si>
  <si>
    <t>PAEH</t>
  </si>
  <si>
    <t>Cape Newenham LRRS</t>
  </si>
  <si>
    <t>EIE</t>
  </si>
  <si>
    <t>UNII</t>
  </si>
  <si>
    <t>Yeniseysk Airport</t>
  </si>
  <si>
    <t>EIH</t>
  </si>
  <si>
    <t>YEIN</t>
  </si>
  <si>
    <t>Einasleigh Airport</t>
  </si>
  <si>
    <t>EII</t>
  </si>
  <si>
    <t>EIK</t>
  </si>
  <si>
    <t>URKE</t>
  </si>
  <si>
    <t>Yeysk Airport</t>
  </si>
  <si>
    <t>EIL</t>
  </si>
  <si>
    <t>PAEI</t>
  </si>
  <si>
    <t>Eielson Air Force Base</t>
  </si>
  <si>
    <t>EIN</t>
  </si>
  <si>
    <t>EHEH</t>
  </si>
  <si>
    <t>Eindhoven Airport</t>
  </si>
  <si>
    <t>EIS</t>
  </si>
  <si>
    <t>TUPJ</t>
  </si>
  <si>
    <t>Terrance B. Lettsome International Airport</t>
  </si>
  <si>
    <t>EIY</t>
  </si>
  <si>
    <t>LLEY</t>
  </si>
  <si>
    <t>Ein Yahav Airfield</t>
  </si>
  <si>
    <t>EJA</t>
  </si>
  <si>
    <t>SKEJ</t>
  </si>
  <si>
    <t>Yarigüies Airport</t>
  </si>
  <si>
    <t>EJH</t>
  </si>
  <si>
    <t>OEWJ</t>
  </si>
  <si>
    <t>Al Wajh Domestic Airport</t>
  </si>
  <si>
    <t>EKA</t>
  </si>
  <si>
    <t>KEKA</t>
  </si>
  <si>
    <t>Murray Field</t>
  </si>
  <si>
    <t>EKB</t>
  </si>
  <si>
    <t>UASB</t>
  </si>
  <si>
    <t>Ekibastuz Airport</t>
  </si>
  <si>
    <t>EKM</t>
  </si>
  <si>
    <t>KEKM</t>
  </si>
  <si>
    <t>Elkhart Municipal Airport</t>
  </si>
  <si>
    <t>EKN</t>
  </si>
  <si>
    <t>KEKN</t>
  </si>
  <si>
    <t>Elkins-Randolph Co.-Jennings Randolph Field</t>
  </si>
  <si>
    <t>EKO</t>
  </si>
  <si>
    <t>KEKO</t>
  </si>
  <si>
    <t>Elko Regional Airport</t>
  </si>
  <si>
    <t>EKQ</t>
  </si>
  <si>
    <t>KEKQ</t>
  </si>
  <si>
    <t>EKS</t>
  </si>
  <si>
    <t>UHSK</t>
  </si>
  <si>
    <t>Shakhtyorsk Airport</t>
  </si>
  <si>
    <t>EKT</t>
  </si>
  <si>
    <t>ESSU</t>
  </si>
  <si>
    <t>Eskilstuna Airport</t>
  </si>
  <si>
    <t>EKX</t>
  </si>
  <si>
    <t>KEKX</t>
  </si>
  <si>
    <t>Addington Field (Elizabethtown Regional Airport)</t>
  </si>
  <si>
    <t>EKY</t>
  </si>
  <si>
    <t>KEKY</t>
  </si>
  <si>
    <t>Bessemer Airport</t>
  </si>
  <si>
    <t>ELA</t>
  </si>
  <si>
    <t>KELA</t>
  </si>
  <si>
    <t>Eagle Lake Airport</t>
  </si>
  <si>
    <t>ELB</t>
  </si>
  <si>
    <t>SKBC</t>
  </si>
  <si>
    <t>Las Flores Airport</t>
  </si>
  <si>
    <t>ELC</t>
  </si>
  <si>
    <t>YELD</t>
  </si>
  <si>
    <t>Elcho Island Airport</t>
  </si>
  <si>
    <t>ELD</t>
  </si>
  <si>
    <t>KELD</t>
  </si>
  <si>
    <t>South Arkansas Regional Airport at Goodwin Field</t>
  </si>
  <si>
    <t>ELF</t>
  </si>
  <si>
    <t>HSFS</t>
  </si>
  <si>
    <t>El Fasher Airport</t>
  </si>
  <si>
    <t>ELG</t>
  </si>
  <si>
    <t>DAUE</t>
  </si>
  <si>
    <t>El Golea Airport</t>
  </si>
  <si>
    <t>ELH</t>
  </si>
  <si>
    <t>MYEH</t>
  </si>
  <si>
    <t>North Eleuthera Airport</t>
  </si>
  <si>
    <t>ELK</t>
  </si>
  <si>
    <t>KELK</t>
  </si>
  <si>
    <t>Elk City Municipal Airport</t>
  </si>
  <si>
    <t>ELL</t>
  </si>
  <si>
    <t>FAER</t>
  </si>
  <si>
    <t>Ellisras Matimba Airport</t>
  </si>
  <si>
    <t>ELM</t>
  </si>
  <si>
    <t>KELM</t>
  </si>
  <si>
    <t>Elmira-Corning Regional Airport</t>
  </si>
  <si>
    <t>ELN</t>
  </si>
  <si>
    <t>KELN</t>
  </si>
  <si>
    <t>Bowers Field</t>
  </si>
  <si>
    <t>ELO</t>
  </si>
  <si>
    <t>SATD</t>
  </si>
  <si>
    <t>El Dorado Airport</t>
  </si>
  <si>
    <t>KELO</t>
  </si>
  <si>
    <t>Ely Municipal Airport</t>
  </si>
  <si>
    <t>ELP</t>
  </si>
  <si>
    <t>KELP</t>
  </si>
  <si>
    <t>El Paso International Airport</t>
  </si>
  <si>
    <t>ELQ</t>
  </si>
  <si>
    <t>OEGS</t>
  </si>
  <si>
    <t>Gassim Regional Airport</t>
  </si>
  <si>
    <t>ELR</t>
  </si>
  <si>
    <t>SVBL</t>
  </si>
  <si>
    <t>El Libertador Airbase</t>
  </si>
  <si>
    <t>ELS</t>
  </si>
  <si>
    <t>FAEL</t>
  </si>
  <si>
    <t>East London Airport</t>
  </si>
  <si>
    <t>ELT</t>
  </si>
  <si>
    <t>HETR</t>
  </si>
  <si>
    <t>El Tor Airport</t>
  </si>
  <si>
    <t>ELU</t>
  </si>
  <si>
    <t>DAUO</t>
  </si>
  <si>
    <t>Guemar Airport</t>
  </si>
  <si>
    <t>ELY</t>
  </si>
  <si>
    <t>KELY</t>
  </si>
  <si>
    <t>Ely Airport</t>
  </si>
  <si>
    <t>ELZ</t>
  </si>
  <si>
    <t>KELZ</t>
  </si>
  <si>
    <t>Wellsville Municipal Airport (Tarantine Field)</t>
  </si>
  <si>
    <t>EMA</t>
  </si>
  <si>
    <t>EGNX</t>
  </si>
  <si>
    <t>East Midlands Airport</t>
  </si>
  <si>
    <t>EMD</t>
  </si>
  <si>
    <t>YEML</t>
  </si>
  <si>
    <t>Emerald Airport</t>
  </si>
  <si>
    <t>EME</t>
  </si>
  <si>
    <t>EDWE</t>
  </si>
  <si>
    <t>Emden Airport</t>
  </si>
  <si>
    <t>EMG</t>
  </si>
  <si>
    <t>FAEM</t>
  </si>
  <si>
    <t>Empangeni Airport</t>
  </si>
  <si>
    <t>EMM</t>
  </si>
  <si>
    <t>KEMM</t>
  </si>
  <si>
    <t>Kemmerer Municipal Airport</t>
  </si>
  <si>
    <t>EMN</t>
  </si>
  <si>
    <t>GQNI</t>
  </si>
  <si>
    <t>Néma Airport</t>
  </si>
  <si>
    <t>EMP</t>
  </si>
  <si>
    <t>KEMP</t>
  </si>
  <si>
    <t>Emporia Municipal Airport</t>
  </si>
  <si>
    <t>EMT</t>
  </si>
  <si>
    <t>KEMT</t>
  </si>
  <si>
    <t>El Monte Airport</t>
  </si>
  <si>
    <t>EMV</t>
  </si>
  <si>
    <t>KEMV</t>
  </si>
  <si>
    <t>Emporia-Greensville Regional Airport</t>
  </si>
  <si>
    <t>EMX</t>
  </si>
  <si>
    <t>SAVD</t>
  </si>
  <si>
    <t>El Maitén Airport</t>
  </si>
  <si>
    <t>ENA</t>
  </si>
  <si>
    <t>PAEN</t>
  </si>
  <si>
    <t>Kenai Municipal Airport</t>
  </si>
  <si>
    <t>ENB</t>
  </si>
  <si>
    <t>YEEB</t>
  </si>
  <si>
    <t>Eneabba Airport</t>
  </si>
  <si>
    <t>ENC</t>
  </si>
  <si>
    <t>LFSN</t>
  </si>
  <si>
    <t>Nancy-Essey Airport</t>
  </si>
  <si>
    <t>END</t>
  </si>
  <si>
    <t>KEND</t>
  </si>
  <si>
    <t>Vance AFB</t>
  </si>
  <si>
    <t>ENE</t>
  </si>
  <si>
    <t>WATE</t>
  </si>
  <si>
    <t>Ende (H Hasan Aroeboesman) Airport</t>
  </si>
  <si>
    <t>ENF</t>
  </si>
  <si>
    <t>EFET</t>
  </si>
  <si>
    <t>Enontekio Airport</t>
  </si>
  <si>
    <t>ENH</t>
  </si>
  <si>
    <t>ZHES</t>
  </si>
  <si>
    <t>Enshi Airport</t>
  </si>
  <si>
    <t>ENK</t>
  </si>
  <si>
    <t>UESU</t>
  </si>
  <si>
    <t>Zyryanka Airport</t>
  </si>
  <si>
    <t>EGAB</t>
  </si>
  <si>
    <t>Enniskillen/St Angelo Airport</t>
  </si>
  <si>
    <t>ENL</t>
  </si>
  <si>
    <t>KENL</t>
  </si>
  <si>
    <t>Centralia Municipal Airport</t>
  </si>
  <si>
    <t>ENM</t>
  </si>
  <si>
    <t>PAEM</t>
  </si>
  <si>
    <t>Emmonak Airport</t>
  </si>
  <si>
    <t>ENN</t>
  </si>
  <si>
    <t>PANN</t>
  </si>
  <si>
    <t>Nenana Municipal Airport</t>
  </si>
  <si>
    <t>ENO</t>
  </si>
  <si>
    <t>SGEN</t>
  </si>
  <si>
    <t>Teniente Primero Alarcon Airport</t>
  </si>
  <si>
    <t>ENS</t>
  </si>
  <si>
    <t>EHTW</t>
  </si>
  <si>
    <t>Enschede Airport Twente</t>
  </si>
  <si>
    <t>ENT</t>
  </si>
  <si>
    <t>PKMA</t>
  </si>
  <si>
    <t>ENEWETAK AUX AF</t>
  </si>
  <si>
    <t>ENU</t>
  </si>
  <si>
    <t>DNEN</t>
  </si>
  <si>
    <t>Akanu Ibiam International Airport</t>
  </si>
  <si>
    <t>ENV</t>
  </si>
  <si>
    <t>KENV</t>
  </si>
  <si>
    <t>Wendover Airport</t>
  </si>
  <si>
    <t>ENW</t>
  </si>
  <si>
    <t>KENW</t>
  </si>
  <si>
    <t>Kenosha Regional Airport</t>
  </si>
  <si>
    <t>ENY</t>
  </si>
  <si>
    <t>ZLYA</t>
  </si>
  <si>
    <t>Yan'an Airport</t>
  </si>
  <si>
    <t>EOH</t>
  </si>
  <si>
    <t>SKMD</t>
  </si>
  <si>
    <t>Olaya Herrera Airport</t>
  </si>
  <si>
    <t>EOI</t>
  </si>
  <si>
    <t>EGED</t>
  </si>
  <si>
    <t>Eday Airport</t>
  </si>
  <si>
    <t>EOK</t>
  </si>
  <si>
    <t>KEOK</t>
  </si>
  <si>
    <t>Keokuk Municipal Airport</t>
  </si>
  <si>
    <t>EOP</t>
  </si>
  <si>
    <t>KEOP</t>
  </si>
  <si>
    <t>Pike County Airport</t>
  </si>
  <si>
    <t>EOR</t>
  </si>
  <si>
    <t>SVED</t>
  </si>
  <si>
    <t>EOS</t>
  </si>
  <si>
    <t>KEOS</t>
  </si>
  <si>
    <t>Neosho Hugh Robinson Airport</t>
  </si>
  <si>
    <t>EOZ</t>
  </si>
  <si>
    <t>SVEZ</t>
  </si>
  <si>
    <t>Elorza Airport</t>
  </si>
  <si>
    <t>EPA</t>
  </si>
  <si>
    <t>SADP</t>
  </si>
  <si>
    <t>El Palomar Airport</t>
  </si>
  <si>
    <t>EPH</t>
  </si>
  <si>
    <t>KEPH</t>
  </si>
  <si>
    <t>Ephrata Municipal Airport</t>
  </si>
  <si>
    <t>EPL</t>
  </si>
  <si>
    <t>LFSG</t>
  </si>
  <si>
    <t>Épinal - Mirecourt Airport</t>
  </si>
  <si>
    <t>EPM</t>
  </si>
  <si>
    <t>KEPM</t>
  </si>
  <si>
    <t>Eastport Municipal Airport</t>
  </si>
  <si>
    <t>EPR</t>
  </si>
  <si>
    <t>YESP</t>
  </si>
  <si>
    <t>Esperance Airport</t>
  </si>
  <si>
    <t>EPS</t>
  </si>
  <si>
    <t>MDAB</t>
  </si>
  <si>
    <t>Arroyo Barril International Airport</t>
  </si>
  <si>
    <t>EPU</t>
  </si>
  <si>
    <t>EEPU</t>
  </si>
  <si>
    <t>Pärnu Airport</t>
  </si>
  <si>
    <t>EQS</t>
  </si>
  <si>
    <t>SAVE</t>
  </si>
  <si>
    <t>Esquel Airport</t>
  </si>
  <si>
    <t>ERA</t>
  </si>
  <si>
    <t>HCMU</t>
  </si>
  <si>
    <t>Erigavo Airport</t>
  </si>
  <si>
    <t>ERB</t>
  </si>
  <si>
    <t>YERN</t>
  </si>
  <si>
    <t>Ernabella Airport</t>
  </si>
  <si>
    <t>ERC</t>
  </si>
  <si>
    <t>LTCD</t>
  </si>
  <si>
    <t>Erzincan Airport</t>
  </si>
  <si>
    <t>ERD</t>
  </si>
  <si>
    <t>UKDB</t>
  </si>
  <si>
    <t>Berdyansk Airport</t>
  </si>
  <si>
    <t>ERF</t>
  </si>
  <si>
    <t>EDDE</t>
  </si>
  <si>
    <t>Erfurt Airport</t>
  </si>
  <si>
    <t>ERG</t>
  </si>
  <si>
    <t>UIKE</t>
  </si>
  <si>
    <t>Yerbogachen Airport</t>
  </si>
  <si>
    <t>ERH</t>
  </si>
  <si>
    <t>GMFK</t>
  </si>
  <si>
    <t>Moulay Ali Cherif Airport</t>
  </si>
  <si>
    <t>ERI</t>
  </si>
  <si>
    <t>KERI</t>
  </si>
  <si>
    <t>Erie International Airport (Tom Ridge Field)</t>
  </si>
  <si>
    <t>ERL</t>
  </si>
  <si>
    <t>ZBER</t>
  </si>
  <si>
    <t>Erenhot Saiwusu International Airport</t>
  </si>
  <si>
    <t>ERM</t>
  </si>
  <si>
    <t>SSER</t>
  </si>
  <si>
    <t>Aeroporto de Erechim</t>
  </si>
  <si>
    <t>ERN</t>
  </si>
  <si>
    <t>SWEI</t>
  </si>
  <si>
    <t>Eirunepé Airport</t>
  </si>
  <si>
    <t>ERR</t>
  </si>
  <si>
    <t>KERR</t>
  </si>
  <si>
    <t>Errol Airport</t>
  </si>
  <si>
    <t>ERS</t>
  </si>
  <si>
    <t>FYWE</t>
  </si>
  <si>
    <t>Eros Airport</t>
  </si>
  <si>
    <t>ERV</t>
  </si>
  <si>
    <t>KERV</t>
  </si>
  <si>
    <t>Kerrville Municipal Airport (Louis Schreiner Field)</t>
  </si>
  <si>
    <t>ERY</t>
  </si>
  <si>
    <t>KERY</t>
  </si>
  <si>
    <t>Luce County Airport</t>
  </si>
  <si>
    <t>ERZ</t>
  </si>
  <si>
    <t>LTCE</t>
  </si>
  <si>
    <t>Erzurum Airport</t>
  </si>
  <si>
    <t>ESB</t>
  </si>
  <si>
    <t>LTAC</t>
  </si>
  <si>
    <t>Esenboga International Airport</t>
  </si>
  <si>
    <t>ESC</t>
  </si>
  <si>
    <t>KESC</t>
  </si>
  <si>
    <t>Delta County Airport</t>
  </si>
  <si>
    <t>ESD</t>
  </si>
  <si>
    <t>KORS</t>
  </si>
  <si>
    <t>Orcas Island Airport</t>
  </si>
  <si>
    <t>ESE</t>
  </si>
  <si>
    <t>MMES</t>
  </si>
  <si>
    <t>Ensenada Airport</t>
  </si>
  <si>
    <t>ESF</t>
  </si>
  <si>
    <t>KESF</t>
  </si>
  <si>
    <t>Esler Regional Airport</t>
  </si>
  <si>
    <t>ESG</t>
  </si>
  <si>
    <t>SGME</t>
  </si>
  <si>
    <t>Dr Luis Maria Argaña Airport</t>
  </si>
  <si>
    <t>ESH</t>
  </si>
  <si>
    <t>EGKA</t>
  </si>
  <si>
    <t>Shoreham Airport</t>
  </si>
  <si>
    <t>ESK</t>
  </si>
  <si>
    <t>LTBI</t>
  </si>
  <si>
    <t>Eski?ehir Airport</t>
  </si>
  <si>
    <t>ESL</t>
  </si>
  <si>
    <t>URWI</t>
  </si>
  <si>
    <t>Elista Airport</t>
  </si>
  <si>
    <t>ESM</t>
  </si>
  <si>
    <t>SETN</t>
  </si>
  <si>
    <t>General Rivadeneira Airport</t>
  </si>
  <si>
    <t>ESN</t>
  </si>
  <si>
    <t>KESN</t>
  </si>
  <si>
    <t>Easton/Newnam Field</t>
  </si>
  <si>
    <t>ESR</t>
  </si>
  <si>
    <t>SCES</t>
  </si>
  <si>
    <t>El Salvador Bajo Airport</t>
  </si>
  <si>
    <t>ESS</t>
  </si>
  <si>
    <t>EDLE</t>
  </si>
  <si>
    <t>Essen/Mülheim Airport</t>
  </si>
  <si>
    <t>EST</t>
  </si>
  <si>
    <t>KEST</t>
  </si>
  <si>
    <t>Estherville Municipal Airport</t>
  </si>
  <si>
    <t>ESU</t>
  </si>
  <si>
    <t>GMMI</t>
  </si>
  <si>
    <t>Mogador Airport</t>
  </si>
  <si>
    <t>ESW</t>
  </si>
  <si>
    <t>KESW</t>
  </si>
  <si>
    <t>Easton State Airport</t>
  </si>
  <si>
    <t>ETB</t>
  </si>
  <si>
    <t>KETB</t>
  </si>
  <si>
    <t>West Bend Municipal Airport</t>
  </si>
  <si>
    <t>ETC</t>
  </si>
  <si>
    <t>KETC</t>
  </si>
  <si>
    <t>Tarboro-Edgecombe Airport</t>
  </si>
  <si>
    <t>ETD</t>
  </si>
  <si>
    <t>YEDA</t>
  </si>
  <si>
    <t>Etadunna Airport</t>
  </si>
  <si>
    <t>ETH</t>
  </si>
  <si>
    <t>LLET</t>
  </si>
  <si>
    <t>J. Hozman Airport</t>
  </si>
  <si>
    <t>ETN</t>
  </si>
  <si>
    <t>KETN</t>
  </si>
  <si>
    <t>Eastland Municipal Airport</t>
  </si>
  <si>
    <t>ETR</t>
  </si>
  <si>
    <t>SERO</t>
  </si>
  <si>
    <t>Coronel Artilleria Victor Larrea Airport</t>
  </si>
  <si>
    <t>ETS</t>
  </si>
  <si>
    <t>KEDN</t>
  </si>
  <si>
    <t>Enterprise Municipal Airport</t>
  </si>
  <si>
    <t>ETZ</t>
  </si>
  <si>
    <t>LFJL</t>
  </si>
  <si>
    <t>Metz-Nancy-Lorraine Airport</t>
  </si>
  <si>
    <t>EUA</t>
  </si>
  <si>
    <t>NFTE</t>
  </si>
  <si>
    <t>Kaufana Airport</t>
  </si>
  <si>
    <t>EUC</t>
  </si>
  <si>
    <t>YECL</t>
  </si>
  <si>
    <t>Eucla Airport</t>
  </si>
  <si>
    <t>EUE</t>
  </si>
  <si>
    <t>KEUE</t>
  </si>
  <si>
    <t>Eureka Airport</t>
  </si>
  <si>
    <t>EUF</t>
  </si>
  <si>
    <t>KEUF</t>
  </si>
  <si>
    <t>Weedon Field</t>
  </si>
  <si>
    <t>EUG</t>
  </si>
  <si>
    <t>KEUG</t>
  </si>
  <si>
    <t>Eugene Airport / Mahlon Sweet Field</t>
  </si>
  <si>
    <t>EUL</t>
  </si>
  <si>
    <t>KEUL</t>
  </si>
  <si>
    <t>Caldwell Industrial Airport</t>
  </si>
  <si>
    <t>EUM</t>
  </si>
  <si>
    <t>EDHN</t>
  </si>
  <si>
    <t>Neumünster Airport</t>
  </si>
  <si>
    <t>EUN</t>
  </si>
  <si>
    <t>GMML</t>
  </si>
  <si>
    <t>Hassan I Airport</t>
  </si>
  <si>
    <t>EUQ</t>
  </si>
  <si>
    <t>RPVS</t>
  </si>
  <si>
    <t>Evelio Javier Airport</t>
  </si>
  <si>
    <t>EUX</t>
  </si>
  <si>
    <t>TNCE</t>
  </si>
  <si>
    <t>Franklin Delano Roosevelt Airport</t>
  </si>
  <si>
    <t>EVD</t>
  </si>
  <si>
    <t>YEVA</t>
  </si>
  <si>
    <t>Eva Downs Airport</t>
  </si>
  <si>
    <t>YEVH</t>
  </si>
  <si>
    <t>Evans Head Memorial Aerodrome</t>
  </si>
  <si>
    <t>EVE</t>
  </si>
  <si>
    <t>ENEV</t>
  </si>
  <si>
    <t>Harstad/Narvik Airport, Evenes</t>
  </si>
  <si>
    <t>EVG</t>
  </si>
  <si>
    <t>ESND</t>
  </si>
  <si>
    <t>Sveg Airport</t>
  </si>
  <si>
    <t>EVH</t>
  </si>
  <si>
    <t>YEVD</t>
  </si>
  <si>
    <t>Evans Head Aerodrome</t>
  </si>
  <si>
    <t>EVM</t>
  </si>
  <si>
    <t>KEVM</t>
  </si>
  <si>
    <t>Eveleth-Virginia Municipal Airport</t>
  </si>
  <si>
    <t>EVN</t>
  </si>
  <si>
    <t>UDYZ</t>
  </si>
  <si>
    <t>Zvartnots International Airport</t>
  </si>
  <si>
    <t>EVU</t>
  </si>
  <si>
    <t>KEVU</t>
  </si>
  <si>
    <t>Northwest Missouri Regional Airport</t>
  </si>
  <si>
    <t>EVV</t>
  </si>
  <si>
    <t>KEVV</t>
  </si>
  <si>
    <t>Evansville Regional Airport</t>
  </si>
  <si>
    <t>EVW</t>
  </si>
  <si>
    <t>KEVW</t>
  </si>
  <si>
    <t>Evanston-Uinta County Burns Field</t>
  </si>
  <si>
    <t>EVX</t>
  </si>
  <si>
    <t>LFOE</t>
  </si>
  <si>
    <t>Évreux-Fauville Air Base</t>
  </si>
  <si>
    <t>EVY</t>
  </si>
  <si>
    <t>KEVY</t>
  </si>
  <si>
    <t>Summit Airport</t>
  </si>
  <si>
    <t>EWB</t>
  </si>
  <si>
    <t>KEWB</t>
  </si>
  <si>
    <t>New Bedford Regional Airport</t>
  </si>
  <si>
    <t>EWD</t>
  </si>
  <si>
    <t>OEWD</t>
  </si>
  <si>
    <t>Wadi Al Dawasir Airport</t>
  </si>
  <si>
    <t>EWI</t>
  </si>
  <si>
    <t>WABT</t>
  </si>
  <si>
    <t>Enarotali Airport</t>
  </si>
  <si>
    <t>EWK</t>
  </si>
  <si>
    <t>KEWK</t>
  </si>
  <si>
    <t>Newton City/County Airport</t>
  </si>
  <si>
    <t>EWN</t>
  </si>
  <si>
    <t>KEWN</t>
  </si>
  <si>
    <t>Craven County Regional Airport</t>
  </si>
  <si>
    <t>EWO</t>
  </si>
  <si>
    <t>FCOE</t>
  </si>
  <si>
    <t>Ewo Airport</t>
  </si>
  <si>
    <t>EWR</t>
  </si>
  <si>
    <t>KEWR</t>
  </si>
  <si>
    <t>Newark Liberty International Airport</t>
  </si>
  <si>
    <t>EXM</t>
  </si>
  <si>
    <t>YEXM</t>
  </si>
  <si>
    <t>Exmouth Airport</t>
  </si>
  <si>
    <t>EXT</t>
  </si>
  <si>
    <t>EGTE</t>
  </si>
  <si>
    <t>Exeter Airport</t>
  </si>
  <si>
    <t>EXX</t>
  </si>
  <si>
    <t>KEXX</t>
  </si>
  <si>
    <t>Davidson County Airport</t>
  </si>
  <si>
    <t>EYE</t>
  </si>
  <si>
    <t>KEYE</t>
  </si>
  <si>
    <t>Eagle Creek Airpark</t>
  </si>
  <si>
    <t>EYF</t>
  </si>
  <si>
    <t>KEYF</t>
  </si>
  <si>
    <t>Curtis L. Brown Jr. Field</t>
  </si>
  <si>
    <t>EYL</t>
  </si>
  <si>
    <t>GAYE</t>
  </si>
  <si>
    <t>Yélimané Airport</t>
  </si>
  <si>
    <t>EYP</t>
  </si>
  <si>
    <t>SKYP</t>
  </si>
  <si>
    <t>El Alcaraván Airport</t>
  </si>
  <si>
    <t>EYQ</t>
  </si>
  <si>
    <t>KEYQ</t>
  </si>
  <si>
    <t>Weiser Air Park</t>
  </si>
  <si>
    <t>EYS</t>
  </si>
  <si>
    <t>HKES</t>
  </si>
  <si>
    <t>Eliye Springs Airport</t>
  </si>
  <si>
    <t>EYW</t>
  </si>
  <si>
    <t>KEYW</t>
  </si>
  <si>
    <t>Key West International Airport</t>
  </si>
  <si>
    <t>EZE</t>
  </si>
  <si>
    <t>SAEZ</t>
  </si>
  <si>
    <t>Ministro Pistarini International Airport</t>
  </si>
  <si>
    <t>EZF</t>
  </si>
  <si>
    <t>KEZF</t>
  </si>
  <si>
    <t>Shannon Airport</t>
  </si>
  <si>
    <t>EZI</t>
  </si>
  <si>
    <t>KEZI</t>
  </si>
  <si>
    <t>Kewanee Municipal Airport</t>
  </si>
  <si>
    <t>EZM</t>
  </si>
  <si>
    <t>KEZM</t>
  </si>
  <si>
    <t>Heart of Georgia Regional Airport</t>
  </si>
  <si>
    <t>EZS</t>
  </si>
  <si>
    <t>LTCA</t>
  </si>
  <si>
    <t>Elazığ Airport</t>
  </si>
  <si>
    <t>EZV</t>
  </si>
  <si>
    <t>USHB</t>
  </si>
  <si>
    <t>Berezovo Airport</t>
  </si>
  <si>
    <t>EZZ</t>
  </si>
  <si>
    <t>KEZZ</t>
  </si>
  <si>
    <t>Cameron Memorial Airport</t>
  </si>
  <si>
    <t>FAA</t>
  </si>
  <si>
    <t>GUFH</t>
  </si>
  <si>
    <t>Faranah Airport</t>
  </si>
  <si>
    <t>FAB</t>
  </si>
  <si>
    <t>EGLF</t>
  </si>
  <si>
    <t>Farnborough Airport</t>
  </si>
  <si>
    <t>FAC</t>
  </si>
  <si>
    <t>NTKF</t>
  </si>
  <si>
    <t>Faaite Airport</t>
  </si>
  <si>
    <t>FAE</t>
  </si>
  <si>
    <t>EKVG</t>
  </si>
  <si>
    <t>Vágar Airport</t>
  </si>
  <si>
    <t>FAF</t>
  </si>
  <si>
    <t>KFAF</t>
  </si>
  <si>
    <t>Felker AAF</t>
  </si>
  <si>
    <t>FAG</t>
  </si>
  <si>
    <t>BIFM</t>
  </si>
  <si>
    <t>Fagurhólsmýri Airport</t>
  </si>
  <si>
    <t>FAH</t>
  </si>
  <si>
    <t>OAFR</t>
  </si>
  <si>
    <t>Farah Airport</t>
  </si>
  <si>
    <t>FAI</t>
  </si>
  <si>
    <t>PAFA</t>
  </si>
  <si>
    <t>Fairbanks International Airport</t>
  </si>
  <si>
    <t>FAJ</t>
  </si>
  <si>
    <t>TJFA</t>
  </si>
  <si>
    <t>Diego Jimenez Torres Airport</t>
  </si>
  <si>
    <t>FAM</t>
  </si>
  <si>
    <t>KFAM</t>
  </si>
  <si>
    <t>Farmington Regional Airport</t>
  </si>
  <si>
    <t>FAN</t>
  </si>
  <si>
    <t>ENLI</t>
  </si>
  <si>
    <t>Lista Airport</t>
  </si>
  <si>
    <t>FAO</t>
  </si>
  <si>
    <t>LPFR</t>
  </si>
  <si>
    <t>Faro Airport (Portugal)</t>
  </si>
  <si>
    <t>FAQ</t>
  </si>
  <si>
    <t>NSFQ</t>
  </si>
  <si>
    <t>Fitiuta Airport</t>
  </si>
  <si>
    <t>FAR</t>
  </si>
  <si>
    <t>KFAR</t>
  </si>
  <si>
    <t>Hector International Airport</t>
  </si>
  <si>
    <t>FAS</t>
  </si>
  <si>
    <t>BIFF</t>
  </si>
  <si>
    <t>Fáskrúðsfjörður Airport</t>
  </si>
  <si>
    <t>FAT</t>
  </si>
  <si>
    <t>KFAT</t>
  </si>
  <si>
    <t>Fresno Yosemite International Airport</t>
  </si>
  <si>
    <t>FAV</t>
  </si>
  <si>
    <t>NTGF</t>
  </si>
  <si>
    <t>Fakarava Airport</t>
  </si>
  <si>
    <t>FAY</t>
  </si>
  <si>
    <t>KFAY</t>
  </si>
  <si>
    <t>Fayetteville Regional Airport (Grannis Field)</t>
  </si>
  <si>
    <t>FAZ</t>
  </si>
  <si>
    <t>OISF</t>
  </si>
  <si>
    <t>Fasa Airport</t>
  </si>
  <si>
    <t>FBD</t>
  </si>
  <si>
    <t>OAFZ</t>
  </si>
  <si>
    <t>Fayzabad Airport</t>
  </si>
  <si>
    <t>FBE</t>
  </si>
  <si>
    <t>SSFB</t>
  </si>
  <si>
    <t>Francisco Beltrão Airport</t>
  </si>
  <si>
    <t>FBG</t>
  </si>
  <si>
    <t>KFBG</t>
  </si>
  <si>
    <t>Simmons AAF</t>
  </si>
  <si>
    <t>FBK</t>
  </si>
  <si>
    <t>PAFB</t>
  </si>
  <si>
    <t>Wainwright AAF</t>
  </si>
  <si>
    <t>FBL</t>
  </si>
  <si>
    <t>KFBL</t>
  </si>
  <si>
    <t>Faribault Municipal Airport</t>
  </si>
  <si>
    <t>FBM</t>
  </si>
  <si>
    <t>FZQA</t>
  </si>
  <si>
    <t>Lubumbashi International Airport</t>
  </si>
  <si>
    <t>FBR</t>
  </si>
  <si>
    <t>KFBR</t>
  </si>
  <si>
    <t>Fort Bridger Airport</t>
  </si>
  <si>
    <t>FBY</t>
  </si>
  <si>
    <t>KFBY</t>
  </si>
  <si>
    <t>Fairbury Municipal Airport</t>
  </si>
  <si>
    <t>FCA</t>
  </si>
  <si>
    <t>KGPI</t>
  </si>
  <si>
    <t>Glacier Park International Airport</t>
  </si>
  <si>
    <t>FCB</t>
  </si>
  <si>
    <t>FAFB</t>
  </si>
  <si>
    <t>Ficksburg Sentraoes Airport</t>
  </si>
  <si>
    <t>FCH</t>
  </si>
  <si>
    <t>KFCH</t>
  </si>
  <si>
    <t>Fresno Chandler Executive Airport</t>
  </si>
  <si>
    <t>FCI</t>
  </si>
  <si>
    <t>KFCI</t>
  </si>
  <si>
    <t>Chesterfield County Airport</t>
  </si>
  <si>
    <t>FCM</t>
  </si>
  <si>
    <t>KFCM</t>
  </si>
  <si>
    <t>Flying Cloud Airport</t>
  </si>
  <si>
    <t>FCO</t>
  </si>
  <si>
    <t>LIRF</t>
  </si>
  <si>
    <t>Leonardo Da Vinci International Airport</t>
  </si>
  <si>
    <t>FCS</t>
  </si>
  <si>
    <t>KFCS</t>
  </si>
  <si>
    <t>Butts AAF (Fort Carson)</t>
  </si>
  <si>
    <t>FCT</t>
  </si>
  <si>
    <t>KFCT</t>
  </si>
  <si>
    <t>Vagabond AAF</t>
  </si>
  <si>
    <t>FCY</t>
  </si>
  <si>
    <t>KFCY</t>
  </si>
  <si>
    <t>Forrest City Municipal Airport</t>
  </si>
  <si>
    <t>FDA</t>
  </si>
  <si>
    <t>SKFU</t>
  </si>
  <si>
    <t>Fundación Airport</t>
  </si>
  <si>
    <t>FDE</t>
  </si>
  <si>
    <t>ENBL</t>
  </si>
  <si>
    <t>Førde Airport, Bringeland</t>
  </si>
  <si>
    <t>FDF</t>
  </si>
  <si>
    <t>TFFF</t>
  </si>
  <si>
    <t>Lamentin International Airport</t>
  </si>
  <si>
    <t>FDH</t>
  </si>
  <si>
    <t>EDNY</t>
  </si>
  <si>
    <t>Friedrichshafen International Airport</t>
  </si>
  <si>
    <t>FDK</t>
  </si>
  <si>
    <t>KFDK</t>
  </si>
  <si>
    <t>Frederick Municipal Airport (Maryland)</t>
  </si>
  <si>
    <t>FDO</t>
  </si>
  <si>
    <t>SADF</t>
  </si>
  <si>
    <t>San Fernando Airport</t>
  </si>
  <si>
    <t>FDR</t>
  </si>
  <si>
    <t>KFDR</t>
  </si>
  <si>
    <t>Frederick Municipal Airport (Oklahoma)</t>
  </si>
  <si>
    <t>FDU</t>
  </si>
  <si>
    <t>FZBO</t>
  </si>
  <si>
    <t>Bandundu Airport</t>
  </si>
  <si>
    <t>FDW</t>
  </si>
  <si>
    <t>KFDW</t>
  </si>
  <si>
    <t>Fairfield County Airport</t>
  </si>
  <si>
    <t>FDY</t>
  </si>
  <si>
    <t>KFDY</t>
  </si>
  <si>
    <t>Findlay Airport</t>
  </si>
  <si>
    <t>FEB</t>
  </si>
  <si>
    <t>VNSR</t>
  </si>
  <si>
    <t>Sanfebagar Airport</t>
  </si>
  <si>
    <t>FEC</t>
  </si>
  <si>
    <t>SNJD</t>
  </si>
  <si>
    <t>João Durval Carneiro Airport</t>
  </si>
  <si>
    <t>FEG</t>
  </si>
  <si>
    <t>UTKF</t>
  </si>
  <si>
    <t>Fergana Airport</t>
  </si>
  <si>
    <t>FEJ</t>
  </si>
  <si>
    <t>SWFJ</t>
  </si>
  <si>
    <t>Feijó Airport</t>
  </si>
  <si>
    <t>FEK</t>
  </si>
  <si>
    <t>DIFK</t>
  </si>
  <si>
    <t>Ferkessedougou Airport</t>
  </si>
  <si>
    <t>FEL</t>
  </si>
  <si>
    <t>ETSF</t>
  </si>
  <si>
    <t>Fürstenfeldbruck Airport</t>
  </si>
  <si>
    <t>FEN</t>
  </si>
  <si>
    <t>SBFN</t>
  </si>
  <si>
    <t>Fernando de Noronha Airport</t>
  </si>
  <si>
    <t>FEP</t>
  </si>
  <si>
    <t>KFEP</t>
  </si>
  <si>
    <t>Albertus Airport</t>
  </si>
  <si>
    <t>FES</t>
  </si>
  <si>
    <t>KFES</t>
  </si>
  <si>
    <t>Festus Memorial Airport</t>
  </si>
  <si>
    <t>FET</t>
  </si>
  <si>
    <t>KFET</t>
  </si>
  <si>
    <t>Fremont Municipal Airport</t>
  </si>
  <si>
    <t>FEZ</t>
  </si>
  <si>
    <t>GMFF</t>
  </si>
  <si>
    <t>Saïss Airport</t>
  </si>
  <si>
    <t>FFA</t>
  </si>
  <si>
    <t>KFFA</t>
  </si>
  <si>
    <t>First Flight Airport</t>
  </si>
  <si>
    <t>FFC</t>
  </si>
  <si>
    <t>KFFC</t>
  </si>
  <si>
    <t>Falcon Field</t>
  </si>
  <si>
    <t>FFD</t>
  </si>
  <si>
    <t>EGVA</t>
  </si>
  <si>
    <t>RAF Fairford</t>
  </si>
  <si>
    <t>FFL</t>
  </si>
  <si>
    <t>KFFL</t>
  </si>
  <si>
    <t>Fairfield Municipal Airport</t>
  </si>
  <si>
    <t>FFM</t>
  </si>
  <si>
    <t>KFFM</t>
  </si>
  <si>
    <t>Fergus Falls Municipal Airport (Einar Mickelson Field)</t>
  </si>
  <si>
    <t>FFO</t>
  </si>
  <si>
    <t>KFFO</t>
  </si>
  <si>
    <t>Wright-Patterson AFB</t>
  </si>
  <si>
    <t>FFT</t>
  </si>
  <si>
    <t>KFFT</t>
  </si>
  <si>
    <t>Capital City Airport</t>
  </si>
  <si>
    <t>FFU</t>
  </si>
  <si>
    <t>SCFT</t>
  </si>
  <si>
    <t>Futaleufú Airport</t>
  </si>
  <si>
    <t>FFZ</t>
  </si>
  <si>
    <t>KFFZ</t>
  </si>
  <si>
    <t>FGD</t>
  </si>
  <si>
    <t>GQPF</t>
  </si>
  <si>
    <t>Fderik Airport</t>
  </si>
  <si>
    <t>FGI</t>
  </si>
  <si>
    <t>NSFI</t>
  </si>
  <si>
    <t>Fagali'i Airport</t>
  </si>
  <si>
    <t>FGU</t>
  </si>
  <si>
    <t>NTGB</t>
  </si>
  <si>
    <t>Fangatau Airport</t>
  </si>
  <si>
    <t>FGX</t>
  </si>
  <si>
    <t>KFGX</t>
  </si>
  <si>
    <t>Fleming-Mason Airport</t>
  </si>
  <si>
    <t>FHB</t>
  </si>
  <si>
    <t>KFHB</t>
  </si>
  <si>
    <t>Fernandina Beach Municipal Airport</t>
  </si>
  <si>
    <t>FHR</t>
  </si>
  <si>
    <t>KFHR</t>
  </si>
  <si>
    <t>Friday Harbor Airport</t>
  </si>
  <si>
    <t>FHU</t>
  </si>
  <si>
    <t>KFHU</t>
  </si>
  <si>
    <t>Sierra Vista Municipal Airport / Libby Army Airfield</t>
  </si>
  <si>
    <t>FHZ</t>
  </si>
  <si>
    <t>NTKH</t>
  </si>
  <si>
    <t>Fakahina Airport</t>
  </si>
  <si>
    <t>FID</t>
  </si>
  <si>
    <t>K0B8</t>
  </si>
  <si>
    <t>Elizabeth Field</t>
  </si>
  <si>
    <t>FIE</t>
  </si>
  <si>
    <t>EGEF</t>
  </si>
  <si>
    <t>Fair Isle Airport</t>
  </si>
  <si>
    <t>FIG</t>
  </si>
  <si>
    <t>GUFA</t>
  </si>
  <si>
    <t>Fria Airport</t>
  </si>
  <si>
    <t>KFIG</t>
  </si>
  <si>
    <t>Clearfield-Lawrence Airport</t>
  </si>
  <si>
    <t>FIH</t>
  </si>
  <si>
    <t>FZAA</t>
  </si>
  <si>
    <t>Kinshasa International Airport (N'Djili International Airpor</t>
  </si>
  <si>
    <t>FIK</t>
  </si>
  <si>
    <t>YFNE</t>
  </si>
  <si>
    <t>Finke Airport</t>
  </si>
  <si>
    <t>FIL</t>
  </si>
  <si>
    <t>KFOM</t>
  </si>
  <si>
    <t>Fillmore Municipal Airport</t>
  </si>
  <si>
    <t>FIZ</t>
  </si>
  <si>
    <t>YFTZ</t>
  </si>
  <si>
    <t>Fitzroy Crossing Airport</t>
  </si>
  <si>
    <t>FJR</t>
  </si>
  <si>
    <t>OMFJ</t>
  </si>
  <si>
    <t>Fujairah International Airport</t>
  </si>
  <si>
    <t>FKA</t>
  </si>
  <si>
    <t>KFKA</t>
  </si>
  <si>
    <t>Fillmore County Airport</t>
  </si>
  <si>
    <t>FKB</t>
  </si>
  <si>
    <t>EDSB</t>
  </si>
  <si>
    <t>Baden Airpark</t>
  </si>
  <si>
    <t>FKI</t>
  </si>
  <si>
    <t>FZIC</t>
  </si>
  <si>
    <t>Bangoka International Airport</t>
  </si>
  <si>
    <t>FKJ</t>
  </si>
  <si>
    <t>RJNF</t>
  </si>
  <si>
    <t>Fukui Airport</t>
  </si>
  <si>
    <t>FKL</t>
  </si>
  <si>
    <t>KFKL</t>
  </si>
  <si>
    <t>Venango Regional Airport</t>
  </si>
  <si>
    <t>FKN</t>
  </si>
  <si>
    <t>KFKN</t>
  </si>
  <si>
    <t>Franklin Municipal Airport (John Beverly Rose Field)</t>
  </si>
  <si>
    <t>FKQ</t>
  </si>
  <si>
    <t>WASF</t>
  </si>
  <si>
    <t>Fakfak Airport</t>
  </si>
  <si>
    <t>FKR</t>
  </si>
  <si>
    <t>KFKR</t>
  </si>
  <si>
    <t>Frankfort Municipal Airport</t>
  </si>
  <si>
    <t>FKS</t>
  </si>
  <si>
    <t>RJSF</t>
  </si>
  <si>
    <t>Fukushima Airport</t>
  </si>
  <si>
    <t>KFKS</t>
  </si>
  <si>
    <t>Frankfort Dow Memorial Field</t>
  </si>
  <si>
    <t>FLA</t>
  </si>
  <si>
    <t>SKFL</t>
  </si>
  <si>
    <t>Gustavo Artunduaga Paredes Airport</t>
  </si>
  <si>
    <t>FLB</t>
  </si>
  <si>
    <t>SNQG</t>
  </si>
  <si>
    <t>Cangapara Airport</t>
  </si>
  <si>
    <t>FLD</t>
  </si>
  <si>
    <t>KFLD</t>
  </si>
  <si>
    <t>Fond du Lac County Airport</t>
  </si>
  <si>
    <t>FLF</t>
  </si>
  <si>
    <t>EDXF</t>
  </si>
  <si>
    <t>Flensburg-Schäferhaus Airport</t>
  </si>
  <si>
    <t>FLG</t>
  </si>
  <si>
    <t>KFLG</t>
  </si>
  <si>
    <t>Flagstaff Pulliam Airport</t>
  </si>
  <si>
    <t>FLI</t>
  </si>
  <si>
    <t>BIHT</t>
  </si>
  <si>
    <t>Holt Airport</t>
  </si>
  <si>
    <t>FLL</t>
  </si>
  <si>
    <t>KFLL</t>
  </si>
  <si>
    <t>Fort Lauderdale-Hollywood International Airport</t>
  </si>
  <si>
    <t>FLM</t>
  </si>
  <si>
    <t>SGFI</t>
  </si>
  <si>
    <t>Fernheim Airport</t>
  </si>
  <si>
    <t>FLN</t>
  </si>
  <si>
    <t>SBFL</t>
  </si>
  <si>
    <t>Hercílio Luz International Airport</t>
  </si>
  <si>
    <t>FLO</t>
  </si>
  <si>
    <t>KFLO</t>
  </si>
  <si>
    <t>Florence Regional Airport</t>
  </si>
  <si>
    <t>FLP</t>
  </si>
  <si>
    <t>KFLP</t>
  </si>
  <si>
    <t>Marion County Regional Airport</t>
  </si>
  <si>
    <t>FLR</t>
  </si>
  <si>
    <t>LIRQ</t>
  </si>
  <si>
    <t>Peretola Airport</t>
  </si>
  <si>
    <t>FLS</t>
  </si>
  <si>
    <t>YFLI</t>
  </si>
  <si>
    <t>Flinders Island Airport</t>
  </si>
  <si>
    <t>FLU</t>
  </si>
  <si>
    <t>KFLU</t>
  </si>
  <si>
    <t>Flushing Airport</t>
  </si>
  <si>
    <t>FLV</t>
  </si>
  <si>
    <t>KFLV</t>
  </si>
  <si>
    <t>Sherman AAF</t>
  </si>
  <si>
    <t>FLW</t>
  </si>
  <si>
    <t>LPFL</t>
  </si>
  <si>
    <t>Flores Airport</t>
  </si>
  <si>
    <t>FLX</t>
  </si>
  <si>
    <t>KFLX</t>
  </si>
  <si>
    <t>Fallon Municipal Airport</t>
  </si>
  <si>
    <t>FLY</t>
  </si>
  <si>
    <t>YFIL</t>
  </si>
  <si>
    <t>Finley Airport</t>
  </si>
  <si>
    <t>FMA</t>
  </si>
  <si>
    <t>SARF</t>
  </si>
  <si>
    <t>Formosa International Airport</t>
  </si>
  <si>
    <t>FMC</t>
  </si>
  <si>
    <t>PAFV</t>
  </si>
  <si>
    <t>Five Mile Airport</t>
  </si>
  <si>
    <t>FME</t>
  </si>
  <si>
    <t>KFME</t>
  </si>
  <si>
    <t>Tipton Airport (Fort Meade)</t>
  </si>
  <si>
    <t>FMG</t>
  </si>
  <si>
    <t>MRFL</t>
  </si>
  <si>
    <t>Flamingo Airport</t>
  </si>
  <si>
    <t>FMH</t>
  </si>
  <si>
    <t>KFMH</t>
  </si>
  <si>
    <t>Otis ANGB</t>
  </si>
  <si>
    <t>FMI</t>
  </si>
  <si>
    <t>FZRF</t>
  </si>
  <si>
    <t>Kalemie Airport</t>
  </si>
  <si>
    <t>FMM</t>
  </si>
  <si>
    <t>EDJA</t>
  </si>
  <si>
    <t>Allgäu Airport</t>
  </si>
  <si>
    <t>FMN</t>
  </si>
  <si>
    <t>KFMN</t>
  </si>
  <si>
    <t>Four Corners Regional Airport</t>
  </si>
  <si>
    <t>FMO</t>
  </si>
  <si>
    <t>EDDG</t>
  </si>
  <si>
    <t>Münster Osnabrück International Airport</t>
  </si>
  <si>
    <t>FMY</t>
  </si>
  <si>
    <t>KFMY</t>
  </si>
  <si>
    <t>Page Field</t>
  </si>
  <si>
    <t>FMZ</t>
  </si>
  <si>
    <t>KFMZ</t>
  </si>
  <si>
    <t>Fairmont State Airfield</t>
  </si>
  <si>
    <t>FNA</t>
  </si>
  <si>
    <t>GFLL</t>
  </si>
  <si>
    <t>Lungi International Airport</t>
  </si>
  <si>
    <t>FNB</t>
  </si>
  <si>
    <t>ETNU</t>
  </si>
  <si>
    <t>Neubrandenburg Airport</t>
  </si>
  <si>
    <t>KFNB</t>
  </si>
  <si>
    <t>Brenner Field</t>
  </si>
  <si>
    <t>FNC</t>
  </si>
  <si>
    <t>LPMA</t>
  </si>
  <si>
    <t>Madeira Airport</t>
  </si>
  <si>
    <t>FNG</t>
  </si>
  <si>
    <t>DFEF</t>
  </si>
  <si>
    <t>Fada N'gourma Airport</t>
  </si>
  <si>
    <t>FNH</t>
  </si>
  <si>
    <t>HAFN</t>
  </si>
  <si>
    <t>Fincha Airport</t>
  </si>
  <si>
    <t>FNI</t>
  </si>
  <si>
    <t>LFTW</t>
  </si>
  <si>
    <t>Garons Airport</t>
  </si>
  <si>
    <t>FNJ</t>
  </si>
  <si>
    <t>ZKPY</t>
  </si>
  <si>
    <t>Sunan International Airport</t>
  </si>
  <si>
    <t>FNL</t>
  </si>
  <si>
    <t>KFNL</t>
  </si>
  <si>
    <t>Fort Collins-Loveland Municipal Airport</t>
  </si>
  <si>
    <t>FNT</t>
  </si>
  <si>
    <t>KFNT</t>
  </si>
  <si>
    <t>Bishop International Airport</t>
  </si>
  <si>
    <t>FOA</t>
  </si>
  <si>
    <t>KFOA</t>
  </si>
  <si>
    <t>Flora Municipal Airport</t>
  </si>
  <si>
    <t>FOB</t>
  </si>
  <si>
    <t>82CL</t>
  </si>
  <si>
    <t>Fort Bragg Airport</t>
  </si>
  <si>
    <t>FOC</t>
  </si>
  <si>
    <t>ZSFZ</t>
  </si>
  <si>
    <t>Fuzhou Changle International Airport</t>
  </si>
  <si>
    <t>FOD</t>
  </si>
  <si>
    <t>KFOD</t>
  </si>
  <si>
    <t>Fort Dodge Regional Airport</t>
  </si>
  <si>
    <t>FOE</t>
  </si>
  <si>
    <t>KFOE</t>
  </si>
  <si>
    <t>Forbes Field</t>
  </si>
  <si>
    <t>FOG</t>
  </si>
  <si>
    <t>LIBF</t>
  </si>
  <si>
    <t>Foggia / Gino Lisa Airport</t>
  </si>
  <si>
    <t>FOK</t>
  </si>
  <si>
    <t>KFOK</t>
  </si>
  <si>
    <t>Francis S. Gabreski Airport</t>
  </si>
  <si>
    <t>FOM</t>
  </si>
  <si>
    <t>FKKM</t>
  </si>
  <si>
    <t>Foumban Nkounja Airport</t>
  </si>
  <si>
    <t>FON</t>
  </si>
  <si>
    <t>MRAN</t>
  </si>
  <si>
    <t>La Fortuna Airport</t>
  </si>
  <si>
    <t>FOR</t>
  </si>
  <si>
    <t>SBFZ</t>
  </si>
  <si>
    <t>Pinto Martins International Airport</t>
  </si>
  <si>
    <t>FOS</t>
  </si>
  <si>
    <t>YFRT</t>
  </si>
  <si>
    <t>Forrest Airport</t>
  </si>
  <si>
    <t>FOT</t>
  </si>
  <si>
    <t>YFST</t>
  </si>
  <si>
    <t>Forster (Wallis Is) Airport</t>
  </si>
  <si>
    <t>KFOT</t>
  </si>
  <si>
    <t>Rohnerville Airport</t>
  </si>
  <si>
    <t>FOU</t>
  </si>
  <si>
    <t>FOGF</t>
  </si>
  <si>
    <t>Fougamou Airport</t>
  </si>
  <si>
    <t>FOZ</t>
  </si>
  <si>
    <t>KFOZ</t>
  </si>
  <si>
    <t>Bigfork Municipal Airport</t>
  </si>
  <si>
    <t>FPK</t>
  </si>
  <si>
    <t>KFPK</t>
  </si>
  <si>
    <t>Fitch H. Beach Airport</t>
  </si>
  <si>
    <t>FPO</t>
  </si>
  <si>
    <t>MYGF</t>
  </si>
  <si>
    <t>Grand Bahama International Airport</t>
  </si>
  <si>
    <t>FPR</t>
  </si>
  <si>
    <t>KFPR</t>
  </si>
  <si>
    <t>St. Lucie County International Airport</t>
  </si>
  <si>
    <t>FPY</t>
  </si>
  <si>
    <t>K40J</t>
  </si>
  <si>
    <t>Perry Foley Airport</t>
  </si>
  <si>
    <t>FQD</t>
  </si>
  <si>
    <t>KFQD</t>
  </si>
  <si>
    <t>Rutherford County Airport (Marchman Field)</t>
  </si>
  <si>
    <t>FRA</t>
  </si>
  <si>
    <t>EDDF</t>
  </si>
  <si>
    <t>Frankfurt Airport</t>
  </si>
  <si>
    <t>FRB</t>
  </si>
  <si>
    <t>YFBS</t>
  </si>
  <si>
    <t>Forbes Airport</t>
  </si>
  <si>
    <t>FRC</t>
  </si>
  <si>
    <t>SIMK</t>
  </si>
  <si>
    <t>Franca Airport</t>
  </si>
  <si>
    <t>FRE</t>
  </si>
  <si>
    <t>AGGF</t>
  </si>
  <si>
    <t>Fera/Maringe Airport</t>
  </si>
  <si>
    <t>FRF</t>
  </si>
  <si>
    <t>EDOL</t>
  </si>
  <si>
    <t>Oschersleben Airport</t>
  </si>
  <si>
    <t>FRG</t>
  </si>
  <si>
    <t>KFRG</t>
  </si>
  <si>
    <t>Republic Airport</t>
  </si>
  <si>
    <t>FRH</t>
  </si>
  <si>
    <t>KFRH</t>
  </si>
  <si>
    <t>French Lick Municipal Airport</t>
  </si>
  <si>
    <t>FRI</t>
  </si>
  <si>
    <t>KFRI</t>
  </si>
  <si>
    <t>Marshall Army Airfield (Fort Riley)</t>
  </si>
  <si>
    <t>FRK</t>
  </si>
  <si>
    <t>EGTF</t>
  </si>
  <si>
    <t>Fairoaks Airport</t>
  </si>
  <si>
    <t>FRL</t>
  </si>
  <si>
    <t>LIPK</t>
  </si>
  <si>
    <t>Forlì Airport</t>
  </si>
  <si>
    <t>FRM</t>
  </si>
  <si>
    <t>KFRM</t>
  </si>
  <si>
    <t>Fairmont Municipal Airport</t>
  </si>
  <si>
    <t>FRN</t>
  </si>
  <si>
    <t>PAFR</t>
  </si>
  <si>
    <t>Bryant Army Heliport</t>
  </si>
  <si>
    <t>FRO</t>
  </si>
  <si>
    <t>ENFL</t>
  </si>
  <si>
    <t>Florø Airport</t>
  </si>
  <si>
    <t>FRR</t>
  </si>
  <si>
    <t>KFRR</t>
  </si>
  <si>
    <t>Front Royal-Warren County Airport</t>
  </si>
  <si>
    <t>FRS</t>
  </si>
  <si>
    <t>MGTK</t>
  </si>
  <si>
    <t>Mundo Maya International Airport</t>
  </si>
  <si>
    <t>FRT</t>
  </si>
  <si>
    <t>SCEV</t>
  </si>
  <si>
    <t>El Avellano Airport</t>
  </si>
  <si>
    <t>FRU</t>
  </si>
  <si>
    <t>UAFM</t>
  </si>
  <si>
    <t>Manas International Airport</t>
  </si>
  <si>
    <t>FRW</t>
  </si>
  <si>
    <t>FBFT</t>
  </si>
  <si>
    <t>Francistown Airport</t>
  </si>
  <si>
    <t>FRZ</t>
  </si>
  <si>
    <t>ETHF</t>
  </si>
  <si>
    <t>Fritzlar Airport</t>
  </si>
  <si>
    <t>FSC</t>
  </si>
  <si>
    <t>LFKF</t>
  </si>
  <si>
    <t>Sud Corse Airport</t>
  </si>
  <si>
    <t>FSD</t>
  </si>
  <si>
    <t>KFSD</t>
  </si>
  <si>
    <t>Joe Foss Field</t>
  </si>
  <si>
    <t>FSE</t>
  </si>
  <si>
    <t>KFSE</t>
  </si>
  <si>
    <t>Fosston Municipal Airport</t>
  </si>
  <si>
    <t>FSI</t>
  </si>
  <si>
    <t>KFSI</t>
  </si>
  <si>
    <t>Henry Post AAF (Fort Sill)</t>
  </si>
  <si>
    <t>FSK</t>
  </si>
  <si>
    <t>KFSK</t>
  </si>
  <si>
    <t>Fort Scott Municipal Airport</t>
  </si>
  <si>
    <t>FSM</t>
  </si>
  <si>
    <t>KFSM</t>
  </si>
  <si>
    <t>Fort Smith Regional Airport</t>
  </si>
  <si>
    <t>FSO</t>
  </si>
  <si>
    <t>KFSO</t>
  </si>
  <si>
    <t>Franklin County State Airport</t>
  </si>
  <si>
    <t>FSP</t>
  </si>
  <si>
    <t>LFVP</t>
  </si>
  <si>
    <t>Saint Pierre Airport</t>
  </si>
  <si>
    <t>FSS</t>
  </si>
  <si>
    <t>EGQK</t>
  </si>
  <si>
    <t>RAF Kinloss</t>
  </si>
  <si>
    <t>FST</t>
  </si>
  <si>
    <t>KFST</t>
  </si>
  <si>
    <t>Fort Stockton-Pecos County Airport</t>
  </si>
  <si>
    <t>FSU</t>
  </si>
  <si>
    <t>KFSU</t>
  </si>
  <si>
    <t>Fort Sumner Municipal Airport</t>
  </si>
  <si>
    <t>FSW</t>
  </si>
  <si>
    <t>KFSW</t>
  </si>
  <si>
    <t>Fort Madison Municipal Airport</t>
  </si>
  <si>
    <t>FSZ</t>
  </si>
  <si>
    <t>RJNS</t>
  </si>
  <si>
    <t>Mt. Fuji Shizuoka Airport</t>
  </si>
  <si>
    <t>FTA</t>
  </si>
  <si>
    <t>NVVF</t>
  </si>
  <si>
    <t>Futuna Airport</t>
  </si>
  <si>
    <t>FTE</t>
  </si>
  <si>
    <t>SAWC</t>
  </si>
  <si>
    <t>El Calafate Airport</t>
  </si>
  <si>
    <t>FTG</t>
  </si>
  <si>
    <t>KFTG</t>
  </si>
  <si>
    <t>Front Range Airport</t>
  </si>
  <si>
    <t>FTK</t>
  </si>
  <si>
    <t>KFTK</t>
  </si>
  <si>
    <t>Godman Army Airfield</t>
  </si>
  <si>
    <t>FTT</t>
  </si>
  <si>
    <t>KFTT</t>
  </si>
  <si>
    <t>Elton Hensley Memorial Airport</t>
  </si>
  <si>
    <t>FTU</t>
  </si>
  <si>
    <t>FMSD</t>
  </si>
  <si>
    <t>Tôlanaro Airport</t>
  </si>
  <si>
    <t>FTW</t>
  </si>
  <si>
    <t>KFTW</t>
  </si>
  <si>
    <t>Fort Worth Meacham International Airport</t>
  </si>
  <si>
    <t>FTX</t>
  </si>
  <si>
    <t>FCOO</t>
  </si>
  <si>
    <t>Owando Airport</t>
  </si>
  <si>
    <t>FTY</t>
  </si>
  <si>
    <t>KFTY</t>
  </si>
  <si>
    <t>Fulton County Airport (Georgia) (Brown Field)</t>
  </si>
  <si>
    <t>FUE</t>
  </si>
  <si>
    <t>GCFV</t>
  </si>
  <si>
    <t>El Matorral Airport</t>
  </si>
  <si>
    <t>FUG</t>
  </si>
  <si>
    <t>ZSFY</t>
  </si>
  <si>
    <t>Fuyang Airport</t>
  </si>
  <si>
    <t>FUJ</t>
  </si>
  <si>
    <t>RJFE</t>
  </si>
  <si>
    <t>Goto-Fukue Airport</t>
  </si>
  <si>
    <t>FUK</t>
  </si>
  <si>
    <t>RJFF</t>
  </si>
  <si>
    <t>Fukuoka Airport</t>
  </si>
  <si>
    <t>FUL</t>
  </si>
  <si>
    <t>KFUL</t>
  </si>
  <si>
    <t>Fullerton Municipal Airport</t>
  </si>
  <si>
    <t>FUN</t>
  </si>
  <si>
    <t>NGFU</t>
  </si>
  <si>
    <t>Funafuti International Airport</t>
  </si>
  <si>
    <t>FUO</t>
  </si>
  <si>
    <t>ZGFS</t>
  </si>
  <si>
    <t>Foshan Shadi Airport</t>
  </si>
  <si>
    <t>FUT</t>
  </si>
  <si>
    <t>NLWF</t>
  </si>
  <si>
    <t>Pointe Vele Airport</t>
  </si>
  <si>
    <t>FVE</t>
  </si>
  <si>
    <t>KFVE</t>
  </si>
  <si>
    <t>Northern Aroostook Regional Airport</t>
  </si>
  <si>
    <t>FVL</t>
  </si>
  <si>
    <t>YFLO</t>
  </si>
  <si>
    <t>Flora Valley Airport</t>
  </si>
  <si>
    <t>FVM</t>
  </si>
  <si>
    <t>VRMF</t>
  </si>
  <si>
    <t>Fuvahmulah Airport</t>
  </si>
  <si>
    <t>FVX</t>
  </si>
  <si>
    <t>KFVX</t>
  </si>
  <si>
    <t>Farmville Regional Airport</t>
  </si>
  <si>
    <t>FWA</t>
  </si>
  <si>
    <t>KFWA</t>
  </si>
  <si>
    <t>Fort Wayne International Airport</t>
  </si>
  <si>
    <t>FWC</t>
  </si>
  <si>
    <t>KFWC</t>
  </si>
  <si>
    <t>FWL</t>
  </si>
  <si>
    <t>PAFW</t>
  </si>
  <si>
    <t>Farewell Airport</t>
  </si>
  <si>
    <t>FWQ</t>
  </si>
  <si>
    <t>KFWQ</t>
  </si>
  <si>
    <t>Rostraver Airport</t>
  </si>
  <si>
    <t>FWS</t>
  </si>
  <si>
    <t>KFWS</t>
  </si>
  <si>
    <t>Fort Worth Spinks Airport</t>
  </si>
  <si>
    <t>FXE</t>
  </si>
  <si>
    <t>KFXE</t>
  </si>
  <si>
    <t>Fort Lauderdale Executive Airport</t>
  </si>
  <si>
    <t>FXO</t>
  </si>
  <si>
    <t>FQCB</t>
  </si>
  <si>
    <t>Cuamba Airport</t>
  </si>
  <si>
    <t>FXY</t>
  </si>
  <si>
    <t>KFXY</t>
  </si>
  <si>
    <t>Forest City Municipal Airport</t>
  </si>
  <si>
    <t>FYE</t>
  </si>
  <si>
    <t>KFYE</t>
  </si>
  <si>
    <t>Fayette County Airport</t>
  </si>
  <si>
    <t>FYJ</t>
  </si>
  <si>
    <t>KFYJ</t>
  </si>
  <si>
    <t>Middle Peninsula Regional Airport</t>
  </si>
  <si>
    <t>FYM</t>
  </si>
  <si>
    <t>KFYM</t>
  </si>
  <si>
    <t>Fayetteville Municipal Airport</t>
  </si>
  <si>
    <t>FYT</t>
  </si>
  <si>
    <t>FTTY</t>
  </si>
  <si>
    <t>Faya Largeau Airport</t>
  </si>
  <si>
    <t>FYU</t>
  </si>
  <si>
    <t>PFYU</t>
  </si>
  <si>
    <t>Fort Yukon Airport</t>
  </si>
  <si>
    <t>FYV</t>
  </si>
  <si>
    <t>KFYV</t>
  </si>
  <si>
    <t>Drake Field</t>
  </si>
  <si>
    <t>FZG</t>
  </si>
  <si>
    <t>KFZG</t>
  </si>
  <si>
    <t>Fitzgerald Municipal Airport</t>
  </si>
  <si>
    <t>FZI</t>
  </si>
  <si>
    <t>KFZI</t>
  </si>
  <si>
    <t>Fostoria Metropolitan Airport</t>
  </si>
  <si>
    <t>FZO</t>
  </si>
  <si>
    <t>EGTG</t>
  </si>
  <si>
    <t>Bristol Filton Airport</t>
  </si>
  <si>
    <t>FZY</t>
  </si>
  <si>
    <t>KFZY</t>
  </si>
  <si>
    <t>Oswego County Airport</t>
  </si>
  <si>
    <t>GAB</t>
  </si>
  <si>
    <t>KGAB</t>
  </si>
  <si>
    <t>Gabbs Airport</t>
  </si>
  <si>
    <t>GAD</t>
  </si>
  <si>
    <t>KGAD</t>
  </si>
  <si>
    <t>Northeast Alabama Regional Airport</t>
  </si>
  <si>
    <t>GAE</t>
  </si>
  <si>
    <t>DTTG</t>
  </si>
  <si>
    <t>Gabès - Matmata International Airport</t>
  </si>
  <si>
    <t>GAF</t>
  </si>
  <si>
    <t>DTTF</t>
  </si>
  <si>
    <t>Gafsa Ksar International Airport</t>
  </si>
  <si>
    <t>KGAF</t>
  </si>
  <si>
    <t>Hutson Field</t>
  </si>
  <si>
    <t>GAG</t>
  </si>
  <si>
    <t>KGAG</t>
  </si>
  <si>
    <t>Gage Airport</t>
  </si>
  <si>
    <t>GAH</t>
  </si>
  <si>
    <t>YGAY</t>
  </si>
  <si>
    <t>Gayndah Airport</t>
  </si>
  <si>
    <t>GAI</t>
  </si>
  <si>
    <t>KGAI</t>
  </si>
  <si>
    <t>Montgomery County Airpark</t>
  </si>
  <si>
    <t>GAJ</t>
  </si>
  <si>
    <t>RJSC</t>
  </si>
  <si>
    <t>Yamagata Airport</t>
  </si>
  <si>
    <t>GAL</t>
  </si>
  <si>
    <t>PAGA</t>
  </si>
  <si>
    <t>Edward G. Pitka Sr. Airport</t>
  </si>
  <si>
    <t>GAM</t>
  </si>
  <si>
    <t>PAGM</t>
  </si>
  <si>
    <t>Gambell Airport</t>
  </si>
  <si>
    <t>GAN</t>
  </si>
  <si>
    <t>VRMG</t>
  </si>
  <si>
    <t>Gan Island Airport</t>
  </si>
  <si>
    <t>GAO</t>
  </si>
  <si>
    <t>MUGT</t>
  </si>
  <si>
    <t>Mariana Grajales Airport</t>
  </si>
  <si>
    <t>KGAO</t>
  </si>
  <si>
    <t>South Lafourche Airport</t>
  </si>
  <si>
    <t>GAQ</t>
  </si>
  <si>
    <t>GAGO</t>
  </si>
  <si>
    <t>Gao Airport</t>
  </si>
  <si>
    <t>GAS</t>
  </si>
  <si>
    <t>HKGA</t>
  </si>
  <si>
    <t>Garissa Airport</t>
  </si>
  <si>
    <t>KGAS</t>
  </si>
  <si>
    <t>Gallia-Meigs Regional Airport</t>
  </si>
  <si>
    <t>GAT</t>
  </si>
  <si>
    <t>LFNA</t>
  </si>
  <si>
    <t>Gap - Tallard Airport</t>
  </si>
  <si>
    <t>GAU</t>
  </si>
  <si>
    <t>VEGT</t>
  </si>
  <si>
    <t>Lokpriya Gopinath Bordoloi International Airport</t>
  </si>
  <si>
    <t>GAW</t>
  </si>
  <si>
    <t>VYGG</t>
  </si>
  <si>
    <t>Gangaw Airport</t>
  </si>
  <si>
    <t>GAY</t>
  </si>
  <si>
    <t>VEGY</t>
  </si>
  <si>
    <t>Gaya Airport</t>
  </si>
  <si>
    <t>GBB</t>
  </si>
  <si>
    <t>UBBQ</t>
  </si>
  <si>
    <t>Gabala International Airport</t>
  </si>
  <si>
    <t>GBD</t>
  </si>
  <si>
    <t>KGBD</t>
  </si>
  <si>
    <t>Great Bend Municipal Airport</t>
  </si>
  <si>
    <t>GBE</t>
  </si>
  <si>
    <t>FBSK</t>
  </si>
  <si>
    <t>Sir Seretse Khama International Airport</t>
  </si>
  <si>
    <t>GBG</t>
  </si>
  <si>
    <t>KGBG</t>
  </si>
  <si>
    <t>Galesburg Municipal Airport</t>
  </si>
  <si>
    <t>GBJ</t>
  </si>
  <si>
    <t>TFFM</t>
  </si>
  <si>
    <t>Les Bases Airport</t>
  </si>
  <si>
    <t>GBL</t>
  </si>
  <si>
    <t>YGBI</t>
  </si>
  <si>
    <t>South Goulburn Is Airport</t>
  </si>
  <si>
    <t>GBN</t>
  </si>
  <si>
    <t>KGBN</t>
  </si>
  <si>
    <t>Gila Bend AF Aux. Field</t>
  </si>
  <si>
    <t>GBR</t>
  </si>
  <si>
    <t>KGBR</t>
  </si>
  <si>
    <t>Walter J. Koladza Airport</t>
  </si>
  <si>
    <t>GBT</t>
  </si>
  <si>
    <t>OING</t>
  </si>
  <si>
    <t>Gorgan Airport</t>
  </si>
  <si>
    <t>GBU</t>
  </si>
  <si>
    <t>HSKG</t>
  </si>
  <si>
    <t>Khashm El Girba Airport</t>
  </si>
  <si>
    <t>GBV</t>
  </si>
  <si>
    <t>YGIB</t>
  </si>
  <si>
    <t>Gibb River Airport</t>
  </si>
  <si>
    <t>GBZ</t>
  </si>
  <si>
    <t>NZGB</t>
  </si>
  <si>
    <t>Claris Airfield</t>
  </si>
  <si>
    <t>GCC</t>
  </si>
  <si>
    <t>KGCC</t>
  </si>
  <si>
    <t>Gillette-Campbell County Airport</t>
  </si>
  <si>
    <t>GCD</t>
  </si>
  <si>
    <t>K3W7</t>
  </si>
  <si>
    <t>Grand Coulee Dam Airport</t>
  </si>
  <si>
    <t>GCI</t>
  </si>
  <si>
    <t>EGJB</t>
  </si>
  <si>
    <t>Guernsey Airport</t>
  </si>
  <si>
    <t>GCJ</t>
  </si>
  <si>
    <t>FAGC</t>
  </si>
  <si>
    <t>Grand Central Airport</t>
  </si>
  <si>
    <t>GCK</t>
  </si>
  <si>
    <t>KGCK</t>
  </si>
  <si>
    <t>Garden City Regional Airport</t>
  </si>
  <si>
    <t>GCM</t>
  </si>
  <si>
    <t>MWCR</t>
  </si>
  <si>
    <t>Owen Roberts International Airport</t>
  </si>
  <si>
    <t>GCN</t>
  </si>
  <si>
    <t>KGCN</t>
  </si>
  <si>
    <t>Grand Canyon National Park Airport</t>
  </si>
  <si>
    <t>GCT</t>
  </si>
  <si>
    <t>KGCT</t>
  </si>
  <si>
    <t>Guthrie County Regional Airport</t>
  </si>
  <si>
    <t>GCW</t>
  </si>
  <si>
    <t>K1G4</t>
  </si>
  <si>
    <t>Grand Canyon West Airport</t>
  </si>
  <si>
    <t>GCY</t>
  </si>
  <si>
    <t>KGCY</t>
  </si>
  <si>
    <t>Greeneville-Greene County Municipal Airport</t>
  </si>
  <si>
    <t>GDB</t>
  </si>
  <si>
    <t>KGDB</t>
  </si>
  <si>
    <t>Granite Falls Municipal Airport (Lenzen-Roe Memorial Field)</t>
  </si>
  <si>
    <t>GDD</t>
  </si>
  <si>
    <t>YGDN</t>
  </si>
  <si>
    <t>Gordon Downs Airport</t>
  </si>
  <si>
    <t>GDE</t>
  </si>
  <si>
    <t>HAGO</t>
  </si>
  <si>
    <t>Gode Airport</t>
  </si>
  <si>
    <t>GDG</t>
  </si>
  <si>
    <t>UHBI</t>
  </si>
  <si>
    <t>Magdagachi Airport</t>
  </si>
  <si>
    <t>GDI</t>
  </si>
  <si>
    <t>FEGL</t>
  </si>
  <si>
    <t>Gordil Airport</t>
  </si>
  <si>
    <t>GDJ</t>
  </si>
  <si>
    <t>FZWC</t>
  </si>
  <si>
    <t>Gandajika Airport</t>
  </si>
  <si>
    <t>KGDJ</t>
  </si>
  <si>
    <t>Granbury Municipal Airport</t>
  </si>
  <si>
    <t>GDL</t>
  </si>
  <si>
    <t>MMGL</t>
  </si>
  <si>
    <t>Don Miguel Hidalgo y Costilla International Airport</t>
  </si>
  <si>
    <t>GDM</t>
  </si>
  <si>
    <t>KGDM</t>
  </si>
  <si>
    <t>Gardner Municipal Airport</t>
  </si>
  <si>
    <t>GDN</t>
  </si>
  <si>
    <t>EPGD</t>
  </si>
  <si>
    <t>Gdansk Lech Walesa Airport</t>
  </si>
  <si>
    <t>GDO</t>
  </si>
  <si>
    <t>SVGD</t>
  </si>
  <si>
    <t>Guasdualito Airport</t>
  </si>
  <si>
    <t>GDP</t>
  </si>
  <si>
    <t>SNGD</t>
  </si>
  <si>
    <t>GDQ</t>
  </si>
  <si>
    <t>HAGN</t>
  </si>
  <si>
    <t>Gonder Airport</t>
  </si>
  <si>
    <t>GDT</t>
  </si>
  <si>
    <t>MBGT</t>
  </si>
  <si>
    <t>JAGS McCartney International Airport</t>
  </si>
  <si>
    <t>GDV</t>
  </si>
  <si>
    <t>KGDV</t>
  </si>
  <si>
    <t>Dawson Community Airport</t>
  </si>
  <si>
    <t>GDW</t>
  </si>
  <si>
    <t>KGDW</t>
  </si>
  <si>
    <t>Gladwin Zettel Memorial Airport</t>
  </si>
  <si>
    <t>GDX</t>
  </si>
  <si>
    <t>UHMM</t>
  </si>
  <si>
    <t>Sokol Airport</t>
  </si>
  <si>
    <t>GDY</t>
  </si>
  <si>
    <t>KGDY</t>
  </si>
  <si>
    <t>Grundy Municipal Airport</t>
  </si>
  <si>
    <t>GDZ</t>
  </si>
  <si>
    <t>URKG</t>
  </si>
  <si>
    <t>Gelendzhik Airport</t>
  </si>
  <si>
    <t>GEA</t>
  </si>
  <si>
    <t>NWWM</t>
  </si>
  <si>
    <t>Nouméa Magenta Airport</t>
  </si>
  <si>
    <t>GEB</t>
  </si>
  <si>
    <t>WAMJ</t>
  </si>
  <si>
    <t>Gebe Airport</t>
  </si>
  <si>
    <t>GED</t>
  </si>
  <si>
    <t>KGED</t>
  </si>
  <si>
    <t>Sussex County Airport</t>
  </si>
  <si>
    <t>GEE</t>
  </si>
  <si>
    <t>YGTO</t>
  </si>
  <si>
    <t>Georgetown (Tas) Airport</t>
  </si>
  <si>
    <t>GEF</t>
  </si>
  <si>
    <t>AGEV</t>
  </si>
  <si>
    <t>Geva Airport</t>
  </si>
  <si>
    <t>GEG</t>
  </si>
  <si>
    <t>KGEG</t>
  </si>
  <si>
    <t>Spokane International Airport</t>
  </si>
  <si>
    <t>GEL</t>
  </si>
  <si>
    <t>SBNM</t>
  </si>
  <si>
    <t>Aeroporto Sepé Tiaraju</t>
  </si>
  <si>
    <t>GEO</t>
  </si>
  <si>
    <t>SYCJ</t>
  </si>
  <si>
    <t>Cheddi Jagan International Airport</t>
  </si>
  <si>
    <t>KGEO</t>
  </si>
  <si>
    <t>Brown County Airport</t>
  </si>
  <si>
    <t>GER</t>
  </si>
  <si>
    <t>MUNG</t>
  </si>
  <si>
    <t>Rafael Cabrera Airport</t>
  </si>
  <si>
    <t>GES</t>
  </si>
  <si>
    <t>RPMB</t>
  </si>
  <si>
    <t>General Santos International Airport</t>
  </si>
  <si>
    <t>GET</t>
  </si>
  <si>
    <t>YGEL</t>
  </si>
  <si>
    <t>Geraldton Airport</t>
  </si>
  <si>
    <t>GEU</t>
  </si>
  <si>
    <t>KGEU</t>
  </si>
  <si>
    <t>Glendale Municipal Airport</t>
  </si>
  <si>
    <t>GEV</t>
  </si>
  <si>
    <t>ESNG</t>
  </si>
  <si>
    <t>Gällivare Airport</t>
  </si>
  <si>
    <t>KGEV</t>
  </si>
  <si>
    <t>Ashe County Airport</t>
  </si>
  <si>
    <t>GEX</t>
  </si>
  <si>
    <t>YGLG</t>
  </si>
  <si>
    <t>Geelong Airport</t>
  </si>
  <si>
    <t>GEY</t>
  </si>
  <si>
    <t>KGEY</t>
  </si>
  <si>
    <t>South Big Horn County Airport</t>
  </si>
  <si>
    <t>GFD</t>
  </si>
  <si>
    <t>KGFD</t>
  </si>
  <si>
    <t>Pope Field</t>
  </si>
  <si>
    <t>GFF</t>
  </si>
  <si>
    <t>YGTH</t>
  </si>
  <si>
    <t>Griffith Airport</t>
  </si>
  <si>
    <t>GFK</t>
  </si>
  <si>
    <t>KGFK</t>
  </si>
  <si>
    <t>Grand Forks International Airport</t>
  </si>
  <si>
    <t>GFL</t>
  </si>
  <si>
    <t>KGFL</t>
  </si>
  <si>
    <t>Floyd Bennett Memorial Airport</t>
  </si>
  <si>
    <t>GFN</t>
  </si>
  <si>
    <t>YGFN</t>
  </si>
  <si>
    <t>Grafton Airport</t>
  </si>
  <si>
    <t>GFO</t>
  </si>
  <si>
    <t>SYBT</t>
  </si>
  <si>
    <t>Bartica Airport</t>
  </si>
  <si>
    <t>GFR</t>
  </si>
  <si>
    <t>LFRF</t>
  </si>
  <si>
    <t>Granville Airport</t>
  </si>
  <si>
    <t>GFY</t>
  </si>
  <si>
    <t>FYGF</t>
  </si>
  <si>
    <t>Grootfontein Airport</t>
  </si>
  <si>
    <t>GFZ</t>
  </si>
  <si>
    <t>KGFZ</t>
  </si>
  <si>
    <t>Greenfield Municipal Airport</t>
  </si>
  <si>
    <t>GGD</t>
  </si>
  <si>
    <t>YGDS</t>
  </si>
  <si>
    <t>Gregory Downs Airport</t>
  </si>
  <si>
    <t>GGE</t>
  </si>
  <si>
    <t>KGGE</t>
  </si>
  <si>
    <t>Georgetown County Airport</t>
  </si>
  <si>
    <t>GGF</t>
  </si>
  <si>
    <t>KGGF</t>
  </si>
  <si>
    <t>Grant Municipal Airport</t>
  </si>
  <si>
    <t>GGG</t>
  </si>
  <si>
    <t>KGGG</t>
  </si>
  <si>
    <t>East Texas Regional Airport</t>
  </si>
  <si>
    <t>GGI</t>
  </si>
  <si>
    <t>KGGI</t>
  </si>
  <si>
    <t>Grinnell Regional Airport</t>
  </si>
  <si>
    <t>GGM</t>
  </si>
  <si>
    <t>HKKG</t>
  </si>
  <si>
    <t>Kakamega Airport</t>
  </si>
  <si>
    <t>GGN</t>
  </si>
  <si>
    <t>DIGA</t>
  </si>
  <si>
    <t>Gagnoa Airport</t>
  </si>
  <si>
    <t>GGO</t>
  </si>
  <si>
    <t>DIGL</t>
  </si>
  <si>
    <t>Guiglo Airport</t>
  </si>
  <si>
    <t>GGP</t>
  </si>
  <si>
    <t>KGGP</t>
  </si>
  <si>
    <t>Logansport/Cass County Airport</t>
  </si>
  <si>
    <t>GGS</t>
  </si>
  <si>
    <t>SAWR</t>
  </si>
  <si>
    <t>Gobernador Gregores Airport</t>
  </si>
  <si>
    <t>GGT</t>
  </si>
  <si>
    <t>MYEF</t>
  </si>
  <si>
    <t>Exuma International Airport</t>
  </si>
  <si>
    <t>MYEG</t>
  </si>
  <si>
    <t>George Town Airport</t>
  </si>
  <si>
    <t>GGW</t>
  </si>
  <si>
    <t>KGGW</t>
  </si>
  <si>
    <t>Glasgow Airport (Wokal Field)</t>
  </si>
  <si>
    <t>GHA</t>
  </si>
  <si>
    <t>DAUG</t>
  </si>
  <si>
    <t>Noumérat - Moufdi Zakaria Airport</t>
  </si>
  <si>
    <t>GHB</t>
  </si>
  <si>
    <t>MYEM</t>
  </si>
  <si>
    <t>Governor's Harbour Airport</t>
  </si>
  <si>
    <t>GHC</t>
  </si>
  <si>
    <t>MYBG</t>
  </si>
  <si>
    <t>Great Harbour Cay Airport</t>
  </si>
  <si>
    <t>GHM</t>
  </si>
  <si>
    <t>KGHM</t>
  </si>
  <si>
    <t>Centerville Municipal Airport</t>
  </si>
  <si>
    <t>GHT</t>
  </si>
  <si>
    <t>HLGT</t>
  </si>
  <si>
    <t>Ghat Airport</t>
  </si>
  <si>
    <t>GHU</t>
  </si>
  <si>
    <t>SAAG</t>
  </si>
  <si>
    <t>Gualeguaychu Airport</t>
  </si>
  <si>
    <t>GHW</t>
  </si>
  <si>
    <t>KGHW</t>
  </si>
  <si>
    <t>Glenwood Municipal Airport</t>
  </si>
  <si>
    <t>GIB</t>
  </si>
  <si>
    <t>LXGB</t>
  </si>
  <si>
    <t>Gibraltar Airport</t>
  </si>
  <si>
    <t>GIC</t>
  </si>
  <si>
    <t>YBOI</t>
  </si>
  <si>
    <t>Boigu Island Airport</t>
  </si>
  <si>
    <t>GID</t>
  </si>
  <si>
    <t>HBBE</t>
  </si>
  <si>
    <t>Gitega Airport</t>
  </si>
  <si>
    <t>GIF</t>
  </si>
  <si>
    <t>KGIF</t>
  </si>
  <si>
    <t>Winter Haven's Gilbert Airport</t>
  </si>
  <si>
    <t>GIG</t>
  </si>
  <si>
    <t>SBGL</t>
  </si>
  <si>
    <t>Galeão - Antônio Carlos Jobim International Airport (Rio de Janeiro)</t>
  </si>
  <si>
    <t>GII</t>
  </si>
  <si>
    <t>GUSI</t>
  </si>
  <si>
    <t>Siguiri Airport</t>
  </si>
  <si>
    <t>GIL</t>
  </si>
  <si>
    <t>OPGT</t>
  </si>
  <si>
    <t>Gilgit Airport</t>
  </si>
  <si>
    <t>GIR</t>
  </si>
  <si>
    <t>SKGI</t>
  </si>
  <si>
    <t>Santiago Vila Airport</t>
  </si>
  <si>
    <t>GIS</t>
  </si>
  <si>
    <t>NZGS</t>
  </si>
  <si>
    <t>Gisborne Airport</t>
  </si>
  <si>
    <t>GIU</t>
  </si>
  <si>
    <t>VCCS</t>
  </si>
  <si>
    <t>Sigiriya Air Force Base</t>
  </si>
  <si>
    <t>GIY</t>
  </si>
  <si>
    <t>FAGI</t>
  </si>
  <si>
    <t>Giyani Airport</t>
  </si>
  <si>
    <t>GIZ</t>
  </si>
  <si>
    <t>OEGN</t>
  </si>
  <si>
    <t>Jizan Regional Airport</t>
  </si>
  <si>
    <t>GJA</t>
  </si>
  <si>
    <t>MHNJ</t>
  </si>
  <si>
    <t>La Laguna Airport</t>
  </si>
  <si>
    <t>LYDK</t>
  </si>
  <si>
    <t>Äakovica Airfield</t>
  </si>
  <si>
    <t>GJL</t>
  </si>
  <si>
    <t>DAAV</t>
  </si>
  <si>
    <t>Jijel Ferhat Abbas Airport</t>
  </si>
  <si>
    <t>GJM</t>
  </si>
  <si>
    <t>SBGM</t>
  </si>
  <si>
    <t>Guajará-Mirim Airport</t>
  </si>
  <si>
    <t>GJR</t>
  </si>
  <si>
    <t>BIGJ</t>
  </si>
  <si>
    <t>Gjögur Airport</t>
  </si>
  <si>
    <t>GJT</t>
  </si>
  <si>
    <t>KGJT</t>
  </si>
  <si>
    <t>Walker Field</t>
  </si>
  <si>
    <t>GJU</t>
  </si>
  <si>
    <t>Guanaja Airport</t>
  </si>
  <si>
    <t>GKA</t>
  </si>
  <si>
    <t>AYGA</t>
  </si>
  <si>
    <t>Goroka Airport</t>
  </si>
  <si>
    <t>GKD</t>
  </si>
  <si>
    <t>LTFK</t>
  </si>
  <si>
    <t>Imroz Airport</t>
  </si>
  <si>
    <t>GKE</t>
  </si>
  <si>
    <t>ETNG</t>
  </si>
  <si>
    <t>NATO Air Base Geilenkirchen</t>
  </si>
  <si>
    <t>GKH</t>
  </si>
  <si>
    <t>VNGK</t>
  </si>
  <si>
    <t>Gorkha Airport</t>
  </si>
  <si>
    <t>GKJ</t>
  </si>
  <si>
    <t>KGKJ</t>
  </si>
  <si>
    <t>Port Meadville Airport</t>
  </si>
  <si>
    <t>GKN</t>
  </si>
  <si>
    <t>PAGK</t>
  </si>
  <si>
    <t>Gulkana Airport</t>
  </si>
  <si>
    <t>GKT</t>
  </si>
  <si>
    <t>KGKT</t>
  </si>
  <si>
    <t>Gatlinburg-Pigeon Forge Airport</t>
  </si>
  <si>
    <t>GKY</t>
  </si>
  <si>
    <t>KGKY</t>
  </si>
  <si>
    <t>Arlington Municipal Airport</t>
  </si>
  <si>
    <t>GLA</t>
  </si>
  <si>
    <t>EGPF</t>
  </si>
  <si>
    <t>Glasgow International Airport</t>
  </si>
  <si>
    <t>GLD</t>
  </si>
  <si>
    <t>KGLD</t>
  </si>
  <si>
    <t>Goodland Municipal Airport (Renner Field)</t>
  </si>
  <si>
    <t>GLE</t>
  </si>
  <si>
    <t>KGLE</t>
  </si>
  <si>
    <t>Gainesville Municipal Airport</t>
  </si>
  <si>
    <t>GLF</t>
  </si>
  <si>
    <t>MRGF</t>
  </si>
  <si>
    <t>Golfito Airport</t>
  </si>
  <si>
    <t>GLG</t>
  </si>
  <si>
    <t>YGLE</t>
  </si>
  <si>
    <t>Glengyle Airport</t>
  </si>
  <si>
    <t>GLH</t>
  </si>
  <si>
    <t>KGLH</t>
  </si>
  <si>
    <t>Mid-Delta Regional Airport</t>
  </si>
  <si>
    <t>GLI</t>
  </si>
  <si>
    <t>YGLI</t>
  </si>
  <si>
    <t>Glen Innes Airport</t>
  </si>
  <si>
    <t>GLJ</t>
  </si>
  <si>
    <t>SKGZ</t>
  </si>
  <si>
    <t>Garzón La Jagua Airport</t>
  </si>
  <si>
    <t>GLK</t>
  </si>
  <si>
    <t>HCMR</t>
  </si>
  <si>
    <t>Galcaio Airport</t>
  </si>
  <si>
    <t>GLL</t>
  </si>
  <si>
    <t>ENKL</t>
  </si>
  <si>
    <t>Gol Airport, Klanten,Norway</t>
  </si>
  <si>
    <t>GLM</t>
  </si>
  <si>
    <t>YGLO</t>
  </si>
  <si>
    <t>Glenormiston Airport</t>
  </si>
  <si>
    <t>GLO</t>
  </si>
  <si>
    <t>EGBJ</t>
  </si>
  <si>
    <t>Gloucester Airport</t>
  </si>
  <si>
    <t>GLR</t>
  </si>
  <si>
    <t>KGLR</t>
  </si>
  <si>
    <t>Gaylord Regional Airport</t>
  </si>
  <si>
    <t>GLS</t>
  </si>
  <si>
    <t>KGLS</t>
  </si>
  <si>
    <t>Scholes International Airport at Galveston</t>
  </si>
  <si>
    <t>GLT</t>
  </si>
  <si>
    <t>YGLA</t>
  </si>
  <si>
    <t>Gladstone Airport</t>
  </si>
  <si>
    <t>GLU</t>
  </si>
  <si>
    <t>VQGP</t>
  </si>
  <si>
    <t>Gelephu Airport</t>
  </si>
  <si>
    <t>GLW</t>
  </si>
  <si>
    <t>KGLW</t>
  </si>
  <si>
    <t>Glasgow Municipal Airport</t>
  </si>
  <si>
    <t>GLX</t>
  </si>
  <si>
    <t>WAMA</t>
  </si>
  <si>
    <t>Gamarmalamo Airport</t>
  </si>
  <si>
    <t>GLY</t>
  </si>
  <si>
    <t>KGLY</t>
  </si>
  <si>
    <t>Clinton Memorial Airport</t>
  </si>
  <si>
    <t>GLZ</t>
  </si>
  <si>
    <t>EHGR</t>
  </si>
  <si>
    <t>Gilze Rijen Air Base</t>
  </si>
  <si>
    <t>GMA</t>
  </si>
  <si>
    <t>FZFK</t>
  </si>
  <si>
    <t>Gemena Airport</t>
  </si>
  <si>
    <t>GMB</t>
  </si>
  <si>
    <t>HAGM</t>
  </si>
  <si>
    <t>Gambella Airport</t>
  </si>
  <si>
    <t>GMD</t>
  </si>
  <si>
    <t>GMMB</t>
  </si>
  <si>
    <t>Ben Slimane Airport</t>
  </si>
  <si>
    <t>GME</t>
  </si>
  <si>
    <t>UMGG</t>
  </si>
  <si>
    <t>Gomel Airport</t>
  </si>
  <si>
    <t>GMJ</t>
  </si>
  <si>
    <t>KGMJ</t>
  </si>
  <si>
    <t>Grove Municipal Airport</t>
  </si>
  <si>
    <t>GML</t>
  </si>
  <si>
    <t>UKKM</t>
  </si>
  <si>
    <t>Gostomel Airport</t>
  </si>
  <si>
    <t>GMM</t>
  </si>
  <si>
    <t>FCOG</t>
  </si>
  <si>
    <t>Gamboma Airport</t>
  </si>
  <si>
    <t>GMN</t>
  </si>
  <si>
    <t>NZGM</t>
  </si>
  <si>
    <t>Greymouth Airport</t>
  </si>
  <si>
    <t>GMO</t>
  </si>
  <si>
    <t>DNGO</t>
  </si>
  <si>
    <t>Gombe Lawanti International Airport</t>
  </si>
  <si>
    <t>GMP</t>
  </si>
  <si>
    <t>RKSS</t>
  </si>
  <si>
    <t>Gimpo International Airport</t>
  </si>
  <si>
    <t>GMR</t>
  </si>
  <si>
    <t>NTGJ</t>
  </si>
  <si>
    <t>Totegegie Airport</t>
  </si>
  <si>
    <t>GMS</t>
  </si>
  <si>
    <t>SNGM</t>
  </si>
  <si>
    <t>Fazenda Canadá Airport</t>
  </si>
  <si>
    <t>GMU</t>
  </si>
  <si>
    <t>KGMU</t>
  </si>
  <si>
    <t>Greenville Downtown Airport</t>
  </si>
  <si>
    <t>GMZ</t>
  </si>
  <si>
    <t>GCGM</t>
  </si>
  <si>
    <t>La Gomera Airport</t>
  </si>
  <si>
    <t>GNA</t>
  </si>
  <si>
    <t>UMMG</t>
  </si>
  <si>
    <t>Hrodna Airport</t>
  </si>
  <si>
    <t>GNB</t>
  </si>
  <si>
    <t>LFLS</t>
  </si>
  <si>
    <t>Grenoble-Isère Airport</t>
  </si>
  <si>
    <t>GNC</t>
  </si>
  <si>
    <t>KGNC</t>
  </si>
  <si>
    <t>Gaines County Airport</t>
  </si>
  <si>
    <t>GND</t>
  </si>
  <si>
    <t>TGPY</t>
  </si>
  <si>
    <t>Point Salines International Airport</t>
  </si>
  <si>
    <t>GNF</t>
  </si>
  <si>
    <t>K2O1</t>
  </si>
  <si>
    <t>Gansner Field</t>
  </si>
  <si>
    <t>KGNF</t>
  </si>
  <si>
    <t>Grenada Municipal Airport</t>
  </si>
  <si>
    <t>GNG</t>
  </si>
  <si>
    <t>KGNG</t>
  </si>
  <si>
    <t>Gooding Municipal Airport</t>
  </si>
  <si>
    <t>GNI</t>
  </si>
  <si>
    <t>RCGI</t>
  </si>
  <si>
    <t>Lyudao Airport</t>
  </si>
  <si>
    <t>GNM</t>
  </si>
  <si>
    <t>SNGI</t>
  </si>
  <si>
    <t>Guanambi Airport</t>
  </si>
  <si>
    <t>GNN</t>
  </si>
  <si>
    <t>HAGH</t>
  </si>
  <si>
    <t>Ghinnir Airport</t>
  </si>
  <si>
    <t>GNO</t>
  </si>
  <si>
    <t>Point Saline International Airport</t>
  </si>
  <si>
    <t>GNR</t>
  </si>
  <si>
    <t>SAHR</t>
  </si>
  <si>
    <t>Dr. Arturo H. Illia Airport</t>
  </si>
  <si>
    <t>GNS</t>
  </si>
  <si>
    <t>WIMB</t>
  </si>
  <si>
    <t>Binaka Airport</t>
  </si>
  <si>
    <t>GNT</t>
  </si>
  <si>
    <t>KGNT</t>
  </si>
  <si>
    <t>Grants-Milan Municipal Airport</t>
  </si>
  <si>
    <t>GNU</t>
  </si>
  <si>
    <t>Goodnews Airport</t>
  </si>
  <si>
    <t>GNV</t>
  </si>
  <si>
    <t>KGNV</t>
  </si>
  <si>
    <t>Gainesville Regional Airport</t>
  </si>
  <si>
    <t>GNY</t>
  </si>
  <si>
    <t>LTCS</t>
  </si>
  <si>
    <t>ÅžanlÄ±urfa GAP Airport</t>
  </si>
  <si>
    <t>GNZ</t>
  </si>
  <si>
    <t>FBGZ</t>
  </si>
  <si>
    <t>Ghanzi Airport</t>
  </si>
  <si>
    <t>GOA</t>
  </si>
  <si>
    <t>LIMJ</t>
  </si>
  <si>
    <t>Aeroporto Cristoforo Colombo</t>
  </si>
  <si>
    <t>GOB</t>
  </si>
  <si>
    <t>HAGB</t>
  </si>
  <si>
    <t>Robe Airport</t>
  </si>
  <si>
    <t>GOG</t>
  </si>
  <si>
    <t>FYGB</t>
  </si>
  <si>
    <t>Gobabis Airport</t>
  </si>
  <si>
    <t>GOH</t>
  </si>
  <si>
    <t>BGGH</t>
  </si>
  <si>
    <t>Nuuk Airport</t>
  </si>
  <si>
    <t>GOI</t>
  </si>
  <si>
    <t>VAGO</t>
  </si>
  <si>
    <t>Dabolim Airport</t>
  </si>
  <si>
    <t>GOJ</t>
  </si>
  <si>
    <t>UWGG</t>
  </si>
  <si>
    <t>Strigino Airport</t>
  </si>
  <si>
    <t>GOK</t>
  </si>
  <si>
    <t>KGOK</t>
  </si>
  <si>
    <t>Guthrie Municipal Airport</t>
  </si>
  <si>
    <t>GOM</t>
  </si>
  <si>
    <t>FZNA</t>
  </si>
  <si>
    <t>Goma International Airport</t>
  </si>
  <si>
    <t>GON</t>
  </si>
  <si>
    <t>KGON</t>
  </si>
  <si>
    <t>Groton-New London Airport</t>
  </si>
  <si>
    <t>GOO</t>
  </si>
  <si>
    <t>YGDI</t>
  </si>
  <si>
    <t>Goondiwindi Airport</t>
  </si>
  <si>
    <t>GOP</t>
  </si>
  <si>
    <t>VEGK</t>
  </si>
  <si>
    <t>Gorakhpur Airport</t>
  </si>
  <si>
    <t>KGOP</t>
  </si>
  <si>
    <t>City-County Airport</t>
  </si>
  <si>
    <t>GOQ</t>
  </si>
  <si>
    <t>ZLGM</t>
  </si>
  <si>
    <t>Golmud Airport</t>
  </si>
  <si>
    <t>GOR</t>
  </si>
  <si>
    <t>HAGR</t>
  </si>
  <si>
    <t>Gore Airport</t>
  </si>
  <si>
    <t>GOT</t>
  </si>
  <si>
    <t>ESGG</t>
  </si>
  <si>
    <t>Gothenburg-Landvetter Airport</t>
  </si>
  <si>
    <t>GOU</t>
  </si>
  <si>
    <t>FKKR</t>
  </si>
  <si>
    <t>Garoua International Airport</t>
  </si>
  <si>
    <t>GOV</t>
  </si>
  <si>
    <t>YPGV</t>
  </si>
  <si>
    <t>Gove Airport</t>
  </si>
  <si>
    <t>KGOV</t>
  </si>
  <si>
    <t>Grayling Army Airfield</t>
  </si>
  <si>
    <t>GOY</t>
  </si>
  <si>
    <t>VCCG</t>
  </si>
  <si>
    <t>Amparai Airport</t>
  </si>
  <si>
    <t>GOZ</t>
  </si>
  <si>
    <t>LBGO</t>
  </si>
  <si>
    <t>Gorna Oriakhovitza Airport</t>
  </si>
  <si>
    <t>GPA</t>
  </si>
  <si>
    <t>LGRX</t>
  </si>
  <si>
    <t>Araxos Airport</t>
  </si>
  <si>
    <t>GPB</t>
  </si>
  <si>
    <t>SBGU</t>
  </si>
  <si>
    <t>Tancredo Thomas de Faria Airport</t>
  </si>
  <si>
    <t>GPH</t>
  </si>
  <si>
    <t>KGPH</t>
  </si>
  <si>
    <t>Clay County Regional Airport</t>
  </si>
  <si>
    <t>GPI</t>
  </si>
  <si>
    <t>SKGP</t>
  </si>
  <si>
    <t>Guapi Airport</t>
  </si>
  <si>
    <t>GPL</t>
  </si>
  <si>
    <t>MRGP</t>
  </si>
  <si>
    <t>Guápiles Airport</t>
  </si>
  <si>
    <t>GPM</t>
  </si>
  <si>
    <t>KGPM</t>
  </si>
  <si>
    <t>Grand Prairie Municipal Airport</t>
  </si>
  <si>
    <t>GPN</t>
  </si>
  <si>
    <t>YGPT</t>
  </si>
  <si>
    <t>Garden Point Airport</t>
  </si>
  <si>
    <t>GPO</t>
  </si>
  <si>
    <t>SAZG</t>
  </si>
  <si>
    <t>General Pico Airport</t>
  </si>
  <si>
    <t>GPS</t>
  </si>
  <si>
    <t>SEGS</t>
  </si>
  <si>
    <t>Seymour Airport</t>
  </si>
  <si>
    <t>GPT</t>
  </si>
  <si>
    <t>KGPT</t>
  </si>
  <si>
    <t>Gulfport-Biloxi International Airport</t>
  </si>
  <si>
    <t>GPZ</t>
  </si>
  <si>
    <t>KGPZ</t>
  </si>
  <si>
    <t>Grand Rapids/Itasca County Airport (Gordon Newstrom Field)</t>
  </si>
  <si>
    <t>GQQ</t>
  </si>
  <si>
    <t>KGQQ</t>
  </si>
  <si>
    <t>Galion Municipal Airport</t>
  </si>
  <si>
    <t>GRB</t>
  </si>
  <si>
    <t>KGRB</t>
  </si>
  <si>
    <t>Austin Straubel International Airport</t>
  </si>
  <si>
    <t>GRD</t>
  </si>
  <si>
    <t>KGRD</t>
  </si>
  <si>
    <t>Greenwood County Airport</t>
  </si>
  <si>
    <t>GRE</t>
  </si>
  <si>
    <t>KGRE</t>
  </si>
  <si>
    <t>Greenville Airport</t>
  </si>
  <si>
    <t>GRF</t>
  </si>
  <si>
    <t>KGRF</t>
  </si>
  <si>
    <t>Gray Army Airfield (Fort Lewis)</t>
  </si>
  <si>
    <t>GRI</t>
  </si>
  <si>
    <t>KGRI</t>
  </si>
  <si>
    <t>Central Nebraska Regional Airport</t>
  </si>
  <si>
    <t>GRJ</t>
  </si>
  <si>
    <t>FAGG</t>
  </si>
  <si>
    <t>George Airport</t>
  </si>
  <si>
    <t>GRK</t>
  </si>
  <si>
    <t>KGRK</t>
  </si>
  <si>
    <t>Killeen-Fort Hood Regional Airport (Fort Hood)</t>
  </si>
  <si>
    <t>GRN</t>
  </si>
  <si>
    <t>KGRN</t>
  </si>
  <si>
    <t>Gordon Municipal Airport</t>
  </si>
  <si>
    <t>GRO</t>
  </si>
  <si>
    <t>LEGE</t>
  </si>
  <si>
    <t>Girona-Costa Brava Airport</t>
  </si>
  <si>
    <t>GRP</t>
  </si>
  <si>
    <t>SWGI</t>
  </si>
  <si>
    <t>Gurupi Airport</t>
  </si>
  <si>
    <t>GRQ</t>
  </si>
  <si>
    <t>EHGG</t>
  </si>
  <si>
    <t>Groningen Airport Eelde</t>
  </si>
  <si>
    <t>GRR</t>
  </si>
  <si>
    <t>KGRR</t>
  </si>
  <si>
    <t>Gerald R. Ford International Airport</t>
  </si>
  <si>
    <t>GRS</t>
  </si>
  <si>
    <t>LIRS</t>
  </si>
  <si>
    <t>Grosseto Airport</t>
  </si>
  <si>
    <t>GRU</t>
  </si>
  <si>
    <t>SBGR</t>
  </si>
  <si>
    <t>São Paulo-Guarulhos International Airport</t>
  </si>
  <si>
    <t>GRV</t>
  </si>
  <si>
    <t>URMG</t>
  </si>
  <si>
    <t>Grozny North Airport</t>
  </si>
  <si>
    <t>GRW</t>
  </si>
  <si>
    <t>LPGR</t>
  </si>
  <si>
    <t>Graciosa Airport</t>
  </si>
  <si>
    <t>GRX</t>
  </si>
  <si>
    <t>LEGR</t>
  </si>
  <si>
    <t>Granada-Jaen Airport, Spain.</t>
  </si>
  <si>
    <t>GRY</t>
  </si>
  <si>
    <t>BIGR</t>
  </si>
  <si>
    <t>Grímsey Airport</t>
  </si>
  <si>
    <t>GRZ</t>
  </si>
  <si>
    <t>LOWG</t>
  </si>
  <si>
    <t>Graz Airport</t>
  </si>
  <si>
    <t>GSA</t>
  </si>
  <si>
    <t>WBKN</t>
  </si>
  <si>
    <t>Long Pasia Airport</t>
  </si>
  <si>
    <t>GSB</t>
  </si>
  <si>
    <t>KGSB</t>
  </si>
  <si>
    <t>Seymour Johnson AFB</t>
  </si>
  <si>
    <t>GSE</t>
  </si>
  <si>
    <t>ESGP</t>
  </si>
  <si>
    <t>Gothenburg City Airport (formerly Säve Flygplats)</t>
  </si>
  <si>
    <t>GSH</t>
  </si>
  <si>
    <t>KGSH</t>
  </si>
  <si>
    <t>Goshen Municipal Airport</t>
  </si>
  <si>
    <t>GSJ</t>
  </si>
  <si>
    <t>MGSJ</t>
  </si>
  <si>
    <t>San José Airport</t>
  </si>
  <si>
    <t>GSN</t>
  </si>
  <si>
    <t>YMGN</t>
  </si>
  <si>
    <t>Mount Gunson Airport</t>
  </si>
  <si>
    <t>GSO</t>
  </si>
  <si>
    <t>KGSO</t>
  </si>
  <si>
    <t>Piedmont Triad International Airport</t>
  </si>
  <si>
    <t>GSP</t>
  </si>
  <si>
    <t>KGSP</t>
  </si>
  <si>
    <t>Greenville-Spartanburg International Airport</t>
  </si>
  <si>
    <t>GSQ</t>
  </si>
  <si>
    <t>HEOW</t>
  </si>
  <si>
    <t>Shark El Oweinat International Airport</t>
  </si>
  <si>
    <t>GSR</t>
  </si>
  <si>
    <t>HCMG</t>
  </si>
  <si>
    <t>Gardo Airport</t>
  </si>
  <si>
    <t>GSS</t>
  </si>
  <si>
    <t>FASE</t>
  </si>
  <si>
    <t>Sabi Sabi Airport</t>
  </si>
  <si>
    <t>GST</t>
  </si>
  <si>
    <t>PAGS</t>
  </si>
  <si>
    <t>Gustavus Airport</t>
  </si>
  <si>
    <t>GSU</t>
  </si>
  <si>
    <t>HSGF</t>
  </si>
  <si>
    <t>Azaza Airport</t>
  </si>
  <si>
    <t>GTB</t>
  </si>
  <si>
    <t>KGTB</t>
  </si>
  <si>
    <t>Wheeler-Sack Army Airfield</t>
  </si>
  <si>
    <t>GTE</t>
  </si>
  <si>
    <t>YGTE</t>
  </si>
  <si>
    <t>Groote Eylandt Airport</t>
  </si>
  <si>
    <t>KGTE</t>
  </si>
  <si>
    <t>Quinn Field</t>
  </si>
  <si>
    <t>GTF</t>
  </si>
  <si>
    <t>KGTF</t>
  </si>
  <si>
    <t>Great Falls International Airport</t>
  </si>
  <si>
    <t>GTG</t>
  </si>
  <si>
    <t>KGTG</t>
  </si>
  <si>
    <t>Grantsburg Municipal Airport</t>
  </si>
  <si>
    <t>GTN</t>
  </si>
  <si>
    <t>NZGT</t>
  </si>
  <si>
    <t>Glentanner Airport</t>
  </si>
  <si>
    <t>GTO</t>
  </si>
  <si>
    <t>WAMG</t>
  </si>
  <si>
    <t>Jalaluddin Airport</t>
  </si>
  <si>
    <t>GTP</t>
  </si>
  <si>
    <t>K3S8</t>
  </si>
  <si>
    <t>Grants Pass Airport</t>
  </si>
  <si>
    <t>GTR</t>
  </si>
  <si>
    <t>KGTR</t>
  </si>
  <si>
    <t>Golden Triangle Regional Airport</t>
  </si>
  <si>
    <t>GTS</t>
  </si>
  <si>
    <t>YGDW</t>
  </si>
  <si>
    <t>Granite Downs Airport</t>
  </si>
  <si>
    <t>GTT</t>
  </si>
  <si>
    <t>YGTN</t>
  </si>
  <si>
    <t>Georgetown Airport</t>
  </si>
  <si>
    <t>GTU</t>
  </si>
  <si>
    <t>KGTU</t>
  </si>
  <si>
    <t>Georgetown Municipal Airport</t>
  </si>
  <si>
    <t>GTW</t>
  </si>
  <si>
    <t>LKHO</t>
  </si>
  <si>
    <t>HoleÅ¡ov Airport</t>
  </si>
  <si>
    <t>GUA</t>
  </si>
  <si>
    <t>MGGT</t>
  </si>
  <si>
    <t>La Aurora International Airport</t>
  </si>
  <si>
    <t>GUB</t>
  </si>
  <si>
    <t>MMGR</t>
  </si>
  <si>
    <t>Guerrero Negro Airport</t>
  </si>
  <si>
    <t>GUC</t>
  </si>
  <si>
    <t>KGUC</t>
  </si>
  <si>
    <t>Gunnison-Crested Butte Regional Airport</t>
  </si>
  <si>
    <t>GUD</t>
  </si>
  <si>
    <t>GAGM</t>
  </si>
  <si>
    <t>Goundam Airport</t>
  </si>
  <si>
    <t>GUH</t>
  </si>
  <si>
    <t>YGDH</t>
  </si>
  <si>
    <t>Gunnedah Airport</t>
  </si>
  <si>
    <t>GUI</t>
  </si>
  <si>
    <t>RPVG</t>
  </si>
  <si>
    <t>Guiuan Airport</t>
  </si>
  <si>
    <t>SVGI</t>
  </si>
  <si>
    <t>Guiria Airport</t>
  </si>
  <si>
    <t>GUJ</t>
  </si>
  <si>
    <t>SBGW</t>
  </si>
  <si>
    <t>Guaratinguetá Airport</t>
  </si>
  <si>
    <t>GUL</t>
  </si>
  <si>
    <t>YGLB</t>
  </si>
  <si>
    <t>Goulburn Airport</t>
  </si>
  <si>
    <t>GUM</t>
  </si>
  <si>
    <t>PGUM</t>
  </si>
  <si>
    <t>Antonio B. Won Pat International Airport</t>
  </si>
  <si>
    <t>GUP</t>
  </si>
  <si>
    <t>KGUP</t>
  </si>
  <si>
    <t>Gallup Municipal Airport</t>
  </si>
  <si>
    <t>GUQ</t>
  </si>
  <si>
    <t>SVGU</t>
  </si>
  <si>
    <t>Guanare Airport</t>
  </si>
  <si>
    <t>GUR</t>
  </si>
  <si>
    <t>AYGN</t>
  </si>
  <si>
    <t>Gurney Airport</t>
  </si>
  <si>
    <t>GUS</t>
  </si>
  <si>
    <t>KGUS</t>
  </si>
  <si>
    <t>Grissom ARB</t>
  </si>
  <si>
    <t>GUT</t>
  </si>
  <si>
    <t>ETUO</t>
  </si>
  <si>
    <t>Gütersloh Airport</t>
  </si>
  <si>
    <t>GUU</t>
  </si>
  <si>
    <t>BIGF</t>
  </si>
  <si>
    <t>Grundarfjörður Airport</t>
  </si>
  <si>
    <t>GUW</t>
  </si>
  <si>
    <t>UATG</t>
  </si>
  <si>
    <t>Atyrau Airport</t>
  </si>
  <si>
    <t>GUX</t>
  </si>
  <si>
    <t>VAGN</t>
  </si>
  <si>
    <t>Guna Airport</t>
  </si>
  <si>
    <t>GUY</t>
  </si>
  <si>
    <t>KGUY</t>
  </si>
  <si>
    <t>Guymon Municipal Airport</t>
  </si>
  <si>
    <t>GVA</t>
  </si>
  <si>
    <t>LSGG</t>
  </si>
  <si>
    <t>Geneva Airport</t>
  </si>
  <si>
    <t>GVE</t>
  </si>
  <si>
    <t>KGVE</t>
  </si>
  <si>
    <t>Gordonsville Municipal Airport</t>
  </si>
  <si>
    <t>GVL</t>
  </si>
  <si>
    <t>KGVL</t>
  </si>
  <si>
    <t>Lee Gilmer Memorial Airport</t>
  </si>
  <si>
    <t>GVP</t>
  </si>
  <si>
    <t>YGNV</t>
  </si>
  <si>
    <t>Greenvale Airport</t>
  </si>
  <si>
    <t>GVQ</t>
  </si>
  <si>
    <t>KGVQ</t>
  </si>
  <si>
    <t>Genesee County Airport</t>
  </si>
  <si>
    <t>GVR</t>
  </si>
  <si>
    <t>SBGV</t>
  </si>
  <si>
    <t>Governador Valadares Airport</t>
  </si>
  <si>
    <t>SNGV</t>
  </si>
  <si>
    <t>Aeroporto Coronel Altino Machado</t>
  </si>
  <si>
    <t>GVT</t>
  </si>
  <si>
    <t>KGVT</t>
  </si>
  <si>
    <t>Majors Airport (Texas)</t>
  </si>
  <si>
    <t>GVX</t>
  </si>
  <si>
    <t>ESSK</t>
  </si>
  <si>
    <t>Gävle Sandviken Airport</t>
  </si>
  <si>
    <t>GWA</t>
  </si>
  <si>
    <t>VYGW</t>
  </si>
  <si>
    <t>Gwa Airport</t>
  </si>
  <si>
    <t>GWD</t>
  </si>
  <si>
    <t>OPGD</t>
  </si>
  <si>
    <t>Gwadar International Airport</t>
  </si>
  <si>
    <t>GWE</t>
  </si>
  <si>
    <t>FVTL</t>
  </si>
  <si>
    <t>Thornhill Air Base</t>
  </si>
  <si>
    <t>GWL</t>
  </si>
  <si>
    <t>VIGR</t>
  </si>
  <si>
    <t>Gwalior Airport</t>
  </si>
  <si>
    <t>GWO</t>
  </si>
  <si>
    <t>KGWO</t>
  </si>
  <si>
    <t>Greenwood-Leflore Airport</t>
  </si>
  <si>
    <t>GWR</t>
  </si>
  <si>
    <t>KGWR</t>
  </si>
  <si>
    <t>Gwinner Airport (Roger Melroe Field)? Gwinner, North Dakota,</t>
  </si>
  <si>
    <t>GWS</t>
  </si>
  <si>
    <t>KGWS</t>
  </si>
  <si>
    <t>Glenwood Springs Municipal Airport</t>
  </si>
  <si>
    <t>GWT</t>
  </si>
  <si>
    <t>EDXW</t>
  </si>
  <si>
    <t>Sylt Airport</t>
  </si>
  <si>
    <t>GWW</t>
  </si>
  <si>
    <t>KGWW</t>
  </si>
  <si>
    <t>Goldsboro-Wayne Municipal Airport</t>
  </si>
  <si>
    <t>GWY</t>
  </si>
  <si>
    <t>EICM</t>
  </si>
  <si>
    <t>Galway Airport</t>
  </si>
  <si>
    <t>GXF</t>
  </si>
  <si>
    <t>OYSY</t>
  </si>
  <si>
    <t>Seiyun Airport</t>
  </si>
  <si>
    <t>GXG</t>
  </si>
  <si>
    <t>FNNG</t>
  </si>
  <si>
    <t>Negage Airport</t>
  </si>
  <si>
    <t>GXQ</t>
  </si>
  <si>
    <t>SCCY</t>
  </si>
  <si>
    <t>Teniente Vidal Airport</t>
  </si>
  <si>
    <t>GXX</t>
  </si>
  <si>
    <t>FKKJ</t>
  </si>
  <si>
    <t>Yagoua Airport</t>
  </si>
  <si>
    <t>GXY</t>
  </si>
  <si>
    <t>KGXY</t>
  </si>
  <si>
    <t>Greeley-Weld County Airport</t>
  </si>
  <si>
    <t>GYA</t>
  </si>
  <si>
    <t>SLGY</t>
  </si>
  <si>
    <t>Guayaramerín Airport</t>
  </si>
  <si>
    <t>GYB</t>
  </si>
  <si>
    <t>KGYB</t>
  </si>
  <si>
    <t>Giddings-Lee County Airport</t>
  </si>
  <si>
    <t>GYD</t>
  </si>
  <si>
    <t>UBBB</t>
  </si>
  <si>
    <t>Heydar Aliyev International Airport</t>
  </si>
  <si>
    <t>GYE</t>
  </si>
  <si>
    <t>SEGU</t>
  </si>
  <si>
    <t>José Joaquín de Olmedo International Airport</t>
  </si>
  <si>
    <t>GYH</t>
  </si>
  <si>
    <t>KGYH</t>
  </si>
  <si>
    <t>Donaldson Center Airport</t>
  </si>
  <si>
    <t>GYI</t>
  </si>
  <si>
    <t>KGYI</t>
  </si>
  <si>
    <t>Grayson County Airport</t>
  </si>
  <si>
    <t>GYL</t>
  </si>
  <si>
    <t>YARG</t>
  </si>
  <si>
    <t>Argyle Airport</t>
  </si>
  <si>
    <t>KGYL</t>
  </si>
  <si>
    <t>Glencoe Municipal Airport</t>
  </si>
  <si>
    <t>GYM</t>
  </si>
  <si>
    <t>MMGM</t>
  </si>
  <si>
    <t>General José María Yáñez International Airport</t>
  </si>
  <si>
    <t>GYN</t>
  </si>
  <si>
    <t>SBGO</t>
  </si>
  <si>
    <t>Santa Genoveva Airport</t>
  </si>
  <si>
    <t>GYP</t>
  </si>
  <si>
    <t>YGYM</t>
  </si>
  <si>
    <t>Gympie Airport</t>
  </si>
  <si>
    <t>GYR</t>
  </si>
  <si>
    <t>KGYR</t>
  </si>
  <si>
    <t>Phoenix Goodyear Airport</t>
  </si>
  <si>
    <t>GYS</t>
  </si>
  <si>
    <t>ZUGU</t>
  </si>
  <si>
    <t>Guangyuan Airport</t>
  </si>
  <si>
    <t>GYU</t>
  </si>
  <si>
    <t>ZLGY</t>
  </si>
  <si>
    <t>Guyuan Liupanshan Airport</t>
  </si>
  <si>
    <t>GYY</t>
  </si>
  <si>
    <t>KGYY</t>
  </si>
  <si>
    <t>Gary/Chicago International Airport</t>
  </si>
  <si>
    <t>GZH</t>
  </si>
  <si>
    <t>KGZH</t>
  </si>
  <si>
    <t>Middleton Field</t>
  </si>
  <si>
    <t>GZM</t>
  </si>
  <si>
    <t>LMMG</t>
  </si>
  <si>
    <t>Xewkija Heliport</t>
  </si>
  <si>
    <t>GZO</t>
  </si>
  <si>
    <t>AGGN</t>
  </si>
  <si>
    <t>Nusatupe Airport</t>
  </si>
  <si>
    <t>GZP</t>
  </si>
  <si>
    <t>LTFG</t>
  </si>
  <si>
    <t>GazipaÅŸa Airport</t>
  </si>
  <si>
    <t>GZS</t>
  </si>
  <si>
    <t>KGZS</t>
  </si>
  <si>
    <t>Abernathy Field</t>
  </si>
  <si>
    <t>GZT</t>
  </si>
  <si>
    <t>LTAJ</t>
  </si>
  <si>
    <t>Oğuzeli Airport</t>
  </si>
  <si>
    <t>HAA</t>
  </si>
  <si>
    <t>ENHK</t>
  </si>
  <si>
    <t>Hasvik Airport</t>
  </si>
  <si>
    <t>HAB</t>
  </si>
  <si>
    <t>KHAB</t>
  </si>
  <si>
    <t>Marion County - Rankin Fite Airport</t>
  </si>
  <si>
    <t>HAC</t>
  </si>
  <si>
    <t>RJTH</t>
  </si>
  <si>
    <t>Hachijojima Airport</t>
  </si>
  <si>
    <t>HAD</t>
  </si>
  <si>
    <t>ESMT</t>
  </si>
  <si>
    <t>Halmstad Airport</t>
  </si>
  <si>
    <t>HAF</t>
  </si>
  <si>
    <t>KHAF</t>
  </si>
  <si>
    <t>Half Moon Bay Airport</t>
  </si>
  <si>
    <t>HAH</t>
  </si>
  <si>
    <t>FMCH</t>
  </si>
  <si>
    <t>Prince Said Ibrahim International Airport</t>
  </si>
  <si>
    <t>HAI</t>
  </si>
  <si>
    <t>KHAI</t>
  </si>
  <si>
    <t>Three Rivers Municipal Airport (Dr. Haines Flying Field)</t>
  </si>
  <si>
    <t>HAJ</t>
  </si>
  <si>
    <t>EDDV</t>
  </si>
  <si>
    <t>Hanover/Langenhagen International Airport</t>
  </si>
  <si>
    <t>HAK</t>
  </si>
  <si>
    <t>ZJHK</t>
  </si>
  <si>
    <t>Haikou Meilan International Airport</t>
  </si>
  <si>
    <t>HAL</t>
  </si>
  <si>
    <t>FYHI</t>
  </si>
  <si>
    <t>Halali Airport</t>
  </si>
  <si>
    <t>HAM</t>
  </si>
  <si>
    <t>EDDH</t>
  </si>
  <si>
    <t>Hamburg Airport</t>
  </si>
  <si>
    <t>HAN</t>
  </si>
  <si>
    <t>VVNB</t>
  </si>
  <si>
    <t>Noi Bai International Airport</t>
  </si>
  <si>
    <t>HAO</t>
  </si>
  <si>
    <t>KHAO</t>
  </si>
  <si>
    <t>Butler County Regional Airport</t>
  </si>
  <si>
    <t>HAQ</t>
  </si>
  <si>
    <t>VRMH</t>
  </si>
  <si>
    <t>Hanimaadhoo Airport</t>
  </si>
  <si>
    <t>HAS</t>
  </si>
  <si>
    <t>OEHL</t>
  </si>
  <si>
    <t>Ha'il Regional Airport</t>
  </si>
  <si>
    <t>HAU</t>
  </si>
  <si>
    <t>ENHD</t>
  </si>
  <si>
    <t>Haugesund Airport, Karmøy</t>
  </si>
  <si>
    <t>HAV</t>
  </si>
  <si>
    <t>MUHA</t>
  </si>
  <si>
    <t>José Martí International Airport</t>
  </si>
  <si>
    <t>HAW</t>
  </si>
  <si>
    <t>EGFE</t>
  </si>
  <si>
    <t>Haverfordwest Aerodrome</t>
  </si>
  <si>
    <t>HAX</t>
  </si>
  <si>
    <t>KHAX</t>
  </si>
  <si>
    <t>Hatbox Field</t>
  </si>
  <si>
    <t>HBA</t>
  </si>
  <si>
    <t>YMHB</t>
  </si>
  <si>
    <t>Hobart International Airport</t>
  </si>
  <si>
    <t>HBE</t>
  </si>
  <si>
    <t>HEBA</t>
  </si>
  <si>
    <t>Borg El Arab Airport</t>
  </si>
  <si>
    <t>HBG</t>
  </si>
  <si>
    <t>KHBG</t>
  </si>
  <si>
    <t>Bobby L. Chain Municipal Airport</t>
  </si>
  <si>
    <t>HBK</t>
  </si>
  <si>
    <t>KP14</t>
  </si>
  <si>
    <t>Holbrook Municipal Airport</t>
  </si>
  <si>
    <t>HBR</t>
  </si>
  <si>
    <t>KHBR</t>
  </si>
  <si>
    <t>Hobart Municipal Airport</t>
  </si>
  <si>
    <t>HBT</t>
  </si>
  <si>
    <t>OEKK</t>
  </si>
  <si>
    <t>Hafar Al-Batin Domestic Airport</t>
  </si>
  <si>
    <t>HBU</t>
  </si>
  <si>
    <t>ZMBS</t>
  </si>
  <si>
    <t>Bulgan Sum Airport</t>
  </si>
  <si>
    <t>HBX</t>
  </si>
  <si>
    <t>VAHB</t>
  </si>
  <si>
    <t>Hubli Airport</t>
  </si>
  <si>
    <t>HCA</t>
  </si>
  <si>
    <t>PAHC</t>
  </si>
  <si>
    <t>Holy Cross Airport</t>
  </si>
  <si>
    <t>HCD</t>
  </si>
  <si>
    <t>KHCD</t>
  </si>
  <si>
    <t>Hutchinson Municipal Airport (Butler Field)</t>
  </si>
  <si>
    <t>HCM</t>
  </si>
  <si>
    <t>HCME</t>
  </si>
  <si>
    <t>Eil Airport</t>
  </si>
  <si>
    <t>HCN</t>
  </si>
  <si>
    <t>RCKW</t>
  </si>
  <si>
    <t>Hengchun Airport</t>
  </si>
  <si>
    <t>HCO</t>
  </si>
  <si>
    <t>KHCO</t>
  </si>
  <si>
    <t>Hallock Municipal Airport</t>
  </si>
  <si>
    <t>HCQ</t>
  </si>
  <si>
    <t>YHLC</t>
  </si>
  <si>
    <t>Halls Creek Airport</t>
  </si>
  <si>
    <t>HCR</t>
  </si>
  <si>
    <t>HDB</t>
  </si>
  <si>
    <t>EDIU</t>
  </si>
  <si>
    <t>Heidelberg Airport</t>
  </si>
  <si>
    <t>HDC</t>
  </si>
  <si>
    <t>KHDC</t>
  </si>
  <si>
    <t>Hammond Northshore Regional Airport</t>
  </si>
  <si>
    <t>HDD</t>
  </si>
  <si>
    <t>OPKD</t>
  </si>
  <si>
    <t>Hyderabad Airport</t>
  </si>
  <si>
    <t>HDE</t>
  </si>
  <si>
    <t>KHDE</t>
  </si>
  <si>
    <t>Brewster Field</t>
  </si>
  <si>
    <t>HDF</t>
  </si>
  <si>
    <t>EDAH</t>
  </si>
  <si>
    <t>Heringsdorf Airport</t>
  </si>
  <si>
    <t>HDG</t>
  </si>
  <si>
    <t>ZBHD</t>
  </si>
  <si>
    <t>Handan Airport</t>
  </si>
  <si>
    <t>HDH</t>
  </si>
  <si>
    <t>PHDH</t>
  </si>
  <si>
    <t>Dillingham Airfield</t>
  </si>
  <si>
    <t>HDI</t>
  </si>
  <si>
    <t>KHDI</t>
  </si>
  <si>
    <t>Hardwick Field</t>
  </si>
  <si>
    <t>HDM</t>
  </si>
  <si>
    <t>OIHH</t>
  </si>
  <si>
    <t>Hamadan Airport</t>
  </si>
  <si>
    <t>HDN</t>
  </si>
  <si>
    <t>KHDN</t>
  </si>
  <si>
    <t>Yampa Valley Airport</t>
  </si>
  <si>
    <t>HDO</t>
  </si>
  <si>
    <t>KHDO</t>
  </si>
  <si>
    <t>Hondo Municipal Airport</t>
  </si>
  <si>
    <t>HDR</t>
  </si>
  <si>
    <t>OIKP</t>
  </si>
  <si>
    <t>Havadarya Airport</t>
  </si>
  <si>
    <t>HDS</t>
  </si>
  <si>
    <t>FAHS</t>
  </si>
  <si>
    <t>Hoedspruit Air Force Base Airport</t>
  </si>
  <si>
    <t>HDY</t>
  </si>
  <si>
    <t>VTSS</t>
  </si>
  <si>
    <t>Hat Yai International Airport</t>
  </si>
  <si>
    <t>HEA</t>
  </si>
  <si>
    <t>OAHR</t>
  </si>
  <si>
    <t>Herat Airport</t>
  </si>
  <si>
    <t>HEE</t>
  </si>
  <si>
    <t>KHEE</t>
  </si>
  <si>
    <t>Thompson-Robbins Airport</t>
  </si>
  <si>
    <t>HEH</t>
  </si>
  <si>
    <t>VYHH</t>
  </si>
  <si>
    <t>Heho Airport</t>
  </si>
  <si>
    <t>HEI</t>
  </si>
  <si>
    <t>EDXB</t>
  </si>
  <si>
    <t>Heide-Büsum Airport</t>
  </si>
  <si>
    <t>KHEI</t>
  </si>
  <si>
    <t>Hettinger Municipal Airport</t>
  </si>
  <si>
    <t>HEK</t>
  </si>
  <si>
    <t>ZYHE</t>
  </si>
  <si>
    <t>Heihe Airport</t>
  </si>
  <si>
    <t>HEL</t>
  </si>
  <si>
    <t>EFHK</t>
  </si>
  <si>
    <t>Helsinki-Vantaa Airport</t>
  </si>
  <si>
    <t>HEM</t>
  </si>
  <si>
    <t>EFHF</t>
  </si>
  <si>
    <t>Helsinki-Malmi Airport</t>
  </si>
  <si>
    <t>HEQ</t>
  </si>
  <si>
    <t>KHEQ</t>
  </si>
  <si>
    <t>Holyoke Airport</t>
  </si>
  <si>
    <t>HER</t>
  </si>
  <si>
    <t>LGIR</t>
  </si>
  <si>
    <t>Nikos Kazantzakis International Airport</t>
  </si>
  <si>
    <t>HES</t>
  </si>
  <si>
    <t>KHRI</t>
  </si>
  <si>
    <t>Hermiston Municipal Airport, Hermiston, Oregon, United State</t>
  </si>
  <si>
    <t>HET</t>
  </si>
  <si>
    <t>ZBHH</t>
  </si>
  <si>
    <t>Baita International Airport</t>
  </si>
  <si>
    <t>HEV</t>
  </si>
  <si>
    <t>LEMF</t>
  </si>
  <si>
    <t>Mafé - Gibraleón Airport</t>
  </si>
  <si>
    <t>HEW</t>
  </si>
  <si>
    <t>LGAT</t>
  </si>
  <si>
    <t>Athen Helenikon Airport</t>
  </si>
  <si>
    <t>HEZ</t>
  </si>
  <si>
    <t>KHEZ</t>
  </si>
  <si>
    <t>Natchez-Adams County Airport (Hardy-Anders Field)</t>
  </si>
  <si>
    <t>HFA</t>
  </si>
  <si>
    <t>LLHA</t>
  </si>
  <si>
    <t>Haifa Airport</t>
  </si>
  <si>
    <t>HFD</t>
  </si>
  <si>
    <t>KHFD</t>
  </si>
  <si>
    <t>Hartford-Brainard Airport</t>
  </si>
  <si>
    <t>HFE</t>
  </si>
  <si>
    <t>ZSOF</t>
  </si>
  <si>
    <t>Hefei Luogang International Airport</t>
  </si>
  <si>
    <t>HFF</t>
  </si>
  <si>
    <t>KHFF</t>
  </si>
  <si>
    <t>Mackall Army Airfield</t>
  </si>
  <si>
    <t>HFN</t>
  </si>
  <si>
    <t>BIHN</t>
  </si>
  <si>
    <t>Hornafjordur Airport</t>
  </si>
  <si>
    <t>HFS</t>
  </si>
  <si>
    <t>ESOH</t>
  </si>
  <si>
    <t>Hagfors Airport</t>
  </si>
  <si>
    <t>HFT</t>
  </si>
  <si>
    <t>ENHF</t>
  </si>
  <si>
    <t>Hammerfest Airport</t>
  </si>
  <si>
    <t>HFY</t>
  </si>
  <si>
    <t>KHFY</t>
  </si>
  <si>
    <t>Greenwood Municipal Airport</t>
  </si>
  <si>
    <t>HGA</t>
  </si>
  <si>
    <t>HCMH</t>
  </si>
  <si>
    <t>Egal International Airport</t>
  </si>
  <si>
    <t>HGD</t>
  </si>
  <si>
    <t>YHUG</t>
  </si>
  <si>
    <t>Hughenden Airport</t>
  </si>
  <si>
    <t>HGH</t>
  </si>
  <si>
    <t>ZSHC</t>
  </si>
  <si>
    <t>Hangzhou Xiaoshan International Airport</t>
  </si>
  <si>
    <t>HGL</t>
  </si>
  <si>
    <t>EDXH</t>
  </si>
  <si>
    <t>Helgoland-Düne Airport</t>
  </si>
  <si>
    <t>HGN</t>
  </si>
  <si>
    <t>VTCH</t>
  </si>
  <si>
    <t>Mae Hong Son Airport</t>
  </si>
  <si>
    <t>HGO</t>
  </si>
  <si>
    <t>DIKO</t>
  </si>
  <si>
    <t>Korhogo Airport</t>
  </si>
  <si>
    <t>HGR</t>
  </si>
  <si>
    <t>KHGR</t>
  </si>
  <si>
    <t>Hagerstown Regional Airport (Richard A. Henson Field)</t>
  </si>
  <si>
    <t>HGU</t>
  </si>
  <si>
    <t>AYMH</t>
  </si>
  <si>
    <t>Mount Hagen Airport</t>
  </si>
  <si>
    <t>HHE</t>
  </si>
  <si>
    <t>RJSH</t>
  </si>
  <si>
    <t>Hachinohe Air Base</t>
  </si>
  <si>
    <t>HHF</t>
  </si>
  <si>
    <t>KHHF</t>
  </si>
  <si>
    <t>Hemphill County Airport</t>
  </si>
  <si>
    <t>HHG</t>
  </si>
  <si>
    <t>KHHG</t>
  </si>
  <si>
    <t>Huntington Municipal Airport</t>
  </si>
  <si>
    <t>HHI</t>
  </si>
  <si>
    <t>PHHI</t>
  </si>
  <si>
    <t>Wheeler Army Airfield</t>
  </si>
  <si>
    <t>HHN</t>
  </si>
  <si>
    <t>EDFH</t>
  </si>
  <si>
    <t>Frankfurt-Hahn Airport</t>
  </si>
  <si>
    <t>HHQ</t>
  </si>
  <si>
    <t>VTPH</t>
  </si>
  <si>
    <t>Hua Hin Airport</t>
  </si>
  <si>
    <t>HHR</t>
  </si>
  <si>
    <t>KHHR</t>
  </si>
  <si>
    <t>Hawthorne Municipal Airport</t>
  </si>
  <si>
    <t>HHW</t>
  </si>
  <si>
    <t>KHHW</t>
  </si>
  <si>
    <t>Stan Stamper Municipal Airport</t>
  </si>
  <si>
    <t>HHZ</t>
  </si>
  <si>
    <t>NTGH</t>
  </si>
  <si>
    <t>Hikueru Atoll Airport</t>
  </si>
  <si>
    <t>HIA</t>
  </si>
  <si>
    <t>ZSSH</t>
  </si>
  <si>
    <t>Lianshui Airport</t>
  </si>
  <si>
    <t>HIB</t>
  </si>
  <si>
    <t>KHIB</t>
  </si>
  <si>
    <t>Chisholm-Hibbing Airport</t>
  </si>
  <si>
    <t>HID</t>
  </si>
  <si>
    <t>YHID</t>
  </si>
  <si>
    <t>Horn Island Airport</t>
  </si>
  <si>
    <t>HIE</t>
  </si>
  <si>
    <t>KHIE</t>
  </si>
  <si>
    <t>Mount Washington Regional Airport</t>
  </si>
  <si>
    <t>HIF</t>
  </si>
  <si>
    <t>KHIF</t>
  </si>
  <si>
    <t>Hill Air Force Base</t>
  </si>
  <si>
    <t>HIG</t>
  </si>
  <si>
    <t>KHIG</t>
  </si>
  <si>
    <t>Higginsville Industrial Municipal Airport</t>
  </si>
  <si>
    <t>HII</t>
  </si>
  <si>
    <t>KHII</t>
  </si>
  <si>
    <t>Lake Havasu City Airport</t>
  </si>
  <si>
    <t>HIJ</t>
  </si>
  <si>
    <t>RJOA</t>
  </si>
  <si>
    <t>Hiroshima Airport</t>
  </si>
  <si>
    <t>HIL</t>
  </si>
  <si>
    <t>Shilavo Airport</t>
  </si>
  <si>
    <t>HIN</t>
  </si>
  <si>
    <t>RKPS</t>
  </si>
  <si>
    <t>Sacheon Airport</t>
  </si>
  <si>
    <t>HIO</t>
  </si>
  <si>
    <t>KHIO</t>
  </si>
  <si>
    <t>Portland-Hillsboro Airport</t>
  </si>
  <si>
    <t>HIP</t>
  </si>
  <si>
    <t>YHDY</t>
  </si>
  <si>
    <t>Headingly Airport</t>
  </si>
  <si>
    <t>HIR</t>
  </si>
  <si>
    <t>AGGH</t>
  </si>
  <si>
    <t>Honiara International Airport</t>
  </si>
  <si>
    <t>HIW</t>
  </si>
  <si>
    <t>RJBH</t>
  </si>
  <si>
    <t>Hiroshima-Nishi Airport</t>
  </si>
  <si>
    <t>HJH</t>
  </si>
  <si>
    <t>KHJH</t>
  </si>
  <si>
    <t>Hebron Municipal Airport</t>
  </si>
  <si>
    <t>HJJ</t>
  </si>
  <si>
    <t>ZGCJ</t>
  </si>
  <si>
    <t>Zhijiang Airport</t>
  </si>
  <si>
    <t>HJO</t>
  </si>
  <si>
    <t>KHJO</t>
  </si>
  <si>
    <t>Hanford Municipal Airport</t>
  </si>
  <si>
    <t>HJR</t>
  </si>
  <si>
    <t>VAKJ</t>
  </si>
  <si>
    <t>Khajuraho Airport</t>
  </si>
  <si>
    <t>HJT</t>
  </si>
  <si>
    <t>ZMHU</t>
  </si>
  <si>
    <t>Khujirt Airport</t>
  </si>
  <si>
    <t>HKA</t>
  </si>
  <si>
    <t>KHKA</t>
  </si>
  <si>
    <t>Blytheville Municipal Airport</t>
  </si>
  <si>
    <t>HKD</t>
  </si>
  <si>
    <t>RJCH</t>
  </si>
  <si>
    <t>Hakodate Airport</t>
  </si>
  <si>
    <t>HKG</t>
  </si>
  <si>
    <t>VHHH</t>
  </si>
  <si>
    <t>Hong Kong International Airport</t>
  </si>
  <si>
    <t>HKK</t>
  </si>
  <si>
    <t>NZHK</t>
  </si>
  <si>
    <t>Hokitika Airport</t>
  </si>
  <si>
    <t>HKN</t>
  </si>
  <si>
    <t>AYHK</t>
  </si>
  <si>
    <t>Kimbe Airport</t>
  </si>
  <si>
    <t>HKS</t>
  </si>
  <si>
    <t>KHKS</t>
  </si>
  <si>
    <t>Hawkins Field</t>
  </si>
  <si>
    <t>HKT</t>
  </si>
  <si>
    <t>VTSP</t>
  </si>
  <si>
    <t>Phuket International Airport</t>
  </si>
  <si>
    <t>HKY</t>
  </si>
  <si>
    <t>KHKY</t>
  </si>
  <si>
    <t>Hickory Regional Airport</t>
  </si>
  <si>
    <t>HLA</t>
  </si>
  <si>
    <t>FALA</t>
  </si>
  <si>
    <t>Lanseria Airport</t>
  </si>
  <si>
    <t>HLB</t>
  </si>
  <si>
    <t>KHLB</t>
  </si>
  <si>
    <t>Hillenbrand Industries Airport</t>
  </si>
  <si>
    <t>HLC</t>
  </si>
  <si>
    <t>KHLC</t>
  </si>
  <si>
    <t>Hill City Municipal Airport</t>
  </si>
  <si>
    <t>HLD</t>
  </si>
  <si>
    <t>ZBLA</t>
  </si>
  <si>
    <t>Hailar Dongshan Airport</t>
  </si>
  <si>
    <t>HLF</t>
  </si>
  <si>
    <t>ESSF</t>
  </si>
  <si>
    <t>Hultsfred Airport</t>
  </si>
  <si>
    <t>HLG</t>
  </si>
  <si>
    <t>KHLG</t>
  </si>
  <si>
    <t>Wheeling Ohio County Airport</t>
  </si>
  <si>
    <t>HLH</t>
  </si>
  <si>
    <t>ZBUL</t>
  </si>
  <si>
    <t>Ulanhot Airport</t>
  </si>
  <si>
    <t>HLJ</t>
  </si>
  <si>
    <t>EYSB</t>
  </si>
  <si>
    <t>Barysiai Airport</t>
  </si>
  <si>
    <t>HLM</t>
  </si>
  <si>
    <t>KHLM</t>
  </si>
  <si>
    <t>Park Township Airport</t>
  </si>
  <si>
    <t>HLN</t>
  </si>
  <si>
    <t>KHLN</t>
  </si>
  <si>
    <t>Helena Regional Airport</t>
  </si>
  <si>
    <t>HLO</t>
  </si>
  <si>
    <t>BIID</t>
  </si>
  <si>
    <t>Ingjaldssanður Airport</t>
  </si>
  <si>
    <t>HLP</t>
  </si>
  <si>
    <t>WIHH</t>
  </si>
  <si>
    <t>Halim Perdanakusuma International Airport</t>
  </si>
  <si>
    <t>WIIH</t>
  </si>
  <si>
    <t>HLR</t>
  </si>
  <si>
    <t>KHLR</t>
  </si>
  <si>
    <t>Hood Army Airfield</t>
  </si>
  <si>
    <t>HLS</t>
  </si>
  <si>
    <t>YSTH</t>
  </si>
  <si>
    <t>St Helens Airport</t>
  </si>
  <si>
    <t>HLT</t>
  </si>
  <si>
    <t>YHML</t>
  </si>
  <si>
    <t>Hamilton Airport</t>
  </si>
  <si>
    <t>HLU</t>
  </si>
  <si>
    <t>NWWH</t>
  </si>
  <si>
    <t>Nesson Airport</t>
  </si>
  <si>
    <t>HLW</t>
  </si>
  <si>
    <t>FAHL</t>
  </si>
  <si>
    <t>Hluhluwe Airport</t>
  </si>
  <si>
    <t>HLX</t>
  </si>
  <si>
    <t>KHLX</t>
  </si>
  <si>
    <t>Twin County Airport</t>
  </si>
  <si>
    <t>HLY</t>
  </si>
  <si>
    <t>EGOV</t>
  </si>
  <si>
    <t>Anglesey Airport (Maes Awyr Môn) or RAF Valley</t>
  </si>
  <si>
    <t>HLZ</t>
  </si>
  <si>
    <t>NZHN</t>
  </si>
  <si>
    <t>Hamilton International Airport</t>
  </si>
  <si>
    <t>HMA</t>
  </si>
  <si>
    <t>USHH</t>
  </si>
  <si>
    <t>Khanty-Mansiysk Airport</t>
  </si>
  <si>
    <t>HMB</t>
  </si>
  <si>
    <t>HEMK</t>
  </si>
  <si>
    <t>Sohag International Airport</t>
  </si>
  <si>
    <t>HME</t>
  </si>
  <si>
    <t>DAUH</t>
  </si>
  <si>
    <t>Oued Irara Airport</t>
  </si>
  <si>
    <t>HMG</t>
  </si>
  <si>
    <t>YHMB</t>
  </si>
  <si>
    <t>Hermannsburg Airport</t>
  </si>
  <si>
    <t>HMI</t>
  </si>
  <si>
    <t>ZWHM</t>
  </si>
  <si>
    <t>Hami Airport</t>
  </si>
  <si>
    <t>HMJ</t>
  </si>
  <si>
    <t>UKLH</t>
  </si>
  <si>
    <t>Khmelnytskyi Airport</t>
  </si>
  <si>
    <t>HMN</t>
  </si>
  <si>
    <t>KHMN</t>
  </si>
  <si>
    <t>Holloman Air Force Base</t>
  </si>
  <si>
    <t>HMO</t>
  </si>
  <si>
    <t>MMHO</t>
  </si>
  <si>
    <t>General Ignacio Pesqueira Garcia International Airport</t>
  </si>
  <si>
    <t>HMR</t>
  </si>
  <si>
    <t>ENHA</t>
  </si>
  <si>
    <t>Hamar Airport, Stafsberg</t>
  </si>
  <si>
    <t>HMT</t>
  </si>
  <si>
    <t>KHMT</t>
  </si>
  <si>
    <t>Hemet-Ryan Airport</t>
  </si>
  <si>
    <t>HMV</t>
  </si>
  <si>
    <t>ESUT</t>
  </si>
  <si>
    <t>Hemavan Airport</t>
  </si>
  <si>
    <t>HMZ</t>
  </si>
  <si>
    <t>KHMZ</t>
  </si>
  <si>
    <t>Bedford County Airport</t>
  </si>
  <si>
    <t>HNA</t>
  </si>
  <si>
    <t>RJSI</t>
  </si>
  <si>
    <t>Hanamaki Airport</t>
  </si>
  <si>
    <t>HNB</t>
  </si>
  <si>
    <t>KHNB</t>
  </si>
  <si>
    <t>Huntingburg Airport</t>
  </si>
  <si>
    <t>HND</t>
  </si>
  <si>
    <t>RJTT</t>
  </si>
  <si>
    <t>Tokyo International Airport</t>
  </si>
  <si>
    <t>HNE</t>
  </si>
  <si>
    <t>PAHE</t>
  </si>
  <si>
    <t>Tahneta Pass Airport</t>
  </si>
  <si>
    <t>HNH</t>
  </si>
  <si>
    <t>PAOH</t>
  </si>
  <si>
    <t>Hoonah Airport</t>
  </si>
  <si>
    <t>HNL</t>
  </si>
  <si>
    <t>PHNL</t>
  </si>
  <si>
    <t>Daniel K. Inouye International Airport</t>
  </si>
  <si>
    <t>HNM</t>
  </si>
  <si>
    <t>PHHN</t>
  </si>
  <si>
    <t>Hana Airport</t>
  </si>
  <si>
    <t>HNR</t>
  </si>
  <si>
    <t>KHNR</t>
  </si>
  <si>
    <t>Harlan Municipal Airport</t>
  </si>
  <si>
    <t>HNS</t>
  </si>
  <si>
    <t>PAHN</t>
  </si>
  <si>
    <t>Haines Airport</t>
  </si>
  <si>
    <t>HNY</t>
  </si>
  <si>
    <t>ZGHY</t>
  </si>
  <si>
    <t>Hengyang Airport</t>
  </si>
  <si>
    <t>HNZ</t>
  </si>
  <si>
    <t>KHNZ</t>
  </si>
  <si>
    <t>Henderson-Oxford Airport</t>
  </si>
  <si>
    <t>HOA</t>
  </si>
  <si>
    <t>HKHO</t>
  </si>
  <si>
    <t>Hola Airport</t>
  </si>
  <si>
    <t>HOB</t>
  </si>
  <si>
    <t>KHOB</t>
  </si>
  <si>
    <t>Lea County Regional Airport</t>
  </si>
  <si>
    <t>HOC</t>
  </si>
  <si>
    <t>KHOC</t>
  </si>
  <si>
    <t>Highland County Airport</t>
  </si>
  <si>
    <t>HOD</t>
  </si>
  <si>
    <t>OYHD</t>
  </si>
  <si>
    <t>Hodeida International Airport</t>
  </si>
  <si>
    <t>HOE</t>
  </si>
  <si>
    <t>KHOE</t>
  </si>
  <si>
    <t>Homerville Airport</t>
  </si>
  <si>
    <t>HOF</t>
  </si>
  <si>
    <t>OEAH</t>
  </si>
  <si>
    <t>Al Ahsa Airport</t>
  </si>
  <si>
    <t>HOG</t>
  </si>
  <si>
    <t>MUHG</t>
  </si>
  <si>
    <t>Holguin Frank Pais International Airport</t>
  </si>
  <si>
    <t>HOH</t>
  </si>
  <si>
    <t>LOIH</t>
  </si>
  <si>
    <t>Hohenems-Dornbirn Airport</t>
  </si>
  <si>
    <t>HOI</t>
  </si>
  <si>
    <t>NTTO</t>
  </si>
  <si>
    <t>Hao Airport</t>
  </si>
  <si>
    <t>HOK</t>
  </si>
  <si>
    <t>YHOO</t>
  </si>
  <si>
    <t>Hooker Creek Airport</t>
  </si>
  <si>
    <t>HOM</t>
  </si>
  <si>
    <t>PAHO</t>
  </si>
  <si>
    <t>Homer Airport</t>
  </si>
  <si>
    <t>HON</t>
  </si>
  <si>
    <t>KHON</t>
  </si>
  <si>
    <t>Huron Regional Airport</t>
  </si>
  <si>
    <t>HOP</t>
  </si>
  <si>
    <t>KHOP</t>
  </si>
  <si>
    <t>Campbell Army Airfield</t>
  </si>
  <si>
    <t>HOQ</t>
  </si>
  <si>
    <t>EDQM</t>
  </si>
  <si>
    <t>Hof International Airport</t>
  </si>
  <si>
    <t>HOR</t>
  </si>
  <si>
    <t>LPHR</t>
  </si>
  <si>
    <t>Horta Airport</t>
  </si>
  <si>
    <t>HOS</t>
  </si>
  <si>
    <t>SAHC</t>
  </si>
  <si>
    <t>Chos Malal Airport</t>
  </si>
  <si>
    <t>HOT</t>
  </si>
  <si>
    <t>KHOT</t>
  </si>
  <si>
    <t>Hot Springs Memorial Field Airport</t>
  </si>
  <si>
    <t>HOU</t>
  </si>
  <si>
    <t>KHOU</t>
  </si>
  <si>
    <t>William P. Hobby Airport</t>
  </si>
  <si>
    <t>HOV</t>
  </si>
  <si>
    <t>ENOV</t>
  </si>
  <si>
    <t>Ørsta/Volda Airport, Hovden</t>
  </si>
  <si>
    <t>HOX</t>
  </si>
  <si>
    <t>VYHL</t>
  </si>
  <si>
    <t>Hommalinn Airport</t>
  </si>
  <si>
    <t>HPA</t>
  </si>
  <si>
    <t>NFTL</t>
  </si>
  <si>
    <t>Lifuka Island Airport</t>
  </si>
  <si>
    <t>HPB</t>
  </si>
  <si>
    <t>PAHP</t>
  </si>
  <si>
    <t>Hooper Bay Airport</t>
  </si>
  <si>
    <t>HPH</t>
  </si>
  <si>
    <t>VVCI</t>
  </si>
  <si>
    <t>Cat Bi International Airport</t>
  </si>
  <si>
    <t>HPN</t>
  </si>
  <si>
    <t>KHPN</t>
  </si>
  <si>
    <t>Westchester County Airport</t>
  </si>
  <si>
    <t>HPT</t>
  </si>
  <si>
    <t>KHPT</t>
  </si>
  <si>
    <t>Hampton Municipal Airport</t>
  </si>
  <si>
    <t>HPY</t>
  </si>
  <si>
    <t>KHPY</t>
  </si>
  <si>
    <t>Baytown Airport</t>
  </si>
  <si>
    <t>HQG</t>
  </si>
  <si>
    <t>KHQG</t>
  </si>
  <si>
    <t>Hugoton Municipal Airport</t>
  </si>
  <si>
    <t>HQM</t>
  </si>
  <si>
    <t>KHQM</t>
  </si>
  <si>
    <t>Bowerman Airport</t>
  </si>
  <si>
    <t>HQU</t>
  </si>
  <si>
    <t>KHQU</t>
  </si>
  <si>
    <t>Thomson-McDuffie County Airport</t>
  </si>
  <si>
    <t>HQZ</t>
  </si>
  <si>
    <t>KHQZ</t>
  </si>
  <si>
    <t>Mesquite Metro Airport</t>
  </si>
  <si>
    <t>HRB</t>
  </si>
  <si>
    <t>ZYHB</t>
  </si>
  <si>
    <t>Harbin Taiping International Airport</t>
  </si>
  <si>
    <t>HRE</t>
  </si>
  <si>
    <t>FVHA</t>
  </si>
  <si>
    <t>Harare International Airport</t>
  </si>
  <si>
    <t>HRG</t>
  </si>
  <si>
    <t>HEGN</t>
  </si>
  <si>
    <t>Hurghada International Airport</t>
  </si>
  <si>
    <t>HRJ</t>
  </si>
  <si>
    <t>VNCJ</t>
  </si>
  <si>
    <t>Rukum Chaurjahari Airport</t>
  </si>
  <si>
    <t>HRK</t>
  </si>
  <si>
    <t>UKHH</t>
  </si>
  <si>
    <t>Kharkiv Osnova International Airport</t>
  </si>
  <si>
    <t>HRL</t>
  </si>
  <si>
    <t>KHRL</t>
  </si>
  <si>
    <t>Valley International Airport</t>
  </si>
  <si>
    <t>HRM</t>
  </si>
  <si>
    <t>DAFH</t>
  </si>
  <si>
    <t>Hassi R'Mel Airport</t>
  </si>
  <si>
    <t>HRO</t>
  </si>
  <si>
    <t>KHRO</t>
  </si>
  <si>
    <t>Boone County Airport</t>
  </si>
  <si>
    <t>HRR</t>
  </si>
  <si>
    <t>PAHV</t>
  </si>
  <si>
    <t>Healy River Airport</t>
  </si>
  <si>
    <t>HRS</t>
  </si>
  <si>
    <t>FAHR</t>
  </si>
  <si>
    <t>Harrismith Airport</t>
  </si>
  <si>
    <t>HRT</t>
  </si>
  <si>
    <t>EGXU</t>
  </si>
  <si>
    <t>RAF Linton-On-Ouse</t>
  </si>
  <si>
    <t>HRU</t>
  </si>
  <si>
    <t>KHRU</t>
  </si>
  <si>
    <t>Herington Regional Airport</t>
  </si>
  <si>
    <t>HRX</t>
  </si>
  <si>
    <t>KHRX</t>
  </si>
  <si>
    <t>Hereford Municipal Airport</t>
  </si>
  <si>
    <t>HSB</t>
  </si>
  <si>
    <t>KHSB</t>
  </si>
  <si>
    <t>Harrisburg-Raleigh Airport</t>
  </si>
  <si>
    <t>HSD</t>
  </si>
  <si>
    <t>KHSD</t>
  </si>
  <si>
    <t>Sundance Airpark</t>
  </si>
  <si>
    <t>HSE</t>
  </si>
  <si>
    <t>KHSE</t>
  </si>
  <si>
    <t>Billy Mitchell Airport</t>
  </si>
  <si>
    <t>HSG</t>
  </si>
  <si>
    <t>RJFS</t>
  </si>
  <si>
    <t>Saga Airport</t>
  </si>
  <si>
    <t>HSH</t>
  </si>
  <si>
    <t>KHND</t>
  </si>
  <si>
    <t>Henderson Executive Airport</t>
  </si>
  <si>
    <t>HSI</t>
  </si>
  <si>
    <t>KHSI</t>
  </si>
  <si>
    <t>Hastings Municipal Airport</t>
  </si>
  <si>
    <t>HSM</t>
  </si>
  <si>
    <t>YHSM</t>
  </si>
  <si>
    <t>Horsham Airport</t>
  </si>
  <si>
    <t>HSN</t>
  </si>
  <si>
    <t>ZSZS</t>
  </si>
  <si>
    <t>Zhoushan Airport</t>
  </si>
  <si>
    <t>HSP</t>
  </si>
  <si>
    <t>KHSP</t>
  </si>
  <si>
    <t>Ingalls Field</t>
  </si>
  <si>
    <t>HSR</t>
  </si>
  <si>
    <t>KHSR</t>
  </si>
  <si>
    <t>Hot Springs Municipal Airport</t>
  </si>
  <si>
    <t>HSS</t>
  </si>
  <si>
    <t>VIHR</t>
  </si>
  <si>
    <t>Hissar Airport</t>
  </si>
  <si>
    <t>HST</t>
  </si>
  <si>
    <t>KHST</t>
  </si>
  <si>
    <t>Homestead Air Reserve Base</t>
  </si>
  <si>
    <t>HSV</t>
  </si>
  <si>
    <t>KHSV</t>
  </si>
  <si>
    <t>Huntsville International Airport</t>
  </si>
  <si>
    <t>HTA</t>
  </si>
  <si>
    <t>UIAA</t>
  </si>
  <si>
    <t>Kadala Airport</t>
  </si>
  <si>
    <t>HTG</t>
  </si>
  <si>
    <t>UOHH</t>
  </si>
  <si>
    <t>Khatanga Airport</t>
  </si>
  <si>
    <t>HTH</t>
  </si>
  <si>
    <t>KHTH</t>
  </si>
  <si>
    <t>Hawthorne Industrial Airport</t>
  </si>
  <si>
    <t>HTI</t>
  </si>
  <si>
    <t>YBHM</t>
  </si>
  <si>
    <t>Hamilton Island</t>
  </si>
  <si>
    <t>HTL</t>
  </si>
  <si>
    <t>KHTL</t>
  </si>
  <si>
    <t>Roscommon County Airport</t>
  </si>
  <si>
    <t>HTN</t>
  </si>
  <si>
    <t>ZWTN</t>
  </si>
  <si>
    <t>Hotan Airport</t>
  </si>
  <si>
    <t>HTO</t>
  </si>
  <si>
    <t>KHTO</t>
  </si>
  <si>
    <t>East Hampton Airport</t>
  </si>
  <si>
    <t>HTR</t>
  </si>
  <si>
    <t>RORH</t>
  </si>
  <si>
    <t>Hateruma Airport</t>
  </si>
  <si>
    <t>HTS</t>
  </si>
  <si>
    <t>KHTS</t>
  </si>
  <si>
    <t>Tri-State Airport (Milton J. Ferguson Field)</t>
  </si>
  <si>
    <t>HTU</t>
  </si>
  <si>
    <t>YHPN</t>
  </si>
  <si>
    <t>Hopetoun Airport</t>
  </si>
  <si>
    <t>HTW</t>
  </si>
  <si>
    <t>KHTW</t>
  </si>
  <si>
    <t>Lawrence County Airpark</t>
  </si>
  <si>
    <t>HTY</t>
  </si>
  <si>
    <t>LTAK</t>
  </si>
  <si>
    <t>Hatay Airport</t>
  </si>
  <si>
    <t>LTDA</t>
  </si>
  <si>
    <t>HTZ</t>
  </si>
  <si>
    <t>SKHC</t>
  </si>
  <si>
    <t>Hato Corozal Airport</t>
  </si>
  <si>
    <t>HUA</t>
  </si>
  <si>
    <t>KHUA</t>
  </si>
  <si>
    <t>Redstone Army Airfield</t>
  </si>
  <si>
    <t>HUB</t>
  </si>
  <si>
    <t>YHBR</t>
  </si>
  <si>
    <t>Humbert River Airport</t>
  </si>
  <si>
    <t>HUE</t>
  </si>
  <si>
    <t>HAHU</t>
  </si>
  <si>
    <t>Humera Airport</t>
  </si>
  <si>
    <t>HUF</t>
  </si>
  <si>
    <t>KHUF</t>
  </si>
  <si>
    <t>Terre Haute International Airport (Hulman Field)</t>
  </si>
  <si>
    <t>HUG</t>
  </si>
  <si>
    <t>MGHT</t>
  </si>
  <si>
    <t>Huehuetenango Airport</t>
  </si>
  <si>
    <t>HUH</t>
  </si>
  <si>
    <t>NTTH</t>
  </si>
  <si>
    <t>Huahine-Fare Airport</t>
  </si>
  <si>
    <t>HUI</t>
  </si>
  <si>
    <t>VVPB</t>
  </si>
  <si>
    <t>Phu Bai International Airport</t>
  </si>
  <si>
    <t>HUL</t>
  </si>
  <si>
    <t>KHUL</t>
  </si>
  <si>
    <t>Houlton International Airport</t>
  </si>
  <si>
    <t>HUM</t>
  </si>
  <si>
    <t>KHUM</t>
  </si>
  <si>
    <t>Houma-Terrebonne Airport</t>
  </si>
  <si>
    <t>HUN</t>
  </si>
  <si>
    <t>RCYU</t>
  </si>
  <si>
    <t>Hualien Airport</t>
  </si>
  <si>
    <t>HUQ</t>
  </si>
  <si>
    <t>HLON</t>
  </si>
  <si>
    <t>Hon Airport</t>
  </si>
  <si>
    <t>HUT</t>
  </si>
  <si>
    <t>KHUT</t>
  </si>
  <si>
    <t>Hutchinson Municipal Airport</t>
  </si>
  <si>
    <t>HUU</t>
  </si>
  <si>
    <t>SPNC</t>
  </si>
  <si>
    <t>Alferez Fap David Figueroa Fernandini Airport</t>
  </si>
  <si>
    <t>HUX</t>
  </si>
  <si>
    <t>MMBT</t>
  </si>
  <si>
    <t>Bahías de Huatulco International Airport</t>
  </si>
  <si>
    <t>HUY</t>
  </si>
  <si>
    <t>EGNJ</t>
  </si>
  <si>
    <t>Humberside Airport</t>
  </si>
  <si>
    <t>HUZ</t>
  </si>
  <si>
    <t>ZGHZ</t>
  </si>
  <si>
    <t>Huizhou Airport</t>
  </si>
  <si>
    <t>HVA</t>
  </si>
  <si>
    <t>FMNL</t>
  </si>
  <si>
    <t>Analalava Airport</t>
  </si>
  <si>
    <t>HVB</t>
  </si>
  <si>
    <t>YHBA</t>
  </si>
  <si>
    <t>Hervey Bay Airport</t>
  </si>
  <si>
    <t>HVC</t>
  </si>
  <si>
    <t>KHVC</t>
  </si>
  <si>
    <t>Hopkinsville-Christian County Airport</t>
  </si>
  <si>
    <t>HVD</t>
  </si>
  <si>
    <t>ZMKD</t>
  </si>
  <si>
    <t>Khovd Airport</t>
  </si>
  <si>
    <t>HVE</t>
  </si>
  <si>
    <t>KHVE</t>
  </si>
  <si>
    <t>Hanksville Airport</t>
  </si>
  <si>
    <t>HVG</t>
  </si>
  <si>
    <t>ENHV</t>
  </si>
  <si>
    <t>Honningsvåg Airport, Valan</t>
  </si>
  <si>
    <t>HVK</t>
  </si>
  <si>
    <t>BIHK</t>
  </si>
  <si>
    <t>Hólmavík Airport</t>
  </si>
  <si>
    <t>HVM</t>
  </si>
  <si>
    <t>BIHV</t>
  </si>
  <si>
    <t>Krókstaðarmelar Airport</t>
  </si>
  <si>
    <t>HVN</t>
  </si>
  <si>
    <t>KHVN</t>
  </si>
  <si>
    <t>Tweed-New Haven Airport</t>
  </si>
  <si>
    <t>HVR</t>
  </si>
  <si>
    <t>KHVR</t>
  </si>
  <si>
    <t>Havre City-County Airport</t>
  </si>
  <si>
    <t>HVS</t>
  </si>
  <si>
    <t>KHVS</t>
  </si>
  <si>
    <t>Hartsville Regional Airport</t>
  </si>
  <si>
    <t>HWD</t>
  </si>
  <si>
    <t>KHWD</t>
  </si>
  <si>
    <t>Hayward Executive Airport</t>
  </si>
  <si>
    <t>HWK</t>
  </si>
  <si>
    <t>YHAW</t>
  </si>
  <si>
    <t>Wilpena Pound Airport</t>
  </si>
  <si>
    <t>HWN</t>
  </si>
  <si>
    <t>FVWN</t>
  </si>
  <si>
    <t>Hwange National Park Airport</t>
  </si>
  <si>
    <t>HWO</t>
  </si>
  <si>
    <t>KHWO</t>
  </si>
  <si>
    <t>North Perry Airport</t>
  </si>
  <si>
    <t>HWQ</t>
  </si>
  <si>
    <t>KHWQ</t>
  </si>
  <si>
    <t>Wheatland County Airport</t>
  </si>
  <si>
    <t>HWV</t>
  </si>
  <si>
    <t>KHWV</t>
  </si>
  <si>
    <t>Brookhaven Airport</t>
  </si>
  <si>
    <t>HXD</t>
  </si>
  <si>
    <t>KHXD</t>
  </si>
  <si>
    <t>Hilton Head Airport</t>
  </si>
  <si>
    <t>HXF</t>
  </si>
  <si>
    <t>KHXF</t>
  </si>
  <si>
    <t>Hartford Municipal Airport</t>
  </si>
  <si>
    <t>HXX</t>
  </si>
  <si>
    <t>YHAY</t>
  </si>
  <si>
    <t>Hay Airport</t>
  </si>
  <si>
    <t>HYA</t>
  </si>
  <si>
    <t>KHYA</t>
  </si>
  <si>
    <t>Cape Cod Gateway Airport</t>
  </si>
  <si>
    <t>HYD</t>
  </si>
  <si>
    <t>VOHS</t>
  </si>
  <si>
    <t>Rajiv Gandhi International Airport</t>
  </si>
  <si>
    <t>HYI</t>
  </si>
  <si>
    <t>KHYI</t>
  </si>
  <si>
    <t>San Marcos Municipal Airport</t>
  </si>
  <si>
    <t>HYN</t>
  </si>
  <si>
    <t>ZSLQ</t>
  </si>
  <si>
    <t>Huangyan Luqiao Airport</t>
  </si>
  <si>
    <t>HYR</t>
  </si>
  <si>
    <t>KHYR</t>
  </si>
  <si>
    <t>Sawyer County Airport</t>
  </si>
  <si>
    <t>HYS</t>
  </si>
  <si>
    <t>KHYS</t>
  </si>
  <si>
    <t>Hays Regional Airport</t>
  </si>
  <si>
    <t>HYV</t>
  </si>
  <si>
    <t>EFHV</t>
  </si>
  <si>
    <t>Hyvinkaa Airport</t>
  </si>
  <si>
    <t>HYW</t>
  </si>
  <si>
    <t>KHYW</t>
  </si>
  <si>
    <t>Conway-Horry County Airport</t>
  </si>
  <si>
    <t>HYX</t>
  </si>
  <si>
    <t>KHYX</t>
  </si>
  <si>
    <t>Saginaw County H.W. Browne Airport</t>
  </si>
  <si>
    <t>HZB</t>
  </si>
  <si>
    <t>LFQT</t>
  </si>
  <si>
    <t>Merville Calonne Airport</t>
  </si>
  <si>
    <t>HZG</t>
  </si>
  <si>
    <t>ZLHZ</t>
  </si>
  <si>
    <t>Hanzhong Airport</t>
  </si>
  <si>
    <t>HZK</t>
  </si>
  <si>
    <t>BIHU</t>
  </si>
  <si>
    <t>Húsavík Airport</t>
  </si>
  <si>
    <t>HZL</t>
  </si>
  <si>
    <t>KHZL</t>
  </si>
  <si>
    <t>Hazleton Municipal Airport</t>
  </si>
  <si>
    <t>HZP</t>
  </si>
  <si>
    <t>CYNR</t>
  </si>
  <si>
    <t>Fort Mackay / Horizon Airport</t>
  </si>
  <si>
    <t>IAA</t>
  </si>
  <si>
    <t>UOII</t>
  </si>
  <si>
    <t>Igarka Airport</t>
  </si>
  <si>
    <t>IAB</t>
  </si>
  <si>
    <t>KIAB</t>
  </si>
  <si>
    <t>McConnell AFB</t>
  </si>
  <si>
    <t>IAD</t>
  </si>
  <si>
    <t>KIAD</t>
  </si>
  <si>
    <t>Washington Dulles International Airport</t>
  </si>
  <si>
    <t>IAG</t>
  </si>
  <si>
    <t>KIAG</t>
  </si>
  <si>
    <t>Niagara Falls International Airport</t>
  </si>
  <si>
    <t>IAH</t>
  </si>
  <si>
    <t>KIAH</t>
  </si>
  <si>
    <t>George Bush Intercontinental Airport</t>
  </si>
  <si>
    <t>IAM</t>
  </si>
  <si>
    <t>DAUZ</t>
  </si>
  <si>
    <t>In Aménas Airport</t>
  </si>
  <si>
    <t>IAN</t>
  </si>
  <si>
    <t>PAIK</t>
  </si>
  <si>
    <t>Bob Baker Memorial Airport</t>
  </si>
  <si>
    <t>IAO</t>
  </si>
  <si>
    <t>RPNS</t>
  </si>
  <si>
    <t>Siargao Airport</t>
  </si>
  <si>
    <t>IAR</t>
  </si>
  <si>
    <t>UUDL</t>
  </si>
  <si>
    <t>Yaroslavl Airport</t>
  </si>
  <si>
    <t>IAS</t>
  </si>
  <si>
    <t>LRIA</t>
  </si>
  <si>
    <t>Iași International Airport</t>
  </si>
  <si>
    <t>IBA</t>
  </si>
  <si>
    <t>DNIB</t>
  </si>
  <si>
    <t>Ibadan Airport</t>
  </si>
  <si>
    <t>IBB</t>
  </si>
  <si>
    <t>SEII</t>
  </si>
  <si>
    <t>General Villamil Airport</t>
  </si>
  <si>
    <t>IBE</t>
  </si>
  <si>
    <t>SKIB</t>
  </si>
  <si>
    <t>Perales Airport</t>
  </si>
  <si>
    <t>IBM</t>
  </si>
  <si>
    <t>KIBM</t>
  </si>
  <si>
    <t>Kimball Municipal Airport (Robert E. Arraj Field)</t>
  </si>
  <si>
    <t>IBN</t>
  </si>
  <si>
    <t>PABN</t>
  </si>
  <si>
    <t>Devils Mountain Lodge Airport</t>
  </si>
  <si>
    <t>IBO</t>
  </si>
  <si>
    <t>KIBO</t>
  </si>
  <si>
    <t>Idabel Airport</t>
  </si>
  <si>
    <t>IBP</t>
  </si>
  <si>
    <t>SPBR</t>
  </si>
  <si>
    <t>Iberia Airport</t>
  </si>
  <si>
    <t>IBR</t>
  </si>
  <si>
    <t>RJAH</t>
  </si>
  <si>
    <t>Ibaraki Airport (Hyakuri Air Base)</t>
  </si>
  <si>
    <t>IBZ</t>
  </si>
  <si>
    <t>LEIB</t>
  </si>
  <si>
    <t>Ibiza Airport</t>
  </si>
  <si>
    <t>ICA</t>
  </si>
  <si>
    <t>SVIC</t>
  </si>
  <si>
    <t>Icabarú Airport</t>
  </si>
  <si>
    <t>ICI</t>
  </si>
  <si>
    <t>NFCI</t>
  </si>
  <si>
    <t>Cicia Airport</t>
  </si>
  <si>
    <t>ICK</t>
  </si>
  <si>
    <t>SMNI</t>
  </si>
  <si>
    <t>Nieuw-Nickerie Airport (Maj. Fernandes Airport)</t>
  </si>
  <si>
    <t>ICL</t>
  </si>
  <si>
    <t>KICL</t>
  </si>
  <si>
    <t>Schenck Field</t>
  </si>
  <si>
    <t>ICN</t>
  </si>
  <si>
    <t>RKSI</t>
  </si>
  <si>
    <t>Incheon International Airport</t>
  </si>
  <si>
    <t>ICR</t>
  </si>
  <si>
    <t>MUNC</t>
  </si>
  <si>
    <t>Nicaro Airport</t>
  </si>
  <si>
    <t>ICS</t>
  </si>
  <si>
    <t>KU70</t>
  </si>
  <si>
    <t>Cascade Airport</t>
  </si>
  <si>
    <t>ICT</t>
  </si>
  <si>
    <t>KICT</t>
  </si>
  <si>
    <t>Wichita Dwight D. Eisenhower National Airport</t>
  </si>
  <si>
    <t>IDA</t>
  </si>
  <si>
    <t>KIDA</t>
  </si>
  <si>
    <t>Idaho Falls Regional Airport</t>
  </si>
  <si>
    <t>IDB</t>
  </si>
  <si>
    <t>ESUE</t>
  </si>
  <si>
    <t>Idre Airport</t>
  </si>
  <si>
    <t>IDF</t>
  </si>
  <si>
    <t>FZCB</t>
  </si>
  <si>
    <t>Idiofa Airport</t>
  </si>
  <si>
    <t>IDG</t>
  </si>
  <si>
    <t>KIDG</t>
  </si>
  <si>
    <t>Ida Grove Municipal Airport</t>
  </si>
  <si>
    <t>IDH</t>
  </si>
  <si>
    <t>KGIC</t>
  </si>
  <si>
    <t>Idaho County Airport</t>
  </si>
  <si>
    <t>IDI</t>
  </si>
  <si>
    <t>KIDI</t>
  </si>
  <si>
    <t>Indiana County Airport (Jimmy Stewart Field)</t>
  </si>
  <si>
    <t>IDK</t>
  </si>
  <si>
    <t>YIDK</t>
  </si>
  <si>
    <t>Indulkana Airport</t>
  </si>
  <si>
    <t>IDL</t>
  </si>
  <si>
    <t>KIDL</t>
  </si>
  <si>
    <t>Indianola Municipal Airport</t>
  </si>
  <si>
    <t>IDO</t>
  </si>
  <si>
    <t>SWIY</t>
  </si>
  <si>
    <t>Santa Izabel do Morro Airport</t>
  </si>
  <si>
    <t>IDP</t>
  </si>
  <si>
    <t>KIDP</t>
  </si>
  <si>
    <t>Independence Municipal Airport</t>
  </si>
  <si>
    <t>IDR</t>
  </si>
  <si>
    <t>VAID</t>
  </si>
  <si>
    <t>Devi Ahilyabai Holkar International Airport</t>
  </si>
  <si>
    <t>IDY</t>
  </si>
  <si>
    <t>LFEY</t>
  </si>
  <si>
    <t>Île d'Yeu Airport</t>
  </si>
  <si>
    <t>IEG</t>
  </si>
  <si>
    <t>EPZG</t>
  </si>
  <si>
    <t>Zielona Góra Airport</t>
  </si>
  <si>
    <t>IEJ</t>
  </si>
  <si>
    <t>RORE</t>
  </si>
  <si>
    <t>Ie Jima Airport</t>
  </si>
  <si>
    <t>IEM</t>
  </si>
  <si>
    <t>PAWR</t>
  </si>
  <si>
    <t>Whittier Airport</t>
  </si>
  <si>
    <t>IEN</t>
  </si>
  <si>
    <t>KIEN</t>
  </si>
  <si>
    <t>Pine Ridge Airport</t>
  </si>
  <si>
    <t>IER</t>
  </si>
  <si>
    <t>KIER</t>
  </si>
  <si>
    <t>Natchitoches Regional Airport</t>
  </si>
  <si>
    <t>IEV</t>
  </si>
  <si>
    <t>UKKK</t>
  </si>
  <si>
    <t>Kiev International Airport</t>
  </si>
  <si>
    <t>IFA</t>
  </si>
  <si>
    <t>KIFA</t>
  </si>
  <si>
    <t>Iowa Falls Municipal Airport</t>
  </si>
  <si>
    <t>IFF</t>
  </si>
  <si>
    <t>YIFY</t>
  </si>
  <si>
    <t>Iffley Airport</t>
  </si>
  <si>
    <t>IFH</t>
  </si>
  <si>
    <t>OIFE</t>
  </si>
  <si>
    <t>Hesa Airport</t>
  </si>
  <si>
    <t>IFJ</t>
  </si>
  <si>
    <t>BIIS</t>
  </si>
  <si>
    <t>Ãsafjörður Airport</t>
  </si>
  <si>
    <t>IFL</t>
  </si>
  <si>
    <t>YIFL</t>
  </si>
  <si>
    <t>Innisfail Airport</t>
  </si>
  <si>
    <t>IFN</t>
  </si>
  <si>
    <t>OIFM</t>
  </si>
  <si>
    <t>Esfahan Shahid Beheshti International Airport</t>
  </si>
  <si>
    <t>IFO</t>
  </si>
  <si>
    <t>UKLI</t>
  </si>
  <si>
    <t>Ivano-Frankivsk Airport</t>
  </si>
  <si>
    <t>IFP</t>
  </si>
  <si>
    <t>KIFP</t>
  </si>
  <si>
    <t>Laughlin/Bullhead International Airport</t>
  </si>
  <si>
    <t>IGA</t>
  </si>
  <si>
    <t>MYIG</t>
  </si>
  <si>
    <t>Inagua Airport</t>
  </si>
  <si>
    <t>IGB</t>
  </si>
  <si>
    <t>SAVJ</t>
  </si>
  <si>
    <t>Cabo F.A.A. H. R. Bordón Airport</t>
  </si>
  <si>
    <t>IGG</t>
  </si>
  <si>
    <t>PAIG</t>
  </si>
  <si>
    <t>Igiugig Airport</t>
  </si>
  <si>
    <t>IGH</t>
  </si>
  <si>
    <t>YIGM</t>
  </si>
  <si>
    <t>Ingham Airport</t>
  </si>
  <si>
    <t>IGL</t>
  </si>
  <si>
    <t>LTBL</t>
  </si>
  <si>
    <t>Çiğli Air Base</t>
  </si>
  <si>
    <t>IGM</t>
  </si>
  <si>
    <t>KIGM</t>
  </si>
  <si>
    <t>Kingman Airport</t>
  </si>
  <si>
    <t>IGN</t>
  </si>
  <si>
    <t>RPMI</t>
  </si>
  <si>
    <t>Iligan Airport</t>
  </si>
  <si>
    <t>IGO</t>
  </si>
  <si>
    <t>SKIG</t>
  </si>
  <si>
    <t>Chigorodó Airport</t>
  </si>
  <si>
    <t>IGQ</t>
  </si>
  <si>
    <t>KIGQ</t>
  </si>
  <si>
    <t>Lansing Municipal Airport</t>
  </si>
  <si>
    <t>IGR</t>
  </si>
  <si>
    <t>SARI</t>
  </si>
  <si>
    <t>Cataratas del Iguazú International Airport</t>
  </si>
  <si>
    <t>IGS</t>
  </si>
  <si>
    <t>ETSI</t>
  </si>
  <si>
    <t>Ingolstadt Manching Airport</t>
  </si>
  <si>
    <t>IGT</t>
  </si>
  <si>
    <t>URMS</t>
  </si>
  <si>
    <t>Magas Airport</t>
  </si>
  <si>
    <t>PAGT</t>
  </si>
  <si>
    <t>Nightmute Airport</t>
  </si>
  <si>
    <t>IGU</t>
  </si>
  <si>
    <t>SBFI</t>
  </si>
  <si>
    <t>Foz do Iguaçu International Airport</t>
  </si>
  <si>
    <t>IGX</t>
  </si>
  <si>
    <t>KIGX</t>
  </si>
  <si>
    <t>Horace Williams Airport</t>
  </si>
  <si>
    <t>IHC</t>
  </si>
  <si>
    <t>FQIA</t>
  </si>
  <si>
    <t>Inhaca Airport</t>
  </si>
  <si>
    <t>IHN</t>
  </si>
  <si>
    <t>OYQN</t>
  </si>
  <si>
    <t>Qishn Airport</t>
  </si>
  <si>
    <t>IHO</t>
  </si>
  <si>
    <t>FMSI</t>
  </si>
  <si>
    <t>Ihosy Airport</t>
  </si>
  <si>
    <t>IIA</t>
  </si>
  <si>
    <t>EIMN</t>
  </si>
  <si>
    <t>Inishmaan Aerodrome</t>
  </si>
  <si>
    <t>IIB</t>
  </si>
  <si>
    <t>KIIB</t>
  </si>
  <si>
    <t>IIK</t>
  </si>
  <si>
    <t>PAKI</t>
  </si>
  <si>
    <t>Kipnuk Airport</t>
  </si>
  <si>
    <t>IIL</t>
  </si>
  <si>
    <t>OICI</t>
  </si>
  <si>
    <t>Ilam Airport</t>
  </si>
  <si>
    <t>IIY</t>
  </si>
  <si>
    <t>KIIY</t>
  </si>
  <si>
    <t>Washington-Wilkes County Airport</t>
  </si>
  <si>
    <t>IJD</t>
  </si>
  <si>
    <t>KIJD</t>
  </si>
  <si>
    <t>Windham Airport</t>
  </si>
  <si>
    <t>IJK</t>
  </si>
  <si>
    <t>USII</t>
  </si>
  <si>
    <t>Izhevsk Airport</t>
  </si>
  <si>
    <t>IJU</t>
  </si>
  <si>
    <t>SSIJ</t>
  </si>
  <si>
    <t>Ijuí Airport</t>
  </si>
  <si>
    <t>IJX</t>
  </si>
  <si>
    <t>KIJX</t>
  </si>
  <si>
    <t>Jacksonville Municipal Airport</t>
  </si>
  <si>
    <t>IKA</t>
  </si>
  <si>
    <t>OIIE</t>
  </si>
  <si>
    <t>Imam Khomeini International Airport</t>
  </si>
  <si>
    <t>IKG</t>
  </si>
  <si>
    <t>KIKG</t>
  </si>
  <si>
    <t>Kleberg County Airport</t>
  </si>
  <si>
    <t>IKI</t>
  </si>
  <si>
    <t>RJDB</t>
  </si>
  <si>
    <t>Iki Airport</t>
  </si>
  <si>
    <t>IKK</t>
  </si>
  <si>
    <t>KIKK</t>
  </si>
  <si>
    <t>Greater Kankakee Airport</t>
  </si>
  <si>
    <t>IKL</t>
  </si>
  <si>
    <t>FZGV</t>
  </si>
  <si>
    <t>Ikela Airport</t>
  </si>
  <si>
    <t>IKO</t>
  </si>
  <si>
    <t>PAKO</t>
  </si>
  <si>
    <t>Nikolski Air Station</t>
  </si>
  <si>
    <t>IKP</t>
  </si>
  <si>
    <t>YIKM</t>
  </si>
  <si>
    <t>Inkerman Airport</t>
  </si>
  <si>
    <t>IKS</t>
  </si>
  <si>
    <t>UEST</t>
  </si>
  <si>
    <t>Tiksi Airport</t>
  </si>
  <si>
    <t>IKT</t>
  </si>
  <si>
    <t>UIII</t>
  </si>
  <si>
    <t>Irkutsk Airport</t>
  </si>
  <si>
    <t>UUII</t>
  </si>
  <si>
    <t>Irkutsk International Airport</t>
  </si>
  <si>
    <t>IKV</t>
  </si>
  <si>
    <t>KIKV</t>
  </si>
  <si>
    <t>Ankeny Regional Airport</t>
  </si>
  <si>
    <t>ILA</t>
  </si>
  <si>
    <t>WABL</t>
  </si>
  <si>
    <t>Illaga Airport</t>
  </si>
  <si>
    <t>ILE</t>
  </si>
  <si>
    <t>KILE</t>
  </si>
  <si>
    <t>Skylark Field</t>
  </si>
  <si>
    <t>ILG</t>
  </si>
  <si>
    <t>KILG</t>
  </si>
  <si>
    <t>New Castle Airport</t>
  </si>
  <si>
    <t>ILI</t>
  </si>
  <si>
    <t>PAIL</t>
  </si>
  <si>
    <t>Iliamna Airport</t>
  </si>
  <si>
    <t>ILK</t>
  </si>
  <si>
    <t>FMMQ</t>
  </si>
  <si>
    <t>Atsinanana Airport</t>
  </si>
  <si>
    <t>ILL</t>
  </si>
  <si>
    <t>KILL</t>
  </si>
  <si>
    <t>Willmar Municipal Airport (John L. Rice Field)</t>
  </si>
  <si>
    <t>ILM</t>
  </si>
  <si>
    <t>KILM</t>
  </si>
  <si>
    <t>Wilmington International Airport</t>
  </si>
  <si>
    <t>ILN</t>
  </si>
  <si>
    <t>KILN</t>
  </si>
  <si>
    <t>Airborne Airpark</t>
  </si>
  <si>
    <t>ILO</t>
  </si>
  <si>
    <t>RPVI</t>
  </si>
  <si>
    <t>Iloilo International Airport</t>
  </si>
  <si>
    <t>ILP</t>
  </si>
  <si>
    <t>NWWE</t>
  </si>
  <si>
    <t>Île des Pins Airport</t>
  </si>
  <si>
    <t>ILQ</t>
  </si>
  <si>
    <t>SPLO</t>
  </si>
  <si>
    <t>Ilo Airport</t>
  </si>
  <si>
    <t>ILR</t>
  </si>
  <si>
    <t>DNIL</t>
  </si>
  <si>
    <t>Ilorin International Airport</t>
  </si>
  <si>
    <t>ILU</t>
  </si>
  <si>
    <t>HKKL</t>
  </si>
  <si>
    <t>Kilaguni Airport</t>
  </si>
  <si>
    <t>ILY</t>
  </si>
  <si>
    <t>EGPI</t>
  </si>
  <si>
    <t>Islay Airport</t>
  </si>
  <si>
    <t>ILZ</t>
  </si>
  <si>
    <t>LZZI</t>
  </si>
  <si>
    <t>Žilina Airport</t>
  </si>
  <si>
    <t>IMB</t>
  </si>
  <si>
    <t>SYIB</t>
  </si>
  <si>
    <t>Imbaimadai Airport</t>
  </si>
  <si>
    <t>IMF</t>
  </si>
  <si>
    <t>VEIM</t>
  </si>
  <si>
    <t>Imphal Airport</t>
  </si>
  <si>
    <t>IMK</t>
  </si>
  <si>
    <t>VNST</t>
  </si>
  <si>
    <t>Simikot Airport</t>
  </si>
  <si>
    <t>IML</t>
  </si>
  <si>
    <t>KIML</t>
  </si>
  <si>
    <t>Imperial Municipal Airport</t>
  </si>
  <si>
    <t>IMM</t>
  </si>
  <si>
    <t>KIMM</t>
  </si>
  <si>
    <t>Immokalee Airport</t>
  </si>
  <si>
    <t>IMO</t>
  </si>
  <si>
    <t>FEFZ</t>
  </si>
  <si>
    <t>Zemio Airport</t>
  </si>
  <si>
    <t>IMP</t>
  </si>
  <si>
    <t>SBIZ</t>
  </si>
  <si>
    <t>Prefeito Renato Moreira Airport</t>
  </si>
  <si>
    <t>IMT</t>
  </si>
  <si>
    <t>KIMT</t>
  </si>
  <si>
    <t>Ford Airport</t>
  </si>
  <si>
    <t>INA</t>
  </si>
  <si>
    <t>UUYI</t>
  </si>
  <si>
    <t>Inta Airport</t>
  </si>
  <si>
    <t>INC</t>
  </si>
  <si>
    <t>ZLIC</t>
  </si>
  <si>
    <t>Yinchuan Airport</t>
  </si>
  <si>
    <t>IND</t>
  </si>
  <si>
    <t>KIND</t>
  </si>
  <si>
    <t>Indianapolis International Airport</t>
  </si>
  <si>
    <t>INF</t>
  </si>
  <si>
    <t>DATG</t>
  </si>
  <si>
    <t>In Guezzam Airport</t>
  </si>
  <si>
    <t>ING</t>
  </si>
  <si>
    <t>SAWA</t>
  </si>
  <si>
    <t>Lago Argentino Airport</t>
  </si>
  <si>
    <t>INH</t>
  </si>
  <si>
    <t>FQIN</t>
  </si>
  <si>
    <t>Inhambane Airport</t>
  </si>
  <si>
    <t>INI</t>
  </si>
  <si>
    <t>LYNI</t>
  </si>
  <si>
    <t>Ni? Constantine the Great Airport</t>
  </si>
  <si>
    <t>INJ</t>
  </si>
  <si>
    <t>YINJ</t>
  </si>
  <si>
    <t>Injune Airport</t>
  </si>
  <si>
    <t>KINJ</t>
  </si>
  <si>
    <t>Hillsboro Municipal Airport</t>
  </si>
  <si>
    <t>INK</t>
  </si>
  <si>
    <t>KINK</t>
  </si>
  <si>
    <t>Winkler County Airport</t>
  </si>
  <si>
    <t>INL</t>
  </si>
  <si>
    <t>KINL</t>
  </si>
  <si>
    <t>Falls International Airport</t>
  </si>
  <si>
    <t>INM</t>
  </si>
  <si>
    <t>YINN</t>
  </si>
  <si>
    <t>Innamincka Airport</t>
  </si>
  <si>
    <t>INN</t>
  </si>
  <si>
    <t>LOWI</t>
  </si>
  <si>
    <t>Innsbruck Kranebitten Airport</t>
  </si>
  <si>
    <t>INO</t>
  </si>
  <si>
    <t>FZBA</t>
  </si>
  <si>
    <t>Inongo Airport</t>
  </si>
  <si>
    <t>INQ</t>
  </si>
  <si>
    <t>EIIR</t>
  </si>
  <si>
    <t>Inisheer Aerodrome</t>
  </si>
  <si>
    <t>INR</t>
  </si>
  <si>
    <t>PAIN</t>
  </si>
  <si>
    <t>McKinley National Park Airport</t>
  </si>
  <si>
    <t>INS</t>
  </si>
  <si>
    <t>KINS</t>
  </si>
  <si>
    <t>Creech Air Force Base</t>
  </si>
  <si>
    <t>INT</t>
  </si>
  <si>
    <t>KINT</t>
  </si>
  <si>
    <t>Smith Reynolds Airport</t>
  </si>
  <si>
    <t>INU</t>
  </si>
  <si>
    <t>ANYN</t>
  </si>
  <si>
    <t>Nauru International Airport</t>
  </si>
  <si>
    <t>INV</t>
  </si>
  <si>
    <t>EGPE</t>
  </si>
  <si>
    <t>Inverness Airport</t>
  </si>
  <si>
    <t>INW</t>
  </si>
  <si>
    <t>KINW</t>
  </si>
  <si>
    <t>Winslow-Lindbergh Regional Airport</t>
  </si>
  <si>
    <t>INX</t>
  </si>
  <si>
    <t>WASI</t>
  </si>
  <si>
    <t>Inanwatan Airport</t>
  </si>
  <si>
    <t>INZ</t>
  </si>
  <si>
    <t>DAUI</t>
  </si>
  <si>
    <t>In Salah Airport</t>
  </si>
  <si>
    <t>IOA</t>
  </si>
  <si>
    <t>LGIO</t>
  </si>
  <si>
    <t>Ioannina National Airport</t>
  </si>
  <si>
    <t>IOB</t>
  </si>
  <si>
    <t>KIOB</t>
  </si>
  <si>
    <t>Mount Sterling-Montgomery County Airport</t>
  </si>
  <si>
    <t>IOM</t>
  </si>
  <si>
    <t>EGNS</t>
  </si>
  <si>
    <t>Isle of Man Airport</t>
  </si>
  <si>
    <t>ION</t>
  </si>
  <si>
    <t>FCOI</t>
  </si>
  <si>
    <t>Impfondo Airport</t>
  </si>
  <si>
    <t>IOR</t>
  </si>
  <si>
    <t>EIIM</t>
  </si>
  <si>
    <t>Inishmore Aerodrome</t>
  </si>
  <si>
    <t>IOS</t>
  </si>
  <si>
    <t>SBIL</t>
  </si>
  <si>
    <t>Ilhéus Jorge Amado Airport</t>
  </si>
  <si>
    <t>IOU</t>
  </si>
  <si>
    <t>NWWO</t>
  </si>
  <si>
    <t>Edmond Cané Airport</t>
  </si>
  <si>
    <t>IOW</t>
  </si>
  <si>
    <t>KIOW</t>
  </si>
  <si>
    <t>Iowa City Municipal Airport</t>
  </si>
  <si>
    <t>IPA</t>
  </si>
  <si>
    <t>NVVI</t>
  </si>
  <si>
    <t>Ipota Airport</t>
  </si>
  <si>
    <t>IPC</t>
  </si>
  <si>
    <t>SCIP</t>
  </si>
  <si>
    <t>Mataveri International Airport</t>
  </si>
  <si>
    <t>IPE</t>
  </si>
  <si>
    <t>RPMV</t>
  </si>
  <si>
    <t>Ipil Airport</t>
  </si>
  <si>
    <t>IPG</t>
  </si>
  <si>
    <t>SWII</t>
  </si>
  <si>
    <t>Ipiranga Airport</t>
  </si>
  <si>
    <t>IPH</t>
  </si>
  <si>
    <t>WMKI</t>
  </si>
  <si>
    <t>Sultan Azlan Shah Airport</t>
  </si>
  <si>
    <t>IPI</t>
  </si>
  <si>
    <t>SKIP</t>
  </si>
  <si>
    <t>San Luis Airport</t>
  </si>
  <si>
    <t>IPJ</t>
  </si>
  <si>
    <t>KIPJ</t>
  </si>
  <si>
    <t>Lincolnton-Lincoln County Regional Airport</t>
  </si>
  <si>
    <t>IPL</t>
  </si>
  <si>
    <t>KIPL</t>
  </si>
  <si>
    <t>Imperial County Airport</t>
  </si>
  <si>
    <t>IPN</t>
  </si>
  <si>
    <t>SBIP</t>
  </si>
  <si>
    <t>Usiminas Airport</t>
  </si>
  <si>
    <t>IPT</t>
  </si>
  <si>
    <t>KIPT</t>
  </si>
  <si>
    <t>Williamsport Regional Airport</t>
  </si>
  <si>
    <t>IPU</t>
  </si>
  <si>
    <t>SNIU</t>
  </si>
  <si>
    <t>Ipiaú Airport</t>
  </si>
  <si>
    <t>IPW</t>
  </si>
  <si>
    <t>EGSE</t>
  </si>
  <si>
    <t>Ipswich Airport ipw? Ipswich, England (closed 1996)</t>
  </si>
  <si>
    <t>IQA</t>
  </si>
  <si>
    <t>ORAA</t>
  </si>
  <si>
    <t>Al Asad Air Base</t>
  </si>
  <si>
    <t>IQM</t>
  </si>
  <si>
    <t>ZWCM</t>
  </si>
  <si>
    <t>Qiemo Airport</t>
  </si>
  <si>
    <t>IQN</t>
  </si>
  <si>
    <t>ZLQY</t>
  </si>
  <si>
    <t>Qingyang Airport</t>
  </si>
  <si>
    <t>IQQ</t>
  </si>
  <si>
    <t>SCDA</t>
  </si>
  <si>
    <t>Diego Aracena International Airport</t>
  </si>
  <si>
    <t>IQT</t>
  </si>
  <si>
    <t>SPQT</t>
  </si>
  <si>
    <t>Crnl. FAP Francisco Secada Vignetta International Airport</t>
  </si>
  <si>
    <t>IRA</t>
  </si>
  <si>
    <t>AGGK</t>
  </si>
  <si>
    <t>Ngorangora Airport</t>
  </si>
  <si>
    <t>IRD</t>
  </si>
  <si>
    <t>VGIS</t>
  </si>
  <si>
    <t>Ishurdi Airport</t>
  </si>
  <si>
    <t>IRE</t>
  </si>
  <si>
    <t>SNIC</t>
  </si>
  <si>
    <t>Irecê Airport</t>
  </si>
  <si>
    <t>IRG</t>
  </si>
  <si>
    <t>YLHR</t>
  </si>
  <si>
    <t>Lockhart River Airport</t>
  </si>
  <si>
    <t>IRI</t>
  </si>
  <si>
    <t>HTIR</t>
  </si>
  <si>
    <t>Iringa Airport</t>
  </si>
  <si>
    <t>IRJ</t>
  </si>
  <si>
    <t>SANL</t>
  </si>
  <si>
    <t>Capitán Vicente Almandos Amonacid Airport</t>
  </si>
  <si>
    <t>IRK</t>
  </si>
  <si>
    <t>KIRK</t>
  </si>
  <si>
    <t>Kirksville Regional Airport</t>
  </si>
  <si>
    <t>IRM</t>
  </si>
  <si>
    <t>USHI</t>
  </si>
  <si>
    <t>Igrim Airport</t>
  </si>
  <si>
    <t>IRO</t>
  </si>
  <si>
    <t>FEFI</t>
  </si>
  <si>
    <t>Birao Airport</t>
  </si>
  <si>
    <t>IRP</t>
  </si>
  <si>
    <t>FZJH</t>
  </si>
  <si>
    <t>Matari Airport</t>
  </si>
  <si>
    <t>IRS</t>
  </si>
  <si>
    <t>KIRS</t>
  </si>
  <si>
    <t>Kirsch Municipal Airport</t>
  </si>
  <si>
    <t>IRZ</t>
  </si>
  <si>
    <t>SWTP</t>
  </si>
  <si>
    <t>Tapuruquara Airport</t>
  </si>
  <si>
    <t>ISA</t>
  </si>
  <si>
    <t>YBMA</t>
  </si>
  <si>
    <t>Mount Isa Airport</t>
  </si>
  <si>
    <t>ISB</t>
  </si>
  <si>
    <t>OPRN</t>
  </si>
  <si>
    <t>Islamabad International Airport</t>
  </si>
  <si>
    <t>KISB</t>
  </si>
  <si>
    <t>Sibley Municipal Airport</t>
  </si>
  <si>
    <t>ISC</t>
  </si>
  <si>
    <t>EGHE</t>
  </si>
  <si>
    <t>St. Mary's Airport</t>
  </si>
  <si>
    <t>ISE</t>
  </si>
  <si>
    <t>LTFC</t>
  </si>
  <si>
    <t>Suleyman Demirel Airport</t>
  </si>
  <si>
    <t>ISG</t>
  </si>
  <si>
    <t>ROIG</t>
  </si>
  <si>
    <t>New Ishigaki Airport</t>
  </si>
  <si>
    <t>ISI</t>
  </si>
  <si>
    <t>YISF</t>
  </si>
  <si>
    <t>Isisford Airport</t>
  </si>
  <si>
    <t>ISJ</t>
  </si>
  <si>
    <t>MMIM</t>
  </si>
  <si>
    <t>Isla Mujeres Airport</t>
  </si>
  <si>
    <t>ISK</t>
  </si>
  <si>
    <t>VANR</t>
  </si>
  <si>
    <t>Gandhinagar Airport</t>
  </si>
  <si>
    <t>ISL</t>
  </si>
  <si>
    <t>LTBA</t>
  </si>
  <si>
    <t>Atatürk Airport</t>
  </si>
  <si>
    <t>ISM</t>
  </si>
  <si>
    <t>KISM</t>
  </si>
  <si>
    <t>Kissimmee Gateway Airport</t>
  </si>
  <si>
    <t>ISN</t>
  </si>
  <si>
    <t>KISN</t>
  </si>
  <si>
    <t>Sloulin Field International Airport</t>
  </si>
  <si>
    <t>ISO</t>
  </si>
  <si>
    <t>KISO</t>
  </si>
  <si>
    <t>Kinston Regional Jetport (at Stallings Field)</t>
  </si>
  <si>
    <t>ISP</t>
  </si>
  <si>
    <t>KISP</t>
  </si>
  <si>
    <t>Long Island MacArthur Airport</t>
  </si>
  <si>
    <t>ISQ</t>
  </si>
  <si>
    <t>KISQ</t>
  </si>
  <si>
    <t>Schoolcraft County Airport</t>
  </si>
  <si>
    <t>IST</t>
  </si>
  <si>
    <t>LTFM</t>
  </si>
  <si>
    <t>Istanbul Airport</t>
  </si>
  <si>
    <t>ISU</t>
  </si>
  <si>
    <t>ORSU</t>
  </si>
  <si>
    <t>Sulaimaniyah International Airport</t>
  </si>
  <si>
    <t>ISW</t>
  </si>
  <si>
    <t>KISW</t>
  </si>
  <si>
    <t>Alexander Field South Wood County Airport</t>
  </si>
  <si>
    <t>ISZ</t>
  </si>
  <si>
    <t>KISZ</t>
  </si>
  <si>
    <t>Blue Ash Airport</t>
  </si>
  <si>
    <t>ITA</t>
  </si>
  <si>
    <t>SBIC</t>
  </si>
  <si>
    <t>Itacoatiara Airport</t>
  </si>
  <si>
    <t>ITB</t>
  </si>
  <si>
    <t>SBCC</t>
  </si>
  <si>
    <t>Cachimbo Airport</t>
  </si>
  <si>
    <t>SBIH</t>
  </si>
  <si>
    <t>Itaituba Airport</t>
  </si>
  <si>
    <t>ITH</t>
  </si>
  <si>
    <t>KITH</t>
  </si>
  <si>
    <t>Ithaca Tompkins Regional Airport</t>
  </si>
  <si>
    <t>ITI</t>
  </si>
  <si>
    <t>SNYH</t>
  </si>
  <si>
    <t>Agropecuária Castanhais Airport</t>
  </si>
  <si>
    <t>ITM</t>
  </si>
  <si>
    <t>RJOO</t>
  </si>
  <si>
    <t>Osaka International Airport</t>
  </si>
  <si>
    <t>ITO</t>
  </si>
  <si>
    <t>PHTO</t>
  </si>
  <si>
    <t>Hilo International Airport</t>
  </si>
  <si>
    <t>ITQ</t>
  </si>
  <si>
    <t>SSIQ</t>
  </si>
  <si>
    <t>Itaqui Airport</t>
  </si>
  <si>
    <t>ITR</t>
  </si>
  <si>
    <t>KITR</t>
  </si>
  <si>
    <t>Kit Carson County Airport</t>
  </si>
  <si>
    <t>IUD</t>
  </si>
  <si>
    <t>OTBH</t>
  </si>
  <si>
    <t>Al Udeid Air Base</t>
  </si>
  <si>
    <t>IUE</t>
  </si>
  <si>
    <t>NIUE</t>
  </si>
  <si>
    <t>Hanan International Airport</t>
  </si>
  <si>
    <t>IVA</t>
  </si>
  <si>
    <t>FMNJ</t>
  </si>
  <si>
    <t>Ambanja Airport</t>
  </si>
  <si>
    <t>IVC</t>
  </si>
  <si>
    <t>NZNV</t>
  </si>
  <si>
    <t>Invercargill Airport</t>
  </si>
  <si>
    <t>IVG</t>
  </si>
  <si>
    <t>LYBR</t>
  </si>
  <si>
    <t>Berane Airport</t>
  </si>
  <si>
    <t>IVL</t>
  </si>
  <si>
    <t>EFIV</t>
  </si>
  <si>
    <t>Ivalo Airport</t>
  </si>
  <si>
    <t>IVR</t>
  </si>
  <si>
    <t>YIVL</t>
  </si>
  <si>
    <t>Inverell Airport</t>
  </si>
  <si>
    <t>IVW</t>
  </si>
  <si>
    <t>YINW</t>
  </si>
  <si>
    <t>Inverway Airport</t>
  </si>
  <si>
    <t>IWA</t>
  </si>
  <si>
    <t>UUBI</t>
  </si>
  <si>
    <t>Ivanovo South Airport</t>
  </si>
  <si>
    <t>IWD</t>
  </si>
  <si>
    <t>KIWD</t>
  </si>
  <si>
    <t>Gogebic-Iron County Airport</t>
  </si>
  <si>
    <t>IWH</t>
  </si>
  <si>
    <t>KIWH</t>
  </si>
  <si>
    <t>Wabash Municipal Airport</t>
  </si>
  <si>
    <t>IWI</t>
  </si>
  <si>
    <t>KIWI</t>
  </si>
  <si>
    <t>Wiscasset Airport</t>
  </si>
  <si>
    <t>IWJ</t>
  </si>
  <si>
    <t>RJOW</t>
  </si>
  <si>
    <t>Iwami Airport</t>
  </si>
  <si>
    <t>IWK</t>
  </si>
  <si>
    <t>RJOI</t>
  </si>
  <si>
    <t>Iwakuni Airport</t>
  </si>
  <si>
    <t>IWO</t>
  </si>
  <si>
    <t>RJAW</t>
  </si>
  <si>
    <t>North Field</t>
  </si>
  <si>
    <t>IWS</t>
  </si>
  <si>
    <t>KIWS</t>
  </si>
  <si>
    <t>West Houston Airport</t>
  </si>
  <si>
    <t>IXA</t>
  </si>
  <si>
    <t>VEAT</t>
  </si>
  <si>
    <t>Maharaja Bir Bikram Airport</t>
  </si>
  <si>
    <t>IXB</t>
  </si>
  <si>
    <t>VEBD</t>
  </si>
  <si>
    <t>Bagdogra Airport</t>
  </si>
  <si>
    <t>IXC</t>
  </si>
  <si>
    <t>VICG</t>
  </si>
  <si>
    <t>Chandigarh Airport</t>
  </si>
  <si>
    <t>IXD</t>
  </si>
  <si>
    <t>VIAL</t>
  </si>
  <si>
    <t>Allahabad Airport / Bamrauli Air Force Base</t>
  </si>
  <si>
    <t>IXE</t>
  </si>
  <si>
    <t>VOML</t>
  </si>
  <si>
    <t>Mangalore International Airport</t>
  </si>
  <si>
    <t>IXG</t>
  </si>
  <si>
    <t>VOBM</t>
  </si>
  <si>
    <t>Belagavi Airport</t>
  </si>
  <si>
    <t>IXH</t>
  </si>
  <si>
    <t>VEKR</t>
  </si>
  <si>
    <t>Kailashahar Airport</t>
  </si>
  <si>
    <t>IXI</t>
  </si>
  <si>
    <t>VELR</t>
  </si>
  <si>
    <t>Lilabari Airport (North Lakhimpur Airport)</t>
  </si>
  <si>
    <t>IXJ</t>
  </si>
  <si>
    <t>VIJU</t>
  </si>
  <si>
    <t>Jammu Airport (Satwari Airport)</t>
  </si>
  <si>
    <t>IXK</t>
  </si>
  <si>
    <t>VAKS</t>
  </si>
  <si>
    <t>Junagadh Airport (Keshod Airport)</t>
  </si>
  <si>
    <t>IXL</t>
  </si>
  <si>
    <t>VILH</t>
  </si>
  <si>
    <t>Kushok Bakula Rimpochee Airport</t>
  </si>
  <si>
    <t>IXM</t>
  </si>
  <si>
    <t>VOMD</t>
  </si>
  <si>
    <t>Madurai Airport</t>
  </si>
  <si>
    <t>IXN</t>
  </si>
  <si>
    <t>VEKW</t>
  </si>
  <si>
    <t>Khowai Airport</t>
  </si>
  <si>
    <t>IXP</t>
  </si>
  <si>
    <t>VIPK</t>
  </si>
  <si>
    <t>Pathankot Air Force Base</t>
  </si>
  <si>
    <t>IXQ</t>
  </si>
  <si>
    <t>VEKM</t>
  </si>
  <si>
    <t>Kamalpur Airport</t>
  </si>
  <si>
    <t>IXR</t>
  </si>
  <si>
    <t>VERC</t>
  </si>
  <si>
    <t>Birsa Munda Airport</t>
  </si>
  <si>
    <t>IXS</t>
  </si>
  <si>
    <t>VEKU</t>
  </si>
  <si>
    <t>Silchar Airport (Kumbhirgram Airport)</t>
  </si>
  <si>
    <t>IXT</t>
  </si>
  <si>
    <t>VEPG</t>
  </si>
  <si>
    <t>Pasighat Airport (Passighat Airport)</t>
  </si>
  <si>
    <t>IXU</t>
  </si>
  <si>
    <t>VAAU</t>
  </si>
  <si>
    <t>Aurangabad Airport (Chikkalthana Airport)</t>
  </si>
  <si>
    <t>IXV</t>
  </si>
  <si>
    <t>VEAN</t>
  </si>
  <si>
    <t>Along Airport</t>
  </si>
  <si>
    <t>IXW</t>
  </si>
  <si>
    <t>VEJS</t>
  </si>
  <si>
    <t>Jamshedpur Airport</t>
  </si>
  <si>
    <t>IXY</t>
  </si>
  <si>
    <t>VAKE</t>
  </si>
  <si>
    <t>Kandla Airport (Gandhidham Airport)</t>
  </si>
  <si>
    <t>IXZ</t>
  </si>
  <si>
    <t>VOPB</t>
  </si>
  <si>
    <t>Vir Savarkar Airport (Port Blair Airport)</t>
  </si>
  <si>
    <t>IYK</t>
  </si>
  <si>
    <t>KIYK</t>
  </si>
  <si>
    <t>Inyokern Airport</t>
  </si>
  <si>
    <t>IYS</t>
  </si>
  <si>
    <t>PAWS</t>
  </si>
  <si>
    <t>Wasilla Airport</t>
  </si>
  <si>
    <t>IZA</t>
  </si>
  <si>
    <t>SBZM</t>
  </si>
  <si>
    <t>Zona da Mata Regional Airport</t>
  </si>
  <si>
    <t>KIZA</t>
  </si>
  <si>
    <t>Santa Ynez Airport</t>
  </si>
  <si>
    <t>IZG</t>
  </si>
  <si>
    <t>KIZG</t>
  </si>
  <si>
    <t>Eastern Slopes Regional Airport</t>
  </si>
  <si>
    <t>IZO</t>
  </si>
  <si>
    <t>RJOC</t>
  </si>
  <si>
    <t>Izumo Airport</t>
  </si>
  <si>
    <t>IZT</t>
  </si>
  <si>
    <t>MMIT</t>
  </si>
  <si>
    <t>Ixtepec Airport</t>
  </si>
  <si>
    <t>JAA</t>
  </si>
  <si>
    <t>OAJL</t>
  </si>
  <si>
    <t>Jalalabad Airport</t>
  </si>
  <si>
    <t>JAB</t>
  </si>
  <si>
    <t>YJAB</t>
  </si>
  <si>
    <t>Jabiru Airport</t>
  </si>
  <si>
    <t>JAC</t>
  </si>
  <si>
    <t>KJAC</t>
  </si>
  <si>
    <t>Jackson Hole Airport</t>
  </si>
  <si>
    <t>JAD</t>
  </si>
  <si>
    <t>YPJT</t>
  </si>
  <si>
    <t>Perth Jandakot Airport</t>
  </si>
  <si>
    <t>JAF</t>
  </si>
  <si>
    <t>VCCJ</t>
  </si>
  <si>
    <t>Kankesanturai Airport</t>
  </si>
  <si>
    <t>JAG</t>
  </si>
  <si>
    <t>OPJA</t>
  </si>
  <si>
    <t>Shahbaz Air Base</t>
  </si>
  <si>
    <t>JAI</t>
  </si>
  <si>
    <t>VIJP</t>
  </si>
  <si>
    <t>Jaipur International Airport</t>
  </si>
  <si>
    <t>JAK</t>
  </si>
  <si>
    <t>MTJA</t>
  </si>
  <si>
    <t>Jacmel Airport</t>
  </si>
  <si>
    <t>JAL</t>
  </si>
  <si>
    <t>MMJA</t>
  </si>
  <si>
    <t>El Lencero Airport</t>
  </si>
  <si>
    <t>JAN</t>
  </si>
  <si>
    <t>KJAN</t>
  </si>
  <si>
    <t>Jackson-Evers International Airport</t>
  </si>
  <si>
    <t>JAS</t>
  </si>
  <si>
    <t>KJAS</t>
  </si>
  <si>
    <t>Jasper County-Bell Field</t>
  </si>
  <si>
    <t>JAU</t>
  </si>
  <si>
    <t>SPJJ</t>
  </si>
  <si>
    <t>Francisco Carle Airport</t>
  </si>
  <si>
    <t>JAV</t>
  </si>
  <si>
    <t>BGJN</t>
  </si>
  <si>
    <t>Ilulissat Airport</t>
  </si>
  <si>
    <t>JAX</t>
  </si>
  <si>
    <t>KJAX</t>
  </si>
  <si>
    <t>Jacksonville International Airport</t>
  </si>
  <si>
    <t>JBQ</t>
  </si>
  <si>
    <t>MDJB</t>
  </si>
  <si>
    <t>La Isabela International Airport</t>
  </si>
  <si>
    <t>JBR</t>
  </si>
  <si>
    <t>KJBR</t>
  </si>
  <si>
    <t>Jonesboro Municipal Airport</t>
  </si>
  <si>
    <t>JCB</t>
  </si>
  <si>
    <t>SSJA</t>
  </si>
  <si>
    <t>Santa Terezinha Airport</t>
  </si>
  <si>
    <t>JCI</t>
  </si>
  <si>
    <t>KIXD</t>
  </si>
  <si>
    <t>New Century AirCenter</t>
  </si>
  <si>
    <t>JCK</t>
  </si>
  <si>
    <t>YJLC</t>
  </si>
  <si>
    <t>Julia Creek Airport</t>
  </si>
  <si>
    <t>JCM</t>
  </si>
  <si>
    <t>SNJB</t>
  </si>
  <si>
    <t>Jacobina Airport</t>
  </si>
  <si>
    <t>JCR</t>
  </si>
  <si>
    <t>SBEK</t>
  </si>
  <si>
    <t>Jacareacanga Airport</t>
  </si>
  <si>
    <t>JCT</t>
  </si>
  <si>
    <t>KJCT</t>
  </si>
  <si>
    <t>Kimble County Airport</t>
  </si>
  <si>
    <t>JDD</t>
  </si>
  <si>
    <t>KJDD</t>
  </si>
  <si>
    <t>Wood County Airport</t>
  </si>
  <si>
    <t>JDF</t>
  </si>
  <si>
    <t>SBJF</t>
  </si>
  <si>
    <t>Francisco Alvares de Assis Airport</t>
  </si>
  <si>
    <t>JDH</t>
  </si>
  <si>
    <t>VIJO</t>
  </si>
  <si>
    <t>Jodhpur Airport</t>
  </si>
  <si>
    <t>JDN</t>
  </si>
  <si>
    <t>KJDN</t>
  </si>
  <si>
    <t>Jordan Airport</t>
  </si>
  <si>
    <t>JDO</t>
  </si>
  <si>
    <t>SBJU</t>
  </si>
  <si>
    <t>Cariri Regional Airport</t>
  </si>
  <si>
    <t>JDR</t>
  </si>
  <si>
    <t>SNJR</t>
  </si>
  <si>
    <t>Prefeito Octávio de Almeida Neves Airport</t>
  </si>
  <si>
    <t>JDZ</t>
  </si>
  <si>
    <t>ZSJD</t>
  </si>
  <si>
    <t>Jingdezhen Airport</t>
  </si>
  <si>
    <t>JED</t>
  </si>
  <si>
    <t>OEJN</t>
  </si>
  <si>
    <t>King Abdulaziz International Airport</t>
  </si>
  <si>
    <t>JEE</t>
  </si>
  <si>
    <t>MTJE</t>
  </si>
  <si>
    <t>Jérémie Airport</t>
  </si>
  <si>
    <t>JEF</t>
  </si>
  <si>
    <t>KJEF</t>
  </si>
  <si>
    <t>Jefferson City Memorial Airport</t>
  </si>
  <si>
    <t>JEG</t>
  </si>
  <si>
    <t>BGAA</t>
  </si>
  <si>
    <t>Aasiaat Airport</t>
  </si>
  <si>
    <t>JEQ</t>
  </si>
  <si>
    <t>SNJK</t>
  </si>
  <si>
    <t>Jequié Airport</t>
  </si>
  <si>
    <t>JER</t>
  </si>
  <si>
    <t>EGJJ</t>
  </si>
  <si>
    <t>Jersey Airport</t>
  </si>
  <si>
    <t>KJER</t>
  </si>
  <si>
    <t>Jerome County Airport</t>
  </si>
  <si>
    <t>JES</t>
  </si>
  <si>
    <t>KJES</t>
  </si>
  <si>
    <t>Jesup-Wayne County Airport</t>
  </si>
  <si>
    <t>JFK</t>
  </si>
  <si>
    <t>KJFK</t>
  </si>
  <si>
    <t>John F. Kennedy International Airport</t>
  </si>
  <si>
    <t>JFR</t>
  </si>
  <si>
    <t>BGPT</t>
  </si>
  <si>
    <t>Paamiut Airport</t>
  </si>
  <si>
    <t>JFX</t>
  </si>
  <si>
    <t>KJFX</t>
  </si>
  <si>
    <t>Walker County Airport (Bevill Field)</t>
  </si>
  <si>
    <t>JGA</t>
  </si>
  <si>
    <t>VAJM</t>
  </si>
  <si>
    <t>Jamnagar Airport</t>
  </si>
  <si>
    <t>JGB</t>
  </si>
  <si>
    <t>VE46</t>
  </si>
  <si>
    <t>Jagdalpur Airport</t>
  </si>
  <si>
    <t>JGG</t>
  </si>
  <si>
    <t>KJGG</t>
  </si>
  <si>
    <t>Williamsburg-Jamestown Airport</t>
  </si>
  <si>
    <t>JGN</t>
  </si>
  <si>
    <t>Jiayuguan Airport</t>
  </si>
  <si>
    <t>JGS</t>
  </si>
  <si>
    <t>ZSGS</t>
  </si>
  <si>
    <t>Jinggangshan Airport</t>
  </si>
  <si>
    <t>JHB</t>
  </si>
  <si>
    <t>WMKJ</t>
  </si>
  <si>
    <t>Sultan Ismail International Airport</t>
  </si>
  <si>
    <t>JHG</t>
  </si>
  <si>
    <t>ZPJH</t>
  </si>
  <si>
    <t>Xishuangbanna Gasa Airport</t>
  </si>
  <si>
    <t>JHL</t>
  </si>
  <si>
    <t>CAL4</t>
  </si>
  <si>
    <t>Fort MacKay/Albian Aerodrome</t>
  </si>
  <si>
    <t>JHM</t>
  </si>
  <si>
    <t>PHJH</t>
  </si>
  <si>
    <t>Kapalua Airport</t>
  </si>
  <si>
    <t>JHQ</t>
  </si>
  <si>
    <t>YSHR</t>
  </si>
  <si>
    <t>Shute Harbour Airport</t>
  </si>
  <si>
    <t>JHS</t>
  </si>
  <si>
    <t>BGSS</t>
  </si>
  <si>
    <t>Sisimiut Airport</t>
  </si>
  <si>
    <t>JHW</t>
  </si>
  <si>
    <t>KJHW</t>
  </si>
  <si>
    <t>Chautauqua County-Jamestown Airport</t>
  </si>
  <si>
    <t>JIA</t>
  </si>
  <si>
    <t>SWJN</t>
  </si>
  <si>
    <t>Juína Airport</t>
  </si>
  <si>
    <t>JIB</t>
  </si>
  <si>
    <t>HDAM</t>
  </si>
  <si>
    <t>Ambouli Airport</t>
  </si>
  <si>
    <t>JIJ</t>
  </si>
  <si>
    <t>HAJJ</t>
  </si>
  <si>
    <t>Jijiga Airport</t>
  </si>
  <si>
    <t>JIK</t>
  </si>
  <si>
    <t>LGIK</t>
  </si>
  <si>
    <t>Ikaria Airport</t>
  </si>
  <si>
    <t>JIL</t>
  </si>
  <si>
    <t>ZYJL</t>
  </si>
  <si>
    <t>Ertaizi Airport</t>
  </si>
  <si>
    <t>JIM</t>
  </si>
  <si>
    <t>HAJM</t>
  </si>
  <si>
    <t>Aba Segud Airport</t>
  </si>
  <si>
    <t>JIN</t>
  </si>
  <si>
    <t>HUJI</t>
  </si>
  <si>
    <t>Jinja Airport</t>
  </si>
  <si>
    <t>JIP</t>
  </si>
  <si>
    <t>SEJI</t>
  </si>
  <si>
    <t>Jipijapa Airport</t>
  </si>
  <si>
    <t>JIR</t>
  </si>
  <si>
    <t>VNJI</t>
  </si>
  <si>
    <t>Jiri Airport</t>
  </si>
  <si>
    <t>JIU</t>
  </si>
  <si>
    <t>ZSJJ</t>
  </si>
  <si>
    <t>Lushan Airport</t>
  </si>
  <si>
    <t>JIW</t>
  </si>
  <si>
    <t>OPJI</t>
  </si>
  <si>
    <t>Jiwani Airport</t>
  </si>
  <si>
    <t>JJI</t>
  </si>
  <si>
    <t>SPJI</t>
  </si>
  <si>
    <t>Juanjui Airport</t>
  </si>
  <si>
    <t>JJM</t>
  </si>
  <si>
    <t>HKMK</t>
  </si>
  <si>
    <t>Mulika Lodge Airport</t>
  </si>
  <si>
    <t>JJN</t>
  </si>
  <si>
    <t>ZBDX</t>
  </si>
  <si>
    <t>Quanzhou Airport</t>
  </si>
  <si>
    <t>ZSQZ</t>
  </si>
  <si>
    <t>JJU</t>
  </si>
  <si>
    <t>BGQE</t>
  </si>
  <si>
    <t>Qaqortoq Airport</t>
  </si>
  <si>
    <t>JKA</t>
  </si>
  <si>
    <t>KJKA</t>
  </si>
  <si>
    <t>Jack Edwards Airport</t>
  </si>
  <si>
    <t>JKG</t>
  </si>
  <si>
    <t>ESGJ</t>
  </si>
  <si>
    <t>Jönköping Airport</t>
  </si>
  <si>
    <t>JKH</t>
  </si>
  <si>
    <t>LGHI</t>
  </si>
  <si>
    <t>Chios Island National Airport</t>
  </si>
  <si>
    <t>JKJ</t>
  </si>
  <si>
    <t>KJKJ</t>
  </si>
  <si>
    <t>Moorhead Municipal Airport</t>
  </si>
  <si>
    <t>JKL</t>
  </si>
  <si>
    <t>LGKY</t>
  </si>
  <si>
    <t>Kalymnos Island National Airport</t>
  </si>
  <si>
    <t>JKR</t>
  </si>
  <si>
    <t>VNJP</t>
  </si>
  <si>
    <t>Janakpur Airport</t>
  </si>
  <si>
    <t>JLN</t>
  </si>
  <si>
    <t>KJLN</t>
  </si>
  <si>
    <t>Joplin Regional Airport</t>
  </si>
  <si>
    <t>JLR</t>
  </si>
  <si>
    <t>VAJB</t>
  </si>
  <si>
    <t>Jabalpur Airport</t>
  </si>
  <si>
    <t>JLS</t>
  </si>
  <si>
    <t>SDJL</t>
  </si>
  <si>
    <t>Jales Airport</t>
  </si>
  <si>
    <t>JMK</t>
  </si>
  <si>
    <t>LGMK</t>
  </si>
  <si>
    <t>Mykonos Island National Airport</t>
  </si>
  <si>
    <t>JMO</t>
  </si>
  <si>
    <t>VNJS</t>
  </si>
  <si>
    <t>Jomsom Airport</t>
  </si>
  <si>
    <t>JMR</t>
  </si>
  <si>
    <t>KJMR</t>
  </si>
  <si>
    <t>Mora Municipal Airport</t>
  </si>
  <si>
    <t>JMS</t>
  </si>
  <si>
    <t>KJMS</t>
  </si>
  <si>
    <t>Jamestown Regional Airport</t>
  </si>
  <si>
    <t>JMU</t>
  </si>
  <si>
    <t>ZYJM</t>
  </si>
  <si>
    <t>Jiamusi Airport</t>
  </si>
  <si>
    <t>JNA</t>
  </si>
  <si>
    <t>SNJN</t>
  </si>
  <si>
    <t>Januária Airport</t>
  </si>
  <si>
    <t>JNB</t>
  </si>
  <si>
    <t>FAOR</t>
  </si>
  <si>
    <t>OR Tambo International Airport</t>
  </si>
  <si>
    <t>JNG</t>
  </si>
  <si>
    <t>ZLJN</t>
  </si>
  <si>
    <t>Jining Qufu Airport</t>
  </si>
  <si>
    <t>JNI</t>
  </si>
  <si>
    <t>SAAJ</t>
  </si>
  <si>
    <t>Junin Airport</t>
  </si>
  <si>
    <t>JNU</t>
  </si>
  <si>
    <t>PAJN</t>
  </si>
  <si>
    <t>Juneau International Airport</t>
  </si>
  <si>
    <t>JNX</t>
  </si>
  <si>
    <t>LGNX</t>
  </si>
  <si>
    <t>Naxos Island National Airport</t>
  </si>
  <si>
    <t>JNZ</t>
  </si>
  <si>
    <t>ZYJZ</t>
  </si>
  <si>
    <t>Jinzhou Airport</t>
  </si>
  <si>
    <t>JOE</t>
  </si>
  <si>
    <t>EFJO</t>
  </si>
  <si>
    <t>Joensuu Airport</t>
  </si>
  <si>
    <t>JOG</t>
  </si>
  <si>
    <t>WARJ</t>
  </si>
  <si>
    <t>Adi Sutjipto International Airport</t>
  </si>
  <si>
    <t>WIIJ</t>
  </si>
  <si>
    <t>Adisucipto International Airport</t>
  </si>
  <si>
    <t>JOH</t>
  </si>
  <si>
    <t>FAPJ</t>
  </si>
  <si>
    <t>Port St Johns Airport</t>
  </si>
  <si>
    <t>JOI</t>
  </si>
  <si>
    <t>SBJV</t>
  </si>
  <si>
    <t>Lauro Carneiro de Loyola Airport</t>
  </si>
  <si>
    <t>JOK</t>
  </si>
  <si>
    <t>UWKJ</t>
  </si>
  <si>
    <t>Yoshkar-Ola Airport</t>
  </si>
  <si>
    <t>JOL</t>
  </si>
  <si>
    <t>RPMJ</t>
  </si>
  <si>
    <t>Jolo Airport</t>
  </si>
  <si>
    <t>JOM</t>
  </si>
  <si>
    <t>HTNJ</t>
  </si>
  <si>
    <t>Njombe Airport</t>
  </si>
  <si>
    <t>JON</t>
  </si>
  <si>
    <t>PJON</t>
  </si>
  <si>
    <t>Johnston Atoll Airport</t>
  </si>
  <si>
    <t>JOS</t>
  </si>
  <si>
    <t>DNJO</t>
  </si>
  <si>
    <t>Yakubu Gowon Airport</t>
  </si>
  <si>
    <t>JOT</t>
  </si>
  <si>
    <t>KJOT</t>
  </si>
  <si>
    <t>Joliet Regional Airport</t>
  </si>
  <si>
    <t>JPA</t>
  </si>
  <si>
    <t>SBJP</t>
  </si>
  <si>
    <t>Presidente Castro Pinto International Airport</t>
  </si>
  <si>
    <t>JPR</t>
  </si>
  <si>
    <t>SWJI</t>
  </si>
  <si>
    <t>Ji-Paraná Airport</t>
  </si>
  <si>
    <t>JQA</t>
  </si>
  <si>
    <t>BGUQ</t>
  </si>
  <si>
    <t>Qaarsut Airport</t>
  </si>
  <si>
    <t>JQE</t>
  </si>
  <si>
    <t>MPJE</t>
  </si>
  <si>
    <t>Jaqué Airport</t>
  </si>
  <si>
    <t>JQF</t>
  </si>
  <si>
    <t>KJQF</t>
  </si>
  <si>
    <t>Concord Regional Airport</t>
  </si>
  <si>
    <t>JRF</t>
  </si>
  <si>
    <t>PHJR</t>
  </si>
  <si>
    <t>Kalaeloa Airport (John Rodgers Field)</t>
  </si>
  <si>
    <t>JRH</t>
  </si>
  <si>
    <t>VEJT</t>
  </si>
  <si>
    <t>Jorhat Airport</t>
  </si>
  <si>
    <t>JRN</t>
  </si>
  <si>
    <t>SWJU</t>
  </si>
  <si>
    <t>Juruena Airport</t>
  </si>
  <si>
    <t>JRO</t>
  </si>
  <si>
    <t>HTKJ</t>
  </si>
  <si>
    <t>Kilimanjaro International Airport</t>
  </si>
  <si>
    <t>JSA</t>
  </si>
  <si>
    <t>VIJR</t>
  </si>
  <si>
    <t>Jaisalmer Airport</t>
  </si>
  <si>
    <t>JSH</t>
  </si>
  <si>
    <t>LGST</t>
  </si>
  <si>
    <t>Sitia Airport</t>
  </si>
  <si>
    <t>JSI</t>
  </si>
  <si>
    <t>LGSK</t>
  </si>
  <si>
    <t>Skiathos Island National Airport</t>
  </si>
  <si>
    <t>JSM</t>
  </si>
  <si>
    <t>SAWS</t>
  </si>
  <si>
    <t>Jose De San Martin Airport</t>
  </si>
  <si>
    <t>JSO</t>
  </si>
  <si>
    <t>KJSO</t>
  </si>
  <si>
    <t>Cherokee County Airport</t>
  </si>
  <si>
    <t>JSR</t>
  </si>
  <si>
    <t>VGJR</t>
  </si>
  <si>
    <t>Jessore Airport</t>
  </si>
  <si>
    <t>JST</t>
  </si>
  <si>
    <t>KJST</t>
  </si>
  <si>
    <t>John Murtha Johnstown-Cambria County Airport</t>
  </si>
  <si>
    <t>JSU</t>
  </si>
  <si>
    <t>BGMQ</t>
  </si>
  <si>
    <t>Maniitsoq Airport</t>
  </si>
  <si>
    <t>JSV</t>
  </si>
  <si>
    <t>KJSV</t>
  </si>
  <si>
    <t>Sallisaw Municipal Airport</t>
  </si>
  <si>
    <t>JSY</t>
  </si>
  <si>
    <t>LGSO</t>
  </si>
  <si>
    <t>Syros Airport</t>
  </si>
  <si>
    <t>JTC</t>
  </si>
  <si>
    <t>SBAE</t>
  </si>
  <si>
    <t>Bauru - Arealva Airport</t>
  </si>
  <si>
    <t>JTR</t>
  </si>
  <si>
    <t>LGSR</t>
  </si>
  <si>
    <t>Santorini Airport</t>
  </si>
  <si>
    <t>JTY</t>
  </si>
  <si>
    <t>LGPL</t>
  </si>
  <si>
    <t>Astypalaia Airport</t>
  </si>
  <si>
    <t>JUB</t>
  </si>
  <si>
    <t>HSSJ</t>
  </si>
  <si>
    <t>Juba Airport</t>
  </si>
  <si>
    <t>JUI</t>
  </si>
  <si>
    <t>EDWJ</t>
  </si>
  <si>
    <t>Juist Airport</t>
  </si>
  <si>
    <t>JUJ</t>
  </si>
  <si>
    <t>SASJ</t>
  </si>
  <si>
    <t>Gobernador Horacio Guzmán International Airport</t>
  </si>
  <si>
    <t>JUL</t>
  </si>
  <si>
    <t>SPJL</t>
  </si>
  <si>
    <t>Inca Manco Capac Airport</t>
  </si>
  <si>
    <t>JUM</t>
  </si>
  <si>
    <t>VNJL</t>
  </si>
  <si>
    <t>Jumla Airport</t>
  </si>
  <si>
    <t>JUN</t>
  </si>
  <si>
    <t>YJDA</t>
  </si>
  <si>
    <t>Jundah Airport</t>
  </si>
  <si>
    <t>JUR</t>
  </si>
  <si>
    <t>YJNB</t>
  </si>
  <si>
    <t>Jurien Bay Airport</t>
  </si>
  <si>
    <t>JUT</t>
  </si>
  <si>
    <t>MHJU</t>
  </si>
  <si>
    <t>Juticalpa Airport</t>
  </si>
  <si>
    <t>JUV</t>
  </si>
  <si>
    <t>BGUK</t>
  </si>
  <si>
    <t>Upernavik Airport</t>
  </si>
  <si>
    <t>JUZ</t>
  </si>
  <si>
    <t>ZSJU</t>
  </si>
  <si>
    <t>Quzhou Airport</t>
  </si>
  <si>
    <t>ZUJZ</t>
  </si>
  <si>
    <t>Huanglong Airport</t>
  </si>
  <si>
    <t>JVA</t>
  </si>
  <si>
    <t>FMMK</t>
  </si>
  <si>
    <t>Ankavandra Airport</t>
  </si>
  <si>
    <t>JVL</t>
  </si>
  <si>
    <t>KJVL</t>
  </si>
  <si>
    <t>Southern Wisconsin Regional Airport</t>
  </si>
  <si>
    <t>JVM</t>
  </si>
  <si>
    <t>PAJV</t>
  </si>
  <si>
    <t>Jonesville Mine Airport</t>
  </si>
  <si>
    <t>JVY</t>
  </si>
  <si>
    <t>KJVY</t>
  </si>
  <si>
    <t>Clark Regional Airport</t>
  </si>
  <si>
    <t>JWA</t>
  </si>
  <si>
    <t>FBJW</t>
  </si>
  <si>
    <t>Jwaneng Airport</t>
  </si>
  <si>
    <t>JWG</t>
  </si>
  <si>
    <t>KJWG</t>
  </si>
  <si>
    <t>Watonga Regional Airport</t>
  </si>
  <si>
    <t>JWN</t>
  </si>
  <si>
    <t>KJWN</t>
  </si>
  <si>
    <t>John C. Tune Airport</t>
  </si>
  <si>
    <t>JWY</t>
  </si>
  <si>
    <t>KJWY</t>
  </si>
  <si>
    <t>Mid-Way Regional Airport</t>
  </si>
  <si>
    <t>JXI</t>
  </si>
  <si>
    <t>KJXI</t>
  </si>
  <si>
    <t>Gilmer Municipal Airport (Fox Stephens Field)</t>
  </si>
  <si>
    <t>JXN</t>
  </si>
  <si>
    <t>KJXN</t>
  </si>
  <si>
    <t>Jackson County Airport (Reynolds Field)</t>
  </si>
  <si>
    <t>JYG</t>
  </si>
  <si>
    <t>KJYG</t>
  </si>
  <si>
    <t>St. James Municipal Airport</t>
  </si>
  <si>
    <t>JYL</t>
  </si>
  <si>
    <t>KJYL</t>
  </si>
  <si>
    <t>Plantation Airpark</t>
  </si>
  <si>
    <t>JYM</t>
  </si>
  <si>
    <t>KJYM</t>
  </si>
  <si>
    <t>Hillsdale Municipal Airport</t>
  </si>
  <si>
    <t>JYO</t>
  </si>
  <si>
    <t>KJYO</t>
  </si>
  <si>
    <t>Leesburg Executive Airport</t>
  </si>
  <si>
    <t>JYR</t>
  </si>
  <si>
    <t>KJYR</t>
  </si>
  <si>
    <t>York Municipal Airport</t>
  </si>
  <si>
    <t>JYV</t>
  </si>
  <si>
    <t>EFJY</t>
  </si>
  <si>
    <t>Jyväskylä Airport</t>
  </si>
  <si>
    <t>JZH</t>
  </si>
  <si>
    <t>Jiuzhai Huanglong Airport</t>
  </si>
  <si>
    <t>JZI</t>
  </si>
  <si>
    <t>KJZI</t>
  </si>
  <si>
    <t>Charleston Executive Airport</t>
  </si>
  <si>
    <t>JZP</t>
  </si>
  <si>
    <t>KJZP</t>
  </si>
  <si>
    <t>Pickens County Airport</t>
  </si>
  <si>
    <t>JZZ</t>
  </si>
  <si>
    <t>PAJZ</t>
  </si>
  <si>
    <t>Koliganek Airport</t>
  </si>
  <si>
    <t>KAA</t>
  </si>
  <si>
    <t>FLKS</t>
  </si>
  <si>
    <t>Kasama Airport</t>
  </si>
  <si>
    <t>KAB</t>
  </si>
  <si>
    <t>FVKB</t>
  </si>
  <si>
    <t>Kariba International Airport</t>
  </si>
  <si>
    <t>KAC</t>
  </si>
  <si>
    <t>OSKL</t>
  </si>
  <si>
    <t>Al Qamishli Airport</t>
  </si>
  <si>
    <t>KAD</t>
  </si>
  <si>
    <t>DNKA</t>
  </si>
  <si>
    <t>Kaduna Airport</t>
  </si>
  <si>
    <t>KAG</t>
  </si>
  <si>
    <t>RKNN</t>
  </si>
  <si>
    <t>Gangneung Airbase</t>
  </si>
  <si>
    <t>KAJ</t>
  </si>
  <si>
    <t>EFKI</t>
  </si>
  <si>
    <t>Kajaani Airport</t>
  </si>
  <si>
    <t>KAL</t>
  </si>
  <si>
    <t>PAKV</t>
  </si>
  <si>
    <t>Kaltag Airport</t>
  </si>
  <si>
    <t>KAN</t>
  </si>
  <si>
    <t>DNKN</t>
  </si>
  <si>
    <t>Mallam Aminu International Airport</t>
  </si>
  <si>
    <t>KAO</t>
  </si>
  <si>
    <t>EFKS</t>
  </si>
  <si>
    <t>Kuusamo Airport</t>
  </si>
  <si>
    <t>KAP</t>
  </si>
  <si>
    <t>FZSK</t>
  </si>
  <si>
    <t>Kapanga Airport</t>
  </si>
  <si>
    <t>KAR</t>
  </si>
  <si>
    <t>SYKM</t>
  </si>
  <si>
    <t>Kamarang Airport</t>
  </si>
  <si>
    <t>KAT</t>
  </si>
  <si>
    <t>NZKT</t>
  </si>
  <si>
    <t>Kaitaia Airport</t>
  </si>
  <si>
    <t>KAU</t>
  </si>
  <si>
    <t>EFKA</t>
  </si>
  <si>
    <t>Kauhava Airport</t>
  </si>
  <si>
    <t>KAV</t>
  </si>
  <si>
    <t>SVKA</t>
  </si>
  <si>
    <t>Kavanayen Airport</t>
  </si>
  <si>
    <t>KAW</t>
  </si>
  <si>
    <t>VYKT</t>
  </si>
  <si>
    <t>Kawthoung Airport</t>
  </si>
  <si>
    <t>KAX</t>
  </si>
  <si>
    <t>YKBR</t>
  </si>
  <si>
    <t>Kalbarri Airport</t>
  </si>
  <si>
    <t>KAY</t>
  </si>
  <si>
    <t>NFNW</t>
  </si>
  <si>
    <t>Wakaya Island Airport</t>
  </si>
  <si>
    <t>KAZ</t>
  </si>
  <si>
    <t>WAMK</t>
  </si>
  <si>
    <t>Kao Airport</t>
  </si>
  <si>
    <t>KBB</t>
  </si>
  <si>
    <t>YKIR</t>
  </si>
  <si>
    <t>Kirkimbie Station Airport</t>
  </si>
  <si>
    <t>KBG</t>
  </si>
  <si>
    <t>HUKF</t>
  </si>
  <si>
    <t>Kabalega Falls Airport</t>
  </si>
  <si>
    <t>KBH</t>
  </si>
  <si>
    <t>OPKL</t>
  </si>
  <si>
    <t>Kalat Airport</t>
  </si>
  <si>
    <t>KBI</t>
  </si>
  <si>
    <t>FKKB</t>
  </si>
  <si>
    <t>Kribi Airport</t>
  </si>
  <si>
    <t>KBL</t>
  </si>
  <si>
    <t>OAKB</t>
  </si>
  <si>
    <t>Kabul International Airport</t>
  </si>
  <si>
    <t>KBN</t>
  </si>
  <si>
    <t>FZWT</t>
  </si>
  <si>
    <t>Tunta Airport</t>
  </si>
  <si>
    <t>KBO</t>
  </si>
  <si>
    <t>FZRM</t>
  </si>
  <si>
    <t>Kabalo Airport</t>
  </si>
  <si>
    <t>KBP</t>
  </si>
  <si>
    <t>UKBB</t>
  </si>
  <si>
    <t>Boryspil Airport</t>
  </si>
  <si>
    <t>KBQ</t>
  </si>
  <si>
    <t>FWKG</t>
  </si>
  <si>
    <t>Kasungu Airport</t>
  </si>
  <si>
    <t>KBR</t>
  </si>
  <si>
    <t>WMKC</t>
  </si>
  <si>
    <t>Sultan Ismail Petra Airport</t>
  </si>
  <si>
    <t>KBU</t>
  </si>
  <si>
    <t>WAOK</t>
  </si>
  <si>
    <t>Stagen Airport</t>
  </si>
  <si>
    <t>KBV</t>
  </si>
  <si>
    <t>VTSG</t>
  </si>
  <si>
    <t>Krabi Airport</t>
  </si>
  <si>
    <t>KBY</t>
  </si>
  <si>
    <t>YKBY</t>
  </si>
  <si>
    <t>Streaky Bay Airport</t>
  </si>
  <si>
    <t>KBZ</t>
  </si>
  <si>
    <t>NZKI</t>
  </si>
  <si>
    <t>Kaikoura Airport</t>
  </si>
  <si>
    <t>KCA</t>
  </si>
  <si>
    <t>ZWKC</t>
  </si>
  <si>
    <t>Kuqa Airport</t>
  </si>
  <si>
    <t>KCE</t>
  </si>
  <si>
    <t>YCSV</t>
  </si>
  <si>
    <t>Collinsville Airport</t>
  </si>
  <si>
    <t>KCH</t>
  </si>
  <si>
    <t>WBGG</t>
  </si>
  <si>
    <t>Kuching International Airport</t>
  </si>
  <si>
    <t>KCM</t>
  </si>
  <si>
    <t>LTCN</t>
  </si>
  <si>
    <t>Kahramanmara? Airport</t>
  </si>
  <si>
    <t>KCO</t>
  </si>
  <si>
    <t>LTBQ</t>
  </si>
  <si>
    <t>Cengiz Topel Airport</t>
  </si>
  <si>
    <t>KCS</t>
  </si>
  <si>
    <t>YKCS</t>
  </si>
  <si>
    <t>Kings Creek Airport</t>
  </si>
  <si>
    <t>KCT</t>
  </si>
  <si>
    <t>VCCK</t>
  </si>
  <si>
    <t>Koggala Airport</t>
  </si>
  <si>
    <t>VCII</t>
  </si>
  <si>
    <t>KCU</t>
  </si>
  <si>
    <t>HUMI</t>
  </si>
  <si>
    <t>Masindi Airport</t>
  </si>
  <si>
    <t>KCZ</t>
  </si>
  <si>
    <t>RJOK</t>
  </si>
  <si>
    <t>Kochi Airport</t>
  </si>
  <si>
    <t>KDA</t>
  </si>
  <si>
    <t>GODK</t>
  </si>
  <si>
    <t>Kolda North Airport</t>
  </si>
  <si>
    <t>GOGK</t>
  </si>
  <si>
    <t>KDC</t>
  </si>
  <si>
    <t>DBBK</t>
  </si>
  <si>
    <t>Kandi Airport</t>
  </si>
  <si>
    <t>KDD</t>
  </si>
  <si>
    <t>OPKH</t>
  </si>
  <si>
    <t>Khuzdar Airport</t>
  </si>
  <si>
    <t>KDH</t>
  </si>
  <si>
    <t>OAKN</t>
  </si>
  <si>
    <t>Kandahar International Airport</t>
  </si>
  <si>
    <t>KDI</t>
  </si>
  <si>
    <t>WAWW</t>
  </si>
  <si>
    <t>Wolter Monginsidi Airport</t>
  </si>
  <si>
    <t>KDJ</t>
  </si>
  <si>
    <t>FOGJ</t>
  </si>
  <si>
    <t>Ville Airport</t>
  </si>
  <si>
    <t>KDL</t>
  </si>
  <si>
    <t>EEKA</t>
  </si>
  <si>
    <t>Kärdla Airport</t>
  </si>
  <si>
    <t>KDM</t>
  </si>
  <si>
    <t>VRMT</t>
  </si>
  <si>
    <t>Kaadedhdhoo Airport</t>
  </si>
  <si>
    <t>KDN</t>
  </si>
  <si>
    <t>FOGE</t>
  </si>
  <si>
    <t>Ndende Airport</t>
  </si>
  <si>
    <t>KDO</t>
  </si>
  <si>
    <t>VRMK</t>
  </si>
  <si>
    <t>Kadhdhoo Airport</t>
  </si>
  <si>
    <t>KDU</t>
  </si>
  <si>
    <t>OPSD</t>
  </si>
  <si>
    <t>Skardu Airport</t>
  </si>
  <si>
    <t>KDV</t>
  </si>
  <si>
    <t>NFKD</t>
  </si>
  <si>
    <t>Vunisea Airport</t>
  </si>
  <si>
    <t>KDX</t>
  </si>
  <si>
    <t>HSLI</t>
  </si>
  <si>
    <t>Kadugli Airport</t>
  </si>
  <si>
    <t>KEC</t>
  </si>
  <si>
    <t>FZQG</t>
  </si>
  <si>
    <t>Kasenga Airport</t>
  </si>
  <si>
    <t>KED</t>
  </si>
  <si>
    <t>GQNK</t>
  </si>
  <si>
    <t>Kaédi Airport</t>
  </si>
  <si>
    <t>KEE</t>
  </si>
  <si>
    <t>FCOK</t>
  </si>
  <si>
    <t>Kelle Airport</t>
  </si>
  <si>
    <t>KEF</t>
  </si>
  <si>
    <t>BIKF</t>
  </si>
  <si>
    <t>Keflavík International Airport</t>
  </si>
  <si>
    <t>KEI</t>
  </si>
  <si>
    <t>WAKP</t>
  </si>
  <si>
    <t>Kepi Airport</t>
  </si>
  <si>
    <t>KEJ</t>
  </si>
  <si>
    <t>UNEE</t>
  </si>
  <si>
    <t>Kemerovo Airport</t>
  </si>
  <si>
    <t>KEK</t>
  </si>
  <si>
    <t>Ekwok Airport</t>
  </si>
  <si>
    <t>KEL</t>
  </si>
  <si>
    <t>EDHK</t>
  </si>
  <si>
    <t>Kiel-Holtenau Airport</t>
  </si>
  <si>
    <t>KEM</t>
  </si>
  <si>
    <t>EFKE</t>
  </si>
  <si>
    <t>Kemi-Tornio Airport</t>
  </si>
  <si>
    <t>KEO</t>
  </si>
  <si>
    <t>DIOD</t>
  </si>
  <si>
    <t>Odienne Airport</t>
  </si>
  <si>
    <t>KEP</t>
  </si>
  <si>
    <t>VNNG</t>
  </si>
  <si>
    <t>Nepalgunj Airport</t>
  </si>
  <si>
    <t>KEQ</t>
  </si>
  <si>
    <t>WASE</t>
  </si>
  <si>
    <t>Kebar Airport</t>
  </si>
  <si>
    <t>KER</t>
  </si>
  <si>
    <t>OIKK</t>
  </si>
  <si>
    <t>Kerman Airport</t>
  </si>
  <si>
    <t>KET</t>
  </si>
  <si>
    <t>VYKG</t>
  </si>
  <si>
    <t>Kengtung Airport</t>
  </si>
  <si>
    <t>KEV</t>
  </si>
  <si>
    <t>EFHA</t>
  </si>
  <si>
    <t>Halli Airport</t>
  </si>
  <si>
    <t>KEY</t>
  </si>
  <si>
    <t>HKKR</t>
  </si>
  <si>
    <t>Kericho Airport</t>
  </si>
  <si>
    <t>KFA</t>
  </si>
  <si>
    <t>GQNF</t>
  </si>
  <si>
    <t>Kiffa Airport</t>
  </si>
  <si>
    <t>KFE</t>
  </si>
  <si>
    <t>YFDF</t>
  </si>
  <si>
    <t>Fortescue - Dave Forrest Aerodrome</t>
  </si>
  <si>
    <t>KFG</t>
  </si>
  <si>
    <t>YKKG</t>
  </si>
  <si>
    <t>Kalkgurung Airport</t>
  </si>
  <si>
    <t>KFP</t>
  </si>
  <si>
    <t>PAKF</t>
  </si>
  <si>
    <t>False Pass Airport</t>
  </si>
  <si>
    <t>KFS</t>
  </si>
  <si>
    <t>LTAL</t>
  </si>
  <si>
    <t>Kastamonu Airport</t>
  </si>
  <si>
    <t>KGA</t>
  </si>
  <si>
    <t>FZUA</t>
  </si>
  <si>
    <t>Kananga Airport</t>
  </si>
  <si>
    <t>KGC</t>
  </si>
  <si>
    <t>YKSC</t>
  </si>
  <si>
    <t>Kingscote Airport</t>
  </si>
  <si>
    <t>KGD</t>
  </si>
  <si>
    <t>UMKK</t>
  </si>
  <si>
    <t>Khrabrovo Airport</t>
  </si>
  <si>
    <t>KGE</t>
  </si>
  <si>
    <t>AGKG</t>
  </si>
  <si>
    <t>Kagau Island Airport</t>
  </si>
  <si>
    <t>KGF</t>
  </si>
  <si>
    <t>UAKK</t>
  </si>
  <si>
    <t>Sary-Arka Airport</t>
  </si>
  <si>
    <t>KGG</t>
  </si>
  <si>
    <t>GOTK</t>
  </si>
  <si>
    <t>Kédougou Airport</t>
  </si>
  <si>
    <t>KGI</t>
  </si>
  <si>
    <t>YPKG</t>
  </si>
  <si>
    <t>Kalgoorlie-Boulder Airport</t>
  </si>
  <si>
    <t>KGJ</t>
  </si>
  <si>
    <t>FWKA</t>
  </si>
  <si>
    <t>Karonga Airport</t>
  </si>
  <si>
    <t>KGL</t>
  </si>
  <si>
    <t>HRYR</t>
  </si>
  <si>
    <t>Kigali International Airport</t>
  </si>
  <si>
    <t>KGO</t>
  </si>
  <si>
    <t>UKKG</t>
  </si>
  <si>
    <t>Kirovograd</t>
  </si>
  <si>
    <t>KGP</t>
  </si>
  <si>
    <t>USRK</t>
  </si>
  <si>
    <t>Kogalym Airport</t>
  </si>
  <si>
    <t>KGS</t>
  </si>
  <si>
    <t>LGKO</t>
  </si>
  <si>
    <t>Kos Island International Airport, Hippocrates</t>
  </si>
  <si>
    <t>KGU</t>
  </si>
  <si>
    <t>WBKG</t>
  </si>
  <si>
    <t>Keningau Airport</t>
  </si>
  <si>
    <t>KGY</t>
  </si>
  <si>
    <t>YKRY</t>
  </si>
  <si>
    <t>Kingaroy Airport</t>
  </si>
  <si>
    <t>KHC</t>
  </si>
  <si>
    <t>UKFK</t>
  </si>
  <si>
    <t>Kerch Airport</t>
  </si>
  <si>
    <t>KHD</t>
  </si>
  <si>
    <t>OICK</t>
  </si>
  <si>
    <t>Khoram Abad Airport</t>
  </si>
  <si>
    <t>KHE</t>
  </si>
  <si>
    <t>UKOH</t>
  </si>
  <si>
    <t>Chernobayevka Airport</t>
  </si>
  <si>
    <t>KHG</t>
  </si>
  <si>
    <t>ZWSH</t>
  </si>
  <si>
    <t>Kashgar Airport (Kashi Airport)</t>
  </si>
  <si>
    <t>KHH</t>
  </si>
  <si>
    <t>RCKH</t>
  </si>
  <si>
    <t>Kaohsiung International Airport</t>
  </si>
  <si>
    <t>KHI</t>
  </si>
  <si>
    <t>OPKC</t>
  </si>
  <si>
    <t>Jinnah International Airport (Quaid-e-Azam International Air</t>
  </si>
  <si>
    <t>KHJ</t>
  </si>
  <si>
    <t>EFKJ</t>
  </si>
  <si>
    <t>Kauhajoki Airport</t>
  </si>
  <si>
    <t>KHK</t>
  </si>
  <si>
    <t>OIBQ</t>
  </si>
  <si>
    <t>Khark Island Airport</t>
  </si>
  <si>
    <t>KHM</t>
  </si>
  <si>
    <t>VYKI</t>
  </si>
  <si>
    <t>Kanti Airport</t>
  </si>
  <si>
    <t>KHN</t>
  </si>
  <si>
    <t>ZSCN</t>
  </si>
  <si>
    <t>Nanchang Changbei International Airport</t>
  </si>
  <si>
    <t>KHS</t>
  </si>
  <si>
    <t>OOKB</t>
  </si>
  <si>
    <t>Khasab Air Base</t>
  </si>
  <si>
    <t>KHT</t>
  </si>
  <si>
    <t>OAKS</t>
  </si>
  <si>
    <t>Khost Airport</t>
  </si>
  <si>
    <t>KHV</t>
  </si>
  <si>
    <t>UHHH</t>
  </si>
  <si>
    <t>Khabarovsk Novy Airport</t>
  </si>
  <si>
    <t>KHW</t>
  </si>
  <si>
    <t>FBKR</t>
  </si>
  <si>
    <t>Khwai River Lodge Airport</t>
  </si>
  <si>
    <t>KHY</t>
  </si>
  <si>
    <t>OITK</t>
  </si>
  <si>
    <t>Khoy Airport</t>
  </si>
  <si>
    <t>KHZ</t>
  </si>
  <si>
    <t>NTKA</t>
  </si>
  <si>
    <t>Kauehi Airport</t>
  </si>
  <si>
    <t>KIA</t>
  </si>
  <si>
    <t>PKSA</t>
  </si>
  <si>
    <t>Kaieteur International Airport</t>
  </si>
  <si>
    <t>KIC</t>
  </si>
  <si>
    <t>KKIC</t>
  </si>
  <si>
    <t>Mesa Del Rey Airport</t>
  </si>
  <si>
    <t>KID</t>
  </si>
  <si>
    <t>ESMK</t>
  </si>
  <si>
    <t>Kristianstad Airport</t>
  </si>
  <si>
    <t>KIF</t>
  </si>
  <si>
    <t>CNM5</t>
  </si>
  <si>
    <t>Kingfisher Lake Airport</t>
  </si>
  <si>
    <t>KIH</t>
  </si>
  <si>
    <t>OIBK</t>
  </si>
  <si>
    <t>Kish International Airport</t>
  </si>
  <si>
    <t>KIJ</t>
  </si>
  <si>
    <t>RJSN</t>
  </si>
  <si>
    <t>Niigata Airport</t>
  </si>
  <si>
    <t>KIK</t>
  </si>
  <si>
    <t>ORKK</t>
  </si>
  <si>
    <t>Kirkuk Air Base</t>
  </si>
  <si>
    <t>KIM</t>
  </si>
  <si>
    <t>FAKM</t>
  </si>
  <si>
    <t>Kimberley Airport</t>
  </si>
  <si>
    <t>KIN</t>
  </si>
  <si>
    <t>MKJP</t>
  </si>
  <si>
    <t>Norman Manley International Airport</t>
  </si>
  <si>
    <t>KIO</t>
  </si>
  <si>
    <t>Q51</t>
  </si>
  <si>
    <t>Kili Airport</t>
  </si>
  <si>
    <t>KIP</t>
  </si>
  <si>
    <t>KCWC</t>
  </si>
  <si>
    <t>Kickapoo Downtown Airport</t>
  </si>
  <si>
    <t>KIR</t>
  </si>
  <si>
    <t>EIKY</t>
  </si>
  <si>
    <t>Kerry Airport</t>
  </si>
  <si>
    <t>KIS</t>
  </si>
  <si>
    <t>HKKI</t>
  </si>
  <si>
    <t>Kisumu Airport</t>
  </si>
  <si>
    <t>KIT</t>
  </si>
  <si>
    <t>LGKC</t>
  </si>
  <si>
    <t>Kithira Airport</t>
  </si>
  <si>
    <t>KIV</t>
  </si>
  <si>
    <t>LUKK</t>
  </si>
  <si>
    <t>Chi?in?u International Airport</t>
  </si>
  <si>
    <t>KIW</t>
  </si>
  <si>
    <t>FLSO</t>
  </si>
  <si>
    <t>Southdowns Airport</t>
  </si>
  <si>
    <t>KIX</t>
  </si>
  <si>
    <t>RJBB</t>
  </si>
  <si>
    <t>Kansai International Airport</t>
  </si>
  <si>
    <t>KIY</t>
  </si>
  <si>
    <t>HTKI</t>
  </si>
  <si>
    <t>Kilwa Masoko Airport</t>
  </si>
  <si>
    <t>KJA</t>
  </si>
  <si>
    <t>UNKL</t>
  </si>
  <si>
    <t>Krasnoyarsk Yemelyanovo Airport</t>
  </si>
  <si>
    <t>KJK</t>
  </si>
  <si>
    <t>EBKT</t>
  </si>
  <si>
    <t>Wevelgem Airport</t>
  </si>
  <si>
    <t>EBTK</t>
  </si>
  <si>
    <t>Kortrijk-Wevelgem International Airport</t>
  </si>
  <si>
    <t>KJP</t>
  </si>
  <si>
    <t>ROKR</t>
  </si>
  <si>
    <t>Kerama Airport</t>
  </si>
  <si>
    <t>KKA</t>
  </si>
  <si>
    <t>PAKK</t>
  </si>
  <si>
    <t>Koyuk Alfred Adams Airport</t>
  </si>
  <si>
    <t>KKC</t>
  </si>
  <si>
    <t>VTUK</t>
  </si>
  <si>
    <t>Khon Kaen Airport</t>
  </si>
  <si>
    <t>KKE</t>
  </si>
  <si>
    <t>NZKK</t>
  </si>
  <si>
    <t>Bay of Islands Airport</t>
  </si>
  <si>
    <t>KKJ</t>
  </si>
  <si>
    <t>RJFR</t>
  </si>
  <si>
    <t>New Kitakyushu Airport</t>
  </si>
  <si>
    <t>KKM</t>
  </si>
  <si>
    <t>VTBH</t>
  </si>
  <si>
    <t>Sa Pran Nak Airport</t>
  </si>
  <si>
    <t>VTBL</t>
  </si>
  <si>
    <t>Khok Kathiam Airport</t>
  </si>
  <si>
    <t>KKN</t>
  </si>
  <si>
    <t>ENKR</t>
  </si>
  <si>
    <t>Kirkenes Airport, Høybuktmoen</t>
  </si>
  <si>
    <t>KKO</t>
  </si>
  <si>
    <t>NZKO</t>
  </si>
  <si>
    <t>Kaikohe Airport</t>
  </si>
  <si>
    <t>KKP</t>
  </si>
  <si>
    <t>YKLB</t>
  </si>
  <si>
    <t>Koolburra Airport</t>
  </si>
  <si>
    <t>KKR</t>
  </si>
  <si>
    <t>NTGK</t>
  </si>
  <si>
    <t>Kaukura Airport</t>
  </si>
  <si>
    <t>KKW</t>
  </si>
  <si>
    <t>FZCA</t>
  </si>
  <si>
    <t>Kikwit Airport</t>
  </si>
  <si>
    <t>KKX</t>
  </si>
  <si>
    <t>RJKI</t>
  </si>
  <si>
    <t>Kikai Airport</t>
  </si>
  <si>
    <t>KKY</t>
  </si>
  <si>
    <t>EIKK</t>
  </si>
  <si>
    <t>Kilkenny Airport</t>
  </si>
  <si>
    <t>KKZ</t>
  </si>
  <si>
    <t>VDKK</t>
  </si>
  <si>
    <t>Kaoh Kong Airport</t>
  </si>
  <si>
    <t>KLB</t>
  </si>
  <si>
    <t>FLKL</t>
  </si>
  <si>
    <t>Kalabo Airport</t>
  </si>
  <si>
    <t>KLC</t>
  </si>
  <si>
    <t>GOOK</t>
  </si>
  <si>
    <t>Kaolack Airport</t>
  </si>
  <si>
    <t>KLD</t>
  </si>
  <si>
    <t>UUEM</t>
  </si>
  <si>
    <t>Mialovo Airport</t>
  </si>
  <si>
    <t>KLE</t>
  </si>
  <si>
    <t>FKKH</t>
  </si>
  <si>
    <t>Kaélé Airport</t>
  </si>
  <si>
    <t>KLG</t>
  </si>
  <si>
    <t>PALG</t>
  </si>
  <si>
    <t>Kalskag Airport</t>
  </si>
  <si>
    <t>KLH</t>
  </si>
  <si>
    <t>VAKP</t>
  </si>
  <si>
    <t>Kolhapur Airport</t>
  </si>
  <si>
    <t>KLI</t>
  </si>
  <si>
    <t>FZFP</t>
  </si>
  <si>
    <t>Kotakoli Airport</t>
  </si>
  <si>
    <t>KLJ</t>
  </si>
  <si>
    <t>EYKL</t>
  </si>
  <si>
    <t>Klaipeda Airport</t>
  </si>
  <si>
    <t>KLK</t>
  </si>
  <si>
    <t>HKFG</t>
  </si>
  <si>
    <t>Kalokol Airport</t>
  </si>
  <si>
    <t>KLO</t>
  </si>
  <si>
    <t>RPVK</t>
  </si>
  <si>
    <t>Kalibo International Airport</t>
  </si>
  <si>
    <t>KLQ</t>
  </si>
  <si>
    <t>WIPV</t>
  </si>
  <si>
    <t>Keluang Airport</t>
  </si>
  <si>
    <t>KLR</t>
  </si>
  <si>
    <t>ESMQ</t>
  </si>
  <si>
    <t>Kalmar Airport</t>
  </si>
  <si>
    <t>KLS</t>
  </si>
  <si>
    <t>KKLS</t>
  </si>
  <si>
    <t>Kelso-Longview Airport</t>
  </si>
  <si>
    <t>KLU</t>
  </si>
  <si>
    <t>LOWK</t>
  </si>
  <si>
    <t>Klagenfurt Airport</t>
  </si>
  <si>
    <t>KLV</t>
  </si>
  <si>
    <t>LKKV</t>
  </si>
  <si>
    <t>Karlovy Vary Airport</t>
  </si>
  <si>
    <t>KLW</t>
  </si>
  <si>
    <t>KLX</t>
  </si>
  <si>
    <t>LGKL</t>
  </si>
  <si>
    <t>Kalamata Airport</t>
  </si>
  <si>
    <t>KLY</t>
  </si>
  <si>
    <t>FZOD</t>
  </si>
  <si>
    <t>Kinkungwa Airport</t>
  </si>
  <si>
    <t>KLZ</t>
  </si>
  <si>
    <t>FAKZ</t>
  </si>
  <si>
    <t>Kleinsee Airport</t>
  </si>
  <si>
    <t>KMA</t>
  </si>
  <si>
    <t>AYKM</t>
  </si>
  <si>
    <t>Kerema Airport</t>
  </si>
  <si>
    <t>KMG</t>
  </si>
  <si>
    <t>ZPPP</t>
  </si>
  <si>
    <t>Kunming Wujiaba International Airport</t>
  </si>
  <si>
    <t>KMH</t>
  </si>
  <si>
    <t>FAKU</t>
  </si>
  <si>
    <t>Johan Pienaar Airport</t>
  </si>
  <si>
    <t>KMI</t>
  </si>
  <si>
    <t>RJFM</t>
  </si>
  <si>
    <t>Miyazaki Airport</t>
  </si>
  <si>
    <t>KMJ</t>
  </si>
  <si>
    <t>RJFT</t>
  </si>
  <si>
    <t>Kumamoto Airport</t>
  </si>
  <si>
    <t>KMK</t>
  </si>
  <si>
    <t>FCPA</t>
  </si>
  <si>
    <t>Makabana Airport</t>
  </si>
  <si>
    <t>KML</t>
  </si>
  <si>
    <t>YKML</t>
  </si>
  <si>
    <t>Kamileroi Airport</t>
  </si>
  <si>
    <t>KMN</t>
  </si>
  <si>
    <t>FZSA</t>
  </si>
  <si>
    <t>Kamina Base Airport</t>
  </si>
  <si>
    <t>KMP</t>
  </si>
  <si>
    <t>FYKT</t>
  </si>
  <si>
    <t>Keetmanshoop Airport</t>
  </si>
  <si>
    <t>KMQ</t>
  </si>
  <si>
    <t>RJNK</t>
  </si>
  <si>
    <t>Komatsu Airport</t>
  </si>
  <si>
    <t>KMS</t>
  </si>
  <si>
    <t>DGSI</t>
  </si>
  <si>
    <t>Kumasi Airport</t>
  </si>
  <si>
    <t>KMU</t>
  </si>
  <si>
    <t>HCMK</t>
  </si>
  <si>
    <t>Kisimayu Airport</t>
  </si>
  <si>
    <t>KMV</t>
  </si>
  <si>
    <t>VYKL</t>
  </si>
  <si>
    <t>Kalay Airport</t>
  </si>
  <si>
    <t>KMW</t>
  </si>
  <si>
    <t>UUBA</t>
  </si>
  <si>
    <t>Kostroma Sokerkino Airport</t>
  </si>
  <si>
    <t>KMX</t>
  </si>
  <si>
    <t>OEKM</t>
  </si>
  <si>
    <t>King Khaled Air Base</t>
  </si>
  <si>
    <t>KMZ</t>
  </si>
  <si>
    <t>FLKO</t>
  </si>
  <si>
    <t>Kaoma Airport</t>
  </si>
  <si>
    <t>KNA</t>
  </si>
  <si>
    <t>SCVM</t>
  </si>
  <si>
    <t>Viña del mar Airport</t>
  </si>
  <si>
    <t>KNB</t>
  </si>
  <si>
    <t>KKNB</t>
  </si>
  <si>
    <t>Kanab Municipal Airport</t>
  </si>
  <si>
    <t>KND</t>
  </si>
  <si>
    <t>FZOA</t>
  </si>
  <si>
    <t>Kindu Airport</t>
  </si>
  <si>
    <t>KNG</t>
  </si>
  <si>
    <t>WASK</t>
  </si>
  <si>
    <t>Kaimana Airport</t>
  </si>
  <si>
    <t>KNH</t>
  </si>
  <si>
    <t>RCBS</t>
  </si>
  <si>
    <t>Kinmen Airport</t>
  </si>
  <si>
    <t>KNI</t>
  </si>
  <si>
    <t>YKNG</t>
  </si>
  <si>
    <t>Katanning Airport</t>
  </si>
  <si>
    <t>KNJ</t>
  </si>
  <si>
    <t>FCBK</t>
  </si>
  <si>
    <t>Kindamba Airport</t>
  </si>
  <si>
    <t>KNM</t>
  </si>
  <si>
    <t>FZTK</t>
  </si>
  <si>
    <t>Kaniama Airport</t>
  </si>
  <si>
    <t>KNN</t>
  </si>
  <si>
    <t>GUXN</t>
  </si>
  <si>
    <t>Kankan Airport</t>
  </si>
  <si>
    <t>KNQ</t>
  </si>
  <si>
    <t>NWWD</t>
  </si>
  <si>
    <t>Koné Airport</t>
  </si>
  <si>
    <t>KNR</t>
  </si>
  <si>
    <t>OIBJ</t>
  </si>
  <si>
    <t>Jam Airport</t>
  </si>
  <si>
    <t>KNS</t>
  </si>
  <si>
    <t>YKII</t>
  </si>
  <si>
    <t>King Island Airport</t>
  </si>
  <si>
    <t>KNU</t>
  </si>
  <si>
    <t>VIKA</t>
  </si>
  <si>
    <t>Kanpur Airport</t>
  </si>
  <si>
    <t>KNW</t>
  </si>
  <si>
    <t>PANW</t>
  </si>
  <si>
    <t>New Stuyahok Airport</t>
  </si>
  <si>
    <t>KNX</t>
  </si>
  <si>
    <t>YPKU</t>
  </si>
  <si>
    <t>Kununurra Airport? Kununurra, Western Australia</t>
  </si>
  <si>
    <t>KNZ</t>
  </si>
  <si>
    <t>GAKA</t>
  </si>
  <si>
    <t>Kenieba Airport</t>
  </si>
  <si>
    <t>KOA</t>
  </si>
  <si>
    <t>PHKO</t>
  </si>
  <si>
    <t>Kona International Airport</t>
  </si>
  <si>
    <t>KOC</t>
  </si>
  <si>
    <t>NWWK</t>
  </si>
  <si>
    <t>Koumac Airport</t>
  </si>
  <si>
    <t>KOE</t>
  </si>
  <si>
    <t>WATT</t>
  </si>
  <si>
    <t>El Tari Airport</t>
  </si>
  <si>
    <t>KOF</t>
  </si>
  <si>
    <t>FAKP</t>
  </si>
  <si>
    <t>Komatipoort Airport</t>
  </si>
  <si>
    <t>KOI</t>
  </si>
  <si>
    <t>EGPA</t>
  </si>
  <si>
    <t>Kirkwall Airport</t>
  </si>
  <si>
    <t>KOJ</t>
  </si>
  <si>
    <t>RJFK</t>
  </si>
  <si>
    <t>Kagoshima Airport</t>
  </si>
  <si>
    <t>KOK</t>
  </si>
  <si>
    <t>EFKK</t>
  </si>
  <si>
    <t>Kruunupyy Airport</t>
  </si>
  <si>
    <t>KOO</t>
  </si>
  <si>
    <t>FZRQ</t>
  </si>
  <si>
    <t>Kongolo Airport</t>
  </si>
  <si>
    <t>KOP</t>
  </si>
  <si>
    <t>VTUW</t>
  </si>
  <si>
    <t>Nakhon Phanom Airport</t>
  </si>
  <si>
    <t>KOS</t>
  </si>
  <si>
    <t>VDSV</t>
  </si>
  <si>
    <t>Sihanoukville International Airport</t>
  </si>
  <si>
    <t>KOU</t>
  </si>
  <si>
    <t>FOGK</t>
  </si>
  <si>
    <t>Koulamoutou Airport</t>
  </si>
  <si>
    <t>KOV</t>
  </si>
  <si>
    <t>UACK</t>
  </si>
  <si>
    <t>Kokshetau Airport</t>
  </si>
  <si>
    <t>KOW</t>
  </si>
  <si>
    <t>ZSGZ</t>
  </si>
  <si>
    <t>Ganzhou Huangjin Airport</t>
  </si>
  <si>
    <t>KOX</t>
  </si>
  <si>
    <t>WABN</t>
  </si>
  <si>
    <t>Kokonau Airport</t>
  </si>
  <si>
    <t>KPC</t>
  </si>
  <si>
    <t>PAPC</t>
  </si>
  <si>
    <t>Port Clarence Coast Guard Station</t>
  </si>
  <si>
    <t>KPI</t>
  </si>
  <si>
    <t>WBGP</t>
  </si>
  <si>
    <t>Kapit Airport</t>
  </si>
  <si>
    <t>KPO</t>
  </si>
  <si>
    <t>RKTH</t>
  </si>
  <si>
    <t>Pohang Airport</t>
  </si>
  <si>
    <t>KPS</t>
  </si>
  <si>
    <t>YKMP</t>
  </si>
  <si>
    <t>Kempsey Airport</t>
  </si>
  <si>
    <t>KQT</t>
  </si>
  <si>
    <t>UTDT</t>
  </si>
  <si>
    <t>Qurghonteppa International Airport</t>
  </si>
  <si>
    <t>KRA</t>
  </si>
  <si>
    <t>YKER</t>
  </si>
  <si>
    <t>Kerang Airport</t>
  </si>
  <si>
    <t>KRB</t>
  </si>
  <si>
    <t>YKMB</t>
  </si>
  <si>
    <t>Karumba Airport</t>
  </si>
  <si>
    <t>KRF</t>
  </si>
  <si>
    <t>ESNK</t>
  </si>
  <si>
    <t>Kramfors Sollefteä Airport</t>
  </si>
  <si>
    <t>KRG</t>
  </si>
  <si>
    <t>SYKS</t>
  </si>
  <si>
    <t>Karasabai Airport</t>
  </si>
  <si>
    <t>KRH</t>
  </si>
  <si>
    <t>EGKR</t>
  </si>
  <si>
    <t>Redhill Aerodrome</t>
  </si>
  <si>
    <t>KRI</t>
  </si>
  <si>
    <t>AYKK</t>
  </si>
  <si>
    <t>Kikori Airport</t>
  </si>
  <si>
    <t>KRK</t>
  </si>
  <si>
    <t>EPKK</t>
  </si>
  <si>
    <t>John Paul II International Airport</t>
  </si>
  <si>
    <t>KRL</t>
  </si>
  <si>
    <t>ZWKL</t>
  </si>
  <si>
    <t>Korla Airport</t>
  </si>
  <si>
    <t>KRM</t>
  </si>
  <si>
    <t>SYKR</t>
  </si>
  <si>
    <t>Karanambo Airport</t>
  </si>
  <si>
    <t>KRN</t>
  </si>
  <si>
    <t>ESNQ</t>
  </si>
  <si>
    <t>Kiruna Airport</t>
  </si>
  <si>
    <t>KRO</t>
  </si>
  <si>
    <t>USUU</t>
  </si>
  <si>
    <t>Kurgan Airport</t>
  </si>
  <si>
    <t>KRP</t>
  </si>
  <si>
    <t>EKKA</t>
  </si>
  <si>
    <t>Karup Airport</t>
  </si>
  <si>
    <t>KRQ</t>
  </si>
  <si>
    <t>UKCK</t>
  </si>
  <si>
    <t>Kramatorsk Airport</t>
  </si>
  <si>
    <t>KRR</t>
  </si>
  <si>
    <t>URKK</t>
  </si>
  <si>
    <t>Pashkovsky Airport</t>
  </si>
  <si>
    <t>KRS</t>
  </si>
  <si>
    <t>ENCN</t>
  </si>
  <si>
    <t>Kristiansand Airport, Kjevik</t>
  </si>
  <si>
    <t>KRT</t>
  </si>
  <si>
    <t>HSSS</t>
  </si>
  <si>
    <t>Khartoum International Airport</t>
  </si>
  <si>
    <t>KRW</t>
  </si>
  <si>
    <t>UTAK</t>
  </si>
  <si>
    <t>Turkmenbashi Airport</t>
  </si>
  <si>
    <t>KRY</t>
  </si>
  <si>
    <t>ZWKM</t>
  </si>
  <si>
    <t>Karamay Airport</t>
  </si>
  <si>
    <t>KRZ</t>
  </si>
  <si>
    <t>FZBT</t>
  </si>
  <si>
    <t>Basango Mboliasa Airport</t>
  </si>
  <si>
    <t>KSA</t>
  </si>
  <si>
    <t>PTSA</t>
  </si>
  <si>
    <t>Kosrae International Airport</t>
  </si>
  <si>
    <t>KSC</t>
  </si>
  <si>
    <t>LZKZ</t>
  </si>
  <si>
    <t>Ko?ice Airport</t>
  </si>
  <si>
    <t>KSD</t>
  </si>
  <si>
    <t>ESOK</t>
  </si>
  <si>
    <t>Karlstad Airport</t>
  </si>
  <si>
    <t>KSE</t>
  </si>
  <si>
    <t>HUKS</t>
  </si>
  <si>
    <t>Kasese Airport</t>
  </si>
  <si>
    <t>KSF</t>
  </si>
  <si>
    <t>EDVK</t>
  </si>
  <si>
    <t>Kassel-Calden Airport</t>
  </si>
  <si>
    <t>KSH</t>
  </si>
  <si>
    <t>OICC</t>
  </si>
  <si>
    <t>Kermanshah Airport</t>
  </si>
  <si>
    <t>KSI</t>
  </si>
  <si>
    <t>GUKU</t>
  </si>
  <si>
    <t>Kissidougou Airport</t>
  </si>
  <si>
    <t>KSJ</t>
  </si>
  <si>
    <t>LGKS</t>
  </si>
  <si>
    <t>Kasos Airport</t>
  </si>
  <si>
    <t>KSK</t>
  </si>
  <si>
    <t>ESKK</t>
  </si>
  <si>
    <t>Karlskoga Airport</t>
  </si>
  <si>
    <t>KSL</t>
  </si>
  <si>
    <t>HSKA</t>
  </si>
  <si>
    <t>Kassala Airport</t>
  </si>
  <si>
    <t>KSM</t>
  </si>
  <si>
    <t>PASM</t>
  </si>
  <si>
    <t>KSN</t>
  </si>
  <si>
    <t>UAUU</t>
  </si>
  <si>
    <t>Kostanay Airport</t>
  </si>
  <si>
    <t>KSO</t>
  </si>
  <si>
    <t>LGKA</t>
  </si>
  <si>
    <t>Kastoria National Airport</t>
  </si>
  <si>
    <t>KSQ</t>
  </si>
  <si>
    <t>UTSL</t>
  </si>
  <si>
    <t>Karshi Khanabad Airport</t>
  </si>
  <si>
    <t>KSS</t>
  </si>
  <si>
    <t>GASK</t>
  </si>
  <si>
    <t>Sikasso Airport</t>
  </si>
  <si>
    <t>KST</t>
  </si>
  <si>
    <t>HSKI</t>
  </si>
  <si>
    <t>Kosti Airport</t>
  </si>
  <si>
    <t>KSU</t>
  </si>
  <si>
    <t>ENKB</t>
  </si>
  <si>
    <t>Kristiansund Airport, Kvernberget</t>
  </si>
  <si>
    <t>KSV</t>
  </si>
  <si>
    <t>YSPV</t>
  </si>
  <si>
    <t>Springvale Airport</t>
  </si>
  <si>
    <t>KSW</t>
  </si>
  <si>
    <t>LLKS</t>
  </si>
  <si>
    <t>Qiryat Shemona Airport</t>
  </si>
  <si>
    <t>KSY</t>
  </si>
  <si>
    <t>LTCF</t>
  </si>
  <si>
    <t>Kars Airport</t>
  </si>
  <si>
    <t>KSZ</t>
  </si>
  <si>
    <t>ULKK</t>
  </si>
  <si>
    <t>Kotlas Airport</t>
  </si>
  <si>
    <t>KTA</t>
  </si>
  <si>
    <t>YPKA</t>
  </si>
  <si>
    <t>Karratha Airport</t>
  </si>
  <si>
    <t>KTD</t>
  </si>
  <si>
    <t>RORK</t>
  </si>
  <si>
    <t>Kitadaito Airport</t>
  </si>
  <si>
    <t>KTE</t>
  </si>
  <si>
    <t>WMKE</t>
  </si>
  <si>
    <t>Kerteh Airport</t>
  </si>
  <si>
    <t>KTF</t>
  </si>
  <si>
    <t>NZTK</t>
  </si>
  <si>
    <t>Takaka Airport</t>
  </si>
  <si>
    <t>KTG</t>
  </si>
  <si>
    <t>WIOK</t>
  </si>
  <si>
    <t>Ketapang(Rahadi Usman) Airport</t>
  </si>
  <si>
    <t>KTI</t>
  </si>
  <si>
    <t>VDKT</t>
  </si>
  <si>
    <t>Kratie Airport</t>
  </si>
  <si>
    <t>KTL</t>
  </si>
  <si>
    <t>HKKT</t>
  </si>
  <si>
    <t>Kitale Airport</t>
  </si>
  <si>
    <t>KTM</t>
  </si>
  <si>
    <t>VNKT</t>
  </si>
  <si>
    <t>Tribhuvan International Airport</t>
  </si>
  <si>
    <t>KTN</t>
  </si>
  <si>
    <t>PAKT</t>
  </si>
  <si>
    <t>Ketchikan International Airport</t>
  </si>
  <si>
    <t>KTO</t>
  </si>
  <si>
    <t>SYKT</t>
  </si>
  <si>
    <t>Kato Airport</t>
  </si>
  <si>
    <t>KTP</t>
  </si>
  <si>
    <t>MKTP</t>
  </si>
  <si>
    <t>Tinson Pen Aerodrome</t>
  </si>
  <si>
    <t>KTQ</t>
  </si>
  <si>
    <t>EFIT</t>
  </si>
  <si>
    <t>Kitee Airport</t>
  </si>
  <si>
    <t>KTR</t>
  </si>
  <si>
    <t>YPTN</t>
  </si>
  <si>
    <t>Tindal Airport</t>
  </si>
  <si>
    <t>KTT</t>
  </si>
  <si>
    <t>EFKT</t>
  </si>
  <si>
    <t>Kittilä Airport</t>
  </si>
  <si>
    <t>KTU</t>
  </si>
  <si>
    <t>VIKO</t>
  </si>
  <si>
    <t>Kota Airport</t>
  </si>
  <si>
    <t>KTW</t>
  </si>
  <si>
    <t>EPKT</t>
  </si>
  <si>
    <t>Katowice International Airport</t>
  </si>
  <si>
    <t>KTX</t>
  </si>
  <si>
    <t>GAKO</t>
  </si>
  <si>
    <t>Koutiala Airport</t>
  </si>
  <si>
    <t>KUA</t>
  </si>
  <si>
    <t>WMKD</t>
  </si>
  <si>
    <t>Kuantan Airport</t>
  </si>
  <si>
    <t>KUC</t>
  </si>
  <si>
    <t>NGKT</t>
  </si>
  <si>
    <t>Kuria Airport</t>
  </si>
  <si>
    <t>KUD</t>
  </si>
  <si>
    <t>WBKT</t>
  </si>
  <si>
    <t>Kudat Airport</t>
  </si>
  <si>
    <t>KUF</t>
  </si>
  <si>
    <t>UWWW</t>
  </si>
  <si>
    <t>Kurumoch International Airport</t>
  </si>
  <si>
    <t>KUG</t>
  </si>
  <si>
    <t>YKUB</t>
  </si>
  <si>
    <t>Kubin Airport</t>
  </si>
  <si>
    <t>KUH</t>
  </si>
  <si>
    <t>RJCK</t>
  </si>
  <si>
    <t>Kushiro Airport</t>
  </si>
  <si>
    <t>KUL</t>
  </si>
  <si>
    <t>WMKK</t>
  </si>
  <si>
    <t>Kuala Lumpur International Airport</t>
  </si>
  <si>
    <t>KUM</t>
  </si>
  <si>
    <t>RJFC</t>
  </si>
  <si>
    <t>Yakushima Airport</t>
  </si>
  <si>
    <t>KUN</t>
  </si>
  <si>
    <t>EYKA</t>
  </si>
  <si>
    <t>Kaunas International Airport</t>
  </si>
  <si>
    <t>KUO</t>
  </si>
  <si>
    <t>EFKU</t>
  </si>
  <si>
    <t>Kuopio Airport</t>
  </si>
  <si>
    <t>KUR</t>
  </si>
  <si>
    <t>OARZ</t>
  </si>
  <si>
    <t>Razer Airport</t>
  </si>
  <si>
    <t>KUS</t>
  </si>
  <si>
    <t>BGKK</t>
  </si>
  <si>
    <t>Metropolitan Area Airport</t>
  </si>
  <si>
    <t>KUT</t>
  </si>
  <si>
    <t>UGKO</t>
  </si>
  <si>
    <t>Kopitnari Airport</t>
  </si>
  <si>
    <t>KUU</t>
  </si>
  <si>
    <t>VIBR</t>
  </si>
  <si>
    <t>Bhuntar Airport</t>
  </si>
  <si>
    <t>KUV</t>
  </si>
  <si>
    <t>RKJK</t>
  </si>
  <si>
    <t>Gunsan Airport</t>
  </si>
  <si>
    <t>KVA</t>
  </si>
  <si>
    <t>LGKV</t>
  </si>
  <si>
    <t>Alexander the Great International Airport</t>
  </si>
  <si>
    <t>KVB</t>
  </si>
  <si>
    <t>ESGR</t>
  </si>
  <si>
    <t>Skövde Airport</t>
  </si>
  <si>
    <t>KVC</t>
  </si>
  <si>
    <t>PAVC</t>
  </si>
  <si>
    <t>King Cove Airport</t>
  </si>
  <si>
    <t>KVD</t>
  </si>
  <si>
    <t>UBBG</t>
  </si>
  <si>
    <t>Ganja Airport</t>
  </si>
  <si>
    <t>KVG</t>
  </si>
  <si>
    <t>AYKV</t>
  </si>
  <si>
    <t>Kavieng Airport</t>
  </si>
  <si>
    <t>KVK</t>
  </si>
  <si>
    <t>ULMK</t>
  </si>
  <si>
    <t>Kirovsk-Apatity Airport</t>
  </si>
  <si>
    <t>KVL</t>
  </si>
  <si>
    <t>PAVL</t>
  </si>
  <si>
    <t>Kivalina Airport</t>
  </si>
  <si>
    <t>KVX</t>
  </si>
  <si>
    <t>USKK</t>
  </si>
  <si>
    <t>Pobedilovo Airport</t>
  </si>
  <si>
    <t>KWA</t>
  </si>
  <si>
    <t>PKWA</t>
  </si>
  <si>
    <t>Kwajalein Atoll Airport</t>
  </si>
  <si>
    <t>KWB</t>
  </si>
  <si>
    <t>WICM</t>
  </si>
  <si>
    <t>Karimunjawa Airport</t>
  </si>
  <si>
    <t>KWE</t>
  </si>
  <si>
    <t>ZUGY</t>
  </si>
  <si>
    <t>Guiyang Longdongbao Airport</t>
  </si>
  <si>
    <t>KWG</t>
  </si>
  <si>
    <t>UKDR</t>
  </si>
  <si>
    <t>Kryvyi Rih International Airport</t>
  </si>
  <si>
    <t>KWH</t>
  </si>
  <si>
    <t>OAHN</t>
  </si>
  <si>
    <t>Khwahan Airport</t>
  </si>
  <si>
    <t>KWI</t>
  </si>
  <si>
    <t>OKBK</t>
  </si>
  <si>
    <t>Kuwait International Airport</t>
  </si>
  <si>
    <t>KWJ</t>
  </si>
  <si>
    <t>RKJJ</t>
  </si>
  <si>
    <t>Gwangju Airport</t>
  </si>
  <si>
    <t>KWL</t>
  </si>
  <si>
    <t>ZGKL</t>
  </si>
  <si>
    <t>Guilin Liangjiang International Airport</t>
  </si>
  <si>
    <t>KWM</t>
  </si>
  <si>
    <t>YKOW</t>
  </si>
  <si>
    <t>Kowanyama Airport</t>
  </si>
  <si>
    <t>KWZ</t>
  </si>
  <si>
    <t>FZQM</t>
  </si>
  <si>
    <t>Kolwezi Airport</t>
  </si>
  <si>
    <t>KXE</t>
  </si>
  <si>
    <t>FAKD</t>
  </si>
  <si>
    <t>P C Pelser Airport</t>
  </si>
  <si>
    <t>KXF</t>
  </si>
  <si>
    <t>NFNO</t>
  </si>
  <si>
    <t>Koro Airport</t>
  </si>
  <si>
    <t>KXK</t>
  </si>
  <si>
    <t>UHKK</t>
  </si>
  <si>
    <t>Komsomolsk-on-Amur Airport</t>
  </si>
  <si>
    <t>KYA</t>
  </si>
  <si>
    <t>LTAN</t>
  </si>
  <si>
    <t>Konya Airport</t>
  </si>
  <si>
    <t>KYD</t>
  </si>
  <si>
    <t>RCLY</t>
  </si>
  <si>
    <t>Lanyu Airport</t>
  </si>
  <si>
    <t>KYE</t>
  </si>
  <si>
    <t>OLKA</t>
  </si>
  <si>
    <t>Rene Mouawad Air Base</t>
  </si>
  <si>
    <t>KYF</t>
  </si>
  <si>
    <t>YYLR</t>
  </si>
  <si>
    <t>Yeelirrie Airport</t>
  </si>
  <si>
    <t>KYI</t>
  </si>
  <si>
    <t>YYTA</t>
  </si>
  <si>
    <t>Yalata Mission Airport</t>
  </si>
  <si>
    <t>KYK</t>
  </si>
  <si>
    <t>PAKY</t>
  </si>
  <si>
    <t>Karluk Airport</t>
  </si>
  <si>
    <t>KYP</t>
  </si>
  <si>
    <t>VYKP</t>
  </si>
  <si>
    <t>Kyaukpyu Airport</t>
  </si>
  <si>
    <t>KYS</t>
  </si>
  <si>
    <t>GAKY</t>
  </si>
  <si>
    <t>Kayes Dag Dag Airport</t>
  </si>
  <si>
    <t>KYT</t>
  </si>
  <si>
    <t>VYKU</t>
  </si>
  <si>
    <t>Kyauktu Airport</t>
  </si>
  <si>
    <t>KYZ</t>
  </si>
  <si>
    <t>UNKY</t>
  </si>
  <si>
    <t>Kyzyl Airport</t>
  </si>
  <si>
    <t>KZC</t>
  </si>
  <si>
    <t>VDKH</t>
  </si>
  <si>
    <t>Kampong Chhnang Airport</t>
  </si>
  <si>
    <t>KZI</t>
  </si>
  <si>
    <t>LGKZ</t>
  </si>
  <si>
    <t>Philippos Airport</t>
  </si>
  <si>
    <t>KZN</t>
  </si>
  <si>
    <t>UWKD</t>
  </si>
  <si>
    <t>Kazan International Airport</t>
  </si>
  <si>
    <t>KZO</t>
  </si>
  <si>
    <t>UAOO</t>
  </si>
  <si>
    <t>Kyzylorda Airport</t>
  </si>
  <si>
    <t>KZS</t>
  </si>
  <si>
    <t>LGKJ</t>
  </si>
  <si>
    <t>Kastelorizo Island Public Airport</t>
  </si>
  <si>
    <t>LAA</t>
  </si>
  <si>
    <t>KLAA</t>
  </si>
  <si>
    <t>Lamar Municipal Airport</t>
  </si>
  <si>
    <t>LAD</t>
  </si>
  <si>
    <t>FNLU</t>
  </si>
  <si>
    <t>Quatro De Fevereiro Airport</t>
  </si>
  <si>
    <t>LAE</t>
  </si>
  <si>
    <t>AYNZ</t>
  </si>
  <si>
    <t>Lae Nadzab Airport</t>
  </si>
  <si>
    <t>LAF</t>
  </si>
  <si>
    <t>KLAF</t>
  </si>
  <si>
    <t>Purdue University Airport</t>
  </si>
  <si>
    <t>LAH</t>
  </si>
  <si>
    <t>WAPH</t>
  </si>
  <si>
    <t>Oesman Sadik Airport, Labuha</t>
  </si>
  <si>
    <t>LAI</t>
  </si>
  <si>
    <t>LFRO</t>
  </si>
  <si>
    <t>Lannion - Côte de Granit Airport</t>
  </si>
  <si>
    <t>LAJ</t>
  </si>
  <si>
    <t>SBLJ</t>
  </si>
  <si>
    <t>Lages Airport</t>
  </si>
  <si>
    <t>LAK</t>
  </si>
  <si>
    <t>CYKD</t>
  </si>
  <si>
    <t>Aklavik Airport</t>
  </si>
  <si>
    <t>LAL</t>
  </si>
  <si>
    <t>KLAL</t>
  </si>
  <si>
    <t>Lakeland Linder Regional Airport</t>
  </si>
  <si>
    <t>LAM</t>
  </si>
  <si>
    <t>KLAM</t>
  </si>
  <si>
    <t>Los Alamos Airport</t>
  </si>
  <si>
    <t>LAN</t>
  </si>
  <si>
    <t>KLAN</t>
  </si>
  <si>
    <t>Lansing Capital City Airport</t>
  </si>
  <si>
    <t>LAO</t>
  </si>
  <si>
    <t>RPLI</t>
  </si>
  <si>
    <t>Laoag International Airport</t>
  </si>
  <si>
    <t>LAP</t>
  </si>
  <si>
    <t>MMLP</t>
  </si>
  <si>
    <t>Manuel Márquez de León International Airport</t>
  </si>
  <si>
    <t>LAQ</t>
  </si>
  <si>
    <t>HLLQ</t>
  </si>
  <si>
    <t>La Abraq Airport</t>
  </si>
  <si>
    <t>LAR</t>
  </si>
  <si>
    <t>KLAR</t>
  </si>
  <si>
    <t>Laramie Regional Airport</t>
  </si>
  <si>
    <t>LAS</t>
  </si>
  <si>
    <t>KLAS</t>
  </si>
  <si>
    <t>Harry Reid International Airport</t>
  </si>
  <si>
    <t>LAU</t>
  </si>
  <si>
    <t>HKLU</t>
  </si>
  <si>
    <t>Manda Airstrip</t>
  </si>
  <si>
    <t>LAW</t>
  </si>
  <si>
    <t>KLAW</t>
  </si>
  <si>
    <t>Lawton-Fort Sill Regional Airport</t>
  </si>
  <si>
    <t>LAX</t>
  </si>
  <si>
    <t>KLAX</t>
  </si>
  <si>
    <t>Los Angeles International Airport</t>
  </si>
  <si>
    <t>LAY</t>
  </si>
  <si>
    <t>FALY</t>
  </si>
  <si>
    <t>Ladysmith Airport</t>
  </si>
  <si>
    <t>LAZ</t>
  </si>
  <si>
    <t>SBLP</t>
  </si>
  <si>
    <t>Bom Jesus da Lapa Airport</t>
  </si>
  <si>
    <t>LBA</t>
  </si>
  <si>
    <t>EGNM</t>
  </si>
  <si>
    <t>Leeds Bradford Airport</t>
  </si>
  <si>
    <t>LBB</t>
  </si>
  <si>
    <t>KLBB</t>
  </si>
  <si>
    <t>Lubbock Preston Smith International Airport</t>
  </si>
  <si>
    <t>LBC</t>
  </si>
  <si>
    <t>EDHL</t>
  </si>
  <si>
    <t>Lübeck Airport</t>
  </si>
  <si>
    <t>LBD</t>
  </si>
  <si>
    <t>UTDL</t>
  </si>
  <si>
    <t>Khudzhand Airport</t>
  </si>
  <si>
    <t>LBE</t>
  </si>
  <si>
    <t>KLBE</t>
  </si>
  <si>
    <t>Arnold Palmer Regional Airport</t>
  </si>
  <si>
    <t>LBF</t>
  </si>
  <si>
    <t>KLBF</t>
  </si>
  <si>
    <t>North Platte Regional Airport (Lee Bird Field)</t>
  </si>
  <si>
    <t>LBG</t>
  </si>
  <si>
    <t>LFPB</t>
  </si>
  <si>
    <t>Paris - Le Bourget Airport</t>
  </si>
  <si>
    <t>LBI</t>
  </si>
  <si>
    <t>LFCI</t>
  </si>
  <si>
    <t>Le Sequestre Airport</t>
  </si>
  <si>
    <t>LBJ</t>
  </si>
  <si>
    <t>WATO</t>
  </si>
  <si>
    <t>Komodo Airport</t>
  </si>
  <si>
    <t>LBL</t>
  </si>
  <si>
    <t>KLBL</t>
  </si>
  <si>
    <t>Liberal Municipal Airport</t>
  </si>
  <si>
    <t>LBO</t>
  </si>
  <si>
    <t>FZVI</t>
  </si>
  <si>
    <t>Lusambo Airport</t>
  </si>
  <si>
    <t>KLBO</t>
  </si>
  <si>
    <t>Floyd W. Jones Lebanon Airport</t>
  </si>
  <si>
    <t>LBQ</t>
  </si>
  <si>
    <t>FOGR</t>
  </si>
  <si>
    <t>Lambarene Airport</t>
  </si>
  <si>
    <t>LBR</t>
  </si>
  <si>
    <t>SWLB</t>
  </si>
  <si>
    <t>Lábrea Airport</t>
  </si>
  <si>
    <t>KLBR</t>
  </si>
  <si>
    <t>Clarksville/Red River County Airport (J.D. Trissell Field)</t>
  </si>
  <si>
    <t>LBS</t>
  </si>
  <si>
    <t>NFNL</t>
  </si>
  <si>
    <t>Labasa Airport</t>
  </si>
  <si>
    <t>LBT</t>
  </si>
  <si>
    <t>KLBT</t>
  </si>
  <si>
    <t>Lumberton Municipal Airport</t>
  </si>
  <si>
    <t>LBU</t>
  </si>
  <si>
    <t>WBKL</t>
  </si>
  <si>
    <t>Labuan Airport</t>
  </si>
  <si>
    <t>LBV</t>
  </si>
  <si>
    <t>FOOL</t>
  </si>
  <si>
    <t>Leon M'Ba International Airport</t>
  </si>
  <si>
    <t>LBW</t>
  </si>
  <si>
    <t>WRLB</t>
  </si>
  <si>
    <t>Long Bawan Airport</t>
  </si>
  <si>
    <t>LBX</t>
  </si>
  <si>
    <t>RPLU</t>
  </si>
  <si>
    <t>Lubang Airport</t>
  </si>
  <si>
    <t>KLBX</t>
  </si>
  <si>
    <t>Brazoria County Airport</t>
  </si>
  <si>
    <t>LBY</t>
  </si>
  <si>
    <t>LFRE</t>
  </si>
  <si>
    <t>La Baule-Escoublac Airport</t>
  </si>
  <si>
    <t>LCA</t>
  </si>
  <si>
    <t>LCLK</t>
  </si>
  <si>
    <t>Larnaca International Airport</t>
  </si>
  <si>
    <t>LCC</t>
  </si>
  <si>
    <t>LIBN</t>
  </si>
  <si>
    <t>Lecce Airport</t>
  </si>
  <si>
    <t>LCD</t>
  </si>
  <si>
    <t>FALO</t>
  </si>
  <si>
    <t>Louis Trichardt Airport</t>
  </si>
  <si>
    <t>LCE</t>
  </si>
  <si>
    <t>MHLC</t>
  </si>
  <si>
    <t>Goloson International Airport</t>
  </si>
  <si>
    <t>LCG</t>
  </si>
  <si>
    <t>LECO</t>
  </si>
  <si>
    <t>La Coruña Airport</t>
  </si>
  <si>
    <t>KLCG</t>
  </si>
  <si>
    <t>Wayne Municipal Airport</t>
  </si>
  <si>
    <t>LCH</t>
  </si>
  <si>
    <t>KLCH</t>
  </si>
  <si>
    <t>Lake Charles Regional Airport</t>
  </si>
  <si>
    <t>LCI</t>
  </si>
  <si>
    <t>KLCI</t>
  </si>
  <si>
    <t>Laconia Municipal Airport</t>
  </si>
  <si>
    <t>LCJ</t>
  </si>
  <si>
    <t>EPLL</t>
  </si>
  <si>
    <t>?ód? W?adys?aw Reymont Airport</t>
  </si>
  <si>
    <t>LCK</t>
  </si>
  <si>
    <t>KLCK</t>
  </si>
  <si>
    <t>Rickenbacker International Airport</t>
  </si>
  <si>
    <t>LCL</t>
  </si>
  <si>
    <t>MULM</t>
  </si>
  <si>
    <t>La Coloma Airport</t>
  </si>
  <si>
    <t>LCM</t>
  </si>
  <si>
    <t>SACC</t>
  </si>
  <si>
    <t>La Cumbre Airport</t>
  </si>
  <si>
    <t>LCN</t>
  </si>
  <si>
    <t>YBLC</t>
  </si>
  <si>
    <t>Balcanoona Airport</t>
  </si>
  <si>
    <t>LCO</t>
  </si>
  <si>
    <t>FCBL</t>
  </si>
  <si>
    <t>Lague Airport</t>
  </si>
  <si>
    <t>LCQ</t>
  </si>
  <si>
    <t>KLCQ</t>
  </si>
  <si>
    <t>Lake City Municipal Airport</t>
  </si>
  <si>
    <t>LCV</t>
  </si>
  <si>
    <t>LIQL</t>
  </si>
  <si>
    <t>Lucca / Tassignano Airport</t>
  </si>
  <si>
    <t>LCX</t>
  </si>
  <si>
    <t>ZSLD</t>
  </si>
  <si>
    <t>Longyan Guanzhishan Airport</t>
  </si>
  <si>
    <t>LCY</t>
  </si>
  <si>
    <t>EGLC</t>
  </si>
  <si>
    <t>London City Airport</t>
  </si>
  <si>
    <t>LDA</t>
  </si>
  <si>
    <t>VEMH</t>
  </si>
  <si>
    <t>Malda Airport</t>
  </si>
  <si>
    <t>LDB</t>
  </si>
  <si>
    <t>SBLO</t>
  </si>
  <si>
    <t>Londrina - Aeroporto de Londrina</t>
  </si>
  <si>
    <t>LDC</t>
  </si>
  <si>
    <t>YLIN</t>
  </si>
  <si>
    <t>Lindeman Island Airport</t>
  </si>
  <si>
    <t>LDE</t>
  </si>
  <si>
    <t>LFBT</t>
  </si>
  <si>
    <t>Tarbes - Lourdes Pyrenees Airport</t>
  </si>
  <si>
    <t>LDH</t>
  </si>
  <si>
    <t>YLHI</t>
  </si>
  <si>
    <t>Lord Howe Island Airport</t>
  </si>
  <si>
    <t>LDI</t>
  </si>
  <si>
    <t>HTLI</t>
  </si>
  <si>
    <t>Kikwetu Airport</t>
  </si>
  <si>
    <t>LDJ</t>
  </si>
  <si>
    <t>KLDJ</t>
  </si>
  <si>
    <t>Linden Airport</t>
  </si>
  <si>
    <t>LDK</t>
  </si>
  <si>
    <t>ESGL</t>
  </si>
  <si>
    <t>Lidköping-Hovby Airport</t>
  </si>
  <si>
    <t>LDM</t>
  </si>
  <si>
    <t>KLDM</t>
  </si>
  <si>
    <t>Mason County Airport</t>
  </si>
  <si>
    <t>LDN</t>
  </si>
  <si>
    <t>VNLD</t>
  </si>
  <si>
    <t>Lamidanda Airport</t>
  </si>
  <si>
    <t>LDU</t>
  </si>
  <si>
    <t>WBKD</t>
  </si>
  <si>
    <t>Lahad Datu Airport</t>
  </si>
  <si>
    <t>LDV</t>
  </si>
  <si>
    <t>LFRJ</t>
  </si>
  <si>
    <t>Landivisiau Air Base</t>
  </si>
  <si>
    <t>LDX</t>
  </si>
  <si>
    <t>SOOM</t>
  </si>
  <si>
    <t>Saint-Laurent-du-Maroni Airport</t>
  </si>
  <si>
    <t>LDY</t>
  </si>
  <si>
    <t>EGAE</t>
  </si>
  <si>
    <t>City of Derry Airport (Londonderry Eglinton Airport)</t>
  </si>
  <si>
    <t>LDZ</t>
  </si>
  <si>
    <t>FALD</t>
  </si>
  <si>
    <t>Londolozi Airport</t>
  </si>
  <si>
    <t>LEA</t>
  </si>
  <si>
    <t>YPLM</t>
  </si>
  <si>
    <t>Learmonth Airport</t>
  </si>
  <si>
    <t>LEB</t>
  </si>
  <si>
    <t>KLEB</t>
  </si>
  <si>
    <t>Lebanon Municipal Airport</t>
  </si>
  <si>
    <t>LEC</t>
  </si>
  <si>
    <t>SBLE</t>
  </si>
  <si>
    <t>Chapada Diamantina Airport</t>
  </si>
  <si>
    <t>LED</t>
  </si>
  <si>
    <t>ULLI</t>
  </si>
  <si>
    <t>Pulkovo Airport, Rzhevka Airport</t>
  </si>
  <si>
    <t>LEE</t>
  </si>
  <si>
    <t>KLEE</t>
  </si>
  <si>
    <t>Leesburg International Airport</t>
  </si>
  <si>
    <t>LEF</t>
  </si>
  <si>
    <t>FXLK</t>
  </si>
  <si>
    <t>Lebakeng Airport</t>
  </si>
  <si>
    <t>LEH</t>
  </si>
  <si>
    <t>LFOH</t>
  </si>
  <si>
    <t>Le Havre Octeville Airport</t>
  </si>
  <si>
    <t>LEI</t>
  </si>
  <si>
    <t>LEAM</t>
  </si>
  <si>
    <t>Almería International Airport</t>
  </si>
  <si>
    <t>LEJ</t>
  </si>
  <si>
    <t>EDDP</t>
  </si>
  <si>
    <t>Leipzig/Halle Airport</t>
  </si>
  <si>
    <t>LEK</t>
  </si>
  <si>
    <t>GULB</t>
  </si>
  <si>
    <t>Labe Airport</t>
  </si>
  <si>
    <t>LEL</t>
  </si>
  <si>
    <t>YLEV</t>
  </si>
  <si>
    <t>Lake Evella Airport</t>
  </si>
  <si>
    <t>LEM</t>
  </si>
  <si>
    <t>KLEM</t>
  </si>
  <si>
    <t>Lemmon Municipal Airport</t>
  </si>
  <si>
    <t>LEN</t>
  </si>
  <si>
    <t>LELN</t>
  </si>
  <si>
    <t>Leon Airport</t>
  </si>
  <si>
    <t>LEP</t>
  </si>
  <si>
    <t>SNDN</t>
  </si>
  <si>
    <t>Leopoldina Airport</t>
  </si>
  <si>
    <t>LEQ</t>
  </si>
  <si>
    <t>EGHC</t>
  </si>
  <si>
    <t>Land's End Airport</t>
  </si>
  <si>
    <t>LER</t>
  </si>
  <si>
    <t>YLST</t>
  </si>
  <si>
    <t>Leinster Airport</t>
  </si>
  <si>
    <t>LES</t>
  </si>
  <si>
    <t>FXLS</t>
  </si>
  <si>
    <t>Lesobeng Airport</t>
  </si>
  <si>
    <t>LET</t>
  </si>
  <si>
    <t>SKLT</t>
  </si>
  <si>
    <t>Leticia General Alfredo Vasquez Cobo International Airport</t>
  </si>
  <si>
    <t>LEU</t>
  </si>
  <si>
    <t>LESU</t>
  </si>
  <si>
    <t>Aeròdrom dels Pirineus-Alt Urgell Airport</t>
  </si>
  <si>
    <t>LEV</t>
  </si>
  <si>
    <t>NFNB</t>
  </si>
  <si>
    <t>Levuka Airfield</t>
  </si>
  <si>
    <t>LEW</t>
  </si>
  <si>
    <t>KLEW</t>
  </si>
  <si>
    <t>Auburn/Lewiston Municipal Airport</t>
  </si>
  <si>
    <t>LEX</t>
  </si>
  <si>
    <t>KLEX</t>
  </si>
  <si>
    <t>Blue Grass Airport</t>
  </si>
  <si>
    <t>LEY</t>
  </si>
  <si>
    <t>EHLE</t>
  </si>
  <si>
    <t>Lelystad Airport</t>
  </si>
  <si>
    <t>LEZ</t>
  </si>
  <si>
    <t>MHLE</t>
  </si>
  <si>
    <t>La Esperanza Airport</t>
  </si>
  <si>
    <t>LFB</t>
  </si>
  <si>
    <t>FQLU</t>
  </si>
  <si>
    <t>Lumbo Airport</t>
  </si>
  <si>
    <t>LFI</t>
  </si>
  <si>
    <t>KLFI</t>
  </si>
  <si>
    <t>Langley Air Force Base</t>
  </si>
  <si>
    <t>LFK</t>
  </si>
  <si>
    <t>KLFK</t>
  </si>
  <si>
    <t>Angelina County Airport</t>
  </si>
  <si>
    <t>LFO</t>
  </si>
  <si>
    <t>HAKL</t>
  </si>
  <si>
    <t>Kelafo East Airport</t>
  </si>
  <si>
    <t>LFR</t>
  </si>
  <si>
    <t>SVLF</t>
  </si>
  <si>
    <t>La Fria Airport</t>
  </si>
  <si>
    <t>LFT</t>
  </si>
  <si>
    <t>KLFT</t>
  </si>
  <si>
    <t>Lafayette Regional Airport</t>
  </si>
  <si>
    <t>LFW</t>
  </si>
  <si>
    <t>DXXX</t>
  </si>
  <si>
    <t>Lome Tokoin Airport</t>
  </si>
  <si>
    <t>LGA</t>
  </si>
  <si>
    <t>KLGA</t>
  </si>
  <si>
    <t>LaGuardia Airport</t>
  </si>
  <si>
    <t>LGB</t>
  </si>
  <si>
    <t>KLGB</t>
  </si>
  <si>
    <t>Long Beach Airport</t>
  </si>
  <si>
    <t>LGE</t>
  </si>
  <si>
    <t>FALW</t>
  </si>
  <si>
    <t>Langebaanweg Airport</t>
  </si>
  <si>
    <t>LGG</t>
  </si>
  <si>
    <t>EBLG</t>
  </si>
  <si>
    <t>Liège Airport</t>
  </si>
  <si>
    <t>LGH</t>
  </si>
  <si>
    <t>YLEC</t>
  </si>
  <si>
    <t>Leigh Creek Airport</t>
  </si>
  <si>
    <t>LGI</t>
  </si>
  <si>
    <t>MYLD</t>
  </si>
  <si>
    <t>Deadman's Cay Airport</t>
  </si>
  <si>
    <t>LGK</t>
  </si>
  <si>
    <t>WMKL</t>
  </si>
  <si>
    <t>Langkawi International Airport</t>
  </si>
  <si>
    <t>LGL</t>
  </si>
  <si>
    <t>WBGF</t>
  </si>
  <si>
    <t>Long Lellang Airport</t>
  </si>
  <si>
    <t>LGO</t>
  </si>
  <si>
    <t>EDWL</t>
  </si>
  <si>
    <t>Langeoog Airport</t>
  </si>
  <si>
    <t>LGP</t>
  </si>
  <si>
    <t>RPLP</t>
  </si>
  <si>
    <t>Legazpi City International Airport</t>
  </si>
  <si>
    <t>LGQ</t>
  </si>
  <si>
    <t>SENL</t>
  </si>
  <si>
    <t>Lago Agrio Airport</t>
  </si>
  <si>
    <t>LGR</t>
  </si>
  <si>
    <t>SCHR</t>
  </si>
  <si>
    <t>Cochrane Airport</t>
  </si>
  <si>
    <t>LGS</t>
  </si>
  <si>
    <t>SAMM</t>
  </si>
  <si>
    <t>Malargue International Airport</t>
  </si>
  <si>
    <t>LGW</t>
  </si>
  <si>
    <t>EGKK</t>
  </si>
  <si>
    <t>Gatwick Airport</t>
  </si>
  <si>
    <t>LHA</t>
  </si>
  <si>
    <t>EDTL</t>
  </si>
  <si>
    <t>Black Forest Airport</t>
  </si>
  <si>
    <t>LHB</t>
  </si>
  <si>
    <t>KLHB</t>
  </si>
  <si>
    <t>Hearne Municipal Airport</t>
  </si>
  <si>
    <t>LHC</t>
  </si>
  <si>
    <t>SPBC</t>
  </si>
  <si>
    <t>Caballococha Airport</t>
  </si>
  <si>
    <t>LHE</t>
  </si>
  <si>
    <t>OPLA</t>
  </si>
  <si>
    <t>Allama Iqbal International Airport</t>
  </si>
  <si>
    <t>LHG</t>
  </si>
  <si>
    <t>YLRD</t>
  </si>
  <si>
    <t>Lightning Ridge Airport</t>
  </si>
  <si>
    <t>LHI</t>
  </si>
  <si>
    <t>WAJL</t>
  </si>
  <si>
    <t>Lereh Airport</t>
  </si>
  <si>
    <t>LHK</t>
  </si>
  <si>
    <t>ZHGH</t>
  </si>
  <si>
    <t>Guangzhou MR Air Base</t>
  </si>
  <si>
    <t>LHM</t>
  </si>
  <si>
    <t>KLHM</t>
  </si>
  <si>
    <t>Lincoln Regional Airport (Karl Harder Field)</t>
  </si>
  <si>
    <t>LHR</t>
  </si>
  <si>
    <t>EGLL</t>
  </si>
  <si>
    <t>Heathrow Airport</t>
  </si>
  <si>
    <t>LHS</t>
  </si>
  <si>
    <t>SAVH</t>
  </si>
  <si>
    <t>Las Heras Airport</t>
  </si>
  <si>
    <t>LHV</t>
  </si>
  <si>
    <t>KLHV</t>
  </si>
  <si>
    <t>William T. Piper Memorial Airport</t>
  </si>
  <si>
    <t>LHW</t>
  </si>
  <si>
    <t>KLHW</t>
  </si>
  <si>
    <t>Wright Army Airfield</t>
  </si>
  <si>
    <t>LHX</t>
  </si>
  <si>
    <t>KLHX</t>
  </si>
  <si>
    <t>La Junta Municipal Airport</t>
  </si>
  <si>
    <t>LHZ</t>
  </si>
  <si>
    <t>KLHZ</t>
  </si>
  <si>
    <t>Franklin County Airport</t>
  </si>
  <si>
    <t>LIA</t>
  </si>
  <si>
    <t>ZULP</t>
  </si>
  <si>
    <t>Liangping Airport</t>
  </si>
  <si>
    <t>LIC</t>
  </si>
  <si>
    <t>KLIC</t>
  </si>
  <si>
    <t>Limon Municipal Airport</t>
  </si>
  <si>
    <t>LIE</t>
  </si>
  <si>
    <t>FZFA</t>
  </si>
  <si>
    <t>Libenge Airport</t>
  </si>
  <si>
    <t>LIF</t>
  </si>
  <si>
    <t>NWWL</t>
  </si>
  <si>
    <t>Lifou Airport</t>
  </si>
  <si>
    <t>LIG</t>
  </si>
  <si>
    <t>LFBL</t>
  </si>
  <si>
    <t>Bellegarde Airport</t>
  </si>
  <si>
    <t>LIH</t>
  </si>
  <si>
    <t>PHLI</t>
  </si>
  <si>
    <t>Lihue Airport</t>
  </si>
  <si>
    <t>LII</t>
  </si>
  <si>
    <t>WAJM</t>
  </si>
  <si>
    <t>Mulia Airport</t>
  </si>
  <si>
    <t>LIL</t>
  </si>
  <si>
    <t>LFQQ</t>
  </si>
  <si>
    <t>Lille-Lesquin Airport</t>
  </si>
  <si>
    <t>LIM</t>
  </si>
  <si>
    <t>SPIM</t>
  </si>
  <si>
    <t>Jorge Chavez International Airport</t>
  </si>
  <si>
    <t>SPLP</t>
  </si>
  <si>
    <t>Las Palmas Airport</t>
  </si>
  <si>
    <t>LIN</t>
  </si>
  <si>
    <t>LIML</t>
  </si>
  <si>
    <t>Linate Airport</t>
  </si>
  <si>
    <t>LIO</t>
  </si>
  <si>
    <t>MRLM</t>
  </si>
  <si>
    <t>Limon International Airport</t>
  </si>
  <si>
    <t>LIP</t>
  </si>
  <si>
    <t>SBLN</t>
  </si>
  <si>
    <t>Lins Airport</t>
  </si>
  <si>
    <t>LIQ</t>
  </si>
  <si>
    <t>FZGA</t>
  </si>
  <si>
    <t>Lisala Airport</t>
  </si>
  <si>
    <t>LIR</t>
  </si>
  <si>
    <t>MRLB</t>
  </si>
  <si>
    <t>Daniel Oduber Quiros International Airport</t>
  </si>
  <si>
    <t>LIS</t>
  </si>
  <si>
    <t>LPPT</t>
  </si>
  <si>
    <t>Portela Airport</t>
  </si>
  <si>
    <t>LIT</t>
  </si>
  <si>
    <t>KLIT</t>
  </si>
  <si>
    <t>Little Rock National Airport (Adams Field)</t>
  </si>
  <si>
    <t>LIU</t>
  </si>
  <si>
    <t>KLIU</t>
  </si>
  <si>
    <t>Littlefield Municipal Airport</t>
  </si>
  <si>
    <t>LIW</t>
  </si>
  <si>
    <t>VYLK</t>
  </si>
  <si>
    <t>Loikaw Airport</t>
  </si>
  <si>
    <t>LIX</t>
  </si>
  <si>
    <t>FWLK</t>
  </si>
  <si>
    <t>Likoma Island Airport</t>
  </si>
  <si>
    <t>LJA</t>
  </si>
  <si>
    <t>FZVA</t>
  </si>
  <si>
    <t>Lodja Airport</t>
  </si>
  <si>
    <t>LJF</t>
  </si>
  <si>
    <t>KLJF</t>
  </si>
  <si>
    <t>Litchfield Municipal Airport</t>
  </si>
  <si>
    <t>LJG</t>
  </si>
  <si>
    <t>ZPLJ</t>
  </si>
  <si>
    <t>Lijiang Airport</t>
  </si>
  <si>
    <t>LJU</t>
  </si>
  <si>
    <t>LJLJ</t>
  </si>
  <si>
    <t>Brnik Airport</t>
  </si>
  <si>
    <t>LKA</t>
  </si>
  <si>
    <t>WRKL</t>
  </si>
  <si>
    <t>Gewayentana Airport</t>
  </si>
  <si>
    <t>LKB</t>
  </si>
  <si>
    <t>NFNK</t>
  </si>
  <si>
    <t>Lakeba Island Airport</t>
  </si>
  <si>
    <t>LKG</t>
  </si>
  <si>
    <t>HKLK</t>
  </si>
  <si>
    <t>Lokichoggio Airport</t>
  </si>
  <si>
    <t>LKH</t>
  </si>
  <si>
    <t>WBGL</t>
  </si>
  <si>
    <t>Long Akah Airport</t>
  </si>
  <si>
    <t>LKK</t>
  </si>
  <si>
    <t>PAKL</t>
  </si>
  <si>
    <t>Kulik Lake Airport</t>
  </si>
  <si>
    <t>LKL</t>
  </si>
  <si>
    <t>ENNA</t>
  </si>
  <si>
    <t>Lakselv Airport, Banak</t>
  </si>
  <si>
    <t>LKN</t>
  </si>
  <si>
    <t>ENLK</t>
  </si>
  <si>
    <t>Leknes Airport</t>
  </si>
  <si>
    <t>LKO</t>
  </si>
  <si>
    <t>VILK</t>
  </si>
  <si>
    <t>Chaudhary Charan Singh Airport</t>
  </si>
  <si>
    <t>LKP</t>
  </si>
  <si>
    <t>KLKP</t>
  </si>
  <si>
    <t>Lake Placid Airport</t>
  </si>
  <si>
    <t>LKR</t>
  </si>
  <si>
    <t>KLKR</t>
  </si>
  <si>
    <t>Lancaster County Airport (McWhirter Field)</t>
  </si>
  <si>
    <t>LKU</t>
  </si>
  <si>
    <t>KLKU</t>
  </si>
  <si>
    <t>Louisa County Airport (Freeman Field)</t>
  </si>
  <si>
    <t>LKV</t>
  </si>
  <si>
    <t>KLKV</t>
  </si>
  <si>
    <t>Lake County Airport</t>
  </si>
  <si>
    <t>LKY</t>
  </si>
  <si>
    <t>HTLM</t>
  </si>
  <si>
    <t>Lake Manyara Airport</t>
  </si>
  <si>
    <t>LKZ</t>
  </si>
  <si>
    <t>EGUL</t>
  </si>
  <si>
    <t>RAF Lakenheath</t>
  </si>
  <si>
    <t>LLA</t>
  </si>
  <si>
    <t>ESPA</t>
  </si>
  <si>
    <t>Luleå Airport</t>
  </si>
  <si>
    <t>LLE</t>
  </si>
  <si>
    <t>FAMN</t>
  </si>
  <si>
    <t>Riverside Airport</t>
  </si>
  <si>
    <t>LLG</t>
  </si>
  <si>
    <t>YCGO</t>
  </si>
  <si>
    <t>Chillagoe Airport</t>
  </si>
  <si>
    <t>WIKL</t>
  </si>
  <si>
    <t>Silampari Airport</t>
  </si>
  <si>
    <t>LLI</t>
  </si>
  <si>
    <t>HALL</t>
  </si>
  <si>
    <t>Lalibella Airport</t>
  </si>
  <si>
    <t>LLJ</t>
  </si>
  <si>
    <t>VGLM</t>
  </si>
  <si>
    <t>Lalmonirhat Airport</t>
  </si>
  <si>
    <t>LLS</t>
  </si>
  <si>
    <t>SATK</t>
  </si>
  <si>
    <t>Alferez Armando Rodriguez Airport</t>
  </si>
  <si>
    <t>LLW</t>
  </si>
  <si>
    <t>FWKI</t>
  </si>
  <si>
    <t>Lilongwe International Airport</t>
  </si>
  <si>
    <t>LLY</t>
  </si>
  <si>
    <t>KVAY</t>
  </si>
  <si>
    <t>South Jersey Regional Airport</t>
  </si>
  <si>
    <t>LMB</t>
  </si>
  <si>
    <t>FWSM</t>
  </si>
  <si>
    <t>Salima Airport</t>
  </si>
  <si>
    <t>LME</t>
  </si>
  <si>
    <t>LFRM</t>
  </si>
  <si>
    <t>Le Mans-Arnage Airport</t>
  </si>
  <si>
    <t>LMM</t>
  </si>
  <si>
    <t>MMLM</t>
  </si>
  <si>
    <t>Federal del Valle del Fuerte International Airport</t>
  </si>
  <si>
    <t>LMN</t>
  </si>
  <si>
    <t>WBGJ</t>
  </si>
  <si>
    <t>Limbang Airport</t>
  </si>
  <si>
    <t>LMO</t>
  </si>
  <si>
    <t>EGQS</t>
  </si>
  <si>
    <t>RAF Lossiemouth</t>
  </si>
  <si>
    <t>LMP</t>
  </si>
  <si>
    <t>LICD</t>
  </si>
  <si>
    <t>Lampedusa Airport</t>
  </si>
  <si>
    <t>LMQ</t>
  </si>
  <si>
    <t>HLMB</t>
  </si>
  <si>
    <t>Marsa Brega Airport</t>
  </si>
  <si>
    <t>LMR</t>
  </si>
  <si>
    <t>FALC</t>
  </si>
  <si>
    <t>Lime Acres Finsch Mine Airport</t>
  </si>
  <si>
    <t>LMS</t>
  </si>
  <si>
    <t>KLMS</t>
  </si>
  <si>
    <t>Louisville Winston County Airport</t>
  </si>
  <si>
    <t>LMT</t>
  </si>
  <si>
    <t>KLMT</t>
  </si>
  <si>
    <t>Klamath Falls Airport</t>
  </si>
  <si>
    <t>LNA</t>
  </si>
  <si>
    <t>KLNA</t>
  </si>
  <si>
    <t>Palm Beach County Park Airport</t>
  </si>
  <si>
    <t>LNB</t>
  </si>
  <si>
    <t>NVSM</t>
  </si>
  <si>
    <t>Lamen Bay Airport</t>
  </si>
  <si>
    <t>LNC</t>
  </si>
  <si>
    <t>KLNC</t>
  </si>
  <si>
    <t>Lancaster Airport</t>
  </si>
  <si>
    <t>LND</t>
  </si>
  <si>
    <t>KLND</t>
  </si>
  <si>
    <t>Hunt Field</t>
  </si>
  <si>
    <t>LNE</t>
  </si>
  <si>
    <t>NVSO</t>
  </si>
  <si>
    <t>Lonorore Airport</t>
  </si>
  <si>
    <t>LNK</t>
  </si>
  <si>
    <t>KLNK</t>
  </si>
  <si>
    <t>Lincoln Airport</t>
  </si>
  <si>
    <t>LNL</t>
  </si>
  <si>
    <t>KLNL</t>
  </si>
  <si>
    <t>Kings Land O' Lakes Airport</t>
  </si>
  <si>
    <t>LNN</t>
  </si>
  <si>
    <t>KLNN</t>
  </si>
  <si>
    <t>Willoughby Lost Nation Municipal Airport</t>
  </si>
  <si>
    <t>LNO</t>
  </si>
  <si>
    <t>YLEO</t>
  </si>
  <si>
    <t>Leonora Airport</t>
  </si>
  <si>
    <t>LNP</t>
  </si>
  <si>
    <t>KLNP</t>
  </si>
  <si>
    <t>Lonesome Pine Airport</t>
  </si>
  <si>
    <t>LNR</t>
  </si>
  <si>
    <t>KLNR</t>
  </si>
  <si>
    <t>Tri-County Regional Airport</t>
  </si>
  <si>
    <t>LNS</t>
  </si>
  <si>
    <t>KLNS</t>
  </si>
  <si>
    <t>LNV</t>
  </si>
  <si>
    <t>AYKY</t>
  </si>
  <si>
    <t>Londolovit Airport</t>
  </si>
  <si>
    <t>LNX</t>
  </si>
  <si>
    <t>UUBS</t>
  </si>
  <si>
    <t>Smolensk South Airport</t>
  </si>
  <si>
    <t>LNY</t>
  </si>
  <si>
    <t>PHNY</t>
  </si>
  <si>
    <t>Lanai Airport</t>
  </si>
  <si>
    <t>LNZ</t>
  </si>
  <si>
    <t>LOWL</t>
  </si>
  <si>
    <t>Linz Airport</t>
  </si>
  <si>
    <t>LOA</t>
  </si>
  <si>
    <t>YLOR</t>
  </si>
  <si>
    <t>Lorraine Airport</t>
  </si>
  <si>
    <t>LOB</t>
  </si>
  <si>
    <t>SCAN</t>
  </si>
  <si>
    <t>LOC</t>
  </si>
  <si>
    <t>YLOK</t>
  </si>
  <si>
    <t>Lock Airport</t>
  </si>
  <si>
    <t>LOD</t>
  </si>
  <si>
    <t>NVSG</t>
  </si>
  <si>
    <t>Longana Airport</t>
  </si>
  <si>
    <t>LOE</t>
  </si>
  <si>
    <t>VTUL</t>
  </si>
  <si>
    <t>Loei Airport</t>
  </si>
  <si>
    <t>LOH</t>
  </si>
  <si>
    <t>SETM</t>
  </si>
  <si>
    <t>Camilo Ponce Enriquez Airport</t>
  </si>
  <si>
    <t>LOK</t>
  </si>
  <si>
    <t>HKLO</t>
  </si>
  <si>
    <t>Lodwar Airport</t>
  </si>
  <si>
    <t>LOL</t>
  </si>
  <si>
    <t>KLOL</t>
  </si>
  <si>
    <t>Derby Field</t>
  </si>
  <si>
    <t>LOO</t>
  </si>
  <si>
    <t>DAUL</t>
  </si>
  <si>
    <t>Laghouat Airport</t>
  </si>
  <si>
    <t>LOS</t>
  </si>
  <si>
    <t>DNMM</t>
  </si>
  <si>
    <t>Murtala Mohammed International Airport</t>
  </si>
  <si>
    <t>LOT</t>
  </si>
  <si>
    <t>KLOT</t>
  </si>
  <si>
    <t>Lewis University Airport</t>
  </si>
  <si>
    <t>LOU</t>
  </si>
  <si>
    <t>KLOU</t>
  </si>
  <si>
    <t>Bowman Field</t>
  </si>
  <si>
    <t>LOV</t>
  </si>
  <si>
    <t>MMMV</t>
  </si>
  <si>
    <t>Venustiano Carranza International Airport</t>
  </si>
  <si>
    <t>LOY</t>
  </si>
  <si>
    <t>HKLY</t>
  </si>
  <si>
    <t>Loyengalani Airport</t>
  </si>
  <si>
    <t>LOZ</t>
  </si>
  <si>
    <t>KLOZ</t>
  </si>
  <si>
    <t>London-Corbin Airport (Magee Field)</t>
  </si>
  <si>
    <t>LPA</t>
  </si>
  <si>
    <t>GCLP</t>
  </si>
  <si>
    <t>Gran Canaria International Airport</t>
  </si>
  <si>
    <t>LPB</t>
  </si>
  <si>
    <t>SLLP</t>
  </si>
  <si>
    <t>El Alto International Airport</t>
  </si>
  <si>
    <t>LPC</t>
  </si>
  <si>
    <t>KLPC</t>
  </si>
  <si>
    <t>Lompoc Airport</t>
  </si>
  <si>
    <t>LPD</t>
  </si>
  <si>
    <t>SKLP</t>
  </si>
  <si>
    <t>La Pedrera Airport La Pedrera, Colombia</t>
  </si>
  <si>
    <t>LPG</t>
  </si>
  <si>
    <t>SADL</t>
  </si>
  <si>
    <t>La Plata City International Airport</t>
  </si>
  <si>
    <t>LPI</t>
  </si>
  <si>
    <t>ESSL</t>
  </si>
  <si>
    <t>SAAB Airport</t>
  </si>
  <si>
    <t>LPJ</t>
  </si>
  <si>
    <t>SVAS</t>
  </si>
  <si>
    <t>Armando Schwarck Airport</t>
  </si>
  <si>
    <t>LPK</t>
  </si>
  <si>
    <t>UUOL</t>
  </si>
  <si>
    <t>Lipetsk Airport</t>
  </si>
  <si>
    <t>LPL</t>
  </si>
  <si>
    <t>EGGP</t>
  </si>
  <si>
    <t>Liverpool John Lennon Airport</t>
  </si>
  <si>
    <t>LPM</t>
  </si>
  <si>
    <t>NVSL</t>
  </si>
  <si>
    <t>Lamap Airport</t>
  </si>
  <si>
    <t>LPP</t>
  </si>
  <si>
    <t>EFLP</t>
  </si>
  <si>
    <t>Lappeenranta Airport</t>
  </si>
  <si>
    <t>LPQ</t>
  </si>
  <si>
    <t>VLLB</t>
  </si>
  <si>
    <t>Luang Prabang International Airport</t>
  </si>
  <si>
    <t>LPR</t>
  </si>
  <si>
    <t>KLPR</t>
  </si>
  <si>
    <t>Lorain County Regional Airport</t>
  </si>
  <si>
    <t>LPS</t>
  </si>
  <si>
    <t>S31</t>
  </si>
  <si>
    <t>Lopez Island Airport</t>
  </si>
  <si>
    <t>LPT</t>
  </si>
  <si>
    <t>VTCL</t>
  </si>
  <si>
    <t>Lampang Airport</t>
  </si>
  <si>
    <t>LPU</t>
  </si>
  <si>
    <t>WRLP</t>
  </si>
  <si>
    <t>Long Apung Airport</t>
  </si>
  <si>
    <t>LPX</t>
  </si>
  <si>
    <t>EVLA</t>
  </si>
  <si>
    <t>LiepÄja International Airport</t>
  </si>
  <si>
    <t>LPY</t>
  </si>
  <si>
    <t>LFHP</t>
  </si>
  <si>
    <t>Le Puy-Loudes Airport</t>
  </si>
  <si>
    <t>LQK</t>
  </si>
  <si>
    <t>KLQK</t>
  </si>
  <si>
    <t>LQM</t>
  </si>
  <si>
    <t>SKLG</t>
  </si>
  <si>
    <t>Caucaya Airport</t>
  </si>
  <si>
    <t>LQN</t>
  </si>
  <si>
    <t>OAQN</t>
  </si>
  <si>
    <t>Qala i Naw Airport</t>
  </si>
  <si>
    <t>LQR</t>
  </si>
  <si>
    <t>KLQR</t>
  </si>
  <si>
    <t>Larned-Pawnee County Airport</t>
  </si>
  <si>
    <t>LRA</t>
  </si>
  <si>
    <t>LGLR</t>
  </si>
  <si>
    <t>Larisa Airport</t>
  </si>
  <si>
    <t>LRB</t>
  </si>
  <si>
    <t>FXLR</t>
  </si>
  <si>
    <t>Leribe Airport</t>
  </si>
  <si>
    <t>LRD</t>
  </si>
  <si>
    <t>KLRD</t>
  </si>
  <si>
    <t>Laredo International Airport</t>
  </si>
  <si>
    <t>LRE</t>
  </si>
  <si>
    <t>YLRE</t>
  </si>
  <si>
    <t>Longreach Airport</t>
  </si>
  <si>
    <t>LRF</t>
  </si>
  <si>
    <t>KLRF</t>
  </si>
  <si>
    <t>Little Rock Air Force Base</t>
  </si>
  <si>
    <t>LRG</t>
  </si>
  <si>
    <t>OPLL</t>
  </si>
  <si>
    <t>Loralai Airport</t>
  </si>
  <si>
    <t>KLRG</t>
  </si>
  <si>
    <t>Lincoln Regional Airport</t>
  </si>
  <si>
    <t>LRH</t>
  </si>
  <si>
    <t>LFBH</t>
  </si>
  <si>
    <t>La Rochelle - Île de Ré Airport</t>
  </si>
  <si>
    <t>LRJ</t>
  </si>
  <si>
    <t>KLRJ</t>
  </si>
  <si>
    <t>Le Mars Municipal Airport</t>
  </si>
  <si>
    <t>LRL</t>
  </si>
  <si>
    <t>DXNG</t>
  </si>
  <si>
    <t>Niamtougou International Airport</t>
  </si>
  <si>
    <t>LRM</t>
  </si>
  <si>
    <t>MDLR</t>
  </si>
  <si>
    <t>La Romana International Airport</t>
  </si>
  <si>
    <t>LRR</t>
  </si>
  <si>
    <t>OISL</t>
  </si>
  <si>
    <t>Lar Airport</t>
  </si>
  <si>
    <t>LRS</t>
  </si>
  <si>
    <t>LGLE</t>
  </si>
  <si>
    <t>Leros Airport</t>
  </si>
  <si>
    <t>LRT</t>
  </si>
  <si>
    <t>LFRH</t>
  </si>
  <si>
    <t>Lorient South Brittany Airport</t>
  </si>
  <si>
    <t>LRU</t>
  </si>
  <si>
    <t>KLRU</t>
  </si>
  <si>
    <t>Las Cruces International Airport</t>
  </si>
  <si>
    <t>LRV</t>
  </si>
  <si>
    <t>SVRS</t>
  </si>
  <si>
    <t>Los Roques Airport</t>
  </si>
  <si>
    <t>LRY</t>
  </si>
  <si>
    <t>KLRY</t>
  </si>
  <si>
    <t>Lawrence Smith Memorial Airport</t>
  </si>
  <si>
    <t>LSA</t>
  </si>
  <si>
    <t>AYKA</t>
  </si>
  <si>
    <t>Losuia Airport</t>
  </si>
  <si>
    <t>LSB</t>
  </si>
  <si>
    <t>KLSB</t>
  </si>
  <si>
    <t>Lordsburg Municipal Airport</t>
  </si>
  <si>
    <t>LSC</t>
  </si>
  <si>
    <t>SCSE</t>
  </si>
  <si>
    <t>La Florida Airport</t>
  </si>
  <si>
    <t>LSE</t>
  </si>
  <si>
    <t>KLSE</t>
  </si>
  <si>
    <t>La Crosse Municipal Airport</t>
  </si>
  <si>
    <t>LSH</t>
  </si>
  <si>
    <t>VYLS</t>
  </si>
  <si>
    <t>Lashio Airport</t>
  </si>
  <si>
    <t>LSI</t>
  </si>
  <si>
    <t>EGPB</t>
  </si>
  <si>
    <t>Sumburgh Airport</t>
  </si>
  <si>
    <t>LSK</t>
  </si>
  <si>
    <t>KLSK</t>
  </si>
  <si>
    <t>Lusk Municipal Airport</t>
  </si>
  <si>
    <t>LSL</t>
  </si>
  <si>
    <t>MRLC</t>
  </si>
  <si>
    <t>Los Chiles Airport</t>
  </si>
  <si>
    <t>LSM</t>
  </si>
  <si>
    <t>WBGD</t>
  </si>
  <si>
    <t>Long Semado Airport</t>
  </si>
  <si>
    <t>LSN</t>
  </si>
  <si>
    <t>KLSN</t>
  </si>
  <si>
    <t>Los Banos Municipal Airport</t>
  </si>
  <si>
    <t>LSO</t>
  </si>
  <si>
    <t>LFOO</t>
  </si>
  <si>
    <t>Les Sables-d'Olonne Talmont Airport</t>
  </si>
  <si>
    <t>LSP</t>
  </si>
  <si>
    <t>SVJC</t>
  </si>
  <si>
    <t>Josefa Camejo International Airport</t>
  </si>
  <si>
    <t>LSQ</t>
  </si>
  <si>
    <t>SCGE</t>
  </si>
  <si>
    <t>María Dolores Airport</t>
  </si>
  <si>
    <t>LSS</t>
  </si>
  <si>
    <t>TFFS</t>
  </si>
  <si>
    <t>Terre-de-Haut Airport</t>
  </si>
  <si>
    <t>LST</t>
  </si>
  <si>
    <t>YMLT</t>
  </si>
  <si>
    <t>Launceston Airport</t>
  </si>
  <si>
    <t>LSU</t>
  </si>
  <si>
    <t>WBGU</t>
  </si>
  <si>
    <t>Long Sukang Airport</t>
  </si>
  <si>
    <t>LSV</t>
  </si>
  <si>
    <t>KLSV</t>
  </si>
  <si>
    <t>Nellis Air Force Base</t>
  </si>
  <si>
    <t>LSW</t>
  </si>
  <si>
    <t>WITM</t>
  </si>
  <si>
    <t>Malikus Saleh Airport</t>
  </si>
  <si>
    <t>LSX</t>
  </si>
  <si>
    <t>WITL</t>
  </si>
  <si>
    <t>Lhok Sukon Airport</t>
  </si>
  <si>
    <t>LSY</t>
  </si>
  <si>
    <t>YLIS</t>
  </si>
  <si>
    <t>Lismore Airport</t>
  </si>
  <si>
    <t>LSZ</t>
  </si>
  <si>
    <t>LDLO</t>
  </si>
  <si>
    <t>LoÅ¡inj Island Airport</t>
  </si>
  <si>
    <t>LTA</t>
  </si>
  <si>
    <t>FATZ</t>
  </si>
  <si>
    <t>Tzaneen Airport</t>
  </si>
  <si>
    <t>LTC</t>
  </si>
  <si>
    <t>FTTH</t>
  </si>
  <si>
    <t>Lai Airport</t>
  </si>
  <si>
    <t>LTD</t>
  </si>
  <si>
    <t>HLTD</t>
  </si>
  <si>
    <t>Ghadames East Airport</t>
  </si>
  <si>
    <t>LTG</t>
  </si>
  <si>
    <t>VNLT</t>
  </si>
  <si>
    <t>Langtang Airport</t>
  </si>
  <si>
    <t>LTI</t>
  </si>
  <si>
    <t>ZMAT</t>
  </si>
  <si>
    <t>Altai Airport</t>
  </si>
  <si>
    <t>LTK</t>
  </si>
  <si>
    <t>OSLK</t>
  </si>
  <si>
    <t>Bassel Al-Assad International Airport</t>
  </si>
  <si>
    <t>LTL</t>
  </si>
  <si>
    <t>FOOR</t>
  </si>
  <si>
    <t>Lastourville Airport</t>
  </si>
  <si>
    <t>LTM</t>
  </si>
  <si>
    <t>SYLT</t>
  </si>
  <si>
    <t>Lethem Airport</t>
  </si>
  <si>
    <t>LTN</t>
  </si>
  <si>
    <t>EGGW</t>
  </si>
  <si>
    <t>Luton Airport</t>
  </si>
  <si>
    <t>LTO</t>
  </si>
  <si>
    <t>MMLT</t>
  </si>
  <si>
    <t>Loreto International Airport</t>
  </si>
  <si>
    <t>LTP</t>
  </si>
  <si>
    <t>YLHS</t>
  </si>
  <si>
    <t>Lyndhurst Airport</t>
  </si>
  <si>
    <t>LTQ</t>
  </si>
  <si>
    <t>LFAT</t>
  </si>
  <si>
    <t>Le Touquet-Céte d'Opale Airport</t>
  </si>
  <si>
    <t>LTR</t>
  </si>
  <si>
    <t>EILT</t>
  </si>
  <si>
    <t>Letterkenny Airport</t>
  </si>
  <si>
    <t>LTS</t>
  </si>
  <si>
    <t>KLTS</t>
  </si>
  <si>
    <t>Altus Air Force Base</t>
  </si>
  <si>
    <t>LTT</t>
  </si>
  <si>
    <t>LFTZ</t>
  </si>
  <si>
    <t>La Méle Airport</t>
  </si>
  <si>
    <t>LTU</t>
  </si>
  <si>
    <t>VALT</t>
  </si>
  <si>
    <t>Murod Kond Airport</t>
  </si>
  <si>
    <t>LTV</t>
  </si>
  <si>
    <t>YLOV</t>
  </si>
  <si>
    <t>Lotus Vale Airport</t>
  </si>
  <si>
    <t>LTX</t>
  </si>
  <si>
    <t>SELT</t>
  </si>
  <si>
    <t>Cotopaxi International Airport</t>
  </si>
  <si>
    <t>LUA</t>
  </si>
  <si>
    <t>VNLK</t>
  </si>
  <si>
    <t>Tenzing–Hillary Airport</t>
  </si>
  <si>
    <t>LUB</t>
  </si>
  <si>
    <t>SYLP</t>
  </si>
  <si>
    <t>Lumid Pau Airport</t>
  </si>
  <si>
    <t>LUC</t>
  </si>
  <si>
    <t>NFNH</t>
  </si>
  <si>
    <t>Laucala Island Airport</t>
  </si>
  <si>
    <t>LUD</t>
  </si>
  <si>
    <t>FYLZ</t>
  </si>
  <si>
    <t>Luderitz Airport</t>
  </si>
  <si>
    <t>LUE</t>
  </si>
  <si>
    <t>LZLU</t>
  </si>
  <si>
    <t>Lucenec Airport</t>
  </si>
  <si>
    <t>LUF</t>
  </si>
  <si>
    <t>KLUF</t>
  </si>
  <si>
    <t>Luke Air Force Base</t>
  </si>
  <si>
    <t>LUG</t>
  </si>
  <si>
    <t>LSZA</t>
  </si>
  <si>
    <t>Lugano Airport</t>
  </si>
  <si>
    <t>LUH</t>
  </si>
  <si>
    <t>VILD</t>
  </si>
  <si>
    <t>Ludhiana Airport</t>
  </si>
  <si>
    <t>LUJ</t>
  </si>
  <si>
    <t>FALK</t>
  </si>
  <si>
    <t>Lusikisiki Airport</t>
  </si>
  <si>
    <t>LUK</t>
  </si>
  <si>
    <t>KLUK</t>
  </si>
  <si>
    <t>Cincinnati Municipal Airport (Lunken Field)</t>
  </si>
  <si>
    <t>LUL</t>
  </si>
  <si>
    <t>KLUL</t>
  </si>
  <si>
    <t>Hesler-Noble Field</t>
  </si>
  <si>
    <t>LUM</t>
  </si>
  <si>
    <t>ZPLX</t>
  </si>
  <si>
    <t>Mangshi Airport</t>
  </si>
  <si>
    <t>LUN</t>
  </si>
  <si>
    <t>FLLS</t>
  </si>
  <si>
    <t>Lusaka International Airport</t>
  </si>
  <si>
    <t>LUO</t>
  </si>
  <si>
    <t>FNUE</t>
  </si>
  <si>
    <t>Luena Airport</t>
  </si>
  <si>
    <t>LUP</t>
  </si>
  <si>
    <t>PHLU</t>
  </si>
  <si>
    <t>Kalaupapa Airport</t>
  </si>
  <si>
    <t>LUQ</t>
  </si>
  <si>
    <t>SAOU</t>
  </si>
  <si>
    <t>LUR</t>
  </si>
  <si>
    <t>PALU</t>
  </si>
  <si>
    <t>Cape Lisburne LRRS</t>
  </si>
  <si>
    <t>LUS</t>
  </si>
  <si>
    <t>FZCE</t>
  </si>
  <si>
    <t>Lusanga Airport</t>
  </si>
  <si>
    <t>LUT</t>
  </si>
  <si>
    <t>YLRS</t>
  </si>
  <si>
    <t>Laura Station Airport</t>
  </si>
  <si>
    <t>LUU</t>
  </si>
  <si>
    <t>YLRA</t>
  </si>
  <si>
    <t>Laura Airport</t>
  </si>
  <si>
    <t>LUV</t>
  </si>
  <si>
    <t>WAPL</t>
  </si>
  <si>
    <t>Dumatubin Airport</t>
  </si>
  <si>
    <t>LUW</t>
  </si>
  <si>
    <t>WAMW</t>
  </si>
  <si>
    <t>Bubung Airport</t>
  </si>
  <si>
    <t>LUX</t>
  </si>
  <si>
    <t>ELLX</t>
  </si>
  <si>
    <t>Luxembourg-Findel International Airport</t>
  </si>
  <si>
    <t>LUZ</t>
  </si>
  <si>
    <t>ZSLS</t>
  </si>
  <si>
    <t>LVA</t>
  </si>
  <si>
    <t>LFOV</t>
  </si>
  <si>
    <t>Laval-Entrammes Airport</t>
  </si>
  <si>
    <t>LVB</t>
  </si>
  <si>
    <t>SNLB</t>
  </si>
  <si>
    <t>Livramento do Brumado Airport</t>
  </si>
  <si>
    <t>LVI</t>
  </si>
  <si>
    <t>FLLI</t>
  </si>
  <si>
    <t>Livingstone Airport</t>
  </si>
  <si>
    <t>LVJ</t>
  </si>
  <si>
    <t>KLVJ</t>
  </si>
  <si>
    <t>Pearland Regional Airport</t>
  </si>
  <si>
    <t>LVK</t>
  </si>
  <si>
    <t>KLVK</t>
  </si>
  <si>
    <t>Livermore Municipal Airport</t>
  </si>
  <si>
    <t>LVL</t>
  </si>
  <si>
    <t>KLVL</t>
  </si>
  <si>
    <t>Lawrenceville/Brunswick Municipal Airport</t>
  </si>
  <si>
    <t>LVM</t>
  </si>
  <si>
    <t>KLVM</t>
  </si>
  <si>
    <t>Mission Field</t>
  </si>
  <si>
    <t>LVN</t>
  </si>
  <si>
    <t>KLVN</t>
  </si>
  <si>
    <t>Airlake Airport</t>
  </si>
  <si>
    <t>LVO</t>
  </si>
  <si>
    <t>YLTN</t>
  </si>
  <si>
    <t>Laverton Airport</t>
  </si>
  <si>
    <t>LVP</t>
  </si>
  <si>
    <t>OIBV</t>
  </si>
  <si>
    <t>Lavan Island Airport</t>
  </si>
  <si>
    <t>LVR</t>
  </si>
  <si>
    <t>SILC</t>
  </si>
  <si>
    <t>Municipal Bom Futuro Airport</t>
  </si>
  <si>
    <t>LVS</t>
  </si>
  <si>
    <t>KLVS</t>
  </si>
  <si>
    <t>Las Vegas Municipal Airport</t>
  </si>
  <si>
    <t>LWA</t>
  </si>
  <si>
    <t>KLWA</t>
  </si>
  <si>
    <t>South Haven Area Regional Airport</t>
  </si>
  <si>
    <t>LWB</t>
  </si>
  <si>
    <t>KLWB</t>
  </si>
  <si>
    <t>Greenbrier Valley Airport</t>
  </si>
  <si>
    <t>LWC</t>
  </si>
  <si>
    <t>KLWC</t>
  </si>
  <si>
    <t>Lawrence Municipal Airport</t>
  </si>
  <si>
    <t>LWD</t>
  </si>
  <si>
    <t>KLWD</t>
  </si>
  <si>
    <t>Lamoni Municipal Airport</t>
  </si>
  <si>
    <t>LWH</t>
  </si>
  <si>
    <t>YLAH</t>
  </si>
  <si>
    <t>Lawn Hill Airport</t>
  </si>
  <si>
    <t>LWK</t>
  </si>
  <si>
    <t>EGET</t>
  </si>
  <si>
    <t>Lerwick / Tingwall Airport</t>
  </si>
  <si>
    <t>LWL</t>
  </si>
  <si>
    <t>KLWL</t>
  </si>
  <si>
    <t>Wells Municipal Airport (Harriet Field)</t>
  </si>
  <si>
    <t>LWM</t>
  </si>
  <si>
    <t>KLWM</t>
  </si>
  <si>
    <t>LWN</t>
  </si>
  <si>
    <t>UDSG</t>
  </si>
  <si>
    <t>Shirak Airport</t>
  </si>
  <si>
    <t>LWO</t>
  </si>
  <si>
    <t>UKLL</t>
  </si>
  <si>
    <t>Lviv International Airport</t>
  </si>
  <si>
    <t>LWR</t>
  </si>
  <si>
    <t>EHLW</t>
  </si>
  <si>
    <t>Leeuwarden Air Base</t>
  </si>
  <si>
    <t>LWS</t>
  </si>
  <si>
    <t>KLWS</t>
  </si>
  <si>
    <t>Lewiston-Nez Perce County Airport</t>
  </si>
  <si>
    <t>KLWT</t>
  </si>
  <si>
    <t>Lewistown Municipal Airport</t>
  </si>
  <si>
    <t>LWV</t>
  </si>
  <si>
    <t>KLWV</t>
  </si>
  <si>
    <t>Lawrenceville-Vincennes International Airport</t>
  </si>
  <si>
    <t>LWY</t>
  </si>
  <si>
    <t>WBGW</t>
  </si>
  <si>
    <t>Lawas Airport</t>
  </si>
  <si>
    <t>LXA</t>
  </si>
  <si>
    <t>ZULS</t>
  </si>
  <si>
    <t>Lhasa Gonggar Airport</t>
  </si>
  <si>
    <t>LXG</t>
  </si>
  <si>
    <t>VLLN</t>
  </si>
  <si>
    <t>Luang Namtha Airport</t>
  </si>
  <si>
    <t>LXN</t>
  </si>
  <si>
    <t>KLXN</t>
  </si>
  <si>
    <t>Jim Kelly Field</t>
  </si>
  <si>
    <t>LXR</t>
  </si>
  <si>
    <t>HELX</t>
  </si>
  <si>
    <t>Luxor International Airport</t>
  </si>
  <si>
    <t>LXS</t>
  </si>
  <si>
    <t>LGLM</t>
  </si>
  <si>
    <t>Limnos Airport</t>
  </si>
  <si>
    <t>LXT</t>
  </si>
  <si>
    <t>KLXT</t>
  </si>
  <si>
    <t>Lee's Summit Municipal Airport</t>
  </si>
  <si>
    <t>LXU</t>
  </si>
  <si>
    <t>FLLK</t>
  </si>
  <si>
    <t>Lukulu Airport</t>
  </si>
  <si>
    <t>LXY</t>
  </si>
  <si>
    <t>KLXY</t>
  </si>
  <si>
    <t>Mexia-Limestone County Airport</t>
  </si>
  <si>
    <t>LYA</t>
  </si>
  <si>
    <t>ZHLY</t>
  </si>
  <si>
    <t>Luoyang Airport</t>
  </si>
  <si>
    <t>LYB</t>
  </si>
  <si>
    <t>MWCL</t>
  </si>
  <si>
    <t>Edward Bodden Airfield</t>
  </si>
  <si>
    <t>LYC</t>
  </si>
  <si>
    <t>ESNL</t>
  </si>
  <si>
    <t>Lycksele Airport</t>
  </si>
  <si>
    <t>LYE</t>
  </si>
  <si>
    <t>EGDL</t>
  </si>
  <si>
    <t>RAF Lyneham</t>
  </si>
  <si>
    <t>LYG</t>
  </si>
  <si>
    <t>ZSLG</t>
  </si>
  <si>
    <t>Lianyungang Airport</t>
  </si>
  <si>
    <t>LYH</t>
  </si>
  <si>
    <t>KLYH</t>
  </si>
  <si>
    <t>Lynchburg Regional Airport (Preston Glenn Field)</t>
  </si>
  <si>
    <t>LYI</t>
  </si>
  <si>
    <t>ZSLY</t>
  </si>
  <si>
    <t>Shubuling Airport</t>
  </si>
  <si>
    <t>LYN</t>
  </si>
  <si>
    <t>LFLY</t>
  </si>
  <si>
    <t>Lyon-Bron Airport</t>
  </si>
  <si>
    <t>LYO</t>
  </si>
  <si>
    <t>KLYO</t>
  </si>
  <si>
    <t>Lyons-Rice County Municipal Airport</t>
  </si>
  <si>
    <t>LYP</t>
  </si>
  <si>
    <t>OPFA</t>
  </si>
  <si>
    <t>Faisalabad International Airport</t>
  </si>
  <si>
    <t>LYR</t>
  </si>
  <si>
    <t>ENSB</t>
  </si>
  <si>
    <t>Svalbard Airport, Longyear</t>
  </si>
  <si>
    <t>LYS</t>
  </si>
  <si>
    <t>LFLL</t>
  </si>
  <si>
    <t>Lyon–Saint-Exupéry Airport</t>
  </si>
  <si>
    <t>LYV</t>
  </si>
  <si>
    <t>KLYV</t>
  </si>
  <si>
    <t>Quentin Aanenson Field</t>
  </si>
  <si>
    <t>LYX</t>
  </si>
  <si>
    <t>EGMD</t>
  </si>
  <si>
    <t>Lydd Airport</t>
  </si>
  <si>
    <t>LZA</t>
  </si>
  <si>
    <t>FZUG</t>
  </si>
  <si>
    <t>Luiza Airport</t>
  </si>
  <si>
    <t>LZC</t>
  </si>
  <si>
    <t>MMLC</t>
  </si>
  <si>
    <t>Lázaro Cárdenas Airport</t>
  </si>
  <si>
    <t>LZH</t>
  </si>
  <si>
    <t>ZGZH</t>
  </si>
  <si>
    <t>Bailian Airport</t>
  </si>
  <si>
    <t>LZI</t>
  </si>
  <si>
    <t>YLZI</t>
  </si>
  <si>
    <t>Lizard Island Airport</t>
  </si>
  <si>
    <t>FZAL</t>
  </si>
  <si>
    <t>Luozi Airport</t>
  </si>
  <si>
    <t>LZN</t>
  </si>
  <si>
    <t>RCFG</t>
  </si>
  <si>
    <t>Matsu Nangan Airport</t>
  </si>
  <si>
    <t>LZO</t>
  </si>
  <si>
    <t>ZULZ</t>
  </si>
  <si>
    <t>Luzhou Airport</t>
  </si>
  <si>
    <t>LZR</t>
  </si>
  <si>
    <t>LZU</t>
  </si>
  <si>
    <t>KLZU</t>
  </si>
  <si>
    <t>Gwinnett County Airport (Briscoe Field)</t>
  </si>
  <si>
    <t>LZY</t>
  </si>
  <si>
    <t>ZUNZ</t>
  </si>
  <si>
    <t>Nyingchi Airport</t>
  </si>
  <si>
    <t>LZZ</t>
  </si>
  <si>
    <t>KLZZ</t>
  </si>
  <si>
    <t>Lampasas Airport</t>
  </si>
  <si>
    <t>MAA</t>
  </si>
  <si>
    <t>VOMM</t>
  </si>
  <si>
    <t>Chennai International Airport</t>
  </si>
  <si>
    <t>MAB</t>
  </si>
  <si>
    <t>SBMA</t>
  </si>
  <si>
    <t>Marabá Airport</t>
  </si>
  <si>
    <t>MAC</t>
  </si>
  <si>
    <t>KMAC</t>
  </si>
  <si>
    <t>Macon Downtown Airport</t>
  </si>
  <si>
    <t>MAD</t>
  </si>
  <si>
    <t>LEMD</t>
  </si>
  <si>
    <t>Madrid–Barajas Airport</t>
  </si>
  <si>
    <t>MAE</t>
  </si>
  <si>
    <t>KMAE</t>
  </si>
  <si>
    <t>Madera Municipal Airport</t>
  </si>
  <si>
    <t>MAF</t>
  </si>
  <si>
    <t>KMAF</t>
  </si>
  <si>
    <t>Midland International Airport</t>
  </si>
  <si>
    <t>MAG</t>
  </si>
  <si>
    <t>AYMD</t>
  </si>
  <si>
    <t>Madang Airport</t>
  </si>
  <si>
    <t>MAH</t>
  </si>
  <si>
    <t>LEMH</t>
  </si>
  <si>
    <t>Mahon Airport</t>
  </si>
  <si>
    <t>MAI</t>
  </si>
  <si>
    <t>FWMG</t>
  </si>
  <si>
    <t>Mangochi Airport</t>
  </si>
  <si>
    <t>MAJ</t>
  </si>
  <si>
    <t>PKMJ</t>
  </si>
  <si>
    <t>Marshall Islands International Airport (Amata Kabua Int'l)</t>
  </si>
  <si>
    <t>MAK</t>
  </si>
  <si>
    <t>HSSM</t>
  </si>
  <si>
    <t>Malakal Airport</t>
  </si>
  <si>
    <t>MAL</t>
  </si>
  <si>
    <t>WAPE</t>
  </si>
  <si>
    <t>Mangole Airport, Falabisahaya</t>
  </si>
  <si>
    <t>KMAL</t>
  </si>
  <si>
    <t>Malone-Dufort Airport</t>
  </si>
  <si>
    <t>MAM</t>
  </si>
  <si>
    <t>MMMA</t>
  </si>
  <si>
    <t>General Servando Canales International Airport</t>
  </si>
  <si>
    <t>MAN</t>
  </si>
  <si>
    <t>EGCC</t>
  </si>
  <si>
    <t>Manchester Airport</t>
  </si>
  <si>
    <t>MAO</t>
  </si>
  <si>
    <t>SBEG</t>
  </si>
  <si>
    <t>Eduardo Gomes International Airport</t>
  </si>
  <si>
    <t>KMAO</t>
  </si>
  <si>
    <t>Marion County Airport</t>
  </si>
  <si>
    <t>MAQ</t>
  </si>
  <si>
    <t>VTPM</t>
  </si>
  <si>
    <t>Mae Sot Airport</t>
  </si>
  <si>
    <t>MAR</t>
  </si>
  <si>
    <t>SVMC</t>
  </si>
  <si>
    <t>La Chinita International Airport</t>
  </si>
  <si>
    <t>MAS</t>
  </si>
  <si>
    <t>AYMO</t>
  </si>
  <si>
    <t>Momote Airport</t>
  </si>
  <si>
    <t>MAT</t>
  </si>
  <si>
    <t>FZAM</t>
  </si>
  <si>
    <t>Tshimpi Airport</t>
  </si>
  <si>
    <t>MAU</t>
  </si>
  <si>
    <t>NTTP</t>
  </si>
  <si>
    <t>Maupiti Airport</t>
  </si>
  <si>
    <t>MAW</t>
  </si>
  <si>
    <t>KMAW</t>
  </si>
  <si>
    <t>Malden Municipal Airport</t>
  </si>
  <si>
    <t>MAX</t>
  </si>
  <si>
    <t>GOSM</t>
  </si>
  <si>
    <t>Ouro Sogui Airport</t>
  </si>
  <si>
    <t>KMAX</t>
  </si>
  <si>
    <t>Max Chessis Airport</t>
  </si>
  <si>
    <t>MAY</t>
  </si>
  <si>
    <t>MYAB</t>
  </si>
  <si>
    <t>Clarence A. Bain Airport</t>
  </si>
  <si>
    <t>MAZ</t>
  </si>
  <si>
    <t>TJMZ</t>
  </si>
  <si>
    <t>Eugenio Maria de Hostos Airport</t>
  </si>
  <si>
    <t>MBA</t>
  </si>
  <si>
    <t>HKMO</t>
  </si>
  <si>
    <t>Moi International Airport</t>
  </si>
  <si>
    <t>MBB</t>
  </si>
  <si>
    <t>YMBL</t>
  </si>
  <si>
    <t>Marble Bar Airport</t>
  </si>
  <si>
    <t>MBC</t>
  </si>
  <si>
    <t>FOGG</t>
  </si>
  <si>
    <t>M'Bigou Airport</t>
  </si>
  <si>
    <t>MBD</t>
  </si>
  <si>
    <t>FAMM</t>
  </si>
  <si>
    <t>Mmabatho International Airport</t>
  </si>
  <si>
    <t>MBE</t>
  </si>
  <si>
    <t>RJEB</t>
  </si>
  <si>
    <t>Monbetsu Airport</t>
  </si>
  <si>
    <t>MBG</t>
  </si>
  <si>
    <t>KMBG</t>
  </si>
  <si>
    <t>Mobridge Municipal Airport</t>
  </si>
  <si>
    <t>MBH</t>
  </si>
  <si>
    <t>YMYB</t>
  </si>
  <si>
    <t>Maryborough Airport</t>
  </si>
  <si>
    <t>MBI</t>
  </si>
  <si>
    <t>HTMB</t>
  </si>
  <si>
    <t>Mbeya Airport</t>
  </si>
  <si>
    <t>MBJ</t>
  </si>
  <si>
    <t>MKJS</t>
  </si>
  <si>
    <t>Sangster International Airport</t>
  </si>
  <si>
    <t>MBK</t>
  </si>
  <si>
    <t>SWXM</t>
  </si>
  <si>
    <t>Regional Orlando Villas Boas Airport</t>
  </si>
  <si>
    <t>MBL</t>
  </si>
  <si>
    <t>KMBL</t>
  </si>
  <si>
    <t>Manistee County-Blacker Airport</t>
  </si>
  <si>
    <t>MBO</t>
  </si>
  <si>
    <t>RPUM</t>
  </si>
  <si>
    <t>Mamburao Airport</t>
  </si>
  <si>
    <t>MBP</t>
  </si>
  <si>
    <t>SPBB</t>
  </si>
  <si>
    <t>Moyobamba Airport</t>
  </si>
  <si>
    <t>MBQ</t>
  </si>
  <si>
    <t>HUMA</t>
  </si>
  <si>
    <t>Mbarara Airport</t>
  </si>
  <si>
    <t>MBS</t>
  </si>
  <si>
    <t>KMBS</t>
  </si>
  <si>
    <t>MBS International Airport</t>
  </si>
  <si>
    <t>MBT</t>
  </si>
  <si>
    <t>RPVJ</t>
  </si>
  <si>
    <t>Moises R. Espinosa Airport</t>
  </si>
  <si>
    <t>KMBT</t>
  </si>
  <si>
    <t>Masbate Airport</t>
  </si>
  <si>
    <t>MBU</t>
  </si>
  <si>
    <t>AGGI</t>
  </si>
  <si>
    <t>Babanakira Airport</t>
  </si>
  <si>
    <t>MBW</t>
  </si>
  <si>
    <t>YMMB</t>
  </si>
  <si>
    <t>Melbourne Moorabbin Airport</t>
  </si>
  <si>
    <t>MBX</t>
  </si>
  <si>
    <t>LJMB</t>
  </si>
  <si>
    <t>Maribor Airport</t>
  </si>
  <si>
    <t>MBY</t>
  </si>
  <si>
    <t>KMBY</t>
  </si>
  <si>
    <t>Omar N. Bradley Airport</t>
  </si>
  <si>
    <t>MBZ</t>
  </si>
  <si>
    <t>SWMW</t>
  </si>
  <si>
    <t>Maués Airport</t>
  </si>
  <si>
    <t>MCA</t>
  </si>
  <si>
    <t>GUMA</t>
  </si>
  <si>
    <t>Macenta Airport</t>
  </si>
  <si>
    <t>MCB</t>
  </si>
  <si>
    <t>KMCB</t>
  </si>
  <si>
    <t>McComb-Pike County Airport (John E. Lewis Field)</t>
  </si>
  <si>
    <t>MCC</t>
  </si>
  <si>
    <t>KMCC</t>
  </si>
  <si>
    <t>McClellan Airfield</t>
  </si>
  <si>
    <t>MCD</t>
  </si>
  <si>
    <t>KMCD</t>
  </si>
  <si>
    <t>Mackinac Island Airport</t>
  </si>
  <si>
    <t>MCE</t>
  </si>
  <si>
    <t>KMCE</t>
  </si>
  <si>
    <t>Merced Municipal Airport (Macready Field)</t>
  </si>
  <si>
    <t>MCF</t>
  </si>
  <si>
    <t>KMCF</t>
  </si>
  <si>
    <t>MacDill Air Force Base</t>
  </si>
  <si>
    <t>MCG</t>
  </si>
  <si>
    <t>PAMC</t>
  </si>
  <si>
    <t>McGrath Airport</t>
  </si>
  <si>
    <t>MCH</t>
  </si>
  <si>
    <t>SEMH</t>
  </si>
  <si>
    <t>General Manuel Serrano Airport</t>
  </si>
  <si>
    <t>MCI</t>
  </si>
  <si>
    <t>KMCI</t>
  </si>
  <si>
    <t>Kansas City International Airport</t>
  </si>
  <si>
    <t>MCJ</t>
  </si>
  <si>
    <t>SKLM</t>
  </si>
  <si>
    <t>Jorge Isaac Airport</t>
  </si>
  <si>
    <t>SKMJ</t>
  </si>
  <si>
    <t>Maicao Airport</t>
  </si>
  <si>
    <t>MCK</t>
  </si>
  <si>
    <t>KMCK</t>
  </si>
  <si>
    <t>McCook Regional Airport</t>
  </si>
  <si>
    <t>MCM</t>
  </si>
  <si>
    <t>LNMC</t>
  </si>
  <si>
    <t>Monaco Heliport</t>
  </si>
  <si>
    <t>MCN</t>
  </si>
  <si>
    <t>KMCN</t>
  </si>
  <si>
    <t>Middle Georgia Regional Airport</t>
  </si>
  <si>
    <t>MCO</t>
  </si>
  <si>
    <t>KMCO</t>
  </si>
  <si>
    <t>Orlando International Airport</t>
  </si>
  <si>
    <t>MCP</t>
  </si>
  <si>
    <t>SBMP</t>
  </si>
  <si>
    <t>Macapá International Airport</t>
  </si>
  <si>
    <t>SBMQ</t>
  </si>
  <si>
    <t>Alberto Alcolumbre Airport</t>
  </si>
  <si>
    <t>MCQ</t>
  </si>
  <si>
    <t>LHMC</t>
  </si>
  <si>
    <t>Miskolc Airport</t>
  </si>
  <si>
    <t>MCR</t>
  </si>
  <si>
    <t>MGMM</t>
  </si>
  <si>
    <t>Melchor de Mencos Airport</t>
  </si>
  <si>
    <t>MCS</t>
  </si>
  <si>
    <t>SARM</t>
  </si>
  <si>
    <t>Monte Caseros Airport</t>
  </si>
  <si>
    <t>MCT</t>
  </si>
  <si>
    <t>OOMS</t>
  </si>
  <si>
    <t>Seeb International Airport</t>
  </si>
  <si>
    <t>MCU</t>
  </si>
  <si>
    <t>LFBK</t>
  </si>
  <si>
    <t>Montluçon-Guéret Airport</t>
  </si>
  <si>
    <t>LFLT</t>
  </si>
  <si>
    <t>Montluçon-Domérat Airport</t>
  </si>
  <si>
    <t>MCV</t>
  </si>
  <si>
    <t>YMHU</t>
  </si>
  <si>
    <t>McArthur River Mine Airport</t>
  </si>
  <si>
    <t>MCW</t>
  </si>
  <si>
    <t>KMCW</t>
  </si>
  <si>
    <t>Mason City Municipal Airport</t>
  </si>
  <si>
    <t>MCX</t>
  </si>
  <si>
    <t>URML</t>
  </si>
  <si>
    <t>Uytash airport</t>
  </si>
  <si>
    <t>KMCX</t>
  </si>
  <si>
    <t>White County Airport</t>
  </si>
  <si>
    <t>MCY</t>
  </si>
  <si>
    <t>YBMC</t>
  </si>
  <si>
    <t>Sunshine Coast Airport</t>
  </si>
  <si>
    <t>MCZ</t>
  </si>
  <si>
    <t>SBMO</t>
  </si>
  <si>
    <t>Zumbi dos Palmares Airport</t>
  </si>
  <si>
    <t>MDC</t>
  </si>
  <si>
    <t>WAMM</t>
  </si>
  <si>
    <t>Sam Ratulangi International Airport</t>
  </si>
  <si>
    <t>MDD</t>
  </si>
  <si>
    <t>KMDD</t>
  </si>
  <si>
    <t>Midland Airpark</t>
  </si>
  <si>
    <t>MDE</t>
  </si>
  <si>
    <t>SKRG</t>
  </si>
  <si>
    <t>José María Córdova International Airport</t>
  </si>
  <si>
    <t>MDF</t>
  </si>
  <si>
    <t>KMDF</t>
  </si>
  <si>
    <t>Mooreland Municipal Airport</t>
  </si>
  <si>
    <t>MDG</t>
  </si>
  <si>
    <t>ZYMD</t>
  </si>
  <si>
    <t>Mudanjiang Airport</t>
  </si>
  <si>
    <t>MDH</t>
  </si>
  <si>
    <t>KMDH</t>
  </si>
  <si>
    <t>Southern Illinois Airport</t>
  </si>
  <si>
    <t>MDI</t>
  </si>
  <si>
    <t>DNMK</t>
  </si>
  <si>
    <t>Makurdi Airport</t>
  </si>
  <si>
    <t>MDK</t>
  </si>
  <si>
    <t>FZEA</t>
  </si>
  <si>
    <t>Mbandaka Airport</t>
  </si>
  <si>
    <t>MDL</t>
  </si>
  <si>
    <t>VYMD</t>
  </si>
  <si>
    <t>Mandalay International Airport</t>
  </si>
  <si>
    <t>MDN</t>
  </si>
  <si>
    <t>KIMS</t>
  </si>
  <si>
    <t>Madison Municipal Airport</t>
  </si>
  <si>
    <t>MDO</t>
  </si>
  <si>
    <t>PAMD</t>
  </si>
  <si>
    <t>Middleton Island Airport</t>
  </si>
  <si>
    <t>SUPE</t>
  </si>
  <si>
    <t>El Jaguel / Punta del Este Airport</t>
  </si>
  <si>
    <t>MDP</t>
  </si>
  <si>
    <t>WAKD</t>
  </si>
  <si>
    <t>Mindiptana Airport</t>
  </si>
  <si>
    <t>MDQ</t>
  </si>
  <si>
    <t>SAZM</t>
  </si>
  <si>
    <t>Mar Del Plata International Airport</t>
  </si>
  <si>
    <t>MDS</t>
  </si>
  <si>
    <t>MBMC</t>
  </si>
  <si>
    <t>Middle Caicos Airport</t>
  </si>
  <si>
    <t>MDT</t>
  </si>
  <si>
    <t>KMDT</t>
  </si>
  <si>
    <t>Harrisburg International Airport</t>
  </si>
  <si>
    <t>MDU</t>
  </si>
  <si>
    <t>AYMN</t>
  </si>
  <si>
    <t>Mendi Airport</t>
  </si>
  <si>
    <t>MDW</t>
  </si>
  <si>
    <t>KMDW</t>
  </si>
  <si>
    <t>Midway International Airport</t>
  </si>
  <si>
    <t>MDX</t>
  </si>
  <si>
    <t>SATM</t>
  </si>
  <si>
    <t>Mercedes Airport</t>
  </si>
  <si>
    <t>MDY</t>
  </si>
  <si>
    <t>PMDY</t>
  </si>
  <si>
    <t>Henderson Field</t>
  </si>
  <si>
    <t>MDZ</t>
  </si>
  <si>
    <t>SAME</t>
  </si>
  <si>
    <t>Mendoza International Airport (El plumerillo)</t>
  </si>
  <si>
    <t>MEA</t>
  </si>
  <si>
    <t>SBME</t>
  </si>
  <si>
    <t>Macaé Airport</t>
  </si>
  <si>
    <t>MEB</t>
  </si>
  <si>
    <t>YMEN</t>
  </si>
  <si>
    <t>Melbourne Essendon Airport</t>
  </si>
  <si>
    <t>MEC</t>
  </si>
  <si>
    <t>SEMT</t>
  </si>
  <si>
    <t>Eloy Alfaro International Airport</t>
  </si>
  <si>
    <t>MED</t>
  </si>
  <si>
    <t>OEMA</t>
  </si>
  <si>
    <t>Prince Mohammad Bin Abdulaziz Airport</t>
  </si>
  <si>
    <t>MEE</t>
  </si>
  <si>
    <t>NWWR</t>
  </si>
  <si>
    <t>Maré Airport</t>
  </si>
  <si>
    <t>MEG</t>
  </si>
  <si>
    <t>FNMA</t>
  </si>
  <si>
    <t>Malanje Airport</t>
  </si>
  <si>
    <t>MEH</t>
  </si>
  <si>
    <t>ENMH</t>
  </si>
  <si>
    <t>Mehamn Airport</t>
  </si>
  <si>
    <t>MEI</t>
  </si>
  <si>
    <t>KMEI</t>
  </si>
  <si>
    <t>Key Field</t>
  </si>
  <si>
    <t>MEJ</t>
  </si>
  <si>
    <t>KMEJ</t>
  </si>
  <si>
    <t>Meade Municipal Airport</t>
  </si>
  <si>
    <t>MEK</t>
  </si>
  <si>
    <t>GMFM</t>
  </si>
  <si>
    <t>Bassatine Airport</t>
  </si>
  <si>
    <t>MEL</t>
  </si>
  <si>
    <t>YMML</t>
  </si>
  <si>
    <t>Melbourne Airport</t>
  </si>
  <si>
    <t>MEM</t>
  </si>
  <si>
    <t>KMEM</t>
  </si>
  <si>
    <t>Memphis International Airport</t>
  </si>
  <si>
    <t>MEN</t>
  </si>
  <si>
    <t>LFNB</t>
  </si>
  <si>
    <t>Mende-Brenoux Airport</t>
  </si>
  <si>
    <t>MEP</t>
  </si>
  <si>
    <t>WMAU</t>
  </si>
  <si>
    <t>Mersing Airport</t>
  </si>
  <si>
    <t>MEQ</t>
  </si>
  <si>
    <t>WITC</t>
  </si>
  <si>
    <t>Seunagan Airport</t>
  </si>
  <si>
    <t>MER</t>
  </si>
  <si>
    <t>KMER</t>
  </si>
  <si>
    <t>Castle Airport</t>
  </si>
  <si>
    <t>SUME</t>
  </si>
  <si>
    <t>Ricardo de Tomasi International Airport</t>
  </si>
  <si>
    <t>MES</t>
  </si>
  <si>
    <t>WIMM</t>
  </si>
  <si>
    <t>Polonia International Airport</t>
  </si>
  <si>
    <t>MET</t>
  </si>
  <si>
    <t>YMOT</t>
  </si>
  <si>
    <t>Moreton Airport</t>
  </si>
  <si>
    <t>MEU</t>
  </si>
  <si>
    <t>SBMD</t>
  </si>
  <si>
    <t>Monte Dourado Airport</t>
  </si>
  <si>
    <t>MEV</t>
  </si>
  <si>
    <t>KMEV</t>
  </si>
  <si>
    <t>Minden-Tahoe Airport</t>
  </si>
  <si>
    <t>MEW</t>
  </si>
  <si>
    <t>FZVM</t>
  </si>
  <si>
    <t>Mweka Airport</t>
  </si>
  <si>
    <t>MEX</t>
  </si>
  <si>
    <t>MMMX</t>
  </si>
  <si>
    <t>Mexico City International Airport</t>
  </si>
  <si>
    <t>MEY</t>
  </si>
  <si>
    <t>VNMG</t>
  </si>
  <si>
    <t>Meghauli Airport</t>
  </si>
  <si>
    <t>KMEY</t>
  </si>
  <si>
    <t>James G. Whiting Memorial Field</t>
  </si>
  <si>
    <t>MEZ</t>
  </si>
  <si>
    <t>KMEZ</t>
  </si>
  <si>
    <t>Mena Intermountain Municipal Airport</t>
  </si>
  <si>
    <t>FAMS</t>
  </si>
  <si>
    <t>Morningside Farm Airport</t>
  </si>
  <si>
    <t>MFA</t>
  </si>
  <si>
    <t>HTMA</t>
  </si>
  <si>
    <t>Mafia Island Airport</t>
  </si>
  <si>
    <t>MFC</t>
  </si>
  <si>
    <t>FXMF</t>
  </si>
  <si>
    <t>Mafeteng Airport</t>
  </si>
  <si>
    <t>MFD</t>
  </si>
  <si>
    <t>KMFD</t>
  </si>
  <si>
    <t>Mansfield Lahm Regional Airport</t>
  </si>
  <si>
    <t>MFE</t>
  </si>
  <si>
    <t>KMFE</t>
  </si>
  <si>
    <t>McAllen-Miller International Airport</t>
  </si>
  <si>
    <t>MFF</t>
  </si>
  <si>
    <t>FOOD</t>
  </si>
  <si>
    <t>Moanda Airport</t>
  </si>
  <si>
    <t>MFG</t>
  </si>
  <si>
    <t>OPMF</t>
  </si>
  <si>
    <t>Muzaffarabad Airport</t>
  </si>
  <si>
    <t>MFI</t>
  </si>
  <si>
    <t>KMFI</t>
  </si>
  <si>
    <t>Marshfield Municipal Airport</t>
  </si>
  <si>
    <t>MFJ</t>
  </si>
  <si>
    <t>NFMO</t>
  </si>
  <si>
    <t>Moala Airport</t>
  </si>
  <si>
    <t>MFK</t>
  </si>
  <si>
    <t>RCMT</t>
  </si>
  <si>
    <t>Matsu Beigan Airport</t>
  </si>
  <si>
    <t>MFM</t>
  </si>
  <si>
    <t>VMMC</t>
  </si>
  <si>
    <t>Macau International Airport</t>
  </si>
  <si>
    <t>MFN</t>
  </si>
  <si>
    <t>NZMF</t>
  </si>
  <si>
    <t>Milford Sound Airport</t>
  </si>
  <si>
    <t>MFP</t>
  </si>
  <si>
    <t>YMCR</t>
  </si>
  <si>
    <t>Manners Creek Airport</t>
  </si>
  <si>
    <t>MFQ</t>
  </si>
  <si>
    <t>DRRM</t>
  </si>
  <si>
    <t>Maradi Airport</t>
  </si>
  <si>
    <t>MFR</t>
  </si>
  <si>
    <t>KMFR</t>
  </si>
  <si>
    <t>Rogue Valley International-Medford Airport</t>
  </si>
  <si>
    <t>MFS</t>
  </si>
  <si>
    <t>SKMF</t>
  </si>
  <si>
    <t>Miraflores Airport</t>
  </si>
  <si>
    <t>MFU</t>
  </si>
  <si>
    <t>FLMF</t>
  </si>
  <si>
    <t>Mfuwe Airport</t>
  </si>
  <si>
    <t>MFV</t>
  </si>
  <si>
    <t>KMFV</t>
  </si>
  <si>
    <t>Accomack County Airport</t>
  </si>
  <si>
    <t/>
  </si>
  <si>
    <t>MFX</t>
  </si>
  <si>
    <t>LFKX</t>
  </si>
  <si>
    <t>Méribel Airport</t>
  </si>
  <si>
    <t>MGA</t>
  </si>
  <si>
    <t>MNMG</t>
  </si>
  <si>
    <t>Augusto C. Sandino International Airport</t>
  </si>
  <si>
    <t>MGB</t>
  </si>
  <si>
    <t>YMTG</t>
  </si>
  <si>
    <t>Mount Gambier Airport</t>
  </si>
  <si>
    <t>MGC</t>
  </si>
  <si>
    <t>KMGC</t>
  </si>
  <si>
    <t>Michigan City Municipal Airport</t>
  </si>
  <si>
    <t>MGD</t>
  </si>
  <si>
    <t>SLMG</t>
  </si>
  <si>
    <t>Magdalena Airport</t>
  </si>
  <si>
    <t>MGE</t>
  </si>
  <si>
    <t>KMGE</t>
  </si>
  <si>
    <t>Dobbins Air Reserve Base (Atlanta NAS)</t>
  </si>
  <si>
    <t>MGF</t>
  </si>
  <si>
    <t>SBMG</t>
  </si>
  <si>
    <t>Maringá - Sílvio Name Júnior Regional Airport</t>
  </si>
  <si>
    <t>MGH</t>
  </si>
  <si>
    <t>FAMG</t>
  </si>
  <si>
    <t>Margate Airport</t>
  </si>
  <si>
    <t>MGJ</t>
  </si>
  <si>
    <t>KMGJ</t>
  </si>
  <si>
    <t>Orange County Airport</t>
  </si>
  <si>
    <t>MGK</t>
  </si>
  <si>
    <t>VYMT</t>
  </si>
  <si>
    <t>Mong Tong Airport</t>
  </si>
  <si>
    <t>MGL</t>
  </si>
  <si>
    <t>EDLN</t>
  </si>
  <si>
    <t>Düsseldorf-Mönchengladbach Airport</t>
  </si>
  <si>
    <t>MGM</t>
  </si>
  <si>
    <t>KMGM</t>
  </si>
  <si>
    <t>Montgomery Regional Airport (Dannelly Field)</t>
  </si>
  <si>
    <t>MGN</t>
  </si>
  <si>
    <t>SKMG</t>
  </si>
  <si>
    <t>Baracoa Airport</t>
  </si>
  <si>
    <t>KMGN</t>
  </si>
  <si>
    <t>Harbor Springs Airport</t>
  </si>
  <si>
    <t>MGQ</t>
  </si>
  <si>
    <t>HCMM</t>
  </si>
  <si>
    <t>Aden Adde International Airport</t>
  </si>
  <si>
    <t>KMGQ</t>
  </si>
  <si>
    <t>Mogadishu International Airport</t>
  </si>
  <si>
    <t>MGR</t>
  </si>
  <si>
    <t>KMGR</t>
  </si>
  <si>
    <t>Moultrie Municipal Airport</t>
  </si>
  <si>
    <t>MGS</t>
  </si>
  <si>
    <t>NCMG</t>
  </si>
  <si>
    <t>Mangaia Island Airport</t>
  </si>
  <si>
    <t>MGT</t>
  </si>
  <si>
    <t>YMGB</t>
  </si>
  <si>
    <t>Milingimbi Airport</t>
  </si>
  <si>
    <t>MGU</t>
  </si>
  <si>
    <t>VYMN</t>
  </si>
  <si>
    <t>Manaung Airport</t>
  </si>
  <si>
    <t>MGV</t>
  </si>
  <si>
    <t>YMGR</t>
  </si>
  <si>
    <t>Margaret River (Station) Airport</t>
  </si>
  <si>
    <t>MGW</t>
  </si>
  <si>
    <t>KMGW</t>
  </si>
  <si>
    <t>Morgantown Municipal Airport (Walter L. Bill Hart Field)</t>
  </si>
  <si>
    <t>MGX</t>
  </si>
  <si>
    <t>FOGI</t>
  </si>
  <si>
    <t>Moabi Airport</t>
  </si>
  <si>
    <t>MGY</t>
  </si>
  <si>
    <t>KMGY</t>
  </si>
  <si>
    <t>Dayton-Wright Brothers Airport</t>
  </si>
  <si>
    <t>MGZ</t>
  </si>
  <si>
    <t>VYME</t>
  </si>
  <si>
    <t>Myeik Airport</t>
  </si>
  <si>
    <t>MHA</t>
  </si>
  <si>
    <t>SYMD</t>
  </si>
  <si>
    <t>Mahdia Airport</t>
  </si>
  <si>
    <t>MHD</t>
  </si>
  <si>
    <t>OIMM</t>
  </si>
  <si>
    <t>Mashhad International Airport</t>
  </si>
  <si>
    <t>MHE</t>
  </si>
  <si>
    <t>KMHE</t>
  </si>
  <si>
    <t>Mitchell Municipal Airport</t>
  </si>
  <si>
    <t>MHG</t>
  </si>
  <si>
    <t>EDFM</t>
  </si>
  <si>
    <t>Mannheim-City Airport</t>
  </si>
  <si>
    <t>MHH</t>
  </si>
  <si>
    <t>MYAM</t>
  </si>
  <si>
    <t>Marsh Harbour Airport</t>
  </si>
  <si>
    <t>MHI</t>
  </si>
  <si>
    <t>HDMO</t>
  </si>
  <si>
    <t>Moucha Airport</t>
  </si>
  <si>
    <t>MHK</t>
  </si>
  <si>
    <t>KMHK</t>
  </si>
  <si>
    <t>Manhattan Regional Airport</t>
  </si>
  <si>
    <t>MHL</t>
  </si>
  <si>
    <t>KMHL</t>
  </si>
  <si>
    <t>Marshall Memorial Municipal Airport</t>
  </si>
  <si>
    <t>MHM</t>
  </si>
  <si>
    <t>PAMH</t>
  </si>
  <si>
    <t>Minchumina Airport</t>
  </si>
  <si>
    <t>MHN</t>
  </si>
  <si>
    <t>KMHN</t>
  </si>
  <si>
    <t>Hooker County Airport</t>
  </si>
  <si>
    <t>MHO</t>
  </si>
  <si>
    <t>YMHO</t>
  </si>
  <si>
    <t>Mount House Airport</t>
  </si>
  <si>
    <t>MHP</t>
  </si>
  <si>
    <t>UMMM</t>
  </si>
  <si>
    <t>Minsk-1 Airport</t>
  </si>
  <si>
    <t>KMHP</t>
  </si>
  <si>
    <t>Metter Municipal Airport</t>
  </si>
  <si>
    <t>MHQ</t>
  </si>
  <si>
    <t>EFMA</t>
  </si>
  <si>
    <t>Mariehamn Airport</t>
  </si>
  <si>
    <t>MHR</t>
  </si>
  <si>
    <t>KMHR</t>
  </si>
  <si>
    <t>Sacramento Mather Airport</t>
  </si>
  <si>
    <t>MHT</t>
  </si>
  <si>
    <t>KMHT</t>
  </si>
  <si>
    <t>Manchester-Boston Regional Airport</t>
  </si>
  <si>
    <t>MHU</t>
  </si>
  <si>
    <t>YHOT</t>
  </si>
  <si>
    <t>Mount Hotham Airport</t>
  </si>
  <si>
    <t>MHV</t>
  </si>
  <si>
    <t>KMHV</t>
  </si>
  <si>
    <t>Mojave Airport</t>
  </si>
  <si>
    <t>MHW</t>
  </si>
  <si>
    <t>SLAG</t>
  </si>
  <si>
    <t>Monteagudo Airport</t>
  </si>
  <si>
    <t>MHX</t>
  </si>
  <si>
    <t>NCMH</t>
  </si>
  <si>
    <t>Manihiki Island Airport</t>
  </si>
  <si>
    <t>MHZ</t>
  </si>
  <si>
    <t>EGUN</t>
  </si>
  <si>
    <t>RAF Mildenhall</t>
  </si>
  <si>
    <t>MIA</t>
  </si>
  <si>
    <t>KMIA</t>
  </si>
  <si>
    <t>Miami International Airport</t>
  </si>
  <si>
    <t>MIB</t>
  </si>
  <si>
    <t>KMIB</t>
  </si>
  <si>
    <t>Minot Air Force Base</t>
  </si>
  <si>
    <t>MIC</t>
  </si>
  <si>
    <t>KMIC</t>
  </si>
  <si>
    <t>Crystal Airport</t>
  </si>
  <si>
    <t>MID</t>
  </si>
  <si>
    <t>MMMD</t>
  </si>
  <si>
    <t>Manuel Crescencio Rejón International Airport</t>
  </si>
  <si>
    <t>MIE</t>
  </si>
  <si>
    <t>KMIE</t>
  </si>
  <si>
    <t>Delaware County Airport (Johnson Field)</t>
  </si>
  <si>
    <t>MIG</t>
  </si>
  <si>
    <t>ZUMY</t>
  </si>
  <si>
    <t>Mianyang Airport</t>
  </si>
  <si>
    <t>MIH</t>
  </si>
  <si>
    <t>YMIP</t>
  </si>
  <si>
    <t>Mitchell Plateau Airport</t>
  </si>
  <si>
    <t>MII</t>
  </si>
  <si>
    <t>SBML</t>
  </si>
  <si>
    <t>Marília Airport</t>
  </si>
  <si>
    <t>MIJ</t>
  </si>
  <si>
    <t>MLIP</t>
  </si>
  <si>
    <t>Mili Island Airport</t>
  </si>
  <si>
    <t>MIK</t>
  </si>
  <si>
    <t>EFMI</t>
  </si>
  <si>
    <t>Mikkeli Airport</t>
  </si>
  <si>
    <t>MIM</t>
  </si>
  <si>
    <t>YMER</t>
  </si>
  <si>
    <t>Merimbula Airport</t>
  </si>
  <si>
    <t>MIN</t>
  </si>
  <si>
    <t>YMPA</t>
  </si>
  <si>
    <t>Minnipa Airport</t>
  </si>
  <si>
    <t>MIO</t>
  </si>
  <si>
    <t>KMIO</t>
  </si>
  <si>
    <t>Miami Municipal Airport</t>
  </si>
  <si>
    <t>MIP</t>
  </si>
  <si>
    <t>LLMR</t>
  </si>
  <si>
    <t>Mitzpe Ramon Airfield</t>
  </si>
  <si>
    <t>LLRM</t>
  </si>
  <si>
    <t>Ramon Air Base</t>
  </si>
  <si>
    <t>MIQ</t>
  </si>
  <si>
    <t>KMLE</t>
  </si>
  <si>
    <t>Millard Airport</t>
  </si>
  <si>
    <t>MIR</t>
  </si>
  <si>
    <t>DTMB</t>
  </si>
  <si>
    <t>Monastir Habib Bourguiba International Airport</t>
  </si>
  <si>
    <t>MIS</t>
  </si>
  <si>
    <t>AYMS</t>
  </si>
  <si>
    <t>Misima Island Airport</t>
  </si>
  <si>
    <t>MIT</t>
  </si>
  <si>
    <t>KMIT</t>
  </si>
  <si>
    <t>Shafter Airport</t>
  </si>
  <si>
    <t>MIU</t>
  </si>
  <si>
    <t>DNMA</t>
  </si>
  <si>
    <t>Maiduguri International Airport</t>
  </si>
  <si>
    <t>MIV</t>
  </si>
  <si>
    <t>KMIV</t>
  </si>
  <si>
    <t>Millville Municipal Airport</t>
  </si>
  <si>
    <t>MIW</t>
  </si>
  <si>
    <t>KMIW</t>
  </si>
  <si>
    <t>Marshalltown Municipal Airport</t>
  </si>
  <si>
    <t>MJA</t>
  </si>
  <si>
    <t>FMSJ</t>
  </si>
  <si>
    <t>Manja Airport</t>
  </si>
  <si>
    <t>MJC</t>
  </si>
  <si>
    <t>DIMN</t>
  </si>
  <si>
    <t>Man Airport</t>
  </si>
  <si>
    <t>MJD</t>
  </si>
  <si>
    <t>OPMJ</t>
  </si>
  <si>
    <t>Moenjodaro Airport</t>
  </si>
  <si>
    <t>KMJD</t>
  </si>
  <si>
    <t>Picayune Municipal Airport</t>
  </si>
  <si>
    <t>MJF</t>
  </si>
  <si>
    <t>ENMS</t>
  </si>
  <si>
    <t>Mosjøen Airport, Kjærstad</t>
  </si>
  <si>
    <t>MJG</t>
  </si>
  <si>
    <t>MUMJ</t>
  </si>
  <si>
    <t>Mayajigua Airport</t>
  </si>
  <si>
    <t>Areopuerto Internacional Michael Gonzalez</t>
  </si>
  <si>
    <t>MJI</t>
  </si>
  <si>
    <t>HLLM</t>
  </si>
  <si>
    <t>Mitiga International Airport</t>
  </si>
  <si>
    <t>MJL</t>
  </si>
  <si>
    <t>FOGM</t>
  </si>
  <si>
    <t>Mouilla Ville Airport</t>
  </si>
  <si>
    <t>MJM</t>
  </si>
  <si>
    <t>FZWA</t>
  </si>
  <si>
    <t>Mbuji Mayi Airport</t>
  </si>
  <si>
    <t>MJN</t>
  </si>
  <si>
    <t>FMNM</t>
  </si>
  <si>
    <t>Amborovy Airport</t>
  </si>
  <si>
    <t>MJP</t>
  </si>
  <si>
    <t>YMJM</t>
  </si>
  <si>
    <t>Manjimup Airport</t>
  </si>
  <si>
    <t>MJQ</t>
  </si>
  <si>
    <t>KMJQ</t>
  </si>
  <si>
    <t>Jackson Municipal Airport</t>
  </si>
  <si>
    <t>MJR</t>
  </si>
  <si>
    <t>SAEM</t>
  </si>
  <si>
    <t>Miramar Airport</t>
  </si>
  <si>
    <t>MJT</t>
  </si>
  <si>
    <t>LGMT</t>
  </si>
  <si>
    <t>Mytilene International Airport</t>
  </si>
  <si>
    <t>MJU</t>
  </si>
  <si>
    <t>WAAJ</t>
  </si>
  <si>
    <t>Tampa Padang Airport</t>
  </si>
  <si>
    <t>MJV</t>
  </si>
  <si>
    <t>LELC</t>
  </si>
  <si>
    <t>Murcia-San Javier Airport</t>
  </si>
  <si>
    <t>MJX</t>
  </si>
  <si>
    <t>KMJX</t>
  </si>
  <si>
    <t>Robert J. Miller Air Park</t>
  </si>
  <si>
    <t>MJZ</t>
  </si>
  <si>
    <t>UERR</t>
  </si>
  <si>
    <t>Mirny Airport</t>
  </si>
  <si>
    <t>MKA</t>
  </si>
  <si>
    <t>LKMR</t>
  </si>
  <si>
    <t>Mariánské LáznÄ› Airport</t>
  </si>
  <si>
    <t>KMKA</t>
  </si>
  <si>
    <t>Miller Municipal Airport</t>
  </si>
  <si>
    <t>MKB</t>
  </si>
  <si>
    <t>FOOE</t>
  </si>
  <si>
    <t>Mekambo Airport</t>
  </si>
  <si>
    <t>MKC</t>
  </si>
  <si>
    <t>KMKC</t>
  </si>
  <si>
    <t>Kansas City Downtown Airport (Charles B. Wheeler Downtown Airport)</t>
  </si>
  <si>
    <t>MKE</t>
  </si>
  <si>
    <t>KMKE</t>
  </si>
  <si>
    <t>General Mitchell International Airport</t>
  </si>
  <si>
    <t>MKG</t>
  </si>
  <si>
    <t>KMKG</t>
  </si>
  <si>
    <t>Muskegon County Airport</t>
  </si>
  <si>
    <t>MKH</t>
  </si>
  <si>
    <t>FXMK</t>
  </si>
  <si>
    <t>Mokhotlong Airport</t>
  </si>
  <si>
    <t>MKI</t>
  </si>
  <si>
    <t>FEGE</t>
  </si>
  <si>
    <t>M'Boki Airport</t>
  </si>
  <si>
    <t>MKJ</t>
  </si>
  <si>
    <t>FCOM</t>
  </si>
  <si>
    <t>Makoua Airport</t>
  </si>
  <si>
    <t>KMKJ</t>
  </si>
  <si>
    <t>Mountain Empire Airport</t>
  </si>
  <si>
    <t>MKK</t>
  </si>
  <si>
    <t>PHMK</t>
  </si>
  <si>
    <t>Molokai Airport</t>
  </si>
  <si>
    <t>MKL</t>
  </si>
  <si>
    <t>KMKL</t>
  </si>
  <si>
    <t>McKellar-Sipes Regional Airport</t>
  </si>
  <si>
    <t>MKM</t>
  </si>
  <si>
    <t>WBGK</t>
  </si>
  <si>
    <t>Mukah Airport</t>
  </si>
  <si>
    <t>MKN</t>
  </si>
  <si>
    <t>KMKN</t>
  </si>
  <si>
    <t>Comanche County-City Airport</t>
  </si>
  <si>
    <t>MKO</t>
  </si>
  <si>
    <t>KMKO</t>
  </si>
  <si>
    <t>Davis Field</t>
  </si>
  <si>
    <t>MKP</t>
  </si>
  <si>
    <t>NTGM</t>
  </si>
  <si>
    <t>Makemo Airport</t>
  </si>
  <si>
    <t>MKQ</t>
  </si>
  <si>
    <t>WAKK</t>
  </si>
  <si>
    <t>Mopah Airport</t>
  </si>
  <si>
    <t>MKR</t>
  </si>
  <si>
    <t>YMEK</t>
  </si>
  <si>
    <t>Meekatharra Airport</t>
  </si>
  <si>
    <t>MKT</t>
  </si>
  <si>
    <t>KMKT</t>
  </si>
  <si>
    <t>Mankato Regional Airport</t>
  </si>
  <si>
    <t>MKU</t>
  </si>
  <si>
    <t>FOOK</t>
  </si>
  <si>
    <t>Makokou Airport</t>
  </si>
  <si>
    <t>MKV</t>
  </si>
  <si>
    <t>KMKV</t>
  </si>
  <si>
    <t>Marksville Municipal Airport</t>
  </si>
  <si>
    <t>MKW</t>
  </si>
  <si>
    <t>WASR</t>
  </si>
  <si>
    <t>Rendani Airport</t>
  </si>
  <si>
    <t>MKY</t>
  </si>
  <si>
    <t>YBMK</t>
  </si>
  <si>
    <t>Mackay Airport</t>
  </si>
  <si>
    <t>MKZ</t>
  </si>
  <si>
    <t>WMKM</t>
  </si>
  <si>
    <t>Malacca Airport</t>
  </si>
  <si>
    <t>MLA</t>
  </si>
  <si>
    <t>LMML</t>
  </si>
  <si>
    <t>Malta International Airport</t>
  </si>
  <si>
    <t>MLB</t>
  </si>
  <si>
    <t>KMLB</t>
  </si>
  <si>
    <t>Melbourne International Airport</t>
  </si>
  <si>
    <t>MLC</t>
  </si>
  <si>
    <t>KMLC</t>
  </si>
  <si>
    <t>McAlester Regional Airport</t>
  </si>
  <si>
    <t>MLD</t>
  </si>
  <si>
    <t>KMLD</t>
  </si>
  <si>
    <t>Malad City Airport</t>
  </si>
  <si>
    <t>MLE</t>
  </si>
  <si>
    <t>VRMM</t>
  </si>
  <si>
    <t>Malé International Airport</t>
  </si>
  <si>
    <t>MLF</t>
  </si>
  <si>
    <t>KMLF</t>
  </si>
  <si>
    <t>Milford Municipal Airport (Ben and Judy Briscoe Field)</t>
  </si>
  <si>
    <t>MLG</t>
  </si>
  <si>
    <t>WARA</t>
  </si>
  <si>
    <t>Abdul Rachman Saleh Airport</t>
  </si>
  <si>
    <t>MLI</t>
  </si>
  <si>
    <t>KMLI</t>
  </si>
  <si>
    <t>Quad City International Airport</t>
  </si>
  <si>
    <t>MLJ</t>
  </si>
  <si>
    <t>KMLJ</t>
  </si>
  <si>
    <t>Baldwin County Airport</t>
  </si>
  <si>
    <t>MLM</t>
  </si>
  <si>
    <t>MMMM</t>
  </si>
  <si>
    <t>General Francisco J. Mujica International Airport</t>
  </si>
  <si>
    <t>MLN</t>
  </si>
  <si>
    <t>GEML</t>
  </si>
  <si>
    <t>Melilla Airport</t>
  </si>
  <si>
    <t>MLO</t>
  </si>
  <si>
    <t>LGML</t>
  </si>
  <si>
    <t>Milos Island National Airport</t>
  </si>
  <si>
    <t>MLP</t>
  </si>
  <si>
    <t>RPMM</t>
  </si>
  <si>
    <t>Malabang Airport</t>
  </si>
  <si>
    <t>MLR</t>
  </si>
  <si>
    <t>YMCT</t>
  </si>
  <si>
    <t>Millicent Airport</t>
  </si>
  <si>
    <t>MLS</t>
  </si>
  <si>
    <t>KMLS</t>
  </si>
  <si>
    <t>Miles City Municipal Airport (Frank Wiley Field)</t>
  </si>
  <si>
    <t>MLT</t>
  </si>
  <si>
    <t>KMLT</t>
  </si>
  <si>
    <t>Millinocket Municipal Airport</t>
  </si>
  <si>
    <t>MLU</t>
  </si>
  <si>
    <t>KMLU</t>
  </si>
  <si>
    <t>Monroe Regional Airport</t>
  </si>
  <si>
    <t>GLMR</t>
  </si>
  <si>
    <t>Spriggs Payne Airport</t>
  </si>
  <si>
    <t>MLX</t>
  </si>
  <si>
    <t>LTAT</t>
  </si>
  <si>
    <t>Erhac Airport</t>
  </si>
  <si>
    <t>MLY</t>
  </si>
  <si>
    <t>PAML</t>
  </si>
  <si>
    <t>Manley Hot Springs Airport</t>
  </si>
  <si>
    <t>MLZ</t>
  </si>
  <si>
    <t>SUMO</t>
  </si>
  <si>
    <t>Cerro Largo International Airport</t>
  </si>
  <si>
    <t>MMB</t>
  </si>
  <si>
    <t>RJCM</t>
  </si>
  <si>
    <t>Memanbetsu Airport</t>
  </si>
  <si>
    <t>MMC</t>
  </si>
  <si>
    <t>MMDM</t>
  </si>
  <si>
    <t>Ciudad Mante National Airport</t>
  </si>
  <si>
    <t>MMD</t>
  </si>
  <si>
    <t>ROMD</t>
  </si>
  <si>
    <t>Minami Daito Airport</t>
  </si>
  <si>
    <t>MME</t>
  </si>
  <si>
    <t>EGNV</t>
  </si>
  <si>
    <t>Teesside International Airport</t>
  </si>
  <si>
    <t>MMF</t>
  </si>
  <si>
    <t>FKKF</t>
  </si>
  <si>
    <t>Mamfe Airport</t>
  </si>
  <si>
    <t>MMG</t>
  </si>
  <si>
    <t>YMOG</t>
  </si>
  <si>
    <t>Mount Magnet Airport</t>
  </si>
  <si>
    <t>MMH</t>
  </si>
  <si>
    <t>KMMH</t>
  </si>
  <si>
    <t>Mammoth Yosemite Airport</t>
  </si>
  <si>
    <t>MMI</t>
  </si>
  <si>
    <t>KMMI</t>
  </si>
  <si>
    <t>McMinn County Airport</t>
  </si>
  <si>
    <t>MMJ</t>
  </si>
  <si>
    <t>RJAF</t>
  </si>
  <si>
    <t>Matsumoto Airport</t>
  </si>
  <si>
    <t>MMK</t>
  </si>
  <si>
    <t>ULMM</t>
  </si>
  <si>
    <t>Murmansk Airport</t>
  </si>
  <si>
    <t>MML</t>
  </si>
  <si>
    <t>KMML</t>
  </si>
  <si>
    <t>Southwest Minnesota Regional Airport (Marshall/Ryan Field)</t>
  </si>
  <si>
    <t>MMM</t>
  </si>
  <si>
    <t>YMMU</t>
  </si>
  <si>
    <t>Middlemount Airport</t>
  </si>
  <si>
    <t>MMO</t>
  </si>
  <si>
    <t>GVMA</t>
  </si>
  <si>
    <t>Maio Airport, Maio, Cape Verde</t>
  </si>
  <si>
    <t>MMP</t>
  </si>
  <si>
    <t>SKIO</t>
  </si>
  <si>
    <t>Cicuco Airport</t>
  </si>
  <si>
    <t>MMQ</t>
  </si>
  <si>
    <t>FLBA</t>
  </si>
  <si>
    <t>Mbala Airport</t>
  </si>
  <si>
    <t>MMS</t>
  </si>
  <si>
    <t>KMMS</t>
  </si>
  <si>
    <t>Selfs Airport</t>
  </si>
  <si>
    <t>MMT</t>
  </si>
  <si>
    <t>KMMT</t>
  </si>
  <si>
    <t>McEntire Air National Guard Station</t>
  </si>
  <si>
    <t>MMU</t>
  </si>
  <si>
    <t>KMMU</t>
  </si>
  <si>
    <t>Morristown Municipal Airport</t>
  </si>
  <si>
    <t>MMV</t>
  </si>
  <si>
    <t>KMMV</t>
  </si>
  <si>
    <t>McMinnville Municipal Airport</t>
  </si>
  <si>
    <t>MMX</t>
  </si>
  <si>
    <t>ESMS</t>
  </si>
  <si>
    <t>Malmö-Sturup Airport</t>
  </si>
  <si>
    <t>MMY</t>
  </si>
  <si>
    <t>ROMY</t>
  </si>
  <si>
    <t>Miyako Airport</t>
  </si>
  <si>
    <t>MMZ</t>
  </si>
  <si>
    <t>OAMN</t>
  </si>
  <si>
    <t>Maymana Airport</t>
  </si>
  <si>
    <t>MNA</t>
  </si>
  <si>
    <t>WAMN</t>
  </si>
  <si>
    <t>Melangguane Airport</t>
  </si>
  <si>
    <t>MNB</t>
  </si>
  <si>
    <t>FZAG</t>
  </si>
  <si>
    <t>Muanda Airport</t>
  </si>
  <si>
    <t>MNC</t>
  </si>
  <si>
    <t>FQNC</t>
  </si>
  <si>
    <t>Nacala Airport</t>
  </si>
  <si>
    <t>MNE</t>
  </si>
  <si>
    <t>YMUG</t>
  </si>
  <si>
    <t>Mungeranie Airport</t>
  </si>
  <si>
    <t>MNF</t>
  </si>
  <si>
    <t>NFMA</t>
  </si>
  <si>
    <t>Mana Island Airport</t>
  </si>
  <si>
    <t>KMNF</t>
  </si>
  <si>
    <t>Mountain View Airport</t>
  </si>
  <si>
    <t>MNG</t>
  </si>
  <si>
    <t>YMGD</t>
  </si>
  <si>
    <t>Maningrida Airport</t>
  </si>
  <si>
    <t>MNH</t>
  </si>
  <si>
    <t>VCCH</t>
  </si>
  <si>
    <t>Hingurakgoda Air Force Base</t>
  </si>
  <si>
    <t>MNI</t>
  </si>
  <si>
    <t>TRPG</t>
  </si>
  <si>
    <t>John A. Osborne Airport</t>
  </si>
  <si>
    <t>TRPM</t>
  </si>
  <si>
    <t>Gerald's Airport</t>
  </si>
  <si>
    <t>MNJ</t>
  </si>
  <si>
    <t>FMSM</t>
  </si>
  <si>
    <t>Mananjary Airport</t>
  </si>
  <si>
    <t>MNK</t>
  </si>
  <si>
    <t>NGMA</t>
  </si>
  <si>
    <t>Maiana Airport</t>
  </si>
  <si>
    <t>MNL</t>
  </si>
  <si>
    <t>RPLL</t>
  </si>
  <si>
    <t>Ninoy Aquino International Airport</t>
  </si>
  <si>
    <t>MNM</t>
  </si>
  <si>
    <t>KMNM</t>
  </si>
  <si>
    <t>Menominee-Marinette Twin County Airport</t>
  </si>
  <si>
    <t>MNN</t>
  </si>
  <si>
    <t>KMNN</t>
  </si>
  <si>
    <t>Marion Municipal Airport</t>
  </si>
  <si>
    <t>MNO</t>
  </si>
  <si>
    <t>FZRA</t>
  </si>
  <si>
    <t>Manono Airport</t>
  </si>
  <si>
    <t>MNQ</t>
  </si>
  <si>
    <t>YMTO</t>
  </si>
  <si>
    <t>Monto Airport</t>
  </si>
  <si>
    <t>MNR</t>
  </si>
  <si>
    <t>FLMG</t>
  </si>
  <si>
    <t>Mongu Airport</t>
  </si>
  <si>
    <t>MNS</t>
  </si>
  <si>
    <t>OPMS</t>
  </si>
  <si>
    <t>Minhas, Kamra Airport</t>
  </si>
  <si>
    <t>FLMA</t>
  </si>
  <si>
    <t>Mansa Airport</t>
  </si>
  <si>
    <t>MNU</t>
  </si>
  <si>
    <t>VYMM</t>
  </si>
  <si>
    <t>Mawlamyaing Airport</t>
  </si>
  <si>
    <t>MNV</t>
  </si>
  <si>
    <t>KMNV</t>
  </si>
  <si>
    <t>MNX</t>
  </si>
  <si>
    <t>SBMY</t>
  </si>
  <si>
    <t>Manicoré Airport</t>
  </si>
  <si>
    <t>MNY</t>
  </si>
  <si>
    <t>AGGO</t>
  </si>
  <si>
    <t>Mono Airport</t>
  </si>
  <si>
    <t>MNZ</t>
  </si>
  <si>
    <t>KHEF</t>
  </si>
  <si>
    <t>Manassas Regional Airport</t>
  </si>
  <si>
    <t>MOA</t>
  </si>
  <si>
    <t>MUMO</t>
  </si>
  <si>
    <t>Orestes Acosta Airport</t>
  </si>
  <si>
    <t>MOB</t>
  </si>
  <si>
    <t>KMOB</t>
  </si>
  <si>
    <t>Mobile Regional Airport</t>
  </si>
  <si>
    <t>MOC</t>
  </si>
  <si>
    <t>SBMK</t>
  </si>
  <si>
    <t>Mário Ribeiro Airport</t>
  </si>
  <si>
    <t>MOD</t>
  </si>
  <si>
    <t>KMOD</t>
  </si>
  <si>
    <t>Modesto City-County Airport (Harry Sham Field)</t>
  </si>
  <si>
    <t>MOE</t>
  </si>
  <si>
    <t>VYMO</t>
  </si>
  <si>
    <t>Momeik Airport</t>
  </si>
  <si>
    <t>MOF</t>
  </si>
  <si>
    <t>WATC</t>
  </si>
  <si>
    <t>Maumere(Wai Oti) Airport</t>
  </si>
  <si>
    <t>MOG</t>
  </si>
  <si>
    <t>VYMS</t>
  </si>
  <si>
    <t>Mong Hsat Airport</t>
  </si>
  <si>
    <t>MOI</t>
  </si>
  <si>
    <t>NCMR</t>
  </si>
  <si>
    <t>Mitiaro Island Airport</t>
  </si>
  <si>
    <t>MOL</t>
  </si>
  <si>
    <t>ENML</t>
  </si>
  <si>
    <t>Molde Airport, Årø</t>
  </si>
  <si>
    <t>MOM</t>
  </si>
  <si>
    <t>GQNL</t>
  </si>
  <si>
    <t>Letfotar Airport</t>
  </si>
  <si>
    <t>MON</t>
  </si>
  <si>
    <t>NZMC</t>
  </si>
  <si>
    <t>Mount Cook Airport</t>
  </si>
  <si>
    <t>MOO</t>
  </si>
  <si>
    <t>YOOM</t>
  </si>
  <si>
    <t>Moomba Airport</t>
  </si>
  <si>
    <t>MOP</t>
  </si>
  <si>
    <t>KMOP</t>
  </si>
  <si>
    <t>Mount Pleasant Municipal Airport</t>
  </si>
  <si>
    <t>MOQ</t>
  </si>
  <si>
    <t>FMMV</t>
  </si>
  <si>
    <t>Morondava Airport</t>
  </si>
  <si>
    <t>MOR</t>
  </si>
  <si>
    <t>KMOR</t>
  </si>
  <si>
    <t>Moore-Murrell Airport</t>
  </si>
  <si>
    <t>MOT</t>
  </si>
  <si>
    <t>KMOT</t>
  </si>
  <si>
    <t>Minot International Airport</t>
  </si>
  <si>
    <t>MOU</t>
  </si>
  <si>
    <t>PAMO</t>
  </si>
  <si>
    <t>Mountain Village Airport</t>
  </si>
  <si>
    <t>MOV</t>
  </si>
  <si>
    <t>YMRB</t>
  </si>
  <si>
    <t>Moranbah Airport</t>
  </si>
  <si>
    <t>MOX</t>
  </si>
  <si>
    <t>KMOX</t>
  </si>
  <si>
    <t>Morris Municipal Airport</t>
  </si>
  <si>
    <t>MOZ</t>
  </si>
  <si>
    <t>NTTM</t>
  </si>
  <si>
    <t>Temae Airport</t>
  </si>
  <si>
    <t>MPA</t>
  </si>
  <si>
    <t>FYKM</t>
  </si>
  <si>
    <t>Katima Mulilo Airport</t>
  </si>
  <si>
    <t>MPC</t>
  </si>
  <si>
    <t>WIPU</t>
  </si>
  <si>
    <t>Muko Muko Airport</t>
  </si>
  <si>
    <t>MPD</t>
  </si>
  <si>
    <t>OPMK</t>
  </si>
  <si>
    <t>Mirpur Khas Air Base</t>
  </si>
  <si>
    <t>OPMP</t>
  </si>
  <si>
    <t>Sindhri Tharparkar Airport</t>
  </si>
  <si>
    <t>MPE</t>
  </si>
  <si>
    <t>KMPE</t>
  </si>
  <si>
    <t>Philadelphia Municipal Airport</t>
  </si>
  <si>
    <t>MPH</t>
  </si>
  <si>
    <t>RPVE</t>
  </si>
  <si>
    <t>Godofredo P. Ramos Airport</t>
  </si>
  <si>
    <t>MPI</t>
  </si>
  <si>
    <t>KMPI</t>
  </si>
  <si>
    <t>Mariposa-Yosemite Airport</t>
  </si>
  <si>
    <t>MPJ</t>
  </si>
  <si>
    <t>KMPJ</t>
  </si>
  <si>
    <t>Petit Jean Park Airport</t>
  </si>
  <si>
    <t>MPK</t>
  </si>
  <si>
    <t>RKJM</t>
  </si>
  <si>
    <t>Mokpo Airport</t>
  </si>
  <si>
    <t>MPL</t>
  </si>
  <si>
    <t>LFMT</t>
  </si>
  <si>
    <t>Mediterranée Airport</t>
  </si>
  <si>
    <t>MPM</t>
  </si>
  <si>
    <t>FQMA</t>
  </si>
  <si>
    <t>Maputo International Airport</t>
  </si>
  <si>
    <t>MPN</t>
  </si>
  <si>
    <t>EGYP</t>
  </si>
  <si>
    <t>RAF Mount Pleasant</t>
  </si>
  <si>
    <t>MPO</t>
  </si>
  <si>
    <t>KMPO</t>
  </si>
  <si>
    <t>Pocono Mountains Municipal Airport</t>
  </si>
  <si>
    <t>MPR</t>
  </si>
  <si>
    <t>KMPR</t>
  </si>
  <si>
    <t>McPherson Airport</t>
  </si>
  <si>
    <t>MPT</t>
  </si>
  <si>
    <t>WPMN</t>
  </si>
  <si>
    <t>Maliana Airport</t>
  </si>
  <si>
    <t>MPV</t>
  </si>
  <si>
    <t>KMPV</t>
  </si>
  <si>
    <t>Edward F. Knapp State Airport</t>
  </si>
  <si>
    <t>MPW</t>
  </si>
  <si>
    <t>UKCM</t>
  </si>
  <si>
    <t>Mariupol Airport</t>
  </si>
  <si>
    <t>MPY</t>
  </si>
  <si>
    <t>SOOA</t>
  </si>
  <si>
    <t>Maripasoula Airport</t>
  </si>
  <si>
    <t>MPZ</t>
  </si>
  <si>
    <t>KMPZ</t>
  </si>
  <si>
    <t>MQA</t>
  </si>
  <si>
    <t>YMDI</t>
  </si>
  <si>
    <t>Mandora Airport</t>
  </si>
  <si>
    <t>MQB</t>
  </si>
  <si>
    <t>KMQB</t>
  </si>
  <si>
    <t>Macomb Municipal Airport</t>
  </si>
  <si>
    <t>MQC</t>
  </si>
  <si>
    <t>LFVM</t>
  </si>
  <si>
    <t>Miquelon Airport</t>
  </si>
  <si>
    <t>MQD</t>
  </si>
  <si>
    <t>SAVQ</t>
  </si>
  <si>
    <t>Maquinchao Airport</t>
  </si>
  <si>
    <t>MQE</t>
  </si>
  <si>
    <t>YMQA</t>
  </si>
  <si>
    <t>Marqua Airport</t>
  </si>
  <si>
    <t>MQF</t>
  </si>
  <si>
    <t>USCM</t>
  </si>
  <si>
    <t>Magnitogorsk Airport</t>
  </si>
  <si>
    <t>MQH</t>
  </si>
  <si>
    <t>SBMC</t>
  </si>
  <si>
    <t>Minaçu Airport</t>
  </si>
  <si>
    <t>MQI</t>
  </si>
  <si>
    <t>KMQI</t>
  </si>
  <si>
    <t>Dare County Regional Airport</t>
  </si>
  <si>
    <t>MQJ</t>
  </si>
  <si>
    <t>KMQJ</t>
  </si>
  <si>
    <t>Mount Comfort Airport</t>
  </si>
  <si>
    <t>MQK</t>
  </si>
  <si>
    <t>SLTI</t>
  </si>
  <si>
    <t>San Matías Airport</t>
  </si>
  <si>
    <t>MQL</t>
  </si>
  <si>
    <t>YMIA</t>
  </si>
  <si>
    <t>Mildura Airport</t>
  </si>
  <si>
    <t>MQM</t>
  </si>
  <si>
    <t>LTCR</t>
  </si>
  <si>
    <t>Mardin Airport</t>
  </si>
  <si>
    <t>MQN</t>
  </si>
  <si>
    <t>ENRA</t>
  </si>
  <si>
    <t>Mo i Rana Airport, Røssvoll</t>
  </si>
  <si>
    <t>MQP</t>
  </si>
  <si>
    <t>FAKN</t>
  </si>
  <si>
    <t>Kruger Mpumalanga International Airport</t>
  </si>
  <si>
    <t>MQQ</t>
  </si>
  <si>
    <t>FTTD</t>
  </si>
  <si>
    <t>Moundou Airport</t>
  </si>
  <si>
    <t>MQS</t>
  </si>
  <si>
    <t>KMQS</t>
  </si>
  <si>
    <t>Chester County G O Carlson Airport</t>
  </si>
  <si>
    <t>TVSM</t>
  </si>
  <si>
    <t>Mustique Airport</t>
  </si>
  <si>
    <t>MQT</t>
  </si>
  <si>
    <t>KSAW</t>
  </si>
  <si>
    <t>Sawyer International Airport</t>
  </si>
  <si>
    <t>MQU</t>
  </si>
  <si>
    <t>SKQU</t>
  </si>
  <si>
    <t>Jose Celestino Mutis Airport</t>
  </si>
  <si>
    <t>MQW</t>
  </si>
  <si>
    <t>KMQW</t>
  </si>
  <si>
    <t>Telfair-Wheeler Airport</t>
  </si>
  <si>
    <t>MQX</t>
  </si>
  <si>
    <t>HAMK</t>
  </si>
  <si>
    <t>Mekele Airport</t>
  </si>
  <si>
    <t>MQY</t>
  </si>
  <si>
    <t>KMQY</t>
  </si>
  <si>
    <t>Smyrna Airport</t>
  </si>
  <si>
    <t>MQZ</t>
  </si>
  <si>
    <t>YMGT</t>
  </si>
  <si>
    <t>Margaret River Airport</t>
  </si>
  <si>
    <t>SKUA</t>
  </si>
  <si>
    <t>Marandúa Air Base</t>
  </si>
  <si>
    <t>MRB</t>
  </si>
  <si>
    <t>KMRB</t>
  </si>
  <si>
    <t>Eastern WV Regional Airport (Shepherd Field)</t>
  </si>
  <si>
    <t>MRC</t>
  </si>
  <si>
    <t>KMRC</t>
  </si>
  <si>
    <t>Maury County Airport</t>
  </si>
  <si>
    <t>MRD</t>
  </si>
  <si>
    <t>SVMD</t>
  </si>
  <si>
    <t>Alberto Carnevalli Airport</t>
  </si>
  <si>
    <t>MRE</t>
  </si>
  <si>
    <t>HKMS</t>
  </si>
  <si>
    <t>Mara Serena Lodge Airstrip</t>
  </si>
  <si>
    <t>MRF</t>
  </si>
  <si>
    <t>KMRF</t>
  </si>
  <si>
    <t>Marfa Municipal Airport</t>
  </si>
  <si>
    <t>MRG</t>
  </si>
  <si>
    <t>YMBA</t>
  </si>
  <si>
    <t>Mareeba Airport</t>
  </si>
  <si>
    <t>MRH</t>
  </si>
  <si>
    <t>EGYM</t>
  </si>
  <si>
    <t>RAF Marham</t>
  </si>
  <si>
    <t>KMRH</t>
  </si>
  <si>
    <t>Michael J. Smith Field</t>
  </si>
  <si>
    <t>MRI</t>
  </si>
  <si>
    <t>PAMR</t>
  </si>
  <si>
    <t>Merrill Field</t>
  </si>
  <si>
    <t>MRJ</t>
  </si>
  <si>
    <t>KMRJ</t>
  </si>
  <si>
    <t>Iowa County Airport</t>
  </si>
  <si>
    <t>MRK</t>
  </si>
  <si>
    <t>KMKY</t>
  </si>
  <si>
    <t>Marco Island Airport</t>
  </si>
  <si>
    <t>MRN</t>
  </si>
  <si>
    <t>KMRN</t>
  </si>
  <si>
    <t>Morganton-Lenoir Airport</t>
  </si>
  <si>
    <t>MRO</t>
  </si>
  <si>
    <t>SAWB</t>
  </si>
  <si>
    <t>Base Marambio Island´s Airport</t>
  </si>
  <si>
    <t>NZMS</t>
  </si>
  <si>
    <t>Hood Airport</t>
  </si>
  <si>
    <t>MRP</t>
  </si>
  <si>
    <t>YALA</t>
  </si>
  <si>
    <t>Marla Airport</t>
  </si>
  <si>
    <t>MRQ</t>
  </si>
  <si>
    <t>RPUW</t>
  </si>
  <si>
    <t>Marinduque Airport</t>
  </si>
  <si>
    <t>MRR</t>
  </si>
  <si>
    <t>SEMA</t>
  </si>
  <si>
    <t>Jose Maria Velasco Ibarra Airport</t>
  </si>
  <si>
    <t>MRS</t>
  </si>
  <si>
    <t>LFML</t>
  </si>
  <si>
    <t>Marseille Provence Airport</t>
  </si>
  <si>
    <t>MRU</t>
  </si>
  <si>
    <t>FIMP</t>
  </si>
  <si>
    <t>Sir Seewoosagur Ramgoolam International Airport</t>
  </si>
  <si>
    <t>MRV</t>
  </si>
  <si>
    <t>URMM</t>
  </si>
  <si>
    <t>Mineralnye Vody Airport</t>
  </si>
  <si>
    <t>MRW</t>
  </si>
  <si>
    <t>EKMB</t>
  </si>
  <si>
    <t>Lolland Falster Maribo Airport</t>
  </si>
  <si>
    <t>MRX</t>
  </si>
  <si>
    <t>OIAM</t>
  </si>
  <si>
    <t>Mahshahr Airport</t>
  </si>
  <si>
    <t>MRY</t>
  </si>
  <si>
    <t>KMRY</t>
  </si>
  <si>
    <t>Monterey Peninsula Airport</t>
  </si>
  <si>
    <t>MRZ</t>
  </si>
  <si>
    <t>YMOR</t>
  </si>
  <si>
    <t>Moree Airport</t>
  </si>
  <si>
    <t>MSA</t>
  </si>
  <si>
    <t>CZMD</t>
  </si>
  <si>
    <t>Muskrat Dam Airport</t>
  </si>
  <si>
    <t>MSE</t>
  </si>
  <si>
    <t>EGMH</t>
  </si>
  <si>
    <t>Kent International Airport</t>
  </si>
  <si>
    <t>GMSH</t>
  </si>
  <si>
    <t>MSH</t>
  </si>
  <si>
    <t>OOMA</t>
  </si>
  <si>
    <t>Masirah Air Base</t>
  </si>
  <si>
    <t>MSJ</t>
  </si>
  <si>
    <t>RJSM</t>
  </si>
  <si>
    <t>Misawa Airport</t>
  </si>
  <si>
    <t>MSL</t>
  </si>
  <si>
    <t>KMSL</t>
  </si>
  <si>
    <t>Northwest Alabama Regional Airport</t>
  </si>
  <si>
    <t>MSM</t>
  </si>
  <si>
    <t>FZCV</t>
  </si>
  <si>
    <t>Masi Manimba Airport</t>
  </si>
  <si>
    <t>MSN</t>
  </si>
  <si>
    <t>KMSN</t>
  </si>
  <si>
    <t>Dane County Regional Airport (Truax Field)</t>
  </si>
  <si>
    <t>MSO</t>
  </si>
  <si>
    <t>KMSO</t>
  </si>
  <si>
    <t>Missoula International Airport</t>
  </si>
  <si>
    <t>MSP</t>
  </si>
  <si>
    <t>KMSP</t>
  </si>
  <si>
    <t>Minneapolis-Saint Paul International Airport</t>
  </si>
  <si>
    <t>MSQ</t>
  </si>
  <si>
    <t>UMMS</t>
  </si>
  <si>
    <t>Minsk International Airport (Minsk-2)</t>
  </si>
  <si>
    <t>LTCK</t>
  </si>
  <si>
    <t>Mus Airport</t>
  </si>
  <si>
    <t>MSR</t>
  </si>
  <si>
    <t>MuÅŸ Airport</t>
  </si>
  <si>
    <t>MSS</t>
  </si>
  <si>
    <t>KMSS</t>
  </si>
  <si>
    <t>Massena International Airport (Richards Field)</t>
  </si>
  <si>
    <t>MST</t>
  </si>
  <si>
    <t>EHBK</t>
  </si>
  <si>
    <t>Maastricht Aachen Airport</t>
  </si>
  <si>
    <t>MSU</t>
  </si>
  <si>
    <t>FXMM</t>
  </si>
  <si>
    <t>Moshoeshoe I International Airport</t>
  </si>
  <si>
    <t>MSV</t>
  </si>
  <si>
    <t>KMSV</t>
  </si>
  <si>
    <t>Sullivan County International Airport</t>
  </si>
  <si>
    <t>MSW</t>
  </si>
  <si>
    <t>HHMS</t>
  </si>
  <si>
    <t>Massawa International Airport</t>
  </si>
  <si>
    <t>MSX</t>
  </si>
  <si>
    <t>FCMM</t>
  </si>
  <si>
    <t>Mossendjo Airport</t>
  </si>
  <si>
    <t>MSY</t>
  </si>
  <si>
    <t>KMSY</t>
  </si>
  <si>
    <t>Louis Armstrong New Orleans International Airport</t>
  </si>
  <si>
    <t>MSZ</t>
  </si>
  <si>
    <t>FNMO</t>
  </si>
  <si>
    <t>Namibe Airport</t>
  </si>
  <si>
    <t>MTA</t>
  </si>
  <si>
    <t>NZMA</t>
  </si>
  <si>
    <t>Matamata Glider Airport</t>
  </si>
  <si>
    <t>MTB</t>
  </si>
  <si>
    <t>SKML</t>
  </si>
  <si>
    <t>Montelibano Airport</t>
  </si>
  <si>
    <t>MTC</t>
  </si>
  <si>
    <t>KMTC</t>
  </si>
  <si>
    <t>Selfridge Air National Guard Base</t>
  </si>
  <si>
    <t>MTD</t>
  </si>
  <si>
    <t>YMSF</t>
  </si>
  <si>
    <t>Mount Sanford Station Airport</t>
  </si>
  <si>
    <t>MTE</t>
  </si>
  <si>
    <t>SNMA</t>
  </si>
  <si>
    <t>Monte Alegre Airport</t>
  </si>
  <si>
    <t>MTF</t>
  </si>
  <si>
    <t>HAMT</t>
  </si>
  <si>
    <t>Mizan Teferi Airport</t>
  </si>
  <si>
    <t>MTH</t>
  </si>
  <si>
    <t>KMTH</t>
  </si>
  <si>
    <t>Florida Keys Marathon Airport</t>
  </si>
  <si>
    <t>MTI</t>
  </si>
  <si>
    <t>GVMT</t>
  </si>
  <si>
    <t>Mosteiros Airport</t>
  </si>
  <si>
    <t>MTJ</t>
  </si>
  <si>
    <t>KMTJ</t>
  </si>
  <si>
    <t>Montrose Regional Airport</t>
  </si>
  <si>
    <t>MTK</t>
  </si>
  <si>
    <t>NGMN</t>
  </si>
  <si>
    <t>Makin Island Airport</t>
  </si>
  <si>
    <t>MTL</t>
  </si>
  <si>
    <t>YMND</t>
  </si>
  <si>
    <t>Maitland Airport</t>
  </si>
  <si>
    <t>MTM</t>
  </si>
  <si>
    <t>PAMM</t>
  </si>
  <si>
    <t>Metlakatla Seaplane Base</t>
  </si>
  <si>
    <t>MTN</t>
  </si>
  <si>
    <t>KMTN</t>
  </si>
  <si>
    <t>Martin State Airport</t>
  </si>
  <si>
    <t>MTO</t>
  </si>
  <si>
    <t>KMTO</t>
  </si>
  <si>
    <t>Coles County Memorial Airport</t>
  </si>
  <si>
    <t>MTP</t>
  </si>
  <si>
    <t>KMTP</t>
  </si>
  <si>
    <t>Montauk Airport</t>
  </si>
  <si>
    <t>MTQ</t>
  </si>
  <si>
    <t>YMIT</t>
  </si>
  <si>
    <t>Mitchell Airport</t>
  </si>
  <si>
    <t>MTR</t>
  </si>
  <si>
    <t>SKMR</t>
  </si>
  <si>
    <t>Los Garzones Airport</t>
  </si>
  <si>
    <t>MTS</t>
  </si>
  <si>
    <t>FDMS</t>
  </si>
  <si>
    <t>Matsapha Airport</t>
  </si>
  <si>
    <t>MTT</t>
  </si>
  <si>
    <t>MMMT</t>
  </si>
  <si>
    <t>Minatitlán/Coatzacoalcos National Airport</t>
  </si>
  <si>
    <t>MTV</t>
  </si>
  <si>
    <t>KMTV</t>
  </si>
  <si>
    <t>Blue Ridge Airport</t>
  </si>
  <si>
    <t>NVSA</t>
  </si>
  <si>
    <t>Mota Lava Airport</t>
  </si>
  <si>
    <t>WAOM</t>
  </si>
  <si>
    <t>Beringin Airport</t>
  </si>
  <si>
    <t>KMTW</t>
  </si>
  <si>
    <t>Manitowoc County Airport</t>
  </si>
  <si>
    <t>MTY</t>
  </si>
  <si>
    <t>MMMY</t>
  </si>
  <si>
    <t>General Mariano Escobedo International Airport</t>
  </si>
  <si>
    <t>MTZ</t>
  </si>
  <si>
    <t>LLMZ</t>
  </si>
  <si>
    <t>Bar Yehuda Airfield</t>
  </si>
  <si>
    <t>MUA</t>
  </si>
  <si>
    <t>AGGM</t>
  </si>
  <si>
    <t>Munda Airport</t>
  </si>
  <si>
    <t>MUB</t>
  </si>
  <si>
    <t>FBMN</t>
  </si>
  <si>
    <t>Maun Airport</t>
  </si>
  <si>
    <t>MUC</t>
  </si>
  <si>
    <t>EDDM</t>
  </si>
  <si>
    <t>Munich Airport</t>
  </si>
  <si>
    <t>MUD</t>
  </si>
  <si>
    <t>FQMD</t>
  </si>
  <si>
    <t>Mueda Airport</t>
  </si>
  <si>
    <t>MUE</t>
  </si>
  <si>
    <t>PHMU</t>
  </si>
  <si>
    <t>Waimea-Kohala Airport</t>
  </si>
  <si>
    <t>MUG</t>
  </si>
  <si>
    <t>MMMG</t>
  </si>
  <si>
    <t>Mulege Airport</t>
  </si>
  <si>
    <t>MUH</t>
  </si>
  <si>
    <t>HEMM</t>
  </si>
  <si>
    <t>Mersa Matruh Airport</t>
  </si>
  <si>
    <t>MUI</t>
  </si>
  <si>
    <t>KMUI</t>
  </si>
  <si>
    <t>Muir Army Airfield</t>
  </si>
  <si>
    <t>MUK</t>
  </si>
  <si>
    <t>NCMK</t>
  </si>
  <si>
    <t>Mauke Airport</t>
  </si>
  <si>
    <t>MUL</t>
  </si>
  <si>
    <t>KMUL</t>
  </si>
  <si>
    <t>Spence Airport</t>
  </si>
  <si>
    <t>MUN</t>
  </si>
  <si>
    <t>SVMT</t>
  </si>
  <si>
    <t>Maturín Airport</t>
  </si>
  <si>
    <t>MUO</t>
  </si>
  <si>
    <t>KMUO</t>
  </si>
  <si>
    <t>Mountain Home Air Force Base</t>
  </si>
  <si>
    <t>MUQ</t>
  </si>
  <si>
    <t>YMUC</t>
  </si>
  <si>
    <t>Muccan Station Airport</t>
  </si>
  <si>
    <t>MUR</t>
  </si>
  <si>
    <t>WBGM</t>
  </si>
  <si>
    <t>Marudi Airport</t>
  </si>
  <si>
    <t>MUS</t>
  </si>
  <si>
    <t>RJAM</t>
  </si>
  <si>
    <t>Minami Torishima Airport</t>
  </si>
  <si>
    <t>MUT</t>
  </si>
  <si>
    <t>KMUT</t>
  </si>
  <si>
    <t>Muscatine Municipal Airport</t>
  </si>
  <si>
    <t>MUW</t>
  </si>
  <si>
    <t>DAOV</t>
  </si>
  <si>
    <t>Ghriss Airport</t>
  </si>
  <si>
    <t>MUX</t>
  </si>
  <si>
    <t>OPMT</t>
  </si>
  <si>
    <t>Multan International Airport</t>
  </si>
  <si>
    <t>MUY</t>
  </si>
  <si>
    <t>FCBM</t>
  </si>
  <si>
    <t>Mouyondzi Airport</t>
  </si>
  <si>
    <t>MUZ</t>
  </si>
  <si>
    <t>HTMU</t>
  </si>
  <si>
    <t>Musoma Airport</t>
  </si>
  <si>
    <t>MVA</t>
  </si>
  <si>
    <t>BIRL</t>
  </si>
  <si>
    <t>Reykjahlíð Airport</t>
  </si>
  <si>
    <t>MVB</t>
  </si>
  <si>
    <t>FOON</t>
  </si>
  <si>
    <t>M'Vengue El Hadj Omar Bongo Ondimba International Airport</t>
  </si>
  <si>
    <t>MVC</t>
  </si>
  <si>
    <t>KMVC</t>
  </si>
  <si>
    <t>MVD</t>
  </si>
  <si>
    <t>SUMU</t>
  </si>
  <si>
    <t>Carrasco International Airport</t>
  </si>
  <si>
    <t>MVE</t>
  </si>
  <si>
    <t>KMVE</t>
  </si>
  <si>
    <t>Montevideo-Chippewa County Airport</t>
  </si>
  <si>
    <t>MVF</t>
  </si>
  <si>
    <t>SBMS</t>
  </si>
  <si>
    <t>Dix-Sept Rosado Airport</t>
  </si>
  <si>
    <t>MVI</t>
  </si>
  <si>
    <t>KMVI</t>
  </si>
  <si>
    <t>Monte Vista Municipal Airport</t>
  </si>
  <si>
    <t>MVK</t>
  </si>
  <si>
    <t>YMUK</t>
  </si>
  <si>
    <t>Mulka Airport</t>
  </si>
  <si>
    <t>MVL</t>
  </si>
  <si>
    <t>KMVL</t>
  </si>
  <si>
    <t>Morrisville-Stowe State Airport</t>
  </si>
  <si>
    <t>MVM</t>
  </si>
  <si>
    <t>KMVM</t>
  </si>
  <si>
    <t>Machias Valley Airport</t>
  </si>
  <si>
    <t>MVN</t>
  </si>
  <si>
    <t>KMVN</t>
  </si>
  <si>
    <t>Mount Vernon Airport</t>
  </si>
  <si>
    <t>MVO</t>
  </si>
  <si>
    <t>FTTM</t>
  </si>
  <si>
    <t>Mongo Airport</t>
  </si>
  <si>
    <t>MVP</t>
  </si>
  <si>
    <t>SKMU</t>
  </si>
  <si>
    <t>Fabio Alberto Leon Bentley Airport</t>
  </si>
  <si>
    <t>MVQ</t>
  </si>
  <si>
    <t>UMOO</t>
  </si>
  <si>
    <t>Mogilev Airport</t>
  </si>
  <si>
    <t>MVR</t>
  </si>
  <si>
    <t>FKKL</t>
  </si>
  <si>
    <t>Salak Airport</t>
  </si>
  <si>
    <t>MVS</t>
  </si>
  <si>
    <t>SNMU</t>
  </si>
  <si>
    <t>Mucuri Airport</t>
  </si>
  <si>
    <t>MVT</t>
  </si>
  <si>
    <t>NTGV</t>
  </si>
  <si>
    <t>Mataiva Airport</t>
  </si>
  <si>
    <t>MVV</t>
  </si>
  <si>
    <t>LFHM</t>
  </si>
  <si>
    <t>Megève Airport</t>
  </si>
  <si>
    <t>MVX</t>
  </si>
  <si>
    <t>FOGV</t>
  </si>
  <si>
    <t>Minvoul Airport</t>
  </si>
  <si>
    <t>MVY</t>
  </si>
  <si>
    <t>KMVY</t>
  </si>
  <si>
    <t>Martha's Vineyard Airport</t>
  </si>
  <si>
    <t>MVZ</t>
  </si>
  <si>
    <t>FVMV</t>
  </si>
  <si>
    <t>Masvingo International Airport</t>
  </si>
  <si>
    <t>MWA</t>
  </si>
  <si>
    <t>KMWA</t>
  </si>
  <si>
    <t>Williamson County Regional Airport</t>
  </si>
  <si>
    <t>MWB</t>
  </si>
  <si>
    <t>YMRW</t>
  </si>
  <si>
    <t>Morawa Airport</t>
  </si>
  <si>
    <t>MWC</t>
  </si>
  <si>
    <t>KMWC</t>
  </si>
  <si>
    <t>Lawrence J. Timmerman Airport</t>
  </si>
  <si>
    <t>MWD</t>
  </si>
  <si>
    <t>OPMI</t>
  </si>
  <si>
    <t>Mianwali Air Base</t>
  </si>
  <si>
    <t>MWE</t>
  </si>
  <si>
    <t>HSMR</t>
  </si>
  <si>
    <t>Merowe Airport</t>
  </si>
  <si>
    <t>MWF</t>
  </si>
  <si>
    <t>NVSN</t>
  </si>
  <si>
    <t>Naone Airport</t>
  </si>
  <si>
    <t>MWH</t>
  </si>
  <si>
    <t>KMWH</t>
  </si>
  <si>
    <t>Grant County International Airport</t>
  </si>
  <si>
    <t>MWK</t>
  </si>
  <si>
    <t>WIOM</t>
  </si>
  <si>
    <t>Tarempa Airport</t>
  </si>
  <si>
    <t>KMWK</t>
  </si>
  <si>
    <t>Mount Airy/Surry County Airport</t>
  </si>
  <si>
    <t>MWL</t>
  </si>
  <si>
    <t>KMWL</t>
  </si>
  <si>
    <t>Mineral Wells Airport</t>
  </si>
  <si>
    <t>MWM</t>
  </si>
  <si>
    <t>KMWM</t>
  </si>
  <si>
    <t>Windom Municipal Airport</t>
  </si>
  <si>
    <t>MWN</t>
  </si>
  <si>
    <t>HTMD</t>
  </si>
  <si>
    <t>Mwadui Airport</t>
  </si>
  <si>
    <t>MWO</t>
  </si>
  <si>
    <t>KMWO</t>
  </si>
  <si>
    <t>Hook Field Municipal Airport</t>
  </si>
  <si>
    <t>MWQ</t>
  </si>
  <si>
    <t>VYMW</t>
  </si>
  <si>
    <t>Magway Airport</t>
  </si>
  <si>
    <t>MWZ</t>
  </si>
  <si>
    <t>HTMW</t>
  </si>
  <si>
    <t>Mwanza Airport</t>
  </si>
  <si>
    <t>MXA</t>
  </si>
  <si>
    <t>KMXA</t>
  </si>
  <si>
    <t>Manila Municipal Airport</t>
  </si>
  <si>
    <t>MXB</t>
  </si>
  <si>
    <t>WAWM</t>
  </si>
  <si>
    <t>Andi Jemma Airport</t>
  </si>
  <si>
    <t>MXD</t>
  </si>
  <si>
    <t>YMWX</t>
  </si>
  <si>
    <t>Marion Downs Airport</t>
  </si>
  <si>
    <t>MXF</t>
  </si>
  <si>
    <t>KMXF</t>
  </si>
  <si>
    <t>Maxwell Air Force Base</t>
  </si>
  <si>
    <t>MXH</t>
  </si>
  <si>
    <t>AYMR</t>
  </si>
  <si>
    <t>Moro Airport</t>
  </si>
  <si>
    <t>MXI</t>
  </si>
  <si>
    <t>RPMQ</t>
  </si>
  <si>
    <t>Mati National Airport</t>
  </si>
  <si>
    <t>MXJ</t>
  </si>
  <si>
    <t>DNMN</t>
  </si>
  <si>
    <t>Minna Airport</t>
  </si>
  <si>
    <t>MXL</t>
  </si>
  <si>
    <t>MMML</t>
  </si>
  <si>
    <t>General Rodolfo Sánchez Taboada International Airport</t>
  </si>
  <si>
    <t>MXM</t>
  </si>
  <si>
    <t>FMSR</t>
  </si>
  <si>
    <t>Morombe Airport</t>
  </si>
  <si>
    <t>MXN</t>
  </si>
  <si>
    <t>LFRU</t>
  </si>
  <si>
    <t>Morlaix-Ploujean Airport</t>
  </si>
  <si>
    <t>MXO</t>
  </si>
  <si>
    <t>KMXO</t>
  </si>
  <si>
    <t>Monticello Regional Airport</t>
  </si>
  <si>
    <t>MXP</t>
  </si>
  <si>
    <t>LIMC</t>
  </si>
  <si>
    <t>Malpensa International Airport</t>
  </si>
  <si>
    <t>MXS</t>
  </si>
  <si>
    <t>NSMA</t>
  </si>
  <si>
    <t>Maota Airport</t>
  </si>
  <si>
    <t>MXT</t>
  </si>
  <si>
    <t>FMMO</t>
  </si>
  <si>
    <t>Maintirano Airport</t>
  </si>
  <si>
    <t>MXU</t>
  </si>
  <si>
    <t>YMWA</t>
  </si>
  <si>
    <t>Mullewa Airport</t>
  </si>
  <si>
    <t>MXV</t>
  </si>
  <si>
    <t>ZMMN</t>
  </si>
  <si>
    <t>Mörön Airport</t>
  </si>
  <si>
    <t>MXW</t>
  </si>
  <si>
    <t>ZMMG</t>
  </si>
  <si>
    <t>Mandalgovi Airport</t>
  </si>
  <si>
    <t>MXX</t>
  </si>
  <si>
    <t>ESKM</t>
  </si>
  <si>
    <t>Mora Airport</t>
  </si>
  <si>
    <t>MXZ</t>
  </si>
  <si>
    <t>ZGMX</t>
  </si>
  <si>
    <t>Meixian Airport</t>
  </si>
  <si>
    <t>MYA</t>
  </si>
  <si>
    <t>YMRY</t>
  </si>
  <si>
    <t>Moruya Airport</t>
  </si>
  <si>
    <t>MYB</t>
  </si>
  <si>
    <t>FOOY</t>
  </si>
  <si>
    <t>Mayumba Airport</t>
  </si>
  <si>
    <t>MYC</t>
  </si>
  <si>
    <t>SVBS</t>
  </si>
  <si>
    <t>Escuela Mariscal Sucre Airport</t>
  </si>
  <si>
    <t>MYD</t>
  </si>
  <si>
    <t>HKML</t>
  </si>
  <si>
    <t>Malindi Airport</t>
  </si>
  <si>
    <t>MYE</t>
  </si>
  <si>
    <t>RJTQ</t>
  </si>
  <si>
    <t>Miyakejima Airport</t>
  </si>
  <si>
    <t>MYF</t>
  </si>
  <si>
    <t>KMYF</t>
  </si>
  <si>
    <t>Montgomery Field</t>
  </si>
  <si>
    <t>MYG</t>
  </si>
  <si>
    <t>MYMM</t>
  </si>
  <si>
    <t>Mayaguana Airport</t>
  </si>
  <si>
    <t>MYI</t>
  </si>
  <si>
    <t>YMUI</t>
  </si>
  <si>
    <t>Murray Island Airport</t>
  </si>
  <si>
    <t>MYJ</t>
  </si>
  <si>
    <t>RJOM</t>
  </si>
  <si>
    <t>Matsuyama Airport</t>
  </si>
  <si>
    <t>MYL</t>
  </si>
  <si>
    <t>KMYL</t>
  </si>
  <si>
    <t>McCall Municipal Airport</t>
  </si>
  <si>
    <t>MYM</t>
  </si>
  <si>
    <t>SYMM</t>
  </si>
  <si>
    <t>Monkey Mountain Airport</t>
  </si>
  <si>
    <t>MYN</t>
  </si>
  <si>
    <t>OYMB</t>
  </si>
  <si>
    <t>Mareb Airport</t>
  </si>
  <si>
    <t>MYP</t>
  </si>
  <si>
    <t>UTAM</t>
  </si>
  <si>
    <t>Mary Airport</t>
  </si>
  <si>
    <t>MYQ</t>
  </si>
  <si>
    <t>VOMY</t>
  </si>
  <si>
    <t>Mysore Airport</t>
  </si>
  <si>
    <t>MYR</t>
  </si>
  <si>
    <t>KMYR</t>
  </si>
  <si>
    <t>Myrtle Beach International Airport</t>
  </si>
  <si>
    <t>MYT</t>
  </si>
  <si>
    <t>VYMK</t>
  </si>
  <si>
    <t>Myitkyina Airport</t>
  </si>
  <si>
    <t>MYU</t>
  </si>
  <si>
    <t>PAMY</t>
  </si>
  <si>
    <t>Mekoryuk Airport</t>
  </si>
  <si>
    <t>MYV</t>
  </si>
  <si>
    <t>KMYV</t>
  </si>
  <si>
    <t>Yuba County Airport</t>
  </si>
  <si>
    <t>MYW</t>
  </si>
  <si>
    <t>HTMT</t>
  </si>
  <si>
    <t>Mtwara Airport</t>
  </si>
  <si>
    <t>MYY</t>
  </si>
  <si>
    <t>WBGR</t>
  </si>
  <si>
    <t>Miri Airport</t>
  </si>
  <si>
    <t>MYZ</t>
  </si>
  <si>
    <t>FWMY</t>
  </si>
  <si>
    <t>Monkey Bay Airport</t>
  </si>
  <si>
    <t>KMYZ</t>
  </si>
  <si>
    <t>Marysville Municipal Airport</t>
  </si>
  <si>
    <t>MZB</t>
  </si>
  <si>
    <t>FQMP</t>
  </si>
  <si>
    <t>Moçimboa da Praia Airport</t>
  </si>
  <si>
    <t>MZC</t>
  </si>
  <si>
    <t>FOOM</t>
  </si>
  <si>
    <t>Mitzic Airport</t>
  </si>
  <si>
    <t>MZG</t>
  </si>
  <si>
    <t>RCQC</t>
  </si>
  <si>
    <t>Penghu Airport</t>
  </si>
  <si>
    <t>MZH</t>
  </si>
  <si>
    <t>LTAP</t>
  </si>
  <si>
    <t>Merzifon Airport</t>
  </si>
  <si>
    <t>KMZH</t>
  </si>
  <si>
    <t>Moose Lake Carlton County Airport</t>
  </si>
  <si>
    <t>MZI</t>
  </si>
  <si>
    <t>GAMB</t>
  </si>
  <si>
    <t>Ambodedjo Airport</t>
  </si>
  <si>
    <t>MZJ</t>
  </si>
  <si>
    <t>KMZJ</t>
  </si>
  <si>
    <t>Pinal Airpark</t>
  </si>
  <si>
    <t>MZK</t>
  </si>
  <si>
    <t>NGMK</t>
  </si>
  <si>
    <t>Marakei Airport</t>
  </si>
  <si>
    <t>MZL</t>
  </si>
  <si>
    <t>SKMZ</t>
  </si>
  <si>
    <t>La Nubia Airport</t>
  </si>
  <si>
    <t>MZM</t>
  </si>
  <si>
    <t>LFSF</t>
  </si>
  <si>
    <t>Metz-Frescaty (BA 128) Air Base</t>
  </si>
  <si>
    <t>MZO</t>
  </si>
  <si>
    <t>MUMZ</t>
  </si>
  <si>
    <t>Sierra Maestra Airport</t>
  </si>
  <si>
    <t>MZP</t>
  </si>
  <si>
    <t>NZMK</t>
  </si>
  <si>
    <t>Motueka Airport</t>
  </si>
  <si>
    <t>MZQ</t>
  </si>
  <si>
    <t>FAMU</t>
  </si>
  <si>
    <t>Mkuze Airport</t>
  </si>
  <si>
    <t>MZR</t>
  </si>
  <si>
    <t>OAMS</t>
  </si>
  <si>
    <t>Mazari Sharif Airport</t>
  </si>
  <si>
    <t>MZT</t>
  </si>
  <si>
    <t>MMMZ</t>
  </si>
  <si>
    <t>General Rafael Buelna International Airport</t>
  </si>
  <si>
    <t>MZU</t>
  </si>
  <si>
    <t>VEMZ</t>
  </si>
  <si>
    <t>Muzzafarpur Airport</t>
  </si>
  <si>
    <t>MZV</t>
  </si>
  <si>
    <t>WBMU</t>
  </si>
  <si>
    <t>Mulu Airport</t>
  </si>
  <si>
    <t>MZW</t>
  </si>
  <si>
    <t>DAAY</t>
  </si>
  <si>
    <t>Mecheria Airport</t>
  </si>
  <si>
    <t>MZY</t>
  </si>
  <si>
    <t>FAMO</t>
  </si>
  <si>
    <t>Mossel Bay Airport</t>
  </si>
  <si>
    <t>MZZ</t>
  </si>
  <si>
    <t>KMZZ</t>
  </si>
  <si>
    <t>NAA</t>
  </si>
  <si>
    <t>YNBR</t>
  </si>
  <si>
    <t>Narrabri Airport</t>
  </si>
  <si>
    <t>NAC</t>
  </si>
  <si>
    <t>YNRC</t>
  </si>
  <si>
    <t>Naracoorte Airport</t>
  </si>
  <si>
    <t>NAE</t>
  </si>
  <si>
    <t>DBBN</t>
  </si>
  <si>
    <t>Natitingou Airport</t>
  </si>
  <si>
    <t>NAG</t>
  </si>
  <si>
    <t>VANP</t>
  </si>
  <si>
    <t>Dr. Babasaheb Ambedkar International Airport</t>
  </si>
  <si>
    <t>NAH</t>
  </si>
  <si>
    <t>WAMH</t>
  </si>
  <si>
    <t>Naha Airport</t>
  </si>
  <si>
    <t>NAI</t>
  </si>
  <si>
    <t>SYAN</t>
  </si>
  <si>
    <t>Annai Airport</t>
  </si>
  <si>
    <t>NAJ</t>
  </si>
  <si>
    <t>UBBN</t>
  </si>
  <si>
    <t>Nakhchivan Airport</t>
  </si>
  <si>
    <t>NAK</t>
  </si>
  <si>
    <t>VTUQ</t>
  </si>
  <si>
    <t>Nakhon Ratchasima Airport</t>
  </si>
  <si>
    <t>NAL</t>
  </si>
  <si>
    <t>URMN</t>
  </si>
  <si>
    <t>Nalchik Airport</t>
  </si>
  <si>
    <t>NAM</t>
  </si>
  <si>
    <t>WAPR</t>
  </si>
  <si>
    <t>Namlea Airport</t>
  </si>
  <si>
    <t>NAN</t>
  </si>
  <si>
    <t>NFFN</t>
  </si>
  <si>
    <t>Nadi International Airport</t>
  </si>
  <si>
    <t>NAO</t>
  </si>
  <si>
    <t>ZUNC</t>
  </si>
  <si>
    <t>Nanchong Airport</t>
  </si>
  <si>
    <t>NAP</t>
  </si>
  <si>
    <t>LIRN</t>
  </si>
  <si>
    <t>Naples International Airport</t>
  </si>
  <si>
    <t>NAQ</t>
  </si>
  <si>
    <t>BGQQ</t>
  </si>
  <si>
    <t>Qaanaaq Airport</t>
  </si>
  <si>
    <t>NAR</t>
  </si>
  <si>
    <t>SKPN</t>
  </si>
  <si>
    <t>Puerto Nare Airport</t>
  </si>
  <si>
    <t>NAS</t>
  </si>
  <si>
    <t>MYNN</t>
  </si>
  <si>
    <t>Nassau International Airport</t>
  </si>
  <si>
    <t>NAT</t>
  </si>
  <si>
    <t>SBNT</t>
  </si>
  <si>
    <t>Augusto Severo International Airport</t>
  </si>
  <si>
    <t>NAU</t>
  </si>
  <si>
    <t>NTGN</t>
  </si>
  <si>
    <t>Napuka Island Airport</t>
  </si>
  <si>
    <t>NAV</t>
  </si>
  <si>
    <t>LTAZ</t>
  </si>
  <si>
    <t>Kapadokya Airport</t>
  </si>
  <si>
    <t>NAW</t>
  </si>
  <si>
    <t>VTSC</t>
  </si>
  <si>
    <t>Narathiwat Airport</t>
  </si>
  <si>
    <t>NAY</t>
  </si>
  <si>
    <t>ZBNY</t>
  </si>
  <si>
    <t>Nanyuan Airport</t>
  </si>
  <si>
    <t>NBC</t>
  </si>
  <si>
    <t>UWKE</t>
  </si>
  <si>
    <t>Begishevo Airport</t>
  </si>
  <si>
    <t>NBE</t>
  </si>
  <si>
    <t>DNTZ</t>
  </si>
  <si>
    <t>Enfidha Zine El Abidine Ben Ali International Airport</t>
  </si>
  <si>
    <t>NBG</t>
  </si>
  <si>
    <t>KNBG</t>
  </si>
  <si>
    <t>NAS JRB New Orleans (Alvin Callender Field)</t>
  </si>
  <si>
    <t>NBH</t>
  </si>
  <si>
    <t>YNHS</t>
  </si>
  <si>
    <t>Nambucca Heads Airport</t>
  </si>
  <si>
    <t>NBJ</t>
  </si>
  <si>
    <t>KNBJ</t>
  </si>
  <si>
    <t>NOLF Barin</t>
  </si>
  <si>
    <t>NBL</t>
  </si>
  <si>
    <t>MPWN</t>
  </si>
  <si>
    <t>San Blas Airport</t>
  </si>
  <si>
    <t>NBO</t>
  </si>
  <si>
    <t>HKJK</t>
  </si>
  <si>
    <t>Jomo Kenyatta International Airport</t>
  </si>
  <si>
    <t>NBW</t>
  </si>
  <si>
    <t>MUGM</t>
  </si>
  <si>
    <t>Leeward Point Field</t>
  </si>
  <si>
    <t>NBX</t>
  </si>
  <si>
    <t>WABI</t>
  </si>
  <si>
    <t>Nabire Airport</t>
  </si>
  <si>
    <t>NCA</t>
  </si>
  <si>
    <t>MBNC</t>
  </si>
  <si>
    <t>North Caicos Airport</t>
  </si>
  <si>
    <t>KNCA</t>
  </si>
  <si>
    <t>MCAS New River (McCutcheon Field)</t>
  </si>
  <si>
    <t>NCE</t>
  </si>
  <si>
    <t>LFMN</t>
  </si>
  <si>
    <t>Côte d'Azur International Airport</t>
  </si>
  <si>
    <t>NCG</t>
  </si>
  <si>
    <t>MMCG</t>
  </si>
  <si>
    <t>Nuevo Casas Grandes Airport</t>
  </si>
  <si>
    <t>NCH</t>
  </si>
  <si>
    <t>HTNA</t>
  </si>
  <si>
    <t>Nachingwea Airport</t>
  </si>
  <si>
    <t>NCI</t>
  </si>
  <si>
    <t>SKNC</t>
  </si>
  <si>
    <t>Necocli Airport</t>
  </si>
  <si>
    <t>NCJ</t>
  </si>
  <si>
    <t>SAFS</t>
  </si>
  <si>
    <t>Sunchales Aeroclub Airport</t>
  </si>
  <si>
    <t>NCL</t>
  </si>
  <si>
    <t>EGNT</t>
  </si>
  <si>
    <t>Newcastle International Airport</t>
  </si>
  <si>
    <t>NCR</t>
  </si>
  <si>
    <t>MNSC</t>
  </si>
  <si>
    <t>San Carlos</t>
  </si>
  <si>
    <t>NCS</t>
  </si>
  <si>
    <t>FANC</t>
  </si>
  <si>
    <t>Newcastle Airport</t>
  </si>
  <si>
    <t>NCT</t>
  </si>
  <si>
    <t>MRNC</t>
  </si>
  <si>
    <t>Guanacaste Airport</t>
  </si>
  <si>
    <t>NCU</t>
  </si>
  <si>
    <t>UTNN</t>
  </si>
  <si>
    <t>Nukus Airport</t>
  </si>
  <si>
    <t>NCY</t>
  </si>
  <si>
    <t>LFLP</t>
  </si>
  <si>
    <t>Meythet Airport</t>
  </si>
  <si>
    <t>NDB</t>
  </si>
  <si>
    <t>GQPP</t>
  </si>
  <si>
    <t>Nouadhibou International Airport</t>
  </si>
  <si>
    <t>NDC</t>
  </si>
  <si>
    <t>VAND</t>
  </si>
  <si>
    <t>Nanded Airport</t>
  </si>
  <si>
    <t>NDD</t>
  </si>
  <si>
    <t>FNSU</t>
  </si>
  <si>
    <t>Sumbe Airport</t>
  </si>
  <si>
    <t>NDE</t>
  </si>
  <si>
    <t>HKMA</t>
  </si>
  <si>
    <t>Mandera Airport</t>
  </si>
  <si>
    <t>NDG</t>
  </si>
  <si>
    <t>ZYQQ</t>
  </si>
  <si>
    <t>Qiqihar Sanjiazi Airport</t>
  </si>
  <si>
    <t>NDJ</t>
  </si>
  <si>
    <t>FTTJ</t>
  </si>
  <si>
    <t>N'Djamena Airport</t>
  </si>
  <si>
    <t>NDL</t>
  </si>
  <si>
    <t>FEFN</t>
  </si>
  <si>
    <t>N'Délé Airport</t>
  </si>
  <si>
    <t>NDM</t>
  </si>
  <si>
    <t>HAMN</t>
  </si>
  <si>
    <t>NDR</t>
  </si>
  <si>
    <t>GMMW</t>
  </si>
  <si>
    <t>Arwi Airport</t>
  </si>
  <si>
    <t>NDS</t>
  </si>
  <si>
    <t>YSAN</t>
  </si>
  <si>
    <t>Sandstone Airport</t>
  </si>
  <si>
    <t>NDU</t>
  </si>
  <si>
    <t>FYRU</t>
  </si>
  <si>
    <t>Rundu Airport</t>
  </si>
  <si>
    <t>NDY</t>
  </si>
  <si>
    <t>EGES</t>
  </si>
  <si>
    <t>Sanday Airport</t>
  </si>
  <si>
    <t>NDZ</t>
  </si>
  <si>
    <t>ETMN</t>
  </si>
  <si>
    <t>Nordholz Airport</t>
  </si>
  <si>
    <t>NEC</t>
  </si>
  <si>
    <t>SAZO</t>
  </si>
  <si>
    <t>Necochea Airport</t>
  </si>
  <si>
    <t>NEF</t>
  </si>
  <si>
    <t>UWUF</t>
  </si>
  <si>
    <t>Neftekamsk Airport</t>
  </si>
  <si>
    <t>NEG</t>
  </si>
  <si>
    <t>MKNG</t>
  </si>
  <si>
    <t>Negril Aerodrome</t>
  </si>
  <si>
    <t>NEJ</t>
  </si>
  <si>
    <t>HANJ</t>
  </si>
  <si>
    <t>Nejjo Airport</t>
  </si>
  <si>
    <t>NEK</t>
  </si>
  <si>
    <t>HANK</t>
  </si>
  <si>
    <t>Nekemte Airport</t>
  </si>
  <si>
    <t>NEL</t>
  </si>
  <si>
    <t>KNEL</t>
  </si>
  <si>
    <t>NAES Lakehurst (Maxfield Field)</t>
  </si>
  <si>
    <t>NEN</t>
  </si>
  <si>
    <t>KNEN</t>
  </si>
  <si>
    <t>NOLF Whitehouse</t>
  </si>
  <si>
    <t>NER</t>
  </si>
  <si>
    <t>UELL</t>
  </si>
  <si>
    <t>Chulman Neryungri Airport</t>
  </si>
  <si>
    <t>NEU</t>
  </si>
  <si>
    <t>VLSN</t>
  </si>
  <si>
    <t>Sam Neua Airport</t>
  </si>
  <si>
    <t>NEV</t>
  </si>
  <si>
    <t>TKPN</t>
  </si>
  <si>
    <t>Vance W. Amory International Airport</t>
  </si>
  <si>
    <t>NEW</t>
  </si>
  <si>
    <t>KNEW</t>
  </si>
  <si>
    <t>Lakefront Airport</t>
  </si>
  <si>
    <t>NFD</t>
  </si>
  <si>
    <t>KNFD</t>
  </si>
  <si>
    <t>NOLF Summerdale</t>
  </si>
  <si>
    <t>NFE</t>
  </si>
  <si>
    <t>KNFE</t>
  </si>
  <si>
    <t>NALF Fentress</t>
  </si>
  <si>
    <t>NFG</t>
  </si>
  <si>
    <t>USRN</t>
  </si>
  <si>
    <t>Nefteyugansk Airport</t>
  </si>
  <si>
    <t>KNFG</t>
  </si>
  <si>
    <t>MCAS Camp Pendleton (Munn Field)</t>
  </si>
  <si>
    <t>NFJ</t>
  </si>
  <si>
    <t>KNFJ</t>
  </si>
  <si>
    <t>NOLF Choctaw</t>
  </si>
  <si>
    <t>NFL</t>
  </si>
  <si>
    <t>KNFL</t>
  </si>
  <si>
    <t>NAS Fallon (Van Voorhis Field)</t>
  </si>
  <si>
    <t>NFO</t>
  </si>
  <si>
    <t>NFTO</t>
  </si>
  <si>
    <t>Mata'aho Airport</t>
  </si>
  <si>
    <t>NFW</t>
  </si>
  <si>
    <t>KNFW</t>
  </si>
  <si>
    <t>NAS JRB Fort Worth (Carswell Field)</t>
  </si>
  <si>
    <t>NGA</t>
  </si>
  <si>
    <t>YYNG</t>
  </si>
  <si>
    <t>Young Airport</t>
  </si>
  <si>
    <t>NGB</t>
  </si>
  <si>
    <t>ZSNB</t>
  </si>
  <si>
    <t>Ningbo Lishe International Airport</t>
  </si>
  <si>
    <t>NGD</t>
  </si>
  <si>
    <t>TUPA</t>
  </si>
  <si>
    <t>Captain Auguste George Airport</t>
  </si>
  <si>
    <t>NGE</t>
  </si>
  <si>
    <t>FKKN</t>
  </si>
  <si>
    <t>N'Gaoundéré Airport</t>
  </si>
  <si>
    <t>NGI</t>
  </si>
  <si>
    <t>NFNG</t>
  </si>
  <si>
    <t>Ngau Airport</t>
  </si>
  <si>
    <t>NGL</t>
  </si>
  <si>
    <t>FANG</t>
  </si>
  <si>
    <t>Ngala Airport</t>
  </si>
  <si>
    <t>NGO</t>
  </si>
  <si>
    <t>RJGG</t>
  </si>
  <si>
    <t>Chubu Centrair International Airport</t>
  </si>
  <si>
    <t>NGP</t>
  </si>
  <si>
    <t>KNGP</t>
  </si>
  <si>
    <t>NAS Corpus Christi (Truax Field)</t>
  </si>
  <si>
    <t>NGQ</t>
  </si>
  <si>
    <t>ZUAL</t>
  </si>
  <si>
    <t>Ngari Gunsa Airport</t>
  </si>
  <si>
    <t>NGS</t>
  </si>
  <si>
    <t>RJFU</t>
  </si>
  <si>
    <t>Nagasaki Airport</t>
  </si>
  <si>
    <t>NGU</t>
  </si>
  <si>
    <t>KNGU</t>
  </si>
  <si>
    <t>NS Norfolk (Chambers Field)</t>
  </si>
  <si>
    <t>NGW</t>
  </si>
  <si>
    <t>KNGW</t>
  </si>
  <si>
    <t>NOLF Cabaniss</t>
  </si>
  <si>
    <t>NGX</t>
  </si>
  <si>
    <t>VNMA</t>
  </si>
  <si>
    <t>Manang Airport</t>
  </si>
  <si>
    <t>NHA</t>
  </si>
  <si>
    <t>VVNT</t>
  </si>
  <si>
    <t>Nha Trang Air Base</t>
  </si>
  <si>
    <t>NHD</t>
  </si>
  <si>
    <t>OMDM</t>
  </si>
  <si>
    <t>Al Minhad Air Base</t>
  </si>
  <si>
    <t>NHF</t>
  </si>
  <si>
    <t>HSNW</t>
  </si>
  <si>
    <t>New Halfa Airport</t>
  </si>
  <si>
    <t>NHK</t>
  </si>
  <si>
    <t>KNHK</t>
  </si>
  <si>
    <t>NAS Patuxent River (Trapnell Field)</t>
  </si>
  <si>
    <t>NHS</t>
  </si>
  <si>
    <t>OPNK</t>
  </si>
  <si>
    <t>Nushki Airport</t>
  </si>
  <si>
    <t>NHT</t>
  </si>
  <si>
    <t>EGWU</t>
  </si>
  <si>
    <t>RAF Northolt</t>
  </si>
  <si>
    <t>NHV</t>
  </si>
  <si>
    <t>NTMD</t>
  </si>
  <si>
    <t>Nuku Hiva Airport</t>
  </si>
  <si>
    <t>NHZ</t>
  </si>
  <si>
    <t>KNHZ</t>
  </si>
  <si>
    <t>NAS Brunswick</t>
  </si>
  <si>
    <t>NIA</t>
  </si>
  <si>
    <t>GLNA</t>
  </si>
  <si>
    <t>Nimba Airport</t>
  </si>
  <si>
    <t>NID</t>
  </si>
  <si>
    <t>KNID</t>
  </si>
  <si>
    <t>NAWS China Lake (Armitage Field)</t>
  </si>
  <si>
    <t>NIF</t>
  </si>
  <si>
    <t>YCNF</t>
  </si>
  <si>
    <t>Camp Nifty Airport</t>
  </si>
  <si>
    <t>NIG</t>
  </si>
  <si>
    <t>NGNU</t>
  </si>
  <si>
    <t>Nikunau Airport</t>
  </si>
  <si>
    <t>NIM</t>
  </si>
  <si>
    <t>DRRN</t>
  </si>
  <si>
    <t>Diori Hamani International Airport</t>
  </si>
  <si>
    <t>NIO</t>
  </si>
  <si>
    <t>FZBI</t>
  </si>
  <si>
    <t>Nioki Airport</t>
  </si>
  <si>
    <t>NIP</t>
  </si>
  <si>
    <t>KNIP</t>
  </si>
  <si>
    <t>NAS Jacksonville (Towers Field)</t>
  </si>
  <si>
    <t>NIT</t>
  </si>
  <si>
    <t>LFBN</t>
  </si>
  <si>
    <t>Niort-Souché Airport</t>
  </si>
  <si>
    <t>NIX</t>
  </si>
  <si>
    <t>GANR</t>
  </si>
  <si>
    <t>Nioro du Sahel Airport</t>
  </si>
  <si>
    <t>NJA</t>
  </si>
  <si>
    <t>RJTA</t>
  </si>
  <si>
    <t>Atsugi Naval Air Facility</t>
  </si>
  <si>
    <t>NJC</t>
  </si>
  <si>
    <t>USNN</t>
  </si>
  <si>
    <t>Nizhnevartovsk Airport</t>
  </si>
  <si>
    <t>NJK</t>
  </si>
  <si>
    <t>KNJK</t>
  </si>
  <si>
    <t>NAF El Centro</t>
  </si>
  <si>
    <t>NJM</t>
  </si>
  <si>
    <t>KNJM</t>
  </si>
  <si>
    <t>MCALF Bogue</t>
  </si>
  <si>
    <t>NJW</t>
  </si>
  <si>
    <t>KNJW</t>
  </si>
  <si>
    <t>NOLF Joe Williams</t>
  </si>
  <si>
    <t>NKC</t>
  </si>
  <si>
    <t>GQNN</t>
  </si>
  <si>
    <t>Nouakchott International Airport</t>
  </si>
  <si>
    <t>NKG</t>
  </si>
  <si>
    <t>ZSNJ</t>
  </si>
  <si>
    <t>Nanjing Lukou International Airport</t>
  </si>
  <si>
    <t>NKL</t>
  </si>
  <si>
    <t>FZAR</t>
  </si>
  <si>
    <t>Nkolo Fuma Airport</t>
  </si>
  <si>
    <t>NKM</t>
  </si>
  <si>
    <t>RJNA</t>
  </si>
  <si>
    <t>Nagoya Airfield</t>
  </si>
  <si>
    <t>NKS</t>
  </si>
  <si>
    <t>FKAN</t>
  </si>
  <si>
    <t>Nkongsamba Airport</t>
  </si>
  <si>
    <t>NKT</t>
  </si>
  <si>
    <t>KNKT</t>
  </si>
  <si>
    <t>MCAS Cherry Point (Cunningham Field)</t>
  </si>
  <si>
    <t>NKU</t>
  </si>
  <si>
    <t>FXNK</t>
  </si>
  <si>
    <t>Nkaus Airport</t>
  </si>
  <si>
    <t>NKW</t>
  </si>
  <si>
    <t>FJDG</t>
  </si>
  <si>
    <t>Diego Garcia Naval Support Facility</t>
  </si>
  <si>
    <t>NKX</t>
  </si>
  <si>
    <t>KNKX</t>
  </si>
  <si>
    <t>MCAS Miramar</t>
  </si>
  <si>
    <t>NKY</t>
  </si>
  <si>
    <t>FCBY</t>
  </si>
  <si>
    <t>Yokangassi Airport</t>
  </si>
  <si>
    <t>NLA</t>
  </si>
  <si>
    <t>FLND</t>
  </si>
  <si>
    <t>Ndola Airport</t>
  </si>
  <si>
    <t>NLC</t>
  </si>
  <si>
    <t>KNLC</t>
  </si>
  <si>
    <t>NAS Lemoore (Reeves Field)</t>
  </si>
  <si>
    <t>NLD</t>
  </si>
  <si>
    <t>MMNL</t>
  </si>
  <si>
    <t>Quetzalcóatl International Airport</t>
  </si>
  <si>
    <t>NLF</t>
  </si>
  <si>
    <t>YDNI</t>
  </si>
  <si>
    <t>Darnley Island Airport</t>
  </si>
  <si>
    <t>NLK</t>
  </si>
  <si>
    <t>YNSF</t>
  </si>
  <si>
    <t>Norfolk Island Airport</t>
  </si>
  <si>
    <t>YSNF</t>
  </si>
  <si>
    <t>Norfolk Island International Airport</t>
  </si>
  <si>
    <t>NLL</t>
  </si>
  <si>
    <t>YNUL</t>
  </si>
  <si>
    <t>Nullagine Airport</t>
  </si>
  <si>
    <t>NLO</t>
  </si>
  <si>
    <t>FZAB</t>
  </si>
  <si>
    <t>Ndolo Airport</t>
  </si>
  <si>
    <t>NLP</t>
  </si>
  <si>
    <t>FANS</t>
  </si>
  <si>
    <t>Nelspruit Airport</t>
  </si>
  <si>
    <t>NLS</t>
  </si>
  <si>
    <t>YNIC</t>
  </si>
  <si>
    <t>Nicholson Airport</t>
  </si>
  <si>
    <t>NLV</t>
  </si>
  <si>
    <t>UKON</t>
  </si>
  <si>
    <t>Mykolaiv International Airport</t>
  </si>
  <si>
    <t>NMA</t>
  </si>
  <si>
    <t>UTKN</t>
  </si>
  <si>
    <t>Namangan Airport</t>
  </si>
  <si>
    <t>NMB</t>
  </si>
  <si>
    <t>VADN</t>
  </si>
  <si>
    <t>Daman Airport</t>
  </si>
  <si>
    <t>NMC</t>
  </si>
  <si>
    <t>MYEN</t>
  </si>
  <si>
    <t>Normans Cay Airport</t>
  </si>
  <si>
    <t>NML</t>
  </si>
  <si>
    <t>CER4</t>
  </si>
  <si>
    <t>Fort McMurray / Mildred Lake Airport</t>
  </si>
  <si>
    <t>NMM</t>
  </si>
  <si>
    <t>KNMM</t>
  </si>
  <si>
    <t>NAS Meridian (McCain Field)</t>
  </si>
  <si>
    <t>NMR</t>
  </si>
  <si>
    <t>YNAP</t>
  </si>
  <si>
    <t>Nappa Merrie Airport</t>
  </si>
  <si>
    <t>NMS</t>
  </si>
  <si>
    <t>VYNS</t>
  </si>
  <si>
    <t>Namsang Airport</t>
  </si>
  <si>
    <t>NMT</t>
  </si>
  <si>
    <t>VYNT</t>
  </si>
  <si>
    <t>Namtu Airport</t>
  </si>
  <si>
    <t>NNA</t>
  </si>
  <si>
    <t>GMMY</t>
  </si>
  <si>
    <t>Kenitra Airport</t>
  </si>
  <si>
    <t>NNG</t>
  </si>
  <si>
    <t>ZGNN</t>
  </si>
  <si>
    <t>Nanning Wuxu Airport</t>
  </si>
  <si>
    <t>NNI</t>
  </si>
  <si>
    <t>FYNA</t>
  </si>
  <si>
    <t>Namutoni Airport</t>
  </si>
  <si>
    <t>NNM</t>
  </si>
  <si>
    <t>ULAM</t>
  </si>
  <si>
    <t>Naryan Mar Airport</t>
  </si>
  <si>
    <t>NNR</t>
  </si>
  <si>
    <t>EICA</t>
  </si>
  <si>
    <t>Connemara Regional Airport</t>
  </si>
  <si>
    <t>NNT</t>
  </si>
  <si>
    <t>VTCN</t>
  </si>
  <si>
    <t>Nan Airport</t>
  </si>
  <si>
    <t>NNU</t>
  </si>
  <si>
    <t>SNNU</t>
  </si>
  <si>
    <t>Nanuque Airport</t>
  </si>
  <si>
    <t>NNX</t>
  </si>
  <si>
    <t>WRLF</t>
  </si>
  <si>
    <t>Nunukan Airport</t>
  </si>
  <si>
    <t>NNY</t>
  </si>
  <si>
    <t>ZHNY</t>
  </si>
  <si>
    <t>Nanyang Airport</t>
  </si>
  <si>
    <t>NOA</t>
  </si>
  <si>
    <t>YSNW</t>
  </si>
  <si>
    <t>Nowra Airport</t>
  </si>
  <si>
    <t>NOC</t>
  </si>
  <si>
    <t>EIKN</t>
  </si>
  <si>
    <t>Knock International Airport</t>
  </si>
  <si>
    <t>NOD</t>
  </si>
  <si>
    <t>EDWS</t>
  </si>
  <si>
    <t>Norden-Norddeich Airport</t>
  </si>
  <si>
    <t>NOG</t>
  </si>
  <si>
    <t>MMNG</t>
  </si>
  <si>
    <t>Nogales International Airport</t>
  </si>
  <si>
    <t>KNOG</t>
  </si>
  <si>
    <t>NALF Orange Grove</t>
  </si>
  <si>
    <t>NOJ</t>
  </si>
  <si>
    <t>USRO</t>
  </si>
  <si>
    <t>Noyabrsk Airport</t>
  </si>
  <si>
    <t>NOK</t>
  </si>
  <si>
    <t>SWXV</t>
  </si>
  <si>
    <t>Xavantina Airport</t>
  </si>
  <si>
    <t>NOM</t>
  </si>
  <si>
    <t>MRNS</t>
  </si>
  <si>
    <t>Nosara Airport</t>
  </si>
  <si>
    <t>NON</t>
  </si>
  <si>
    <t>NGTO</t>
  </si>
  <si>
    <t>Nonouti Airport</t>
  </si>
  <si>
    <t>NOR</t>
  </si>
  <si>
    <t>BINF</t>
  </si>
  <si>
    <t>Norðfjörður Airport</t>
  </si>
  <si>
    <t>NOS</t>
  </si>
  <si>
    <t>FMNN</t>
  </si>
  <si>
    <t>Fascene Airport</t>
  </si>
  <si>
    <t>NOT</t>
  </si>
  <si>
    <t>KDVO</t>
  </si>
  <si>
    <t>Gnoss Field</t>
  </si>
  <si>
    <t>NOU</t>
  </si>
  <si>
    <t>NWWW</t>
  </si>
  <si>
    <t>La Tontouta International Airport</t>
  </si>
  <si>
    <t>NOV</t>
  </si>
  <si>
    <t>FNHU</t>
  </si>
  <si>
    <t>Nova Lisboa Airport</t>
  </si>
  <si>
    <t>NOW</t>
  </si>
  <si>
    <t>KNOW</t>
  </si>
  <si>
    <t>CGAS Port Angeles</t>
  </si>
  <si>
    <t>NOZ</t>
  </si>
  <si>
    <t>UNWW</t>
  </si>
  <si>
    <t>Novokuznetsk Spichenkovo Airport (Prokopyevsk Southeast)</t>
  </si>
  <si>
    <t>NPA</t>
  </si>
  <si>
    <t>KNPA</t>
  </si>
  <si>
    <t>NAS Pensacola (Forrest Sherman Field)</t>
  </si>
  <si>
    <t>NPE</t>
  </si>
  <si>
    <t>NZNR</t>
  </si>
  <si>
    <t>Napier Airport</t>
  </si>
  <si>
    <t>NPL</t>
  </si>
  <si>
    <t>NZNP</t>
  </si>
  <si>
    <t>New Plymouth Airport</t>
  </si>
  <si>
    <t>NPO</t>
  </si>
  <si>
    <t>WIOG</t>
  </si>
  <si>
    <t>Nanga Pinoh I Airport</t>
  </si>
  <si>
    <t>NQA</t>
  </si>
  <si>
    <t>KNQA</t>
  </si>
  <si>
    <t>Millington Regional Jetport</t>
  </si>
  <si>
    <t>NQI</t>
  </si>
  <si>
    <t>KNQI</t>
  </si>
  <si>
    <t>NAS Kingsville</t>
  </si>
  <si>
    <t>NQL</t>
  </si>
  <si>
    <t>SWNQ</t>
  </si>
  <si>
    <t>Niquelândia Airport</t>
  </si>
  <si>
    <t>NQN</t>
  </si>
  <si>
    <t>SAZN</t>
  </si>
  <si>
    <t>Presidente Perón International Airport</t>
  </si>
  <si>
    <t>NQT</t>
  </si>
  <si>
    <t>EGBN</t>
  </si>
  <si>
    <t>Nottingham Airport</t>
  </si>
  <si>
    <t>NQU</t>
  </si>
  <si>
    <t>SKNQ</t>
  </si>
  <si>
    <t>Reyes Murillo Airport</t>
  </si>
  <si>
    <t>NQX</t>
  </si>
  <si>
    <t>KNQX</t>
  </si>
  <si>
    <t>NAS Key West (Boca Chica Field)</t>
  </si>
  <si>
    <t>NQY</t>
  </si>
  <si>
    <t>EGHQ</t>
  </si>
  <si>
    <t>Cornwall Airport Newquay</t>
  </si>
  <si>
    <t>NRA</t>
  </si>
  <si>
    <t>YNAR</t>
  </si>
  <si>
    <t>Narrandera Airport</t>
  </si>
  <si>
    <t>NRB</t>
  </si>
  <si>
    <t>KNRB</t>
  </si>
  <si>
    <t>NS Mayport (Adm. David L. McDonald Field)</t>
  </si>
  <si>
    <t>NRD</t>
  </si>
  <si>
    <t>EDWY</t>
  </si>
  <si>
    <t>Norderney Airport</t>
  </si>
  <si>
    <t>NRE</t>
  </si>
  <si>
    <t>WAPG</t>
  </si>
  <si>
    <t>Namrole Airport</t>
  </si>
  <si>
    <t>NRK</t>
  </si>
  <si>
    <t>ESSP</t>
  </si>
  <si>
    <t>Norrköping Airport</t>
  </si>
  <si>
    <t>NRL</t>
  </si>
  <si>
    <t>EGEN</t>
  </si>
  <si>
    <t>North Ronaldsay Airport</t>
  </si>
  <si>
    <t>NRM</t>
  </si>
  <si>
    <t>GANK</t>
  </si>
  <si>
    <t>Nara Airport</t>
  </si>
  <si>
    <t>NRN</t>
  </si>
  <si>
    <t>EDLV</t>
  </si>
  <si>
    <t>Weeze Airport (formerly Niederrhein Airport)</t>
  </si>
  <si>
    <t>KNRN</t>
  </si>
  <si>
    <t>Norton Municipal Airport</t>
  </si>
  <si>
    <t>NRS</t>
  </si>
  <si>
    <t>KNRS</t>
  </si>
  <si>
    <t>NOLF Imperial Beach (Ream Field)</t>
  </si>
  <si>
    <t>NRT</t>
  </si>
  <si>
    <t>RJAA</t>
  </si>
  <si>
    <t>Narita International Airport</t>
  </si>
  <si>
    <t>NSE</t>
  </si>
  <si>
    <t>KNSE</t>
  </si>
  <si>
    <t>NAS Whiting Field - North</t>
  </si>
  <si>
    <t>NSH</t>
  </si>
  <si>
    <t>OINN</t>
  </si>
  <si>
    <t>Noshahr Airport</t>
  </si>
  <si>
    <t>NSI</t>
  </si>
  <si>
    <t>FKYS</t>
  </si>
  <si>
    <t>Yaoundé Nsimalen International Airport</t>
  </si>
  <si>
    <t>KNSI</t>
  </si>
  <si>
    <t>NOLF San Nicolas Island</t>
  </si>
  <si>
    <t>NSK</t>
  </si>
  <si>
    <t>UOOO</t>
  </si>
  <si>
    <t>Norilsk Alykel Airport</t>
  </si>
  <si>
    <t>NSM</t>
  </si>
  <si>
    <t>YNSM</t>
  </si>
  <si>
    <t>Norseman Airport</t>
  </si>
  <si>
    <t>NSN</t>
  </si>
  <si>
    <t>NZNS</t>
  </si>
  <si>
    <t>Nelson Airport</t>
  </si>
  <si>
    <t>NSO</t>
  </si>
  <si>
    <t>YSCO</t>
  </si>
  <si>
    <t>Scone Airport</t>
  </si>
  <si>
    <t>NSP</t>
  </si>
  <si>
    <t>RPLS</t>
  </si>
  <si>
    <t>Sangley Point Air Base</t>
  </si>
  <si>
    <t>NST</t>
  </si>
  <si>
    <t>VTSF</t>
  </si>
  <si>
    <t>Nakhon Si Thammarat Airport</t>
  </si>
  <si>
    <t>VTSN</t>
  </si>
  <si>
    <t>Cha Ian Airport</t>
  </si>
  <si>
    <t>NSV</t>
  </si>
  <si>
    <t>YNSH</t>
  </si>
  <si>
    <t>Noosa Airport</t>
  </si>
  <si>
    <t>NSY</t>
  </si>
  <si>
    <t>LICZ</t>
  </si>
  <si>
    <t>Sigonella Airport</t>
  </si>
  <si>
    <t>NTB</t>
  </si>
  <si>
    <t>ENNO</t>
  </si>
  <si>
    <t>Notodden Airport, Tuven,</t>
  </si>
  <si>
    <t>NTD</t>
  </si>
  <si>
    <t>KNTD</t>
  </si>
  <si>
    <t>NAS Point Mugu (Naval Base Ventura County)</t>
  </si>
  <si>
    <t>NTE</t>
  </si>
  <si>
    <t>LFRS</t>
  </si>
  <si>
    <t>Nantes Atlantique Airport</t>
  </si>
  <si>
    <t>NTG</t>
  </si>
  <si>
    <t>ZSNT</t>
  </si>
  <si>
    <t>Nantong Airport</t>
  </si>
  <si>
    <t>NTI</t>
  </si>
  <si>
    <t>WASB</t>
  </si>
  <si>
    <t>Stenkol Airport</t>
  </si>
  <si>
    <t>NTL</t>
  </si>
  <si>
    <t>YWLM</t>
  </si>
  <si>
    <t>Newcastle Airport (Williamtown)</t>
  </si>
  <si>
    <t>NTN</t>
  </si>
  <si>
    <t>YNTN</t>
  </si>
  <si>
    <t>Normanton Airport</t>
  </si>
  <si>
    <t>NTO</t>
  </si>
  <si>
    <t>GVAN</t>
  </si>
  <si>
    <t>Agostinho Neto Airport</t>
  </si>
  <si>
    <t>NTQ</t>
  </si>
  <si>
    <t>RJNW</t>
  </si>
  <si>
    <t>Noto Airport</t>
  </si>
  <si>
    <t>NTR</t>
  </si>
  <si>
    <t>MMAN</t>
  </si>
  <si>
    <t>Del Norte International Airport</t>
  </si>
  <si>
    <t>NTT</t>
  </si>
  <si>
    <t>NFTP</t>
  </si>
  <si>
    <t>Kuini Lavenia Airport</t>
  </si>
  <si>
    <t>NTU</t>
  </si>
  <si>
    <t>KNTU</t>
  </si>
  <si>
    <t>NAS Oceana (Apollo Soucek Field)</t>
  </si>
  <si>
    <t>NTX</t>
  </si>
  <si>
    <t>WION</t>
  </si>
  <si>
    <t>Ranai Airport</t>
  </si>
  <si>
    <t>NTY</t>
  </si>
  <si>
    <t>FAPN</t>
  </si>
  <si>
    <t>Pilanesberg International Airport</t>
  </si>
  <si>
    <t>NUB</t>
  </si>
  <si>
    <t>YNUM</t>
  </si>
  <si>
    <t>Numbulwar Airport</t>
  </si>
  <si>
    <t>NUC</t>
  </si>
  <si>
    <t>KNUC</t>
  </si>
  <si>
    <t>San Clemente Island Naval Auxiliary Field</t>
  </si>
  <si>
    <t>NUD</t>
  </si>
  <si>
    <t>HSNH</t>
  </si>
  <si>
    <t>En Nahud Airport</t>
  </si>
  <si>
    <t>NUE</t>
  </si>
  <si>
    <t>EDDN</t>
  </si>
  <si>
    <t>Nuremberg Airport</t>
  </si>
  <si>
    <t>NUI</t>
  </si>
  <si>
    <t>KNUI</t>
  </si>
  <si>
    <t>NOLF Webster Papadopoulos</t>
  </si>
  <si>
    <t>NUK</t>
  </si>
  <si>
    <t>NTGW</t>
  </si>
  <si>
    <t>Nukutavake Airport</t>
  </si>
  <si>
    <t>NUL</t>
  </si>
  <si>
    <t>PANU</t>
  </si>
  <si>
    <t>Nulato Airport</t>
  </si>
  <si>
    <t>NUN</t>
  </si>
  <si>
    <t>KNUN</t>
  </si>
  <si>
    <t>NOLF Saufley</t>
  </si>
  <si>
    <t>NUQ</t>
  </si>
  <si>
    <t>KNUQ</t>
  </si>
  <si>
    <t>Moffett Federal Airfield</t>
  </si>
  <si>
    <t>NUR</t>
  </si>
  <si>
    <t>YNUB</t>
  </si>
  <si>
    <t>Nullabor Motel Airport</t>
  </si>
  <si>
    <t>NUS</t>
  </si>
  <si>
    <t>NVSP</t>
  </si>
  <si>
    <t>Norsup Airport</t>
  </si>
  <si>
    <t>NUU</t>
  </si>
  <si>
    <t>HKNK</t>
  </si>
  <si>
    <t>Nakuru Airport</t>
  </si>
  <si>
    <t>NUW</t>
  </si>
  <si>
    <t>KNUW</t>
  </si>
  <si>
    <t>NAS Whidbey Island (Ault Field)</t>
  </si>
  <si>
    <t>NUX</t>
  </si>
  <si>
    <t>NSMU</t>
  </si>
  <si>
    <t>Novy Urengoy Airport</t>
  </si>
  <si>
    <t>USMU</t>
  </si>
  <si>
    <t>NVA</t>
  </si>
  <si>
    <t>SKNV</t>
  </si>
  <si>
    <t>Benito Salas Airport</t>
  </si>
  <si>
    <t>NVD</t>
  </si>
  <si>
    <t>KNVD</t>
  </si>
  <si>
    <t>Nevada Municipal Airport</t>
  </si>
  <si>
    <t>NVG</t>
  </si>
  <si>
    <t>MNNG</t>
  </si>
  <si>
    <t>Nueva Guinea Airport</t>
  </si>
  <si>
    <t>NVI</t>
  </si>
  <si>
    <t>UTSA</t>
  </si>
  <si>
    <t>Navoi Airport</t>
  </si>
  <si>
    <t>NVK</t>
  </si>
  <si>
    <t>ENNK</t>
  </si>
  <si>
    <t>Narvik Airport, Framnes</t>
  </si>
  <si>
    <t>NVN</t>
  </si>
  <si>
    <t>KO02</t>
  </si>
  <si>
    <t>Nervino Airport</t>
  </si>
  <si>
    <t>NVP</t>
  </si>
  <si>
    <t>SWNA</t>
  </si>
  <si>
    <t>Novo Aripuanã Airport</t>
  </si>
  <si>
    <t>NVS</t>
  </si>
  <si>
    <t>LFQG</t>
  </si>
  <si>
    <t>Nevers-Fourchambault Airport</t>
  </si>
  <si>
    <t>NVT</t>
  </si>
  <si>
    <t>SBNF</t>
  </si>
  <si>
    <t>Ministro Victor Konder International Airport</t>
  </si>
  <si>
    <t>NWA</t>
  </si>
  <si>
    <t>FMCI</t>
  </si>
  <si>
    <t>Mohéli Bandar Es Eslam Airport</t>
  </si>
  <si>
    <t>NWI</t>
  </si>
  <si>
    <t>EGSH</t>
  </si>
  <si>
    <t>Norwich Airport</t>
  </si>
  <si>
    <t>NWL</t>
  </si>
  <si>
    <t>KNWL</t>
  </si>
  <si>
    <t>NOLF Waldron</t>
  </si>
  <si>
    <t>NXP</t>
  </si>
  <si>
    <t>KNXP</t>
  </si>
  <si>
    <t>Marine Corps Air Ground Combat Center Twentynine Palms</t>
  </si>
  <si>
    <t>NXX</t>
  </si>
  <si>
    <t>KNXX</t>
  </si>
  <si>
    <t>NAS JRB Willow Grove</t>
  </si>
  <si>
    <t>NYA</t>
  </si>
  <si>
    <t>USHN</t>
  </si>
  <si>
    <t>Nyagan Airport</t>
  </si>
  <si>
    <t>NYE</t>
  </si>
  <si>
    <t>HKNI</t>
  </si>
  <si>
    <t>Nyeri Airport</t>
  </si>
  <si>
    <t>NYG</t>
  </si>
  <si>
    <t>KNYG</t>
  </si>
  <si>
    <t>MCAF Quantico (Turner Field)</t>
  </si>
  <si>
    <t>NYI</t>
  </si>
  <si>
    <t>DGSN</t>
  </si>
  <si>
    <t>Sunyani Airport</t>
  </si>
  <si>
    <t>NYK</t>
  </si>
  <si>
    <t>HKNY</t>
  </si>
  <si>
    <t>Nanyuki, Kenya</t>
  </si>
  <si>
    <t>NYM</t>
  </si>
  <si>
    <t>USMM</t>
  </si>
  <si>
    <t>Nadym Airport</t>
  </si>
  <si>
    <t>NYN</t>
  </si>
  <si>
    <t>YNYN</t>
  </si>
  <si>
    <t>Nyngan Airport</t>
  </si>
  <si>
    <t>NYO</t>
  </si>
  <si>
    <t>ESKN</t>
  </si>
  <si>
    <t>Stockholm-Skavsta Airport</t>
  </si>
  <si>
    <t>NYT</t>
  </si>
  <si>
    <t>VYEL</t>
  </si>
  <si>
    <t>Naypyidaw Airport</t>
  </si>
  <si>
    <t>NYU</t>
  </si>
  <si>
    <t>NZA</t>
  </si>
  <si>
    <t>SPZA</t>
  </si>
  <si>
    <t>Maria Reiche Neuman Airport</t>
  </si>
  <si>
    <t>NZC</t>
  </si>
  <si>
    <t>KVQQ</t>
  </si>
  <si>
    <t>Cecil Field</t>
  </si>
  <si>
    <t>NZE</t>
  </si>
  <si>
    <t>GUNZ</t>
  </si>
  <si>
    <t>Nzerekore Airport</t>
  </si>
  <si>
    <t>NZH</t>
  </si>
  <si>
    <t>ZBMZ</t>
  </si>
  <si>
    <t>Manzhouli Xijiao Airport</t>
  </si>
  <si>
    <t>NZJ</t>
  </si>
  <si>
    <t>KNZJ</t>
  </si>
  <si>
    <t>MCAS El Toro</t>
  </si>
  <si>
    <t>NZY</t>
  </si>
  <si>
    <t>KNZY</t>
  </si>
  <si>
    <t>NAS North Island (Halsey Field)</t>
  </si>
  <si>
    <t>OAG</t>
  </si>
  <si>
    <t>YORG</t>
  </si>
  <si>
    <t>Orange Airport</t>
  </si>
  <si>
    <t>OAH</t>
  </si>
  <si>
    <t>OASD</t>
  </si>
  <si>
    <t>Shindand Airport</t>
  </si>
  <si>
    <t>OAI</t>
  </si>
  <si>
    <t>OAIX</t>
  </si>
  <si>
    <t>Bagram Air Base</t>
  </si>
  <si>
    <t>OAJ</t>
  </si>
  <si>
    <t>KOAJ</t>
  </si>
  <si>
    <t>Albert J. Ellis Airport</t>
  </si>
  <si>
    <t>OAK</t>
  </si>
  <si>
    <t>KOAK</t>
  </si>
  <si>
    <t>Oakland International Airport</t>
  </si>
  <si>
    <t>OAM</t>
  </si>
  <si>
    <t>NZOU</t>
  </si>
  <si>
    <t>Oamaru Airport</t>
  </si>
  <si>
    <t>OAR</t>
  </si>
  <si>
    <t>KOAR</t>
  </si>
  <si>
    <t>Marina Municipal Airport</t>
  </si>
  <si>
    <t>OAS</t>
  </si>
  <si>
    <t>OASA</t>
  </si>
  <si>
    <t>Sharana Airstrip</t>
  </si>
  <si>
    <t>OAX</t>
  </si>
  <si>
    <t>MMOX</t>
  </si>
  <si>
    <t>Xoxocotlán International Airport</t>
  </si>
  <si>
    <t>OAZ</t>
  </si>
  <si>
    <t>OAZI</t>
  </si>
  <si>
    <t>Camp Bastion Airport</t>
  </si>
  <si>
    <t>OBC</t>
  </si>
  <si>
    <t>HDOB</t>
  </si>
  <si>
    <t>Obock Airport</t>
  </si>
  <si>
    <t>OBD</t>
  </si>
  <si>
    <t>LEBA</t>
  </si>
  <si>
    <t>Córdoba Airport</t>
  </si>
  <si>
    <t>OBE</t>
  </si>
  <si>
    <t>KOBE</t>
  </si>
  <si>
    <t>Okeechobee County Airport</t>
  </si>
  <si>
    <t>OBF</t>
  </si>
  <si>
    <t>EDMO</t>
  </si>
  <si>
    <t>Oberpfaffenhofen Airport</t>
  </si>
  <si>
    <t>OBI</t>
  </si>
  <si>
    <t>SBTS</t>
  </si>
  <si>
    <t>Tiriós Airport</t>
  </si>
  <si>
    <t>SNTI</t>
  </si>
  <si>
    <t>Óbidos Airport</t>
  </si>
  <si>
    <t>OBL</t>
  </si>
  <si>
    <t>EBZR</t>
  </si>
  <si>
    <t>Oostmalle Air Base</t>
  </si>
  <si>
    <t>OBN</t>
  </si>
  <si>
    <t>EGEO</t>
  </si>
  <si>
    <t>Oban Airport</t>
  </si>
  <si>
    <t>OBO</t>
  </si>
  <si>
    <t>RJCB</t>
  </si>
  <si>
    <t>Tokachi-Obihiro Airport</t>
  </si>
  <si>
    <t>OBS</t>
  </si>
  <si>
    <t>LFHO</t>
  </si>
  <si>
    <t>Aubenas-Ardèche Méridional Airport</t>
  </si>
  <si>
    <t>OCC</t>
  </si>
  <si>
    <t>SECO</t>
  </si>
  <si>
    <t>Francisco de Orellana Airport</t>
  </si>
  <si>
    <t>OCE</t>
  </si>
  <si>
    <t>KOXB</t>
  </si>
  <si>
    <t>Ocean City Municipal Airport</t>
  </si>
  <si>
    <t>OCF</t>
  </si>
  <si>
    <t>KOCF</t>
  </si>
  <si>
    <t>Ocala International Airport (Jim Taylor Field)</t>
  </si>
  <si>
    <t>OCH</t>
  </si>
  <si>
    <t>KOCH</t>
  </si>
  <si>
    <t>A. L. Mangham Jr. Regional Airport</t>
  </si>
  <si>
    <t>OCJ</t>
  </si>
  <si>
    <t>MKBS</t>
  </si>
  <si>
    <t>Boscobel Aerodrome</t>
  </si>
  <si>
    <t>OCN</t>
  </si>
  <si>
    <t>KOKB</t>
  </si>
  <si>
    <t>Oceanside Municipal Airport</t>
  </si>
  <si>
    <t>OCQ</t>
  </si>
  <si>
    <t>KOCQ</t>
  </si>
  <si>
    <t>J. Douglas Bake Memorial Airport</t>
  </si>
  <si>
    <t>OCV</t>
  </si>
  <si>
    <t>SKOC</t>
  </si>
  <si>
    <t>Aguas Claras Airport</t>
  </si>
  <si>
    <t>OCW</t>
  </si>
  <si>
    <t>KOCW</t>
  </si>
  <si>
    <t>Warren Field</t>
  </si>
  <si>
    <t>ODA</t>
  </si>
  <si>
    <t>FEFW</t>
  </si>
  <si>
    <t>Ouadda Airport</t>
  </si>
  <si>
    <t>ODB</t>
  </si>
  <si>
    <t>ODC</t>
  </si>
  <si>
    <t>KO27</t>
  </si>
  <si>
    <t>Oakdale Airport</t>
  </si>
  <si>
    <t>ODD</t>
  </si>
  <si>
    <t>YOOD</t>
  </si>
  <si>
    <t>Oodnadatta Airport</t>
  </si>
  <si>
    <t>ODE</t>
  </si>
  <si>
    <t>EKOD</t>
  </si>
  <si>
    <t>Odense Airport</t>
  </si>
  <si>
    <t>ODH</t>
  </si>
  <si>
    <t>EGVO</t>
  </si>
  <si>
    <t>RAF Odiham</t>
  </si>
  <si>
    <t>ODJ</t>
  </si>
  <si>
    <t>FEGO</t>
  </si>
  <si>
    <t>Ouanda Djallé Airport</t>
  </si>
  <si>
    <t>ODL</t>
  </si>
  <si>
    <t>YCOD</t>
  </si>
  <si>
    <t>Cordillo Downs Airport</t>
  </si>
  <si>
    <t>SNGA</t>
  </si>
  <si>
    <t>Guarapari Airport</t>
  </si>
  <si>
    <t>ODN</t>
  </si>
  <si>
    <t>WBGI</t>
  </si>
  <si>
    <t>Long Seridan Airport</t>
  </si>
  <si>
    <t>ODO</t>
  </si>
  <si>
    <t>UIKB</t>
  </si>
  <si>
    <t>Bodaybo Airport</t>
  </si>
  <si>
    <t>KODO</t>
  </si>
  <si>
    <t>Odessa-Schlemeyer Field</t>
  </si>
  <si>
    <t>ODR</t>
  </si>
  <si>
    <t>YORV</t>
  </si>
  <si>
    <t>Ord River Airport</t>
  </si>
  <si>
    <t>ODS</t>
  </si>
  <si>
    <t>UKOO</t>
  </si>
  <si>
    <t>Odessa International Airport</t>
  </si>
  <si>
    <t>ODX</t>
  </si>
  <si>
    <t>KODX</t>
  </si>
  <si>
    <t>Evelyn Sharp Field</t>
  </si>
  <si>
    <t>ODY</t>
  </si>
  <si>
    <t>VLOS</t>
  </si>
  <si>
    <t>Oudomsay Airport</t>
  </si>
  <si>
    <t>OEA</t>
  </si>
  <si>
    <t>KOEA</t>
  </si>
  <si>
    <t>O'Neal Airport</t>
  </si>
  <si>
    <t>OEB</t>
  </si>
  <si>
    <t>KOEB</t>
  </si>
  <si>
    <t>Branch County Memorial Airport</t>
  </si>
  <si>
    <t>OEC</t>
  </si>
  <si>
    <t>WPOC</t>
  </si>
  <si>
    <t>Oecussi Airport</t>
  </si>
  <si>
    <t>OEL</t>
  </si>
  <si>
    <t>UUOR</t>
  </si>
  <si>
    <t>Oryol Yuzhny Airport</t>
  </si>
  <si>
    <t>KOEL</t>
  </si>
  <si>
    <t>Oakley Municipal Airport</t>
  </si>
  <si>
    <t>OEM</t>
  </si>
  <si>
    <t>SMPA</t>
  </si>
  <si>
    <t>Vincent Fayks Airport</t>
  </si>
  <si>
    <t>OEO</t>
  </si>
  <si>
    <t>KOEO</t>
  </si>
  <si>
    <t>L. O. Simenstad Municipal Airport</t>
  </si>
  <si>
    <t>OER</t>
  </si>
  <si>
    <t>ESNO</t>
  </si>
  <si>
    <t>Örnsköldsvik Airport</t>
  </si>
  <si>
    <t>OES</t>
  </si>
  <si>
    <t>SAVN</t>
  </si>
  <si>
    <t>Antoine De St Exupery Airport</t>
  </si>
  <si>
    <t>OFF</t>
  </si>
  <si>
    <t>KOFF</t>
  </si>
  <si>
    <t>Offutt AFB</t>
  </si>
  <si>
    <t>OFI</t>
  </si>
  <si>
    <t>DIOF</t>
  </si>
  <si>
    <t>Ouango Fitini Airport</t>
  </si>
  <si>
    <t>OFJ</t>
  </si>
  <si>
    <t>BIOF</t>
  </si>
  <si>
    <t>Ólafsfjörður Airport</t>
  </si>
  <si>
    <t>OFK</t>
  </si>
  <si>
    <t>KOFK</t>
  </si>
  <si>
    <t>Karl Stefan Memorial Airport</t>
  </si>
  <si>
    <t>OFP</t>
  </si>
  <si>
    <t>KOFP</t>
  </si>
  <si>
    <t>Hanover County Municipal Airport</t>
  </si>
  <si>
    <t>OFU</t>
  </si>
  <si>
    <t>NSAS</t>
  </si>
  <si>
    <t>Ofu Village Airport</t>
  </si>
  <si>
    <t>OGA</t>
  </si>
  <si>
    <t>KOGA</t>
  </si>
  <si>
    <t>Searle Field</t>
  </si>
  <si>
    <t>OGB</t>
  </si>
  <si>
    <t>KOGB</t>
  </si>
  <si>
    <t>Orangeburg Municipal Airport</t>
  </si>
  <si>
    <t>OGD</t>
  </si>
  <si>
    <t>KOGD</t>
  </si>
  <si>
    <t>Ogden-Hinckley Airport</t>
  </si>
  <si>
    <t>OGG</t>
  </si>
  <si>
    <t>PHOG</t>
  </si>
  <si>
    <t>Kahului Airport</t>
  </si>
  <si>
    <t>OGL</t>
  </si>
  <si>
    <t>SYGO</t>
  </si>
  <si>
    <t>Ogle Airport</t>
  </si>
  <si>
    <t>OGM</t>
  </si>
  <si>
    <t>KOGM</t>
  </si>
  <si>
    <t>Ontonagon County Airport</t>
  </si>
  <si>
    <t>OGN</t>
  </si>
  <si>
    <t>ROYN</t>
  </si>
  <si>
    <t>Yonaguni Airport</t>
  </si>
  <si>
    <t>OGO</t>
  </si>
  <si>
    <t>DIAU</t>
  </si>
  <si>
    <t>Abengourou Airport</t>
  </si>
  <si>
    <t>OGR</t>
  </si>
  <si>
    <t>FTTB</t>
  </si>
  <si>
    <t>Bongor Airport</t>
  </si>
  <si>
    <t>OGS</t>
  </si>
  <si>
    <t>KOGS</t>
  </si>
  <si>
    <t>Ogdensburg International Airport</t>
  </si>
  <si>
    <t>OGX</t>
  </si>
  <si>
    <t>DAUU</t>
  </si>
  <si>
    <t>Ain el Beida Airport</t>
  </si>
  <si>
    <t>OGZ</t>
  </si>
  <si>
    <t>URMO</t>
  </si>
  <si>
    <t>Beslan Airport</t>
  </si>
  <si>
    <t>OHA</t>
  </si>
  <si>
    <t>NZOH</t>
  </si>
  <si>
    <t>RNZAF Base Ohakea</t>
  </si>
  <si>
    <t>OHD</t>
  </si>
  <si>
    <t>LWOH</t>
  </si>
  <si>
    <t>Ohrid Airport</t>
  </si>
  <si>
    <t>OHE</t>
  </si>
  <si>
    <t>ZYMH</t>
  </si>
  <si>
    <t>Gu-Lian Airport</t>
  </si>
  <si>
    <t>OHH</t>
  </si>
  <si>
    <t>UHSH</t>
  </si>
  <si>
    <t>Okha Airport</t>
  </si>
  <si>
    <t>OHO</t>
  </si>
  <si>
    <t>UHOO</t>
  </si>
  <si>
    <t>Okhotsk Airport</t>
  </si>
  <si>
    <t>OHR</t>
  </si>
  <si>
    <t>EDXY</t>
  </si>
  <si>
    <t>Wyk auf Föhr Airport</t>
  </si>
  <si>
    <t>OHT</t>
  </si>
  <si>
    <t>OPKT</t>
  </si>
  <si>
    <t>Kohat Airport</t>
  </si>
  <si>
    <t>OIC</t>
  </si>
  <si>
    <t>KOIC</t>
  </si>
  <si>
    <t>Lt. Warren Eaton Airport</t>
  </si>
  <si>
    <t>OIM</t>
  </si>
  <si>
    <t>RJTO</t>
  </si>
  <si>
    <t>Oshima Airport</t>
  </si>
  <si>
    <t>OIN</t>
  </si>
  <si>
    <t>KOIN</t>
  </si>
  <si>
    <t>Oberlin Municipal Airport</t>
  </si>
  <si>
    <t>OIR</t>
  </si>
  <si>
    <t>RJEO</t>
  </si>
  <si>
    <t>Okushiri Airport</t>
  </si>
  <si>
    <t>OIT</t>
  </si>
  <si>
    <t>RJFO</t>
  </si>
  <si>
    <t>Oita Airport</t>
  </si>
  <si>
    <t>OIZ</t>
  </si>
  <si>
    <t>DTTB</t>
  </si>
  <si>
    <t>Sidi Ahmed Air Base</t>
  </si>
  <si>
    <t>OJA</t>
  </si>
  <si>
    <t>KOJA</t>
  </si>
  <si>
    <t>Thomas P. Stafford Airport</t>
  </si>
  <si>
    <t>OJC</t>
  </si>
  <si>
    <t>KOJC</t>
  </si>
  <si>
    <t>Johnson County Executive Airport</t>
  </si>
  <si>
    <t>OKA</t>
  </si>
  <si>
    <t>ROAH</t>
  </si>
  <si>
    <t>OKB</t>
  </si>
  <si>
    <t>N/A</t>
  </si>
  <si>
    <t>Orchid Beach</t>
  </si>
  <si>
    <t>OKC</t>
  </si>
  <si>
    <t>KOKC</t>
  </si>
  <si>
    <t>Will Rogers World Airport</t>
  </si>
  <si>
    <t>OKD</t>
  </si>
  <si>
    <t>RJCO</t>
  </si>
  <si>
    <t>Okadama Airport</t>
  </si>
  <si>
    <t>OKE</t>
  </si>
  <si>
    <t>RJKB</t>
  </si>
  <si>
    <t>Okinoerabu Airport</t>
  </si>
  <si>
    <t>OKF</t>
  </si>
  <si>
    <t>FYOO</t>
  </si>
  <si>
    <t>Okaukuejo Airport</t>
  </si>
  <si>
    <t>OKH</t>
  </si>
  <si>
    <t>EGXJ</t>
  </si>
  <si>
    <t>RAF Cottesmore</t>
  </si>
  <si>
    <t>OKI</t>
  </si>
  <si>
    <t>RJNO</t>
  </si>
  <si>
    <t>Oki Airport</t>
  </si>
  <si>
    <t>OKJ</t>
  </si>
  <si>
    <t>RJOB</t>
  </si>
  <si>
    <t>Okayama Airport</t>
  </si>
  <si>
    <t>OKK</t>
  </si>
  <si>
    <t>KOKK</t>
  </si>
  <si>
    <t>Kokomo Municipal Airport</t>
  </si>
  <si>
    <t>OKL</t>
  </si>
  <si>
    <t>WAJO</t>
  </si>
  <si>
    <t>Oksibil Airport</t>
  </si>
  <si>
    <t>OKM</t>
  </si>
  <si>
    <t>KOKM</t>
  </si>
  <si>
    <t>Okmulgee Regional Airport</t>
  </si>
  <si>
    <t>OKN</t>
  </si>
  <si>
    <t>FOGQ</t>
  </si>
  <si>
    <t>Okondja Airport</t>
  </si>
  <si>
    <t>OKO</t>
  </si>
  <si>
    <t>RJTY</t>
  </si>
  <si>
    <t>Yokota Air Base</t>
  </si>
  <si>
    <t>OKQ</t>
  </si>
  <si>
    <t>WAKO</t>
  </si>
  <si>
    <t>Okaba Airport</t>
  </si>
  <si>
    <t>OKR</t>
  </si>
  <si>
    <t>YYKI</t>
  </si>
  <si>
    <t>Yorke Island Airport</t>
  </si>
  <si>
    <t>OKS</t>
  </si>
  <si>
    <t>RJBK</t>
  </si>
  <si>
    <t>Konan Airport</t>
  </si>
  <si>
    <t>KOKS</t>
  </si>
  <si>
    <t>Garden County Airport</t>
  </si>
  <si>
    <t>OKT</t>
  </si>
  <si>
    <t>UWUK</t>
  </si>
  <si>
    <t>Oktyabrskiy Airport</t>
  </si>
  <si>
    <t>OKU</t>
  </si>
  <si>
    <t>FYMO</t>
  </si>
  <si>
    <t>Mokuti Lodge Airport</t>
  </si>
  <si>
    <t>OKV</t>
  </si>
  <si>
    <t>KOKV</t>
  </si>
  <si>
    <t>Winchester Regional Airport</t>
  </si>
  <si>
    <t>OKY</t>
  </si>
  <si>
    <t>YBOK</t>
  </si>
  <si>
    <t>Oakey Airport</t>
  </si>
  <si>
    <t>OKZ</t>
  </si>
  <si>
    <t>KOKZ</t>
  </si>
  <si>
    <t>Kaolin Field</t>
  </si>
  <si>
    <t>OLA</t>
  </si>
  <si>
    <t>ENOL</t>
  </si>
  <si>
    <t>Ørland Airport</t>
  </si>
  <si>
    <t>OLB</t>
  </si>
  <si>
    <t>LIEO</t>
  </si>
  <si>
    <t>Olbia-Costa Smerelda Airport</t>
  </si>
  <si>
    <t>OLC</t>
  </si>
  <si>
    <t>SDCG</t>
  </si>
  <si>
    <t>Senadora Eunice Micheles Airport</t>
  </si>
  <si>
    <t>OLD</t>
  </si>
  <si>
    <t>KOLD</t>
  </si>
  <si>
    <t>Old Town Municipal Airport and Seaplane Base (DeWitt Field)</t>
  </si>
  <si>
    <t>OLE</t>
  </si>
  <si>
    <t>KOLE</t>
  </si>
  <si>
    <t>Cattaraugus County-Olean Airport</t>
  </si>
  <si>
    <t>OLF</t>
  </si>
  <si>
    <t>KOLF</t>
  </si>
  <si>
    <t>L. M. Clayton Airport</t>
  </si>
  <si>
    <t>OLG</t>
  </si>
  <si>
    <t>KOLG</t>
  </si>
  <si>
    <t>Solon Springs Municipal Airport</t>
  </si>
  <si>
    <t>OLI</t>
  </si>
  <si>
    <t>BIRF</t>
  </si>
  <si>
    <t>Rif Airport</t>
  </si>
  <si>
    <t>OLJ</t>
  </si>
  <si>
    <t>NVSZ</t>
  </si>
  <si>
    <t>North West Santo Airport</t>
  </si>
  <si>
    <t>OLM</t>
  </si>
  <si>
    <t>KOLM</t>
  </si>
  <si>
    <t>Olympia Airport</t>
  </si>
  <si>
    <t>OLP</t>
  </si>
  <si>
    <t>YOLD</t>
  </si>
  <si>
    <t>Olympic Dam Airport</t>
  </si>
  <si>
    <t>OLS</t>
  </si>
  <si>
    <t>KOLS</t>
  </si>
  <si>
    <t>OLU</t>
  </si>
  <si>
    <t>KOLU</t>
  </si>
  <si>
    <t>Columbus Municipal Airport (Nebraska)</t>
  </si>
  <si>
    <t>OLV</t>
  </si>
  <si>
    <t>KOLV</t>
  </si>
  <si>
    <t>Olive Branch Airport</t>
  </si>
  <si>
    <t>OLY</t>
  </si>
  <si>
    <t>KOLY</t>
  </si>
  <si>
    <t>Olney-Noble Airport</t>
  </si>
  <si>
    <t>OLZ</t>
  </si>
  <si>
    <t>KOLZ</t>
  </si>
  <si>
    <t>Oelwein Municipal Airport</t>
  </si>
  <si>
    <t>OMA</t>
  </si>
  <si>
    <t>KOMA</t>
  </si>
  <si>
    <t>Eppley Airfield</t>
  </si>
  <si>
    <t>OMB</t>
  </si>
  <si>
    <t>FOOH</t>
  </si>
  <si>
    <t>Omboue Hopital Airport</t>
  </si>
  <si>
    <t>OMC</t>
  </si>
  <si>
    <t>RPVO</t>
  </si>
  <si>
    <t>Ormoc Airport</t>
  </si>
  <si>
    <t>OMD</t>
  </si>
  <si>
    <t>FYOG</t>
  </si>
  <si>
    <t>Oranjemund Airport</t>
  </si>
  <si>
    <t>OME</t>
  </si>
  <si>
    <t>PAOM</t>
  </si>
  <si>
    <t>Nome Airport</t>
  </si>
  <si>
    <t>OMF</t>
  </si>
  <si>
    <t>OJMF</t>
  </si>
  <si>
    <t>King Hussein Air College</t>
  </si>
  <si>
    <t>OMG</t>
  </si>
  <si>
    <t>FYOE</t>
  </si>
  <si>
    <t>Omega Airport</t>
  </si>
  <si>
    <t>OMH</t>
  </si>
  <si>
    <t>OITR</t>
  </si>
  <si>
    <t>Urmia Airport</t>
  </si>
  <si>
    <t>KOMH</t>
  </si>
  <si>
    <t>OMI</t>
  </si>
  <si>
    <t>OIAJ</t>
  </si>
  <si>
    <t>Omidiyeh Air Base</t>
  </si>
  <si>
    <t>OMK</t>
  </si>
  <si>
    <t>KOMK</t>
  </si>
  <si>
    <t>Omak Airport</t>
  </si>
  <si>
    <t>OMM</t>
  </si>
  <si>
    <t>OOMX</t>
  </si>
  <si>
    <t>Marmul Airport</t>
  </si>
  <si>
    <t>OMO</t>
  </si>
  <si>
    <t>LQMO</t>
  </si>
  <si>
    <t>Mostar International Airport</t>
  </si>
  <si>
    <t>OMR</t>
  </si>
  <si>
    <t>LROD</t>
  </si>
  <si>
    <t>Oradea International Airport</t>
  </si>
  <si>
    <t>OMS</t>
  </si>
  <si>
    <t>UNOO</t>
  </si>
  <si>
    <t>Omsk Airport</t>
  </si>
  <si>
    <t>ONA</t>
  </si>
  <si>
    <t>KONA</t>
  </si>
  <si>
    <t>Winona Municipal Airport (Max Conrad Field)</t>
  </si>
  <si>
    <t>OND</t>
  </si>
  <si>
    <t>FYOA</t>
  </si>
  <si>
    <t>Ondangwa Airport</t>
  </si>
  <si>
    <t>ONG</t>
  </si>
  <si>
    <t>YMTI</t>
  </si>
  <si>
    <t>Mornington Island Airport</t>
  </si>
  <si>
    <t>ONI</t>
  </si>
  <si>
    <t>WABD</t>
  </si>
  <si>
    <t>Moanamani Airport</t>
  </si>
  <si>
    <t>ONJ</t>
  </si>
  <si>
    <t>RJSR</t>
  </si>
  <si>
    <t>Odate-Noshiro Airport</t>
  </si>
  <si>
    <t>ONL</t>
  </si>
  <si>
    <t>KONL</t>
  </si>
  <si>
    <t>The O'Neill Municipal Airport (John L. Baker Field)</t>
  </si>
  <si>
    <t>ONM</t>
  </si>
  <si>
    <t>KONM</t>
  </si>
  <si>
    <t>Socorro Municipal Airport</t>
  </si>
  <si>
    <t>ONO</t>
  </si>
  <si>
    <t>KONO</t>
  </si>
  <si>
    <t>Ontario Municipal Airport</t>
  </si>
  <si>
    <t>ONP</t>
  </si>
  <si>
    <t>KONP</t>
  </si>
  <si>
    <t>Newport Municipal Airport</t>
  </si>
  <si>
    <t>ONQ</t>
  </si>
  <si>
    <t>LTAS</t>
  </si>
  <si>
    <t>Zonguldak Airport</t>
  </si>
  <si>
    <t>ONR</t>
  </si>
  <si>
    <t>YMNK</t>
  </si>
  <si>
    <t>Monkira Airport</t>
  </si>
  <si>
    <t>ONT</t>
  </si>
  <si>
    <t>KONT</t>
  </si>
  <si>
    <t>Ontario International Airport</t>
  </si>
  <si>
    <t>ONU</t>
  </si>
  <si>
    <t>NFOL</t>
  </si>
  <si>
    <t>Ono-I-Lau Airport</t>
  </si>
  <si>
    <t>ONX</t>
  </si>
  <si>
    <t>MPEJ</t>
  </si>
  <si>
    <t>Enrique Adolfo Jiménez Airport</t>
  </si>
  <si>
    <t>ONY</t>
  </si>
  <si>
    <t>KONY</t>
  </si>
  <si>
    <t>Olney Municipal Airport</t>
  </si>
  <si>
    <t>ONZ</t>
  </si>
  <si>
    <t>KONZ</t>
  </si>
  <si>
    <t>Grosse Ile Municipal Airport</t>
  </si>
  <si>
    <t>OOA</t>
  </si>
  <si>
    <t>KOOA</t>
  </si>
  <si>
    <t>Oskaloosa Municipal Airport</t>
  </si>
  <si>
    <t>OOK</t>
  </si>
  <si>
    <t>PAOO</t>
  </si>
  <si>
    <t>Toksook Bay Airport</t>
  </si>
  <si>
    <t>OOL</t>
  </si>
  <si>
    <t>YBCG</t>
  </si>
  <si>
    <t>Gold Coast Airport</t>
  </si>
  <si>
    <t>OOM</t>
  </si>
  <si>
    <t>YCOM</t>
  </si>
  <si>
    <t>Cooma Snowy Mountains Airport</t>
  </si>
  <si>
    <t>OOR</t>
  </si>
  <si>
    <t>YMOO</t>
  </si>
  <si>
    <t>Mooraberree Airport</t>
  </si>
  <si>
    <t>OOT</t>
  </si>
  <si>
    <t>NGON</t>
  </si>
  <si>
    <t>Onotoa Airport</t>
  </si>
  <si>
    <t>OPA</t>
  </si>
  <si>
    <t>BIKP</t>
  </si>
  <si>
    <t>Kópasker Airport</t>
  </si>
  <si>
    <t>OPF</t>
  </si>
  <si>
    <t>KOPF</t>
  </si>
  <si>
    <t>Opa-locka Airport</t>
  </si>
  <si>
    <t>OPI</t>
  </si>
  <si>
    <t>YOEN</t>
  </si>
  <si>
    <t>Oenpelli Airport</t>
  </si>
  <si>
    <t>OPL</t>
  </si>
  <si>
    <t>KOPL</t>
  </si>
  <si>
    <t>St. Landry Parish Airport (Ahart Field)</t>
  </si>
  <si>
    <t>OPN</t>
  </si>
  <si>
    <t>KOPN</t>
  </si>
  <si>
    <t>Thomaston-Upson County Airport</t>
  </si>
  <si>
    <t>OPO</t>
  </si>
  <si>
    <t>LPPR</t>
  </si>
  <si>
    <t>Francisco Sá Carneiro Airport</t>
  </si>
  <si>
    <t>OPS</t>
  </si>
  <si>
    <t>SWSI</t>
  </si>
  <si>
    <t>Presidente João Batista Figueiredo Airport</t>
  </si>
  <si>
    <t>OQN</t>
  </si>
  <si>
    <t>KOQN</t>
  </si>
  <si>
    <t>Brandywine Airport</t>
  </si>
  <si>
    <t>OQU</t>
  </si>
  <si>
    <t>KOQU</t>
  </si>
  <si>
    <t>Quonset State Airport</t>
  </si>
  <si>
    <t>OQW</t>
  </si>
  <si>
    <t>KOQW</t>
  </si>
  <si>
    <t>Maquoketa Municipal Airport</t>
  </si>
  <si>
    <t>ORA</t>
  </si>
  <si>
    <t>SASO</t>
  </si>
  <si>
    <t>Orán Airport</t>
  </si>
  <si>
    <t>ORB</t>
  </si>
  <si>
    <t>ESOE</t>
  </si>
  <si>
    <t>Örebro Airport</t>
  </si>
  <si>
    <t>ORC</t>
  </si>
  <si>
    <t>SKOE</t>
  </si>
  <si>
    <t>Orocue Airport</t>
  </si>
  <si>
    <t>KORC</t>
  </si>
  <si>
    <t>Orange City Municipal Airport</t>
  </si>
  <si>
    <t>ORD</t>
  </si>
  <si>
    <t>KORD</t>
  </si>
  <si>
    <t>O'Hare International Airport</t>
  </si>
  <si>
    <t>ORE</t>
  </si>
  <si>
    <t>LFOJ</t>
  </si>
  <si>
    <t>Orléans-Bricy (BA 123) Air Base</t>
  </si>
  <si>
    <t>KORE</t>
  </si>
  <si>
    <t>Orange Municipal Airport</t>
  </si>
  <si>
    <t>ORF</t>
  </si>
  <si>
    <t>KORF</t>
  </si>
  <si>
    <t>Norfolk International Airport</t>
  </si>
  <si>
    <t>ORG</t>
  </si>
  <si>
    <t>SMZO</t>
  </si>
  <si>
    <t>Zorg en Hoop Airport</t>
  </si>
  <si>
    <t>KORG</t>
  </si>
  <si>
    <t>Orange County Airport (Texas)</t>
  </si>
  <si>
    <t>ORH</t>
  </si>
  <si>
    <t>KORH</t>
  </si>
  <si>
    <t>Worcester Regional Airport</t>
  </si>
  <si>
    <t>ORI</t>
  </si>
  <si>
    <t>KORI</t>
  </si>
  <si>
    <t>Port Lions Airport</t>
  </si>
  <si>
    <t>ORJ</t>
  </si>
  <si>
    <t>SYDR</t>
  </si>
  <si>
    <t>Orinduik Airport</t>
  </si>
  <si>
    <t>SYOR</t>
  </si>
  <si>
    <t>ORK</t>
  </si>
  <si>
    <t>EICK</t>
  </si>
  <si>
    <t>Cork International Airport</t>
  </si>
  <si>
    <t>ORL</t>
  </si>
  <si>
    <t>KORL</t>
  </si>
  <si>
    <t>Orlando Executive Airport</t>
  </si>
  <si>
    <t>ORM</t>
  </si>
  <si>
    <t>EGBK</t>
  </si>
  <si>
    <t>Sywell Aerodrome</t>
  </si>
  <si>
    <t>ORN</t>
  </si>
  <si>
    <t>DAOO</t>
  </si>
  <si>
    <t>Es Senia Airport</t>
  </si>
  <si>
    <t>ORP</t>
  </si>
  <si>
    <t>FBOR</t>
  </si>
  <si>
    <t>Orapa Airport</t>
  </si>
  <si>
    <t>ORR</t>
  </si>
  <si>
    <t>YYOR</t>
  </si>
  <si>
    <t>Yorketown Airport</t>
  </si>
  <si>
    <t>ORT</t>
  </si>
  <si>
    <t>PAOR</t>
  </si>
  <si>
    <t>Northway Airport</t>
  </si>
  <si>
    <t>ORU</t>
  </si>
  <si>
    <t>SLOR</t>
  </si>
  <si>
    <t>Juan Mendoza Airport</t>
  </si>
  <si>
    <t>ORW</t>
  </si>
  <si>
    <t>OPOR</t>
  </si>
  <si>
    <t>Ormara Airport</t>
  </si>
  <si>
    <t>ORX</t>
  </si>
  <si>
    <t>SNOX</t>
  </si>
  <si>
    <t>Oriximiná Airport</t>
  </si>
  <si>
    <t>ORY</t>
  </si>
  <si>
    <t>LFPO</t>
  </si>
  <si>
    <t>Orly International Airport</t>
  </si>
  <si>
    <t>OSB</t>
  </si>
  <si>
    <t>ORBM</t>
  </si>
  <si>
    <t>Mosul International Airport</t>
  </si>
  <si>
    <t>OSC</t>
  </si>
  <si>
    <t>KOSC</t>
  </si>
  <si>
    <t>Oscoda-Wurtsmith Airport</t>
  </si>
  <si>
    <t>OSD</t>
  </si>
  <si>
    <t>ESNZ</t>
  </si>
  <si>
    <t>Åre Östersund Airport</t>
  </si>
  <si>
    <t>OSH</t>
  </si>
  <si>
    <t>KOSH</t>
  </si>
  <si>
    <t>Wittman Regional Airport</t>
  </si>
  <si>
    <t>OSI</t>
  </si>
  <si>
    <t>LDOS</t>
  </si>
  <si>
    <t>Osijek Airport</t>
  </si>
  <si>
    <t>OSK</t>
  </si>
  <si>
    <t>ESMO</t>
  </si>
  <si>
    <t>Oskarshamn Airport</t>
  </si>
  <si>
    <t>OSL</t>
  </si>
  <si>
    <t>ENGM</t>
  </si>
  <si>
    <t>Oslo Airport, Gardermoen</t>
  </si>
  <si>
    <t>OSN</t>
  </si>
  <si>
    <t>RKSO</t>
  </si>
  <si>
    <t>Osan Air Base</t>
  </si>
  <si>
    <t>OSO</t>
  </si>
  <si>
    <t>YOSB</t>
  </si>
  <si>
    <t>Osborne Mine Airport</t>
  </si>
  <si>
    <t>Sulaymaniyah International Airport</t>
  </si>
  <si>
    <t>OSR</t>
  </si>
  <si>
    <t>LKMT</t>
  </si>
  <si>
    <t>Ostrava-Mosnov International Airport</t>
  </si>
  <si>
    <t>OSS</t>
  </si>
  <si>
    <t>UAFO</t>
  </si>
  <si>
    <t>Osh Airport</t>
  </si>
  <si>
    <t>OST</t>
  </si>
  <si>
    <t>EBOS</t>
  </si>
  <si>
    <t>Ostend-Bruges International Airport</t>
  </si>
  <si>
    <t>OSU</t>
  </si>
  <si>
    <t>KOSU</t>
  </si>
  <si>
    <t>Ohio State University Airport</t>
  </si>
  <si>
    <t>OSW</t>
  </si>
  <si>
    <t>UWOR</t>
  </si>
  <si>
    <t>Orsk Airport</t>
  </si>
  <si>
    <t>OSX</t>
  </si>
  <si>
    <t>KOSX</t>
  </si>
  <si>
    <t>Kosciusko-Attala County Airport</t>
  </si>
  <si>
    <t>OSY</t>
  </si>
  <si>
    <t>ENNM</t>
  </si>
  <si>
    <t>Namsos Airport, Høknesøra</t>
  </si>
  <si>
    <t>OSZ</t>
  </si>
  <si>
    <t>EPKO</t>
  </si>
  <si>
    <t>Koszalin Zegrze Airport</t>
  </si>
  <si>
    <t>OTC</t>
  </si>
  <si>
    <t>FTTL</t>
  </si>
  <si>
    <t>OTG</t>
  </si>
  <si>
    <t>KOTG</t>
  </si>
  <si>
    <t>Worthington Municipal Airport</t>
  </si>
  <si>
    <t>OTH</t>
  </si>
  <si>
    <t>KOTH</t>
  </si>
  <si>
    <t>North Bend Municipal Airport</t>
  </si>
  <si>
    <t>OTI</t>
  </si>
  <si>
    <t>WAMR</t>
  </si>
  <si>
    <t>Pitu Airport</t>
  </si>
  <si>
    <t>OTK</t>
  </si>
  <si>
    <t>KTMK</t>
  </si>
  <si>
    <t>Tillamook Airport</t>
  </si>
  <si>
    <t>OTL</t>
  </si>
  <si>
    <t>GQNB</t>
  </si>
  <si>
    <t>Boutilimit Airport</t>
  </si>
  <si>
    <t>OTM</t>
  </si>
  <si>
    <t>KOTM</t>
  </si>
  <si>
    <t>Ottumwa Industrial Airport</t>
  </si>
  <si>
    <t>OTN</t>
  </si>
  <si>
    <t>KOTN</t>
  </si>
  <si>
    <t>Ed-Air Airport</t>
  </si>
  <si>
    <t>OTP</t>
  </si>
  <si>
    <t>LROP</t>
  </si>
  <si>
    <t>Henri Coandă International Airport</t>
  </si>
  <si>
    <t>OTR</t>
  </si>
  <si>
    <t>MRCC</t>
  </si>
  <si>
    <t>Coto 47 Airport</t>
  </si>
  <si>
    <t>OTZ</t>
  </si>
  <si>
    <t>PAOT</t>
  </si>
  <si>
    <t>Ralph Wien Memorial Airport</t>
  </si>
  <si>
    <t>OUA</t>
  </si>
  <si>
    <t>DFFD</t>
  </si>
  <si>
    <t>Ouagadougou Airport</t>
  </si>
  <si>
    <t>OUD</t>
  </si>
  <si>
    <t>GMFO</t>
  </si>
  <si>
    <t>Oujda Angads Airport</t>
  </si>
  <si>
    <t>OUE</t>
  </si>
  <si>
    <t>FCOU</t>
  </si>
  <si>
    <t>Ouesso Airport</t>
  </si>
  <si>
    <t>OUG</t>
  </si>
  <si>
    <t>DFCC</t>
  </si>
  <si>
    <t>Ouahigouya Airport</t>
  </si>
  <si>
    <t>OUH</t>
  </si>
  <si>
    <t>FAOH</t>
  </si>
  <si>
    <t>Oudtshoorn Airport</t>
  </si>
  <si>
    <t>OUI</t>
  </si>
  <si>
    <t>VLHS</t>
  </si>
  <si>
    <t>Ban Huoeisay Airport</t>
  </si>
  <si>
    <t>OUL</t>
  </si>
  <si>
    <t>EFOU</t>
  </si>
  <si>
    <t>Oulu Airport</t>
  </si>
  <si>
    <t>OUN</t>
  </si>
  <si>
    <t>KOUN</t>
  </si>
  <si>
    <t>University of Oklahoma Westheimer Airport</t>
  </si>
  <si>
    <t>OUR</t>
  </si>
  <si>
    <t>FKKI</t>
  </si>
  <si>
    <t>Batouri Airport</t>
  </si>
  <si>
    <t>OUS</t>
  </si>
  <si>
    <t>SDOU</t>
  </si>
  <si>
    <t>Ourinhos Airport</t>
  </si>
  <si>
    <t>OUT</t>
  </si>
  <si>
    <t>FTTS</t>
  </si>
  <si>
    <t>Bousso Airport</t>
  </si>
  <si>
    <t>OUZ</t>
  </si>
  <si>
    <t>GQPZ</t>
  </si>
  <si>
    <t>Tazadit Airport</t>
  </si>
  <si>
    <t>OVA</t>
  </si>
  <si>
    <t>FMSL</t>
  </si>
  <si>
    <t>Bekily Airport</t>
  </si>
  <si>
    <t>OVB</t>
  </si>
  <si>
    <t>UNNT</t>
  </si>
  <si>
    <t>Novosibirsk Tolmachevo Airport</t>
  </si>
  <si>
    <t>OVD</t>
  </si>
  <si>
    <t>LEAS</t>
  </si>
  <si>
    <t>Asturias Airport (Oviedo Airport)</t>
  </si>
  <si>
    <t>OVE</t>
  </si>
  <si>
    <t>KOVE</t>
  </si>
  <si>
    <t>Oroville Municipal Airport</t>
  </si>
  <si>
    <t>OVG</t>
  </si>
  <si>
    <t>FAOB</t>
  </si>
  <si>
    <t>Overberg Airport</t>
  </si>
  <si>
    <t>OVL</t>
  </si>
  <si>
    <t>SCOV</t>
  </si>
  <si>
    <t>El Tuqui Airport</t>
  </si>
  <si>
    <t>KOVL</t>
  </si>
  <si>
    <t>Olivia Regional Airport</t>
  </si>
  <si>
    <t>OVO</t>
  </si>
  <si>
    <t>KOVO</t>
  </si>
  <si>
    <t>North Vernon Airport</t>
  </si>
  <si>
    <t>OVR</t>
  </si>
  <si>
    <t>SAZF</t>
  </si>
  <si>
    <t>Olavarria Airport</t>
  </si>
  <si>
    <t>OVS</t>
  </si>
  <si>
    <t>USHS</t>
  </si>
  <si>
    <t>Sovetskiy Airport</t>
  </si>
  <si>
    <t>OWA</t>
  </si>
  <si>
    <t>KOWA</t>
  </si>
  <si>
    <t>Owatonna Degner Regional Airport</t>
  </si>
  <si>
    <t>OWB</t>
  </si>
  <si>
    <t>KOWB</t>
  </si>
  <si>
    <t>Owensboro-Daviess County Airport</t>
  </si>
  <si>
    <t>OWD</t>
  </si>
  <si>
    <t>KOWD</t>
  </si>
  <si>
    <t>Norwood Memorial Airport</t>
  </si>
  <si>
    <t>OWI</t>
  </si>
  <si>
    <t>KOWI</t>
  </si>
  <si>
    <t>Ottawa Municipal Airport</t>
  </si>
  <si>
    <t>OWK</t>
  </si>
  <si>
    <t>KOWK</t>
  </si>
  <si>
    <t>Central Maine Airport of Norridgewock</t>
  </si>
  <si>
    <t>OWX</t>
  </si>
  <si>
    <t>KOWX</t>
  </si>
  <si>
    <t>Putnam County Airport</t>
  </si>
  <si>
    <t>OXB</t>
  </si>
  <si>
    <t>GGOV</t>
  </si>
  <si>
    <t>Osvaldo Vieiro International Airport</t>
  </si>
  <si>
    <t>OXC</t>
  </si>
  <si>
    <t>KOXC</t>
  </si>
  <si>
    <t>Waterbury-Oxford Airport</t>
  </si>
  <si>
    <t>OXD</t>
  </si>
  <si>
    <t>KOXD</t>
  </si>
  <si>
    <t>Miami University Airport</t>
  </si>
  <si>
    <t>OXF</t>
  </si>
  <si>
    <t>EGTK</t>
  </si>
  <si>
    <t>Oxford (Kidlington) Airport</t>
  </si>
  <si>
    <t>OXI</t>
  </si>
  <si>
    <t>KOXI</t>
  </si>
  <si>
    <t>Starke County Airport</t>
  </si>
  <si>
    <t>OXP</t>
  </si>
  <si>
    <t>SOOG</t>
  </si>
  <si>
    <t>Saint-Georges-de-l'Oyapock Airport</t>
  </si>
  <si>
    <t>OXR</t>
  </si>
  <si>
    <t>KOXR</t>
  </si>
  <si>
    <t>Oxnard Airport</t>
  </si>
  <si>
    <t>OXV</t>
  </si>
  <si>
    <t>KOXV</t>
  </si>
  <si>
    <t>Knoxville Municipal Airport</t>
  </si>
  <si>
    <t>OXY</t>
  </si>
  <si>
    <t>YMNY</t>
  </si>
  <si>
    <t>Morney Airport</t>
  </si>
  <si>
    <t>OYA</t>
  </si>
  <si>
    <t>SATG</t>
  </si>
  <si>
    <t>Goya Airport</t>
  </si>
  <si>
    <t>OYE</t>
  </si>
  <si>
    <t>FOGO</t>
  </si>
  <si>
    <t>Oyem Airport</t>
  </si>
  <si>
    <t>OYK</t>
  </si>
  <si>
    <t>SBOI</t>
  </si>
  <si>
    <t>Oiapoque Airport ; Oiapoque, Amapa , Brasil</t>
  </si>
  <si>
    <t>OYL</t>
  </si>
  <si>
    <t>HKMY</t>
  </si>
  <si>
    <t>Moyale Airport</t>
  </si>
  <si>
    <t>OYN</t>
  </si>
  <si>
    <t>YOUY</t>
  </si>
  <si>
    <t>Ouyen Airport</t>
  </si>
  <si>
    <t>OYO</t>
  </si>
  <si>
    <t>SAZH</t>
  </si>
  <si>
    <t>Tres Arroyos Airport</t>
  </si>
  <si>
    <t>OZA</t>
  </si>
  <si>
    <t>KOZA</t>
  </si>
  <si>
    <t>Ozona Municipal Airport</t>
  </si>
  <si>
    <t>OZC</t>
  </si>
  <si>
    <t>RPMO</t>
  </si>
  <si>
    <t>Labo Airport</t>
  </si>
  <si>
    <t>OZG</t>
  </si>
  <si>
    <t>GMAZ</t>
  </si>
  <si>
    <t>Zagora Airport</t>
  </si>
  <si>
    <t>OZH</t>
  </si>
  <si>
    <t>UKDE</t>
  </si>
  <si>
    <t>Zaporizhzhia International Airport</t>
  </si>
  <si>
    <t>OZP</t>
  </si>
  <si>
    <t>LEMO</t>
  </si>
  <si>
    <t>Moron Air Base</t>
  </si>
  <si>
    <t>OZR</t>
  </si>
  <si>
    <t>KOZR</t>
  </si>
  <si>
    <t>Cairns Army Airfield (Fort Rucker)</t>
  </si>
  <si>
    <t>OZW</t>
  </si>
  <si>
    <t>KOZW</t>
  </si>
  <si>
    <t>Livingston County Airport</t>
  </si>
  <si>
    <t>OZZ</t>
  </si>
  <si>
    <t>GMMZ</t>
  </si>
  <si>
    <t>Ouarzazate Airport</t>
  </si>
  <si>
    <t>PAA</t>
  </si>
  <si>
    <t>VYPA</t>
  </si>
  <si>
    <t>Hpa-N Airport</t>
  </si>
  <si>
    <t>PAB</t>
  </si>
  <si>
    <t>VABI</t>
  </si>
  <si>
    <t>Bilaspur Airport</t>
  </si>
  <si>
    <t>PAC</t>
  </si>
  <si>
    <t>MPMG</t>
  </si>
  <si>
    <t>Marcos A. Gelabert International Airport</t>
  </si>
  <si>
    <t>PAD</t>
  </si>
  <si>
    <t>EDLP</t>
  </si>
  <si>
    <t>Paderborn/Lippstadt Airport</t>
  </si>
  <si>
    <t>PAE</t>
  </si>
  <si>
    <t>KPAE</t>
  </si>
  <si>
    <t>Paine Field</t>
  </si>
  <si>
    <t>PAF</t>
  </si>
  <si>
    <t>LPMT</t>
  </si>
  <si>
    <t>Montijo Airport</t>
  </si>
  <si>
    <t>PAG</t>
  </si>
  <si>
    <t>RPMP</t>
  </si>
  <si>
    <t>Pagadian Airport</t>
  </si>
  <si>
    <t>PAH</t>
  </si>
  <si>
    <t>KPAH</t>
  </si>
  <si>
    <t>Barkley Regional Airport</t>
  </si>
  <si>
    <t>PAJ</t>
  </si>
  <si>
    <t>OPPC</t>
  </si>
  <si>
    <t>Parachinar Airport</t>
  </si>
  <si>
    <t>PAM</t>
  </si>
  <si>
    <t>KPAM</t>
  </si>
  <si>
    <t>Tyndall Air Force Base</t>
  </si>
  <si>
    <t>PAN</t>
  </si>
  <si>
    <t>VTSK</t>
  </si>
  <si>
    <t>Pattani Airport</t>
  </si>
  <si>
    <t>KPAN</t>
  </si>
  <si>
    <t>Payson Airport</t>
  </si>
  <si>
    <t>PAO</t>
  </si>
  <si>
    <t>KPAO</t>
  </si>
  <si>
    <t>Palo Alto Airport</t>
  </si>
  <si>
    <t>PAP</t>
  </si>
  <si>
    <t>MTPP</t>
  </si>
  <si>
    <t>Port-au-Prince International Airport</t>
  </si>
  <si>
    <t>PAQ</t>
  </si>
  <si>
    <t>PAAQ</t>
  </si>
  <si>
    <t>Palmer Municipal Airport</t>
  </si>
  <si>
    <t>PAS</t>
  </si>
  <si>
    <t>LGPA</t>
  </si>
  <si>
    <t>Paros National Airport</t>
  </si>
  <si>
    <t>PAT</t>
  </si>
  <si>
    <t>VEPT</t>
  </si>
  <si>
    <t>Jay Prakash Narayan Airport</t>
  </si>
  <si>
    <t>PAU</t>
  </si>
  <si>
    <t>VYPK</t>
  </si>
  <si>
    <t>Pauk Airport</t>
  </si>
  <si>
    <t>PAV</t>
  </si>
  <si>
    <t>SBUF</t>
  </si>
  <si>
    <t>Paulo Afonso Airport</t>
  </si>
  <si>
    <t>PAX</t>
  </si>
  <si>
    <t>MTPX</t>
  </si>
  <si>
    <t>Port-de-Paix Airport</t>
  </si>
  <si>
    <t>PAY</t>
  </si>
  <si>
    <t>WBKP</t>
  </si>
  <si>
    <t>Pamol Airport</t>
  </si>
  <si>
    <t>PAZ</t>
  </si>
  <si>
    <t>MMPA</t>
  </si>
  <si>
    <t>El Tajín National Airport</t>
  </si>
  <si>
    <t>PBB</t>
  </si>
  <si>
    <t>SBPB</t>
  </si>
  <si>
    <t>Prefeito Doutor João Silva Filho Airport</t>
  </si>
  <si>
    <t>SSPN</t>
  </si>
  <si>
    <t>Paranaíba Airport</t>
  </si>
  <si>
    <t>PBC</t>
  </si>
  <si>
    <t>MMPB</t>
  </si>
  <si>
    <t>Hermanos Serdán International Airport</t>
  </si>
  <si>
    <t>PBD</t>
  </si>
  <si>
    <t>VAPR</t>
  </si>
  <si>
    <t>Porbandar Airport</t>
  </si>
  <si>
    <t>PBE</t>
  </si>
  <si>
    <t>SKPR</t>
  </si>
  <si>
    <t>Puerto Berrio Airport</t>
  </si>
  <si>
    <t>PBF</t>
  </si>
  <si>
    <t>KPBF</t>
  </si>
  <si>
    <t>Grider Field</t>
  </si>
  <si>
    <t>PBG</t>
  </si>
  <si>
    <t>KPBG</t>
  </si>
  <si>
    <t>Plattsburgh International Airport</t>
  </si>
  <si>
    <t>PBH</t>
  </si>
  <si>
    <t>VQPR</t>
  </si>
  <si>
    <t>Paro Airport</t>
  </si>
  <si>
    <t>PBI</t>
  </si>
  <si>
    <t>KPBI</t>
  </si>
  <si>
    <t>Palm Beach International Airport</t>
  </si>
  <si>
    <t>PBJ</t>
  </si>
  <si>
    <t>NVSI</t>
  </si>
  <si>
    <t>Tavie Airport</t>
  </si>
  <si>
    <t>PBL</t>
  </si>
  <si>
    <t>SVPC</t>
  </si>
  <si>
    <t>General Bartolome Salom International Airport</t>
  </si>
  <si>
    <t>PBM</t>
  </si>
  <si>
    <t>SMJP</t>
  </si>
  <si>
    <t>Johan Adolf Pengel International Airport</t>
  </si>
  <si>
    <t>PBN</t>
  </si>
  <si>
    <t>FNPA</t>
  </si>
  <si>
    <t>Porto Amboim Airport</t>
  </si>
  <si>
    <t>PBO</t>
  </si>
  <si>
    <t>YPBO</t>
  </si>
  <si>
    <t>Paraburdoo Airport</t>
  </si>
  <si>
    <t>PBP</t>
  </si>
  <si>
    <t>MRIA</t>
  </si>
  <si>
    <t>Punta Islita Airport</t>
  </si>
  <si>
    <t>PBQ</t>
  </si>
  <si>
    <t>SWPM</t>
  </si>
  <si>
    <t>Pimenta Bueno Airport</t>
  </si>
  <si>
    <t>PBR</t>
  </si>
  <si>
    <t>MGPB</t>
  </si>
  <si>
    <t>Puerto Barrios Airport</t>
  </si>
  <si>
    <t>PBU</t>
  </si>
  <si>
    <t>VYPT</t>
  </si>
  <si>
    <t>Putao Airport</t>
  </si>
  <si>
    <t>PBV</t>
  </si>
  <si>
    <t>PAPB</t>
  </si>
  <si>
    <t>St George Airport</t>
  </si>
  <si>
    <t>PBX</t>
  </si>
  <si>
    <t>KPBX</t>
  </si>
  <si>
    <t>Pike County Airport (Hatcher Field)</t>
  </si>
  <si>
    <t>PBZ</t>
  </si>
  <si>
    <t>FAPG</t>
  </si>
  <si>
    <t>Plettenberg Bay Airport</t>
  </si>
  <si>
    <t>PCA</t>
  </si>
  <si>
    <t>PAOC</t>
  </si>
  <si>
    <t>Portage Creek Airport</t>
  </si>
  <si>
    <t>PCB</t>
  </si>
  <si>
    <t>WIHP</t>
  </si>
  <si>
    <t>Pondok Cabe Air Base</t>
  </si>
  <si>
    <t>PCF</t>
  </si>
  <si>
    <t>FAPS</t>
  </si>
  <si>
    <t>Potchefstroom Airport</t>
  </si>
  <si>
    <t>PCL</t>
  </si>
  <si>
    <t>SPCL</t>
  </si>
  <si>
    <t>Captain Rolden International Airport</t>
  </si>
  <si>
    <t>PCN</t>
  </si>
  <si>
    <t>NZPN</t>
  </si>
  <si>
    <t>Picton Aerodrome</t>
  </si>
  <si>
    <t>PCP</t>
  </si>
  <si>
    <t>FPPR</t>
  </si>
  <si>
    <t>Principe Airport</t>
  </si>
  <si>
    <t>PCR</t>
  </si>
  <si>
    <t>SKPC</t>
  </si>
  <si>
    <t>German Olano Airport</t>
  </si>
  <si>
    <t>PCS</t>
  </si>
  <si>
    <t>SNPC</t>
  </si>
  <si>
    <t>Picos Airport</t>
  </si>
  <si>
    <t>PCW</t>
  </si>
  <si>
    <t>KPCW</t>
  </si>
  <si>
    <t>Carl R. Keller Field</t>
  </si>
  <si>
    <t>PDA</t>
  </si>
  <si>
    <t>SKPD</t>
  </si>
  <si>
    <t>Obando Airport</t>
  </si>
  <si>
    <t>PDC</t>
  </si>
  <si>
    <t>NWWQ</t>
  </si>
  <si>
    <t>Mueo Airport</t>
  </si>
  <si>
    <t>KPDC</t>
  </si>
  <si>
    <t>Prairie du Chien Municipal Airport</t>
  </si>
  <si>
    <t>PDE</t>
  </si>
  <si>
    <t>YPDI</t>
  </si>
  <si>
    <t>Pandie Pandie Airport</t>
  </si>
  <si>
    <t>PDF</t>
  </si>
  <si>
    <t>SNRD</t>
  </si>
  <si>
    <t>Prado Airport</t>
  </si>
  <si>
    <t>PDG</t>
  </si>
  <si>
    <t>WIMG</t>
  </si>
  <si>
    <t>Tabing Airport</t>
  </si>
  <si>
    <t>WIPT</t>
  </si>
  <si>
    <t>Minangkabau International Airport</t>
  </si>
  <si>
    <t>PDK</t>
  </si>
  <si>
    <t>KPDK</t>
  </si>
  <si>
    <t>DeKalb-Peachtree Airport</t>
  </si>
  <si>
    <t>PDL</t>
  </si>
  <si>
    <t>LPPD</t>
  </si>
  <si>
    <t>João Paulo II Airport (Ponta Delgada Airport)</t>
  </si>
  <si>
    <t>PDO</t>
  </si>
  <si>
    <t>WIPQ</t>
  </si>
  <si>
    <t>Pendopo Airport</t>
  </si>
  <si>
    <t>PDP</t>
  </si>
  <si>
    <t>SULS</t>
  </si>
  <si>
    <t>Capitan Corbeta CA Curbelo International Airport</t>
  </si>
  <si>
    <t>PDS</t>
  </si>
  <si>
    <t>MMPG</t>
  </si>
  <si>
    <t>Piedras Negras International Airport</t>
  </si>
  <si>
    <t>PDT</t>
  </si>
  <si>
    <t>KPDT</t>
  </si>
  <si>
    <t>Eastern Oregon Regional Airport</t>
  </si>
  <si>
    <t>PDU</t>
  </si>
  <si>
    <t>SUPU</t>
  </si>
  <si>
    <t>Tydeo Larre Borges Airport</t>
  </si>
  <si>
    <t>PDV</t>
  </si>
  <si>
    <t>LBPD</t>
  </si>
  <si>
    <t>Plovdiv International Airport</t>
  </si>
  <si>
    <t>PDX</t>
  </si>
  <si>
    <t>KPDX</t>
  </si>
  <si>
    <t>Portland International Airport</t>
  </si>
  <si>
    <t>PDZ</t>
  </si>
  <si>
    <t>SVPE</t>
  </si>
  <si>
    <t>Pedernales Airport</t>
  </si>
  <si>
    <t>PEA</t>
  </si>
  <si>
    <t>YPSH</t>
  </si>
  <si>
    <t>Penneshaw Airport</t>
  </si>
  <si>
    <t>KPEA</t>
  </si>
  <si>
    <t>Pella Municipal Airport</t>
  </si>
  <si>
    <t>PED</t>
  </si>
  <si>
    <t>LKPD</t>
  </si>
  <si>
    <t>Pardubice Airport</t>
  </si>
  <si>
    <t>PEE</t>
  </si>
  <si>
    <t>USPP</t>
  </si>
  <si>
    <t>Bolshoye Savino Airport</t>
  </si>
  <si>
    <t>PEG</t>
  </si>
  <si>
    <t>LIRZ</t>
  </si>
  <si>
    <t>Perugia / San Egidio Airport</t>
  </si>
  <si>
    <t>PEH</t>
  </si>
  <si>
    <t>SAZP</t>
  </si>
  <si>
    <t>Comodoro Pedro Zanni Airport</t>
  </si>
  <si>
    <t>PEI</t>
  </si>
  <si>
    <t>SKPE</t>
  </si>
  <si>
    <t>Matecaña International Airport</t>
  </si>
  <si>
    <t>PEK</t>
  </si>
  <si>
    <t>ZBAA</t>
  </si>
  <si>
    <t>Beijing Capital International Airport</t>
  </si>
  <si>
    <t>PEL</t>
  </si>
  <si>
    <t>FXPG</t>
  </si>
  <si>
    <t>Pelaneng Airport</t>
  </si>
  <si>
    <t>PEM</t>
  </si>
  <si>
    <t>SPTU</t>
  </si>
  <si>
    <t>Puerto Maldonado International Airport</t>
  </si>
  <si>
    <t>PEN</t>
  </si>
  <si>
    <t>WMKP</t>
  </si>
  <si>
    <t>Penang International Airport</t>
  </si>
  <si>
    <t>PEO</t>
  </si>
  <si>
    <t>KPEO</t>
  </si>
  <si>
    <t>Penn Yan Airport</t>
  </si>
  <si>
    <t>PEQ</t>
  </si>
  <si>
    <t>KPEQ</t>
  </si>
  <si>
    <t>Pecos Municipal Airport</t>
  </si>
  <si>
    <t>PER</t>
  </si>
  <si>
    <t>YPPH</t>
  </si>
  <si>
    <t>Perth Airport</t>
  </si>
  <si>
    <t>PES</t>
  </si>
  <si>
    <t>ULPB</t>
  </si>
  <si>
    <t>Besovets Airport, Petrozavodsk, Russia</t>
  </si>
  <si>
    <t>PET</t>
  </si>
  <si>
    <t>SBPK</t>
  </si>
  <si>
    <t>Aeroporto Internacional de Pelotas</t>
  </si>
  <si>
    <t>PEU</t>
  </si>
  <si>
    <t>MHPL</t>
  </si>
  <si>
    <t>Puerto Lempira Airport</t>
  </si>
  <si>
    <t>PEV</t>
  </si>
  <si>
    <t>LHPP</t>
  </si>
  <si>
    <t>Pécs Pogány Airport</t>
  </si>
  <si>
    <t>PEW</t>
  </si>
  <si>
    <t>OPPS</t>
  </si>
  <si>
    <t>Peshawar Airport</t>
  </si>
  <si>
    <t>PEX</t>
  </si>
  <si>
    <t>UUYP</t>
  </si>
  <si>
    <t>Pechora Airport</t>
  </si>
  <si>
    <t>KPEX</t>
  </si>
  <si>
    <t>Paynesville Municipal Airport</t>
  </si>
  <si>
    <t>PEZ</t>
  </si>
  <si>
    <t>UWPP</t>
  </si>
  <si>
    <t>Penza Airport</t>
  </si>
  <si>
    <t>PFB</t>
  </si>
  <si>
    <t>SBPF</t>
  </si>
  <si>
    <t>Aeroporto de Passo Fundo</t>
  </si>
  <si>
    <t>PFC</t>
  </si>
  <si>
    <t>KPFC</t>
  </si>
  <si>
    <t>Pacific City State Airport</t>
  </si>
  <si>
    <t>PFJ</t>
  </si>
  <si>
    <t>BIPA</t>
  </si>
  <si>
    <t>Patreksfjordur Airport</t>
  </si>
  <si>
    <t>PFN</t>
  </si>
  <si>
    <t>KPFN</t>
  </si>
  <si>
    <t>Panama City-Bay County International Airport</t>
  </si>
  <si>
    <t>PFO</t>
  </si>
  <si>
    <t>LCPH</t>
  </si>
  <si>
    <t>Paphos International Airport</t>
  </si>
  <si>
    <t>PFQ</t>
  </si>
  <si>
    <t>OITP</t>
  </si>
  <si>
    <t>Parsabade Moghan Airport</t>
  </si>
  <si>
    <t>PFR</t>
  </si>
  <si>
    <t>FZVS</t>
  </si>
  <si>
    <t>Ilebo Airport</t>
  </si>
  <si>
    <t>PGA</t>
  </si>
  <si>
    <t>KPGA</t>
  </si>
  <si>
    <t>Page Municipal Airport</t>
  </si>
  <si>
    <t>PGD</t>
  </si>
  <si>
    <t>KPGD</t>
  </si>
  <si>
    <t>Charlotte County Airport</t>
  </si>
  <si>
    <t>PGF</t>
  </si>
  <si>
    <t>LFMP</t>
  </si>
  <si>
    <t>Perpignan/Rivesaltes Aéroport</t>
  </si>
  <si>
    <t>PGH</t>
  </si>
  <si>
    <t>VIPT</t>
  </si>
  <si>
    <t>Pantnagar Airport</t>
  </si>
  <si>
    <t>PGI</t>
  </si>
  <si>
    <t>FNCH</t>
  </si>
  <si>
    <t>Chitato Airport</t>
  </si>
  <si>
    <t>PGK</t>
  </si>
  <si>
    <t>WIPK</t>
  </si>
  <si>
    <t>Pangkal Pinang (Depati Amir) Airport</t>
  </si>
  <si>
    <t>PGR</t>
  </si>
  <si>
    <t>KPGR</t>
  </si>
  <si>
    <t>Kirk Field</t>
  </si>
  <si>
    <t>PGV</t>
  </si>
  <si>
    <t>KPGV</t>
  </si>
  <si>
    <t>Pitt-Greenville Airport</t>
  </si>
  <si>
    <t>PGX</t>
  </si>
  <si>
    <t>LFBX</t>
  </si>
  <si>
    <t>Perigueux-Bassillac Aéroport</t>
  </si>
  <si>
    <t>PGZ</t>
  </si>
  <si>
    <t>SSZW</t>
  </si>
  <si>
    <t>Ponta Grossa Airport</t>
  </si>
  <si>
    <t>PHA</t>
  </si>
  <si>
    <t>VVPR</t>
  </si>
  <si>
    <t>Phan Rang Airport</t>
  </si>
  <si>
    <t>PHB</t>
  </si>
  <si>
    <t>Dr. Joao Silva Filho Airport</t>
  </si>
  <si>
    <t>PHC</t>
  </si>
  <si>
    <t>DNPO</t>
  </si>
  <si>
    <t>Port Harcourt International Airport (Omagwa International Ai</t>
  </si>
  <si>
    <t>PHD</t>
  </si>
  <si>
    <t>KPHD</t>
  </si>
  <si>
    <t>Harry Clever Field</t>
  </si>
  <si>
    <t>PHE</t>
  </si>
  <si>
    <t>YPPD</t>
  </si>
  <si>
    <t>Port Hedland International Airport</t>
  </si>
  <si>
    <t>PHF</t>
  </si>
  <si>
    <t>KPHF</t>
  </si>
  <si>
    <t>Newport News/Williamsburg International Airport</t>
  </si>
  <si>
    <t>PHG</t>
  </si>
  <si>
    <t>KPHG</t>
  </si>
  <si>
    <t>Phillipsburg Municipal Airport</t>
  </si>
  <si>
    <t>PHH</t>
  </si>
  <si>
    <t>VVPT</t>
  </si>
  <si>
    <t>Phan Thiet Airport</t>
  </si>
  <si>
    <t>PHI</t>
  </si>
  <si>
    <t>SNYE</t>
  </si>
  <si>
    <t>Pinheiro Airport</t>
  </si>
  <si>
    <t>PHK</t>
  </si>
  <si>
    <t>KPHK</t>
  </si>
  <si>
    <t>Palm Beach County Glades Airport</t>
  </si>
  <si>
    <t>PHL</t>
  </si>
  <si>
    <t>KPHL</t>
  </si>
  <si>
    <t>Philadelphia International Airport</t>
  </si>
  <si>
    <t>PHN</t>
  </si>
  <si>
    <t>KPHN</t>
  </si>
  <si>
    <t>St. Clair County International Airport</t>
  </si>
  <si>
    <t>PHO</t>
  </si>
  <si>
    <t>PAPO</t>
  </si>
  <si>
    <t>Point Hope Airport</t>
  </si>
  <si>
    <t>PHP</t>
  </si>
  <si>
    <t>KPHP</t>
  </si>
  <si>
    <t>Philip Airport</t>
  </si>
  <si>
    <t>PHS</t>
  </si>
  <si>
    <t>VTPP</t>
  </si>
  <si>
    <t>Phitsanulok Airport</t>
  </si>
  <si>
    <t>PHT</t>
  </si>
  <si>
    <t>KPHT</t>
  </si>
  <si>
    <t>Henry County Airport</t>
  </si>
  <si>
    <t>PHW</t>
  </si>
  <si>
    <t>FAPH</t>
  </si>
  <si>
    <t>Hendrik Van Eck Airport</t>
  </si>
  <si>
    <t>PHX</t>
  </si>
  <si>
    <t>KPHX</t>
  </si>
  <si>
    <t>Sky Harbor International Airport</t>
  </si>
  <si>
    <t>PHY</t>
  </si>
  <si>
    <t>VTPB</t>
  </si>
  <si>
    <t>Phetchabun Airport</t>
  </si>
  <si>
    <t>PIA</t>
  </si>
  <si>
    <t>KPIA</t>
  </si>
  <si>
    <t>General Wayne A. Downing Peoria International Airport</t>
  </si>
  <si>
    <t>PIB</t>
  </si>
  <si>
    <t>KPIB</t>
  </si>
  <si>
    <t>Hattiesburg-Laurel Regional Airport</t>
  </si>
  <si>
    <t>PIC</t>
  </si>
  <si>
    <t>MBPI</t>
  </si>
  <si>
    <t>Pine Cay Airport</t>
  </si>
  <si>
    <t>PID</t>
  </si>
  <si>
    <t>MYPI</t>
  </si>
  <si>
    <t>Paradise Island Airport</t>
  </si>
  <si>
    <t>PIE</t>
  </si>
  <si>
    <t>KPIE</t>
  </si>
  <si>
    <t>St. Petersburg-Clearwater International Airport</t>
  </si>
  <si>
    <t>PIF</t>
  </si>
  <si>
    <t>RCSQ</t>
  </si>
  <si>
    <t>Pingtung North Airport</t>
  </si>
  <si>
    <t>PIH</t>
  </si>
  <si>
    <t>KPIH</t>
  </si>
  <si>
    <t>Pocatello Regional Airport</t>
  </si>
  <si>
    <t>PIK</t>
  </si>
  <si>
    <t>EGPK</t>
  </si>
  <si>
    <t>Glasgow Prestwick International Airport</t>
  </si>
  <si>
    <t>PIL</t>
  </si>
  <si>
    <t>SGPI</t>
  </si>
  <si>
    <t>Carlos Miguel Gimenez Airport</t>
  </si>
  <si>
    <t>PIM</t>
  </si>
  <si>
    <t>KPIM</t>
  </si>
  <si>
    <t>Callaway Gardens-Harris County Airport</t>
  </si>
  <si>
    <t>PIN</t>
  </si>
  <si>
    <t>SWPI</t>
  </si>
  <si>
    <t>Parintins Airport</t>
  </si>
  <si>
    <t>PIO</t>
  </si>
  <si>
    <t>SPSO</t>
  </si>
  <si>
    <t>Capitán FAP Renán Elías Olivera International Airport</t>
  </si>
  <si>
    <t>PIR</t>
  </si>
  <si>
    <t>KPIR</t>
  </si>
  <si>
    <t>Pierre Regional Airport</t>
  </si>
  <si>
    <t>PIS</t>
  </si>
  <si>
    <t>LFBI</t>
  </si>
  <si>
    <t>Poitiers - Biard Airport</t>
  </si>
  <si>
    <t>PIT</t>
  </si>
  <si>
    <t>KPIT</t>
  </si>
  <si>
    <t>Pittsburgh International Airport</t>
  </si>
  <si>
    <t>PIU</t>
  </si>
  <si>
    <t>SPUR</t>
  </si>
  <si>
    <t>Piura Airport</t>
  </si>
  <si>
    <t>PIV</t>
  </si>
  <si>
    <t>SNPX</t>
  </si>
  <si>
    <t>Pirapora Airport</t>
  </si>
  <si>
    <t>SNRA</t>
  </si>
  <si>
    <t>Fazenda Santo André Airport</t>
  </si>
  <si>
    <t>PIW</t>
  </si>
  <si>
    <t>CZMN</t>
  </si>
  <si>
    <t>Pikwitonei Airport</t>
  </si>
  <si>
    <t>PIX</t>
  </si>
  <si>
    <t>LPPI</t>
  </si>
  <si>
    <t>Pico Airport</t>
  </si>
  <si>
    <t>PIZ</t>
  </si>
  <si>
    <t>PPIZ</t>
  </si>
  <si>
    <t>Point Lay LRRS Airport</t>
  </si>
  <si>
    <t>PJA</t>
  </si>
  <si>
    <t>ESUP</t>
  </si>
  <si>
    <t>Pajala Airport</t>
  </si>
  <si>
    <t>PJC</t>
  </si>
  <si>
    <t>SGPJ</t>
  </si>
  <si>
    <t>Dr. Augusto Roberto Fuster International Airport</t>
  </si>
  <si>
    <t>PJG</t>
  </si>
  <si>
    <t>OPPG</t>
  </si>
  <si>
    <t>Panjgur Airport</t>
  </si>
  <si>
    <t>PJM</t>
  </si>
  <si>
    <t>MRPJ</t>
  </si>
  <si>
    <t>Puerto Jimenez Airport</t>
  </si>
  <si>
    <t>PJY</t>
  </si>
  <si>
    <t>KPJY</t>
  </si>
  <si>
    <t>Pinckneyville-Du Quoin Airport</t>
  </si>
  <si>
    <t>PJZ</t>
  </si>
  <si>
    <t>KPJZ</t>
  </si>
  <si>
    <t>Puerto Juarez</t>
  </si>
  <si>
    <t>PKB</t>
  </si>
  <si>
    <t>KPKB</t>
  </si>
  <si>
    <t>Mid-Ohio Valley Regional Airport</t>
  </si>
  <si>
    <t>PKC</t>
  </si>
  <si>
    <t>UHPP</t>
  </si>
  <si>
    <t>Yelizovo Airport</t>
  </si>
  <si>
    <t>PKD</t>
  </si>
  <si>
    <t>KPKD</t>
  </si>
  <si>
    <t>Park Rapids Municipal Airport (Konshok Field)</t>
  </si>
  <si>
    <t>PKE</t>
  </si>
  <si>
    <t>YPKS</t>
  </si>
  <si>
    <t>Parkes Airport</t>
  </si>
  <si>
    <t>PKF</t>
  </si>
  <si>
    <t>KPKF</t>
  </si>
  <si>
    <t>Park Falls Municipal Airport</t>
  </si>
  <si>
    <t>PKG</t>
  </si>
  <si>
    <t>WMPA</t>
  </si>
  <si>
    <t>Pulau Pangkor Airport</t>
  </si>
  <si>
    <t>PKH</t>
  </si>
  <si>
    <t>LGHL</t>
  </si>
  <si>
    <t>Porto Cheli Airport</t>
  </si>
  <si>
    <t>PKK</t>
  </si>
  <si>
    <t>VYPU</t>
  </si>
  <si>
    <t>Pakhokku Airport</t>
  </si>
  <si>
    <t>PKN</t>
  </si>
  <si>
    <t>WAOI</t>
  </si>
  <si>
    <t>Iskandar Airport</t>
  </si>
  <si>
    <t>PKO</t>
  </si>
  <si>
    <t>DBBP</t>
  </si>
  <si>
    <t>Parakou Airport</t>
  </si>
  <si>
    <t>PKP</t>
  </si>
  <si>
    <t>NTGP</t>
  </si>
  <si>
    <t>Puka Puka Airport</t>
  </si>
  <si>
    <t>PKR</t>
  </si>
  <si>
    <t>VNPK</t>
  </si>
  <si>
    <t>Pokhara Airport</t>
  </si>
  <si>
    <t>PKT</t>
  </si>
  <si>
    <t>YPKT</t>
  </si>
  <si>
    <t>Port Keats Airport</t>
  </si>
  <si>
    <t>PKU</t>
  </si>
  <si>
    <t>WIBB</t>
  </si>
  <si>
    <t>Sultan Syarif Kasim II Airport</t>
  </si>
  <si>
    <t>PKV</t>
  </si>
  <si>
    <t>ULOO</t>
  </si>
  <si>
    <t>Pskov Airport</t>
  </si>
  <si>
    <t>PKW</t>
  </si>
  <si>
    <t>FBSP</t>
  </si>
  <si>
    <t>Selebi Phikwe Airport</t>
  </si>
  <si>
    <t>PKX</t>
  </si>
  <si>
    <t>ZBAD</t>
  </si>
  <si>
    <t>Beijing Daxing International Airport</t>
  </si>
  <si>
    <t>PKY</t>
  </si>
  <si>
    <t>WAOP</t>
  </si>
  <si>
    <t>Tjilik Riwut Airport</t>
  </si>
  <si>
    <t>PKZ</t>
  </si>
  <si>
    <t>VLPS</t>
  </si>
  <si>
    <t>Pakse International Airport</t>
  </si>
  <si>
    <t>PLB</t>
  </si>
  <si>
    <t>KPLB</t>
  </si>
  <si>
    <t>Clinton County Airport</t>
  </si>
  <si>
    <t>PLD</t>
  </si>
  <si>
    <t>MRSR</t>
  </si>
  <si>
    <t>Playa Samara Airport</t>
  </si>
  <si>
    <t>KPLD</t>
  </si>
  <si>
    <t>Portland Municipal Airport</t>
  </si>
  <si>
    <t>PLF</t>
  </si>
  <si>
    <t>FTTP</t>
  </si>
  <si>
    <t>Pala Airport</t>
  </si>
  <si>
    <t>PLH</t>
  </si>
  <si>
    <t>EGHD</t>
  </si>
  <si>
    <t>Plymouth City Airport</t>
  </si>
  <si>
    <t>PLK</t>
  </si>
  <si>
    <t>KPLK</t>
  </si>
  <si>
    <t>M. Graham Clark - Taney County Airport</t>
  </si>
  <si>
    <t>PLL</t>
  </si>
  <si>
    <t>SBMN</t>
  </si>
  <si>
    <t>Ponta Pelada Airport</t>
  </si>
  <si>
    <t>PLM</t>
  </si>
  <si>
    <t>WIPP</t>
  </si>
  <si>
    <t>Sultan Mahmud Badaruddin II Airport</t>
  </si>
  <si>
    <t>PLN</t>
  </si>
  <si>
    <t>KPLN</t>
  </si>
  <si>
    <t>Pellston Regional Airport</t>
  </si>
  <si>
    <t>PLO</t>
  </si>
  <si>
    <t>YPLC</t>
  </si>
  <si>
    <t>Port Lincoln Airport</t>
  </si>
  <si>
    <t>PLP</t>
  </si>
  <si>
    <t>MPLP</t>
  </si>
  <si>
    <t>Captain Ramon Xatruch Airport</t>
  </si>
  <si>
    <t>PLQ</t>
  </si>
  <si>
    <t>EYPA</t>
  </si>
  <si>
    <t>Palanga International Airport</t>
  </si>
  <si>
    <t>PLR</t>
  </si>
  <si>
    <t>KPLR</t>
  </si>
  <si>
    <t>St. Clair County Airport</t>
  </si>
  <si>
    <t>PLS</t>
  </si>
  <si>
    <t>MBPV</t>
  </si>
  <si>
    <t>Providenciales International Airport</t>
  </si>
  <si>
    <t>PLT</t>
  </si>
  <si>
    <t>SKPL</t>
  </si>
  <si>
    <t>Plato Airport</t>
  </si>
  <si>
    <t>PLU</t>
  </si>
  <si>
    <t>SBBH</t>
  </si>
  <si>
    <t>Pampulha Domestic Airport</t>
  </si>
  <si>
    <t>PLV</t>
  </si>
  <si>
    <t>UKHP</t>
  </si>
  <si>
    <t>Suprunovka Airport</t>
  </si>
  <si>
    <t>PLW</t>
  </si>
  <si>
    <t>WAML</t>
  </si>
  <si>
    <t>Mutiara Airport</t>
  </si>
  <si>
    <t>PLX</t>
  </si>
  <si>
    <t>Semey Airport</t>
  </si>
  <si>
    <t>PLZ</t>
  </si>
  <si>
    <t>FAPE</t>
  </si>
  <si>
    <t>Port Elizabeth Airport</t>
  </si>
  <si>
    <t>PMA</t>
  </si>
  <si>
    <t>HTPE</t>
  </si>
  <si>
    <t>Pemba Airport</t>
  </si>
  <si>
    <t>PMB</t>
  </si>
  <si>
    <t>KPMB</t>
  </si>
  <si>
    <t>Pembina Municipal Airport</t>
  </si>
  <si>
    <t>PMC</t>
  </si>
  <si>
    <t>SCTE</t>
  </si>
  <si>
    <t>El Tepual Airport</t>
  </si>
  <si>
    <t>PMD</t>
  </si>
  <si>
    <t>KPMD</t>
  </si>
  <si>
    <t>Palmdale Regional Airport</t>
  </si>
  <si>
    <t>PMF</t>
  </si>
  <si>
    <t>LIMP</t>
  </si>
  <si>
    <t>Parma Airport (Aeroporto di Parma "Giuseppe Verdi")</t>
  </si>
  <si>
    <t>PMG</t>
  </si>
  <si>
    <t>SBPP</t>
  </si>
  <si>
    <t>Ponta Porã International Airport</t>
  </si>
  <si>
    <t>PMH</t>
  </si>
  <si>
    <t>KPMH</t>
  </si>
  <si>
    <t>Greater Portsmouth Regional Airport</t>
  </si>
  <si>
    <t>PMI</t>
  </si>
  <si>
    <t>LEPA</t>
  </si>
  <si>
    <t>Son Sant Joan Airport (Palma de Mallorca Airport)</t>
  </si>
  <si>
    <t>PMK</t>
  </si>
  <si>
    <t>YPAM</t>
  </si>
  <si>
    <t>Palm Island Airport</t>
  </si>
  <si>
    <t>PMO</t>
  </si>
  <si>
    <t>LICJ</t>
  </si>
  <si>
    <t>Palermo International Airport (Aeroporto Falcone e Borsellin</t>
  </si>
  <si>
    <t>PMQ</t>
  </si>
  <si>
    <t>SAWP</t>
  </si>
  <si>
    <t>Perito Moreno Airport</t>
  </si>
  <si>
    <t>PMR</t>
  </si>
  <si>
    <t>NZPM</t>
  </si>
  <si>
    <t>Palmerston North International Airport</t>
  </si>
  <si>
    <t>PMS</t>
  </si>
  <si>
    <t>OSPR</t>
  </si>
  <si>
    <t>Palmyra Airport</t>
  </si>
  <si>
    <t>PMU</t>
  </si>
  <si>
    <t>KPMU</t>
  </si>
  <si>
    <t>Panola County Airport</t>
  </si>
  <si>
    <t>PMV</t>
  </si>
  <si>
    <t>SVMG</t>
  </si>
  <si>
    <t>Del Caribe International General Santiago Marino Airport</t>
  </si>
  <si>
    <t>PMW</t>
  </si>
  <si>
    <t>SBPJ</t>
  </si>
  <si>
    <t>Brigadeiro Lysias Rodrigues Airport</t>
  </si>
  <si>
    <t>SWPJ</t>
  </si>
  <si>
    <t>Fazenda São Caetano Airport</t>
  </si>
  <si>
    <t>PMY</t>
  </si>
  <si>
    <t>SAVY</t>
  </si>
  <si>
    <t>El Tehuelche Airport</t>
  </si>
  <si>
    <t>PMZ</t>
  </si>
  <si>
    <t>MRPM</t>
  </si>
  <si>
    <t>Palmar Sur Airport</t>
  </si>
  <si>
    <t>KPMZ</t>
  </si>
  <si>
    <t>Plymouth Municipal Airport</t>
  </si>
  <si>
    <t>PNA</t>
  </si>
  <si>
    <t>LEPP</t>
  </si>
  <si>
    <t>Pamplona Airport</t>
  </si>
  <si>
    <t>KPNA</t>
  </si>
  <si>
    <t>Ralph Wenz Field</t>
  </si>
  <si>
    <t>PNB</t>
  </si>
  <si>
    <t>SBPN</t>
  </si>
  <si>
    <t>Porto Nacional Airport</t>
  </si>
  <si>
    <t>PNC</t>
  </si>
  <si>
    <t>KPNC</t>
  </si>
  <si>
    <t>Ponca City Regional Airport</t>
  </si>
  <si>
    <t>PNE</t>
  </si>
  <si>
    <t>KPNE</t>
  </si>
  <si>
    <t>Northeast Philadelphia Airport</t>
  </si>
  <si>
    <t>PNG</t>
  </si>
  <si>
    <t>SSPG</t>
  </si>
  <si>
    <t>Paranaguá Airport</t>
  </si>
  <si>
    <t>PNH</t>
  </si>
  <si>
    <t>VDPP</t>
  </si>
  <si>
    <t>Pochentong International Airport</t>
  </si>
  <si>
    <t>PNI</t>
  </si>
  <si>
    <t>PTPN</t>
  </si>
  <si>
    <t>Pohnpei International Airport</t>
  </si>
  <si>
    <t>PNK</t>
  </si>
  <si>
    <t>WIOO</t>
  </si>
  <si>
    <t>Supadio Airport</t>
  </si>
  <si>
    <t>PNL</t>
  </si>
  <si>
    <t>LICG</t>
  </si>
  <si>
    <t>Pantelleria Airport</t>
  </si>
  <si>
    <t>PNM</t>
  </si>
  <si>
    <t>KPNM</t>
  </si>
  <si>
    <t>Princeton Municipal Airport (Minnesota)</t>
  </si>
  <si>
    <t>PNN</t>
  </si>
  <si>
    <t>KPNN</t>
  </si>
  <si>
    <t>Princeton Municipal Airport (Maine)</t>
  </si>
  <si>
    <t>PNP</t>
  </si>
  <si>
    <t>AYGR</t>
  </si>
  <si>
    <t>Girua Airport</t>
  </si>
  <si>
    <t>PNQ</t>
  </si>
  <si>
    <t>VAPO</t>
  </si>
  <si>
    <t>Pune International Airport</t>
  </si>
  <si>
    <t>PNR</t>
  </si>
  <si>
    <t>FCPP</t>
  </si>
  <si>
    <t>Pointe Noire Airport</t>
  </si>
  <si>
    <t>PNS</t>
  </si>
  <si>
    <t>KPNS</t>
  </si>
  <si>
    <t>Pensacola Regional Airport</t>
  </si>
  <si>
    <t>PNT</t>
  </si>
  <si>
    <t>SCNT</t>
  </si>
  <si>
    <t>Tte. Julio Gallardo Airport</t>
  </si>
  <si>
    <t>KPNT</t>
  </si>
  <si>
    <t>Pontiac Municipal Airport</t>
  </si>
  <si>
    <t>PNV</t>
  </si>
  <si>
    <t>EYPP</t>
  </si>
  <si>
    <t>PanevÄ—Å¾ys Air Base</t>
  </si>
  <si>
    <t>PNY</t>
  </si>
  <si>
    <t>VOPC</t>
  </si>
  <si>
    <t>Pondicherry Airport</t>
  </si>
  <si>
    <t>PNZ</t>
  </si>
  <si>
    <t>SBPL</t>
  </si>
  <si>
    <t>Senador Nilo Coelho International Airport</t>
  </si>
  <si>
    <t>POA</t>
  </si>
  <si>
    <t>SBPA</t>
  </si>
  <si>
    <t>Salgado Filho International Airport</t>
  </si>
  <si>
    <t>POB</t>
  </si>
  <si>
    <t>KPOB</t>
  </si>
  <si>
    <t>Pope Air Force Base</t>
  </si>
  <si>
    <t>POC</t>
  </si>
  <si>
    <t>KPOC</t>
  </si>
  <si>
    <t>Brackett Field</t>
  </si>
  <si>
    <t>POD</t>
  </si>
  <si>
    <t>GOSP</t>
  </si>
  <si>
    <t>Podor Airport</t>
  </si>
  <si>
    <t>POE</t>
  </si>
  <si>
    <t>KPOE</t>
  </si>
  <si>
    <t>Polk Army Airfield</t>
  </si>
  <si>
    <t>POF</t>
  </si>
  <si>
    <t>KPOF</t>
  </si>
  <si>
    <t>Poplar Bluff Municipal Airport</t>
  </si>
  <si>
    <t>POG</t>
  </si>
  <si>
    <t>FOOG</t>
  </si>
  <si>
    <t>Port Gentil Airport</t>
  </si>
  <si>
    <t>POH</t>
  </si>
  <si>
    <t>KPOH</t>
  </si>
  <si>
    <t>Pocahontas Municipal Airport</t>
  </si>
  <si>
    <t>POI</t>
  </si>
  <si>
    <t>SLPO</t>
  </si>
  <si>
    <t>Capitan Nicolas Rojas Airport</t>
  </si>
  <si>
    <t>POJ</t>
  </si>
  <si>
    <t>SNPD</t>
  </si>
  <si>
    <t>Patos de Minas Airport</t>
  </si>
  <si>
    <t>POL</t>
  </si>
  <si>
    <t>FQPB</t>
  </si>
  <si>
    <t>POM</t>
  </si>
  <si>
    <t>AYPY</t>
  </si>
  <si>
    <t>Jacksons International Airport</t>
  </si>
  <si>
    <t>PON</t>
  </si>
  <si>
    <t>MGPP</t>
  </si>
  <si>
    <t>Poptún Airport</t>
  </si>
  <si>
    <t>POO</t>
  </si>
  <si>
    <t>SBPC</t>
  </si>
  <si>
    <t>Poços de Caldas Airport</t>
  </si>
  <si>
    <t>POP</t>
  </si>
  <si>
    <t>MDPP</t>
  </si>
  <si>
    <t>Puerto Plata Airport</t>
  </si>
  <si>
    <t>POR</t>
  </si>
  <si>
    <t>EFPO</t>
  </si>
  <si>
    <t>Pori Airport</t>
  </si>
  <si>
    <t>POS</t>
  </si>
  <si>
    <t>TTPP</t>
  </si>
  <si>
    <t>Piarco International Airport</t>
  </si>
  <si>
    <t>POT</t>
  </si>
  <si>
    <t>MKKJ</t>
  </si>
  <si>
    <t>Ken Jones Aerodrome</t>
  </si>
  <si>
    <t>POU</t>
  </si>
  <si>
    <t>KPOU</t>
  </si>
  <si>
    <t>Dutchess County Airport</t>
  </si>
  <si>
    <t>POV</t>
  </si>
  <si>
    <t>LZPW</t>
  </si>
  <si>
    <t>PreÅ¡ov Air Base</t>
  </si>
  <si>
    <t>POW</t>
  </si>
  <si>
    <t>LJPZ</t>
  </si>
  <si>
    <t>Portoro? Airport</t>
  </si>
  <si>
    <t>POX</t>
  </si>
  <si>
    <t>LFPT</t>
  </si>
  <si>
    <t>Pontoise Airport</t>
  </si>
  <si>
    <t>POY</t>
  </si>
  <si>
    <t>KPOY</t>
  </si>
  <si>
    <t>Powell Municipal Airport</t>
  </si>
  <si>
    <t>POZ</t>
  </si>
  <si>
    <t>EPPO</t>
  </si>
  <si>
    <t>Pozna?-?awica Airport</t>
  </si>
  <si>
    <t>PPA</t>
  </si>
  <si>
    <t>KPPA</t>
  </si>
  <si>
    <t>Perry Lefors Field</t>
  </si>
  <si>
    <t>PPB</t>
  </si>
  <si>
    <t>SBDN</t>
  </si>
  <si>
    <t>Presidente Prudente Airport</t>
  </si>
  <si>
    <t>PPC</t>
  </si>
  <si>
    <t>PAPR</t>
  </si>
  <si>
    <t>Prospect Creek Airport</t>
  </si>
  <si>
    <t>PPF</t>
  </si>
  <si>
    <t>KPPF</t>
  </si>
  <si>
    <t>Tri-City Airport</t>
  </si>
  <si>
    <t>PPG</t>
  </si>
  <si>
    <t>NSTU</t>
  </si>
  <si>
    <t>Pago Pago International Airport</t>
  </si>
  <si>
    <t>PPH</t>
  </si>
  <si>
    <t>SVPH</t>
  </si>
  <si>
    <t>Perai Tepuy Airport</t>
  </si>
  <si>
    <t>PPI</t>
  </si>
  <si>
    <t>YPIR</t>
  </si>
  <si>
    <t>Port Pirie Airport</t>
  </si>
  <si>
    <t>PPJ</t>
  </si>
  <si>
    <t>WIIG</t>
  </si>
  <si>
    <t>Pulau Panjang Airport</t>
  </si>
  <si>
    <t>PPK</t>
  </si>
  <si>
    <t>UACP</t>
  </si>
  <si>
    <t>Petropavlovsk Airport</t>
  </si>
  <si>
    <t>PPL</t>
  </si>
  <si>
    <t>VNPL</t>
  </si>
  <si>
    <t>Phaplu Airport</t>
  </si>
  <si>
    <t>PPM</t>
  </si>
  <si>
    <t>KPMP</t>
  </si>
  <si>
    <t>Pompano Beach Airpark</t>
  </si>
  <si>
    <t>PPN</t>
  </si>
  <si>
    <t>SKPP</t>
  </si>
  <si>
    <t>Guillermo León Valencia Airport</t>
  </si>
  <si>
    <t>PPO</t>
  </si>
  <si>
    <t>KPPO</t>
  </si>
  <si>
    <t>La Porte Municipal Airport</t>
  </si>
  <si>
    <t>PPP</t>
  </si>
  <si>
    <t>YBPN</t>
  </si>
  <si>
    <t>Whitsunday Coast Airport</t>
  </si>
  <si>
    <t>PPQ</t>
  </si>
  <si>
    <t>NZPP</t>
  </si>
  <si>
    <t>Paraparaumu Airport</t>
  </si>
  <si>
    <t>KPPQ</t>
  </si>
  <si>
    <t>Pittsfield Penstone Municipal Airport</t>
  </si>
  <si>
    <t>PPR</t>
  </si>
  <si>
    <t>WIDE</t>
  </si>
  <si>
    <t>Pasir Pangaraan Airport</t>
  </si>
  <si>
    <t>PPS</t>
  </si>
  <si>
    <t>RPVP</t>
  </si>
  <si>
    <t>Puerto Princesa Airport</t>
  </si>
  <si>
    <t>PPT</t>
  </si>
  <si>
    <t>NTAA</t>
  </si>
  <si>
    <t>Faa'a International Airport</t>
  </si>
  <si>
    <t>PPU</t>
  </si>
  <si>
    <t>VYPP</t>
  </si>
  <si>
    <t>Hpapun Airport</t>
  </si>
  <si>
    <t>PPW</t>
  </si>
  <si>
    <t>EGEP</t>
  </si>
  <si>
    <t>Papa Westray Airport</t>
  </si>
  <si>
    <t>PPY</t>
  </si>
  <si>
    <t>SNZA</t>
  </si>
  <si>
    <t>Pouso Alegre Airport</t>
  </si>
  <si>
    <t>PQC</t>
  </si>
  <si>
    <t>VVPQ</t>
  </si>
  <si>
    <t>Phu Quoc Airport</t>
  </si>
  <si>
    <t>PQE</t>
  </si>
  <si>
    <t>SKPQ</t>
  </si>
  <si>
    <t>German Olano Air Base</t>
  </si>
  <si>
    <t>PQI</t>
  </si>
  <si>
    <t>KPQI</t>
  </si>
  <si>
    <t>Northern Maine Regional Airport at Presque Isle</t>
  </si>
  <si>
    <t>PQL</t>
  </si>
  <si>
    <t>KPQL</t>
  </si>
  <si>
    <t>Trent Lott International Airport</t>
  </si>
  <si>
    <t>PQM</t>
  </si>
  <si>
    <t>MMPQ</t>
  </si>
  <si>
    <t>Palenque International Airport</t>
  </si>
  <si>
    <t>PQN</t>
  </si>
  <si>
    <t>KPQN</t>
  </si>
  <si>
    <t>Pipestone Municipal Airport</t>
  </si>
  <si>
    <t>PQQ</t>
  </si>
  <si>
    <t>YPMQ</t>
  </si>
  <si>
    <t>Port Macquarie Airport</t>
  </si>
  <si>
    <t>PRA</t>
  </si>
  <si>
    <t>SAAP</t>
  </si>
  <si>
    <t>General Justo José de Urquiza Airport</t>
  </si>
  <si>
    <t>PRB</t>
  </si>
  <si>
    <t>KPRB</t>
  </si>
  <si>
    <t>Paso Robles Municipal Airport</t>
  </si>
  <si>
    <t>PRC</t>
  </si>
  <si>
    <t>KPRC</t>
  </si>
  <si>
    <t>Ernest A. Love Field</t>
  </si>
  <si>
    <t>PRD</t>
  </si>
  <si>
    <t>YPDO</t>
  </si>
  <si>
    <t>Pardoo Airport</t>
  </si>
  <si>
    <t>PRG</t>
  </si>
  <si>
    <t>LKPR</t>
  </si>
  <si>
    <t>Václav Havel Airport Prague</t>
  </si>
  <si>
    <t>KPRG</t>
  </si>
  <si>
    <t>Edgar County Airport</t>
  </si>
  <si>
    <t>PRH</t>
  </si>
  <si>
    <t>VTCP</t>
  </si>
  <si>
    <t>Phrae Airport</t>
  </si>
  <si>
    <t>PRK</t>
  </si>
  <si>
    <t>FAPK</t>
  </si>
  <si>
    <t>Prieska Airport</t>
  </si>
  <si>
    <t>PRM</t>
  </si>
  <si>
    <t>LPPM</t>
  </si>
  <si>
    <t>Portimao Airport</t>
  </si>
  <si>
    <t>PRN</t>
  </si>
  <si>
    <t>BKPR</t>
  </si>
  <si>
    <t>Pristina International Airport</t>
  </si>
  <si>
    <t>PRO</t>
  </si>
  <si>
    <t>KPRO</t>
  </si>
  <si>
    <t>Perry Municipal Airport</t>
  </si>
  <si>
    <t>PRP</t>
  </si>
  <si>
    <t>LFKO</t>
  </si>
  <si>
    <t>Propriano Airport</t>
  </si>
  <si>
    <t>PRQ</t>
  </si>
  <si>
    <t>SARS</t>
  </si>
  <si>
    <t>Presidencia Roque Sáenz Peña Airport</t>
  </si>
  <si>
    <t>PRR</t>
  </si>
  <si>
    <t>SYPR</t>
  </si>
  <si>
    <t>Paruima Airport</t>
  </si>
  <si>
    <t>PRS</t>
  </si>
  <si>
    <t>AGGP</t>
  </si>
  <si>
    <t>Parasi Airport</t>
  </si>
  <si>
    <t>PRU</t>
  </si>
  <si>
    <t>VYPY</t>
  </si>
  <si>
    <t>Pyay Airport</t>
  </si>
  <si>
    <t>PRV</t>
  </si>
  <si>
    <t>LKPO</t>
  </si>
  <si>
    <t>PÅ™erov Air Base</t>
  </si>
  <si>
    <t>PRX</t>
  </si>
  <si>
    <t>KPRX</t>
  </si>
  <si>
    <t>Cox Field</t>
  </si>
  <si>
    <t>PRY</t>
  </si>
  <si>
    <t>FAWB</t>
  </si>
  <si>
    <t>Wonderboom Airport</t>
  </si>
  <si>
    <t>PRZ</t>
  </si>
  <si>
    <t>KPRZ</t>
  </si>
  <si>
    <t>Portales Municipal Airport</t>
  </si>
  <si>
    <t>PSA</t>
  </si>
  <si>
    <t>LIRP</t>
  </si>
  <si>
    <t>Galileo Galilei Airport</t>
  </si>
  <si>
    <t>PSB</t>
  </si>
  <si>
    <t>KPSB</t>
  </si>
  <si>
    <t>Mid-State Airport</t>
  </si>
  <si>
    <t>PSC</t>
  </si>
  <si>
    <t>KPSC</t>
  </si>
  <si>
    <t>Tri-Cities Airport</t>
  </si>
  <si>
    <t>PSD</t>
  </si>
  <si>
    <t>HEPS</t>
  </si>
  <si>
    <t>Port Said Airport</t>
  </si>
  <si>
    <t>PSE</t>
  </si>
  <si>
    <t>TJPS</t>
  </si>
  <si>
    <t>Mercedita Airport</t>
  </si>
  <si>
    <t>PSF</t>
  </si>
  <si>
    <t>KPSF</t>
  </si>
  <si>
    <t>Pittsfield Municipal Airport</t>
  </si>
  <si>
    <t>PSG</t>
  </si>
  <si>
    <t>PAPG</t>
  </si>
  <si>
    <t>Petersburg James A. Johnson Airport</t>
  </si>
  <si>
    <t>PSH</t>
  </si>
  <si>
    <t>EDXO</t>
  </si>
  <si>
    <t>St. Peter-Ording Airport</t>
  </si>
  <si>
    <t>PSI</t>
  </si>
  <si>
    <t>OPPI</t>
  </si>
  <si>
    <t>Pasni Airport</t>
  </si>
  <si>
    <t>PSJ</t>
  </si>
  <si>
    <t>WAMP</t>
  </si>
  <si>
    <t>Kasiguncu Airport</t>
  </si>
  <si>
    <t>PSK</t>
  </si>
  <si>
    <t>KPSK</t>
  </si>
  <si>
    <t>New River Valley Airport</t>
  </si>
  <si>
    <t>PSL</t>
  </si>
  <si>
    <t>EGPT</t>
  </si>
  <si>
    <t>PSM</t>
  </si>
  <si>
    <t>KPSM</t>
  </si>
  <si>
    <t>Portsmouth International Airport at Pease</t>
  </si>
  <si>
    <t>PSN</t>
  </si>
  <si>
    <t>KPSN</t>
  </si>
  <si>
    <t>Palestine Municipal Airport</t>
  </si>
  <si>
    <t>PSO</t>
  </si>
  <si>
    <t>SKPS</t>
  </si>
  <si>
    <t>Antonio Nariño Airport</t>
  </si>
  <si>
    <t>PSP</t>
  </si>
  <si>
    <t>KPSP</t>
  </si>
  <si>
    <t>Palm Springs International Airport</t>
  </si>
  <si>
    <t>PSR</t>
  </si>
  <si>
    <t>LIBP</t>
  </si>
  <si>
    <t>Pescara Airport</t>
  </si>
  <si>
    <t>PSS</t>
  </si>
  <si>
    <t>SARP</t>
  </si>
  <si>
    <t>Libertador General José de San Martín Airport</t>
  </si>
  <si>
    <t>PSU</t>
  </si>
  <si>
    <t>WIOP</t>
  </si>
  <si>
    <t>Pangsuma Airport</t>
  </si>
  <si>
    <t>PSW</t>
  </si>
  <si>
    <t>SNOS</t>
  </si>
  <si>
    <t>Municipal José Figueiredo Airport</t>
  </si>
  <si>
    <t>PSX</t>
  </si>
  <si>
    <t>KPSX</t>
  </si>
  <si>
    <t>Palacios Municipal Airport</t>
  </si>
  <si>
    <t>PSY</t>
  </si>
  <si>
    <t>SFAL</t>
  </si>
  <si>
    <t>Stanley Airport</t>
  </si>
  <si>
    <t>PSZ</t>
  </si>
  <si>
    <t>SLPS</t>
  </si>
  <si>
    <t>Puerto Suárez International Airport</t>
  </si>
  <si>
    <t>PTB</t>
  </si>
  <si>
    <t>KPTB</t>
  </si>
  <si>
    <t>Dinwiddie County Airport</t>
  </si>
  <si>
    <t>PTD</t>
  </si>
  <si>
    <t>KPTD</t>
  </si>
  <si>
    <t>Potsdam Municipal Airport (Damon Field)</t>
  </si>
  <si>
    <t>PTF</t>
  </si>
  <si>
    <t>NFFO</t>
  </si>
  <si>
    <t>Malolo Lailai Island Airport</t>
  </si>
  <si>
    <t>PTG</t>
  </si>
  <si>
    <t>FAPI</t>
  </si>
  <si>
    <t>Pietersburg Municipal Airport</t>
  </si>
  <si>
    <t>FAPP</t>
  </si>
  <si>
    <t>Polokwane International Airport</t>
  </si>
  <si>
    <t>PTH</t>
  </si>
  <si>
    <t>PAPH</t>
  </si>
  <si>
    <t>Port Heiden Airport</t>
  </si>
  <si>
    <t>PTJ</t>
  </si>
  <si>
    <t>YPOD</t>
  </si>
  <si>
    <t>Portland Airport</t>
  </si>
  <si>
    <t>PTK</t>
  </si>
  <si>
    <t>KPTK</t>
  </si>
  <si>
    <t>Oakland County International Airport</t>
  </si>
  <si>
    <t>PTM</t>
  </si>
  <si>
    <t>SVPT</t>
  </si>
  <si>
    <t>Palmarito Airport</t>
  </si>
  <si>
    <t>PTN</t>
  </si>
  <si>
    <t>KPTN</t>
  </si>
  <si>
    <t>Harry P. Williams Memorial Airport</t>
  </si>
  <si>
    <t>PTO</t>
  </si>
  <si>
    <t>SSPB</t>
  </si>
  <si>
    <t>Pato Branco Airport</t>
  </si>
  <si>
    <t>PTP</t>
  </si>
  <si>
    <t>TFFR</t>
  </si>
  <si>
    <t>Pointe-à-Pitre International Airport</t>
  </si>
  <si>
    <t>PTQ</t>
  </si>
  <si>
    <t>SNMZ</t>
  </si>
  <si>
    <t>Porto de Moz Airport</t>
  </si>
  <si>
    <t>PTS</t>
  </si>
  <si>
    <t>KPTS</t>
  </si>
  <si>
    <t>Atkinson Municipal Airport</t>
  </si>
  <si>
    <t>PTT</t>
  </si>
  <si>
    <t>KPTT</t>
  </si>
  <si>
    <t>Pratt Industrial Airport</t>
  </si>
  <si>
    <t>PTU</t>
  </si>
  <si>
    <t>PAPM</t>
  </si>
  <si>
    <t>Platinum Airport</t>
  </si>
  <si>
    <t>PTV</t>
  </si>
  <si>
    <t>KPTV</t>
  </si>
  <si>
    <t>Porterville Municipal Airport</t>
  </si>
  <si>
    <t>PTW</t>
  </si>
  <si>
    <t>KPTW</t>
  </si>
  <si>
    <t>Pottstown Limerick Airport</t>
  </si>
  <si>
    <t>PTX</t>
  </si>
  <si>
    <t>SKPI</t>
  </si>
  <si>
    <t>Pitalito Airport</t>
  </si>
  <si>
    <t>PTY</t>
  </si>
  <si>
    <t>MPTO</t>
  </si>
  <si>
    <t>Tocumen International Airport</t>
  </si>
  <si>
    <t>PTZ</t>
  </si>
  <si>
    <t>SEPA</t>
  </si>
  <si>
    <t>Rio Amazonas Airport</t>
  </si>
  <si>
    <t>SESM</t>
  </si>
  <si>
    <t>PUB</t>
  </si>
  <si>
    <t>KPUB</t>
  </si>
  <si>
    <t>Pueblo Memorial Airport</t>
  </si>
  <si>
    <t>PUC</t>
  </si>
  <si>
    <t>KPUC</t>
  </si>
  <si>
    <t>Carbon County Airport</t>
  </si>
  <si>
    <t>PUD</t>
  </si>
  <si>
    <t>SAWD</t>
  </si>
  <si>
    <t>Puerto deseado Airport</t>
  </si>
  <si>
    <t>PUF</t>
  </si>
  <si>
    <t>LFBP</t>
  </si>
  <si>
    <t>Pyrenees Airport</t>
  </si>
  <si>
    <t>PUG</t>
  </si>
  <si>
    <t>YPAG</t>
  </si>
  <si>
    <t>Port Augusta Airport</t>
  </si>
  <si>
    <t>PUI</t>
  </si>
  <si>
    <t>VEPU</t>
  </si>
  <si>
    <t>Purnea Airport</t>
  </si>
  <si>
    <t>PUJ</t>
  </si>
  <si>
    <t>MDPC</t>
  </si>
  <si>
    <t>Punta Cana International Airport</t>
  </si>
  <si>
    <t>PUK</t>
  </si>
  <si>
    <t>NTGQ</t>
  </si>
  <si>
    <t>Pukarua Airport</t>
  </si>
  <si>
    <t>PUN</t>
  </si>
  <si>
    <t>FZOP</t>
  </si>
  <si>
    <t>Punia Airport</t>
  </si>
  <si>
    <t>PUP</t>
  </si>
  <si>
    <t>DFCP</t>
  </si>
  <si>
    <t>Po Airport</t>
  </si>
  <si>
    <t>PUQ</t>
  </si>
  <si>
    <t>SCCI</t>
  </si>
  <si>
    <t>Carlos Ibanez Del Campo International Airport</t>
  </si>
  <si>
    <t>PUR</t>
  </si>
  <si>
    <t>SLPR</t>
  </si>
  <si>
    <t>Puerto Rico Airport</t>
  </si>
  <si>
    <t>PUS</t>
  </si>
  <si>
    <t>RKPK</t>
  </si>
  <si>
    <t>Gimhae International Airport</t>
  </si>
  <si>
    <t>RKPP</t>
  </si>
  <si>
    <t>PUU</t>
  </si>
  <si>
    <t>SKAS</t>
  </si>
  <si>
    <t>Tres de Mayo Airport</t>
  </si>
  <si>
    <t>PUV</t>
  </si>
  <si>
    <t>NWWP</t>
  </si>
  <si>
    <t>Poum Airport</t>
  </si>
  <si>
    <t>PUW</t>
  </si>
  <si>
    <t>KPUW</t>
  </si>
  <si>
    <t>Pullman-Moscow Regional Airport</t>
  </si>
  <si>
    <t>PUX</t>
  </si>
  <si>
    <t>SCPV</t>
  </si>
  <si>
    <t>El Mirador Airport</t>
  </si>
  <si>
    <t>PUY</t>
  </si>
  <si>
    <t>LDPL</t>
  </si>
  <si>
    <t>Pula Airport</t>
  </si>
  <si>
    <t>PUZ</t>
  </si>
  <si>
    <t>MNPC</t>
  </si>
  <si>
    <t>Puerto Cabezas Airport</t>
  </si>
  <si>
    <t>PVA</t>
  </si>
  <si>
    <t>SKPV</t>
  </si>
  <si>
    <t>El Embrujo Airport Providencia Island, Colombia</t>
  </si>
  <si>
    <t>PVB</t>
  </si>
  <si>
    <t>KPVB</t>
  </si>
  <si>
    <t>Platteville Municipal Airport</t>
  </si>
  <si>
    <t>PVC</t>
  </si>
  <si>
    <t>KPVC</t>
  </si>
  <si>
    <t>Provincetown Municipal Airport</t>
  </si>
  <si>
    <t>PVD</t>
  </si>
  <si>
    <t>KPVD</t>
  </si>
  <si>
    <t>Theodore Francis Green State Airport</t>
  </si>
  <si>
    <t>PVF</t>
  </si>
  <si>
    <t>KPVF</t>
  </si>
  <si>
    <t>Placerville Airport</t>
  </si>
  <si>
    <t>PVG</t>
  </si>
  <si>
    <t>ZSPD</t>
  </si>
  <si>
    <t>Shanghai Pudong International Airport</t>
  </si>
  <si>
    <t>PVH</t>
  </si>
  <si>
    <t>SBPV</t>
  </si>
  <si>
    <t>Governador Jorge Teixeira de Oliveira International Airport</t>
  </si>
  <si>
    <t>PVI</t>
  </si>
  <si>
    <t>SSPI</t>
  </si>
  <si>
    <t>Paranavaí Airport</t>
  </si>
  <si>
    <t>PVJ</t>
  </si>
  <si>
    <t>KPVJ</t>
  </si>
  <si>
    <t>Pauls Valley Municipal Airport</t>
  </si>
  <si>
    <t>PVK</t>
  </si>
  <si>
    <t>LGPZ</t>
  </si>
  <si>
    <t>Aktion Airport</t>
  </si>
  <si>
    <t>PVN</t>
  </si>
  <si>
    <t>LBPL</t>
  </si>
  <si>
    <t>Dolna Mitropoliya Air Base</t>
  </si>
  <si>
    <t>PVO</t>
  </si>
  <si>
    <t>SEPV</t>
  </si>
  <si>
    <t>Reales Tamarindos Airport</t>
  </si>
  <si>
    <t>PVR</t>
  </si>
  <si>
    <t>MMPR</t>
  </si>
  <si>
    <t>Puerto Vallarta International Airport</t>
  </si>
  <si>
    <t>PVS</t>
  </si>
  <si>
    <t>UHMD</t>
  </si>
  <si>
    <t>Provideniya Bay Airport</t>
  </si>
  <si>
    <t>PVU</t>
  </si>
  <si>
    <t>KPVU</t>
  </si>
  <si>
    <t>Provo Municipal Airport</t>
  </si>
  <si>
    <t>PVW</t>
  </si>
  <si>
    <t>KPVW</t>
  </si>
  <si>
    <t>Hale County Airport</t>
  </si>
  <si>
    <t>PWA</t>
  </si>
  <si>
    <t>KPWA</t>
  </si>
  <si>
    <t>Wiley Post Airport</t>
  </si>
  <si>
    <t>PWC</t>
  </si>
  <si>
    <t>KPWC</t>
  </si>
  <si>
    <t>Pine River Regional Airport</t>
  </si>
  <si>
    <t>PWD</t>
  </si>
  <si>
    <t>KPWD</t>
  </si>
  <si>
    <t>Sher-Wood Airport</t>
  </si>
  <si>
    <t>PWE</t>
  </si>
  <si>
    <t>UHMP</t>
  </si>
  <si>
    <t>Pevek Airport</t>
  </si>
  <si>
    <t>PWG</t>
  </si>
  <si>
    <t>KPWG</t>
  </si>
  <si>
    <t>McGregor Executive Airport</t>
  </si>
  <si>
    <t>PWK</t>
  </si>
  <si>
    <t>KPWK</t>
  </si>
  <si>
    <t>Chicago Executive Airport</t>
  </si>
  <si>
    <t>PWL</t>
  </si>
  <si>
    <t>WIAP</t>
  </si>
  <si>
    <t>Purwokerto Airport</t>
  </si>
  <si>
    <t>PWM</t>
  </si>
  <si>
    <t>KPWM</t>
  </si>
  <si>
    <t>Portland International Jetport (formerly Portland-Westbrook</t>
  </si>
  <si>
    <t>PWN</t>
  </si>
  <si>
    <t>MYCP</t>
  </si>
  <si>
    <t>Pitts Town Airport</t>
  </si>
  <si>
    <t>PWO</t>
  </si>
  <si>
    <t>FZQC</t>
  </si>
  <si>
    <t>Pweto Airport</t>
  </si>
  <si>
    <t>PWQ</t>
  </si>
  <si>
    <t>UASP</t>
  </si>
  <si>
    <t>Pavlodar Airport</t>
  </si>
  <si>
    <t>PWT</t>
  </si>
  <si>
    <t>KPWT</t>
  </si>
  <si>
    <t>Bremerton National Airport</t>
  </si>
  <si>
    <t>PXE</t>
  </si>
  <si>
    <t>KPXE</t>
  </si>
  <si>
    <t>Perry-Houston County Airport</t>
  </si>
  <si>
    <t>PXK</t>
  </si>
  <si>
    <t>PAXK</t>
  </si>
  <si>
    <t>Paxson Airport</t>
  </si>
  <si>
    <t>PXM</t>
  </si>
  <si>
    <t>MMPS</t>
  </si>
  <si>
    <t>Puerto Escondido International Airport</t>
  </si>
  <si>
    <t>PXO</t>
  </si>
  <si>
    <t>LPPS</t>
  </si>
  <si>
    <t>Porto Santo Airport</t>
  </si>
  <si>
    <t>PXU</t>
  </si>
  <si>
    <t>VVPK</t>
  </si>
  <si>
    <t>Pleiku Airport</t>
  </si>
  <si>
    <t>PYB</t>
  </si>
  <si>
    <t>VEJP</t>
  </si>
  <si>
    <t>Jeypore Airport</t>
  </si>
  <si>
    <t>PYE</t>
  </si>
  <si>
    <t>NCPY</t>
  </si>
  <si>
    <t>Tongareva Airport</t>
  </si>
  <si>
    <t>PYG</t>
  </si>
  <si>
    <t>VEPY</t>
  </si>
  <si>
    <t>Pakyong Airport</t>
  </si>
  <si>
    <t>PYH</t>
  </si>
  <si>
    <t>SVPA</t>
  </si>
  <si>
    <t>Cacique Aramare Airport</t>
  </si>
  <si>
    <t>PYJ</t>
  </si>
  <si>
    <t>UERP</t>
  </si>
  <si>
    <t>Polyarny Airport</t>
  </si>
  <si>
    <t>PYM</t>
  </si>
  <si>
    <t>KPYM</t>
  </si>
  <si>
    <t>PYN</t>
  </si>
  <si>
    <t>KPYN</t>
  </si>
  <si>
    <t>Piedmont Municipal Airport</t>
  </si>
  <si>
    <t>PYO</t>
  </si>
  <si>
    <t>SEPT</t>
  </si>
  <si>
    <t>Putumayo Airport</t>
  </si>
  <si>
    <t>PYR</t>
  </si>
  <si>
    <t>LGAD</t>
  </si>
  <si>
    <t>Andravida Airport</t>
  </si>
  <si>
    <t>PYX</t>
  </si>
  <si>
    <t>KPYX</t>
  </si>
  <si>
    <t>Perryton Ochiltree County Airport</t>
  </si>
  <si>
    <t>PYY</t>
  </si>
  <si>
    <t>VTCI</t>
  </si>
  <si>
    <t>PZA</t>
  </si>
  <si>
    <t>SKPZ</t>
  </si>
  <si>
    <t>Paz De Ariporo Airport</t>
  </si>
  <si>
    <t>PZB</t>
  </si>
  <si>
    <t>FAPM</t>
  </si>
  <si>
    <t>Pietermaritzburg Airport</t>
  </si>
  <si>
    <t>PZH</t>
  </si>
  <si>
    <t>OPZB</t>
  </si>
  <si>
    <t>Zhob Airport</t>
  </si>
  <si>
    <t>PZL</t>
  </si>
  <si>
    <t>FADQ</t>
  </si>
  <si>
    <t>Zulu Inyala Airport</t>
  </si>
  <si>
    <t>PZO</t>
  </si>
  <si>
    <t>SVPR</t>
  </si>
  <si>
    <t>General Manuel Carlos Piar International Airport</t>
  </si>
  <si>
    <t>PZQ</t>
  </si>
  <si>
    <t>KPZQ</t>
  </si>
  <si>
    <t>Presque Isle County Airport</t>
  </si>
  <si>
    <t>PZU</t>
  </si>
  <si>
    <t>HSPN</t>
  </si>
  <si>
    <t>Port Sudan New International Airport</t>
  </si>
  <si>
    <t>PZY</t>
  </si>
  <si>
    <t>LZPP</t>
  </si>
  <si>
    <t>Piestany Airport</t>
  </si>
  <si>
    <t>QAC</t>
  </si>
  <si>
    <t>SSQT</t>
  </si>
  <si>
    <t>Castro Airport</t>
  </si>
  <si>
    <t>QAK</t>
  </si>
  <si>
    <t>SBBQ</t>
  </si>
  <si>
    <t>Major Brigadeiro Doorgal Borges Airport</t>
  </si>
  <si>
    <t>QAM</t>
  </si>
  <si>
    <t>LFAY</t>
  </si>
  <si>
    <t>Amiens-Glisy Airport</t>
  </si>
  <si>
    <t>QAR</t>
  </si>
  <si>
    <t>EHDL</t>
  </si>
  <si>
    <t>Deelen Air Base</t>
  </si>
  <si>
    <t>QAS</t>
  </si>
  <si>
    <t>DAOI</t>
  </si>
  <si>
    <t>Ech Cheliff Airport</t>
  </si>
  <si>
    <t>QBA</t>
  </si>
  <si>
    <t>QBC</t>
  </si>
  <si>
    <t>CYBD</t>
  </si>
  <si>
    <t>Bella Coola Airport</t>
  </si>
  <si>
    <t>QBQ</t>
  </si>
  <si>
    <t>LFSA</t>
  </si>
  <si>
    <t>Besançon Thise Airport</t>
  </si>
  <si>
    <t>QBX</t>
  </si>
  <si>
    <t>SNOB</t>
  </si>
  <si>
    <t>Sobral Airport</t>
  </si>
  <si>
    <t>QCH</t>
  </si>
  <si>
    <t>SNCX</t>
  </si>
  <si>
    <t>Colatina Airport</t>
  </si>
  <si>
    <t>QCJ</t>
  </si>
  <si>
    <t>SDBK</t>
  </si>
  <si>
    <t>Botucatu Airport</t>
  </si>
  <si>
    <t>QCN</t>
  </si>
  <si>
    <t>SSCN</t>
  </si>
  <si>
    <t>Canela Airport</t>
  </si>
  <si>
    <t>QCO</t>
  </si>
  <si>
    <t>MUCO</t>
  </si>
  <si>
    <t>Colón Airport</t>
  </si>
  <si>
    <t>QCP</t>
  </si>
  <si>
    <t>SNKN</t>
  </si>
  <si>
    <t>Currais Novos Airport</t>
  </si>
  <si>
    <t>QCR</t>
  </si>
  <si>
    <t>SSKU</t>
  </si>
  <si>
    <t>Curitibanos Airport</t>
  </si>
  <si>
    <t>QCY</t>
  </si>
  <si>
    <t>EGXC</t>
  </si>
  <si>
    <t>RAF Coningsby</t>
  </si>
  <si>
    <t>QDB</t>
  </si>
  <si>
    <t>SSKS</t>
  </si>
  <si>
    <t>Cachoeira do Sul Airport</t>
  </si>
  <si>
    <t>QDC</t>
  </si>
  <si>
    <t>SDDR</t>
  </si>
  <si>
    <t>Dracena Airport</t>
  </si>
  <si>
    <t>QDF</t>
  </si>
  <si>
    <t>SNKF</t>
  </si>
  <si>
    <t>Conselheiro Lafaiete Airport</t>
  </si>
  <si>
    <t>QEF</t>
  </si>
  <si>
    <t>EDFE</t>
  </si>
  <si>
    <t>Frankfurt Egelsbach Airport</t>
  </si>
  <si>
    <t>QEO</t>
  </si>
  <si>
    <t>EPKW</t>
  </si>
  <si>
    <t>Bielsko-Bialo Kaniow Airfield</t>
  </si>
  <si>
    <t>QFD</t>
  </si>
  <si>
    <t>DAAK</t>
  </si>
  <si>
    <t>Boufarik Airport</t>
  </si>
  <si>
    <t>QFO</t>
  </si>
  <si>
    <t>EGSU</t>
  </si>
  <si>
    <t>Duxford Airport</t>
  </si>
  <si>
    <t>QFR</t>
  </si>
  <si>
    <t>LIRH</t>
  </si>
  <si>
    <t>Frosinone Military Airport</t>
  </si>
  <si>
    <t>QGA</t>
  </si>
  <si>
    <t>SSGY</t>
  </si>
  <si>
    <t>Guaíra Airport</t>
  </si>
  <si>
    <t>QGB</t>
  </si>
  <si>
    <t>SDYM</t>
  </si>
  <si>
    <t>Limeira Airport</t>
  </si>
  <si>
    <t>QGC</t>
  </si>
  <si>
    <t>SDLP</t>
  </si>
  <si>
    <t>Lençóis Paulista Airport</t>
  </si>
  <si>
    <t>QGF</t>
  </si>
  <si>
    <t>SSNG</t>
  </si>
  <si>
    <t>Montenegro Airport</t>
  </si>
  <si>
    <t>QGP</t>
  </si>
  <si>
    <t>SNGN</t>
  </si>
  <si>
    <t>Garanhuns, Pernambuco, Brazil</t>
  </si>
  <si>
    <t>QGS</t>
  </si>
  <si>
    <t>SDUO</t>
  </si>
  <si>
    <t>Alagoinhas Airport</t>
  </si>
  <si>
    <t>QGU</t>
  </si>
  <si>
    <t>RJNG</t>
  </si>
  <si>
    <t>Gifu Air Base</t>
  </si>
  <si>
    <t>QGY</t>
  </si>
  <si>
    <t>LHPR</t>
  </si>
  <si>
    <t>Győr-Pér International Airport</t>
  </si>
  <si>
    <t>QHA</t>
  </si>
  <si>
    <t>EBZH</t>
  </si>
  <si>
    <t>Kiewit Airfield</t>
  </si>
  <si>
    <t>QHB</t>
  </si>
  <si>
    <t>SDPW</t>
  </si>
  <si>
    <t>Piracicaba Airport</t>
  </si>
  <si>
    <t>QHD</t>
  </si>
  <si>
    <t>ETIE</t>
  </si>
  <si>
    <t>Heidelberg AAF</t>
  </si>
  <si>
    <t>QHN</t>
  </si>
  <si>
    <t>SWTY</t>
  </si>
  <si>
    <t>Taguatinga Airport</t>
  </si>
  <si>
    <t>QHP</t>
  </si>
  <si>
    <t>SBTA</t>
  </si>
  <si>
    <t>Base de Aviação de Taubaté Airport</t>
  </si>
  <si>
    <t>QHR</t>
  </si>
  <si>
    <t>HAHM</t>
  </si>
  <si>
    <t>Harar Meda Airport</t>
  </si>
  <si>
    <t>QHV</t>
  </si>
  <si>
    <t>SSNH</t>
  </si>
  <si>
    <t>Novo Hamburgo Airport</t>
  </si>
  <si>
    <t>QID</t>
  </si>
  <si>
    <t>SNVI</t>
  </si>
  <si>
    <t>Mélio Viana Airport</t>
  </si>
  <si>
    <t>QIE</t>
  </si>
  <si>
    <t>LFMI</t>
  </si>
  <si>
    <t>Istres Le Tubé/Istres Air Base (BA 125) Airport</t>
  </si>
  <si>
    <t>QIG</t>
  </si>
  <si>
    <t>SNIG</t>
  </si>
  <si>
    <t>Iguatu Airport</t>
  </si>
  <si>
    <t>QIQ</t>
  </si>
  <si>
    <t>SDRK</t>
  </si>
  <si>
    <t>Rio Claro Airport</t>
  </si>
  <si>
    <t>QIT</t>
  </si>
  <si>
    <t>SNIP</t>
  </si>
  <si>
    <t>Itapetinga Airport</t>
  </si>
  <si>
    <t>QJB</t>
  </si>
  <si>
    <t>OEJB</t>
  </si>
  <si>
    <t>Jubail Airport</t>
  </si>
  <si>
    <t>QJD</t>
  </si>
  <si>
    <t>YJIN</t>
  </si>
  <si>
    <t>Jindabyne Airport</t>
  </si>
  <si>
    <t>QKF</t>
  </si>
  <si>
    <t>EDLK</t>
  </si>
  <si>
    <t>Krefeld-Egelsberg Airport</t>
  </si>
  <si>
    <t>QKX</t>
  </si>
  <si>
    <t>ENKA</t>
  </si>
  <si>
    <t>Kautokeino Air Base</t>
  </si>
  <si>
    <t>QLA</t>
  </si>
  <si>
    <t>EGHL</t>
  </si>
  <si>
    <t>Lasham Airfield</t>
  </si>
  <si>
    <t>QLC</t>
  </si>
  <si>
    <t>EPGL</t>
  </si>
  <si>
    <t>Gliwice Glider Airport</t>
  </si>
  <si>
    <t>QLD</t>
  </si>
  <si>
    <t>DAAB</t>
  </si>
  <si>
    <t>Blida Airport</t>
  </si>
  <si>
    <t>QLF</t>
  </si>
  <si>
    <t>EFLA</t>
  </si>
  <si>
    <t>Lahti Vesivehmaa Airport</t>
  </si>
  <si>
    <t>QLT</t>
  </si>
  <si>
    <t>LIRL</t>
  </si>
  <si>
    <t>Latina Airport</t>
  </si>
  <si>
    <t>QLU</t>
  </si>
  <si>
    <t>EPLR</t>
  </si>
  <si>
    <t>Lublin Radwiec Airport</t>
  </si>
  <si>
    <t>QMF</t>
  </si>
  <si>
    <t>SSMF</t>
  </si>
  <si>
    <t>Mafra Airport</t>
  </si>
  <si>
    <t>QMJ</t>
  </si>
  <si>
    <t>OIAI</t>
  </si>
  <si>
    <t>Shahid Asyaee Airport</t>
  </si>
  <si>
    <t>QMM</t>
  </si>
  <si>
    <t>LILQ</t>
  </si>
  <si>
    <t>Massa Cinquale Airport</t>
  </si>
  <si>
    <t>QMZ</t>
  </si>
  <si>
    <t>EDFZ</t>
  </si>
  <si>
    <t>Mainz-Finthen Airport</t>
  </si>
  <si>
    <t>QNC</t>
  </si>
  <si>
    <t>LSGN</t>
  </si>
  <si>
    <t>Neuchatel Airport</t>
  </si>
  <si>
    <t>QND</t>
  </si>
  <si>
    <t>LYNS</t>
  </si>
  <si>
    <t>Cenej Airport</t>
  </si>
  <si>
    <t>QNJ</t>
  </si>
  <si>
    <t>LFLI</t>
  </si>
  <si>
    <t>Annemasse Airport</t>
  </si>
  <si>
    <t>QNM</t>
  </si>
  <si>
    <t>EBNM</t>
  </si>
  <si>
    <t>Suarlée Airport</t>
  </si>
  <si>
    <t>QNS</t>
  </si>
  <si>
    <t>SBCO</t>
  </si>
  <si>
    <t>Canoas Airport</t>
  </si>
  <si>
    <t>QNV</t>
  </si>
  <si>
    <t>SDNY</t>
  </si>
  <si>
    <t>Aeroclube Airport</t>
  </si>
  <si>
    <t>QNX</t>
  </si>
  <si>
    <t>LFLM</t>
  </si>
  <si>
    <t>Mâcon-Charnay Airport</t>
  </si>
  <si>
    <t>QOA</t>
  </si>
  <si>
    <t>SDKK</t>
  </si>
  <si>
    <t>Mococa Airport</t>
  </si>
  <si>
    <t>QOB</t>
  </si>
  <si>
    <t>EDQF</t>
  </si>
  <si>
    <t>Ansbach-Petersdorf Airport</t>
  </si>
  <si>
    <t>QOE</t>
  </si>
  <si>
    <t>ETNN</t>
  </si>
  <si>
    <t>Norvenich Airport</t>
  </si>
  <si>
    <t>QOJ</t>
  </si>
  <si>
    <t>SSSB</t>
  </si>
  <si>
    <t>São Borja Airport</t>
  </si>
  <si>
    <t>QOW</t>
  </si>
  <si>
    <t>DNIM</t>
  </si>
  <si>
    <t>Sam Mbakwe International Cargo Airport</t>
  </si>
  <si>
    <t>QPA</t>
  </si>
  <si>
    <t>LIPU</t>
  </si>
  <si>
    <t>Padova Airport</t>
  </si>
  <si>
    <t>QPD</t>
  </si>
  <si>
    <t>MUPR</t>
  </si>
  <si>
    <t>Pinar Del Rio Airport</t>
  </si>
  <si>
    <t>QPG</t>
  </si>
  <si>
    <t>WSAP</t>
  </si>
  <si>
    <t>Paya Lebar Airbase, Paya Lebar, Singapore</t>
  </si>
  <si>
    <t>QPH</t>
  </si>
  <si>
    <t>FBPY</t>
  </si>
  <si>
    <t>Palapye Airport</t>
  </si>
  <si>
    <t>QPM</t>
  </si>
  <si>
    <t>EPOP</t>
  </si>
  <si>
    <t>Opole-Polska Nowa Wieś Airport</t>
  </si>
  <si>
    <t>QPS</t>
  </si>
  <si>
    <t>SBYS</t>
  </si>
  <si>
    <t>Campo Fontenelle (military)</t>
  </si>
  <si>
    <t>QPZ</t>
  </si>
  <si>
    <t>LIMS</t>
  </si>
  <si>
    <t>Piacenza Airport</t>
  </si>
  <si>
    <t>QRA</t>
  </si>
  <si>
    <t>FAGM</t>
  </si>
  <si>
    <t>Rand Airport</t>
  </si>
  <si>
    <t>QRC</t>
  </si>
  <si>
    <t>SCRG</t>
  </si>
  <si>
    <t>De La Independencia Airport</t>
  </si>
  <si>
    <t>QRE</t>
  </si>
  <si>
    <t>SSKZ</t>
  </si>
  <si>
    <t>Carazinho Airport</t>
  </si>
  <si>
    <t>QRM</t>
  </si>
  <si>
    <t>YNRM</t>
  </si>
  <si>
    <t>Narromine Airport</t>
  </si>
  <si>
    <t>QRO</t>
  </si>
  <si>
    <t>MMQT</t>
  </si>
  <si>
    <t>Querétaro International Airport</t>
  </si>
  <si>
    <t>QRR</t>
  </si>
  <si>
    <t>YWRN</t>
  </si>
  <si>
    <t>Warren Airport</t>
  </si>
  <si>
    <t>QRT</t>
  </si>
  <si>
    <t>LIQN</t>
  </si>
  <si>
    <t>Rieti Airport</t>
  </si>
  <si>
    <t>QRZ</t>
  </si>
  <si>
    <t>SDRS</t>
  </si>
  <si>
    <t>Resende Airport</t>
  </si>
  <si>
    <t>QSA</t>
  </si>
  <si>
    <t>LELL</t>
  </si>
  <si>
    <t>Sabadell Airport</t>
  </si>
  <si>
    <t>QSC</t>
  </si>
  <si>
    <t>SDSC</t>
  </si>
  <si>
    <t>São Carlos Airport</t>
  </si>
  <si>
    <t>QSF</t>
  </si>
  <si>
    <t>DAAS</t>
  </si>
  <si>
    <t>Ain Arnat Airport</t>
  </si>
  <si>
    <t>QSI</t>
  </si>
  <si>
    <t>HTMS</t>
  </si>
  <si>
    <t>Moshi Airport</t>
  </si>
  <si>
    <t>QSN</t>
  </si>
  <si>
    <t>MUNB</t>
  </si>
  <si>
    <t>San Nicolas De Bari Airport</t>
  </si>
  <si>
    <t>QSR</t>
  </si>
  <si>
    <t>LIRI</t>
  </si>
  <si>
    <t>Salerno Airport</t>
  </si>
  <si>
    <t>QSX</t>
  </si>
  <si>
    <t>SYNA</t>
  </si>
  <si>
    <t>New Amsterdam Airport</t>
  </si>
  <si>
    <t>QTJ</t>
  </si>
  <si>
    <t>LFOR</t>
  </si>
  <si>
    <t>Chartres Champhol Airport</t>
  </si>
  <si>
    <t>QUG</t>
  </si>
  <si>
    <t>EGHR</t>
  </si>
  <si>
    <t>Goodwood Airfield</t>
  </si>
  <si>
    <t>QUN</t>
  </si>
  <si>
    <t>RKNC</t>
  </si>
  <si>
    <t>A-306 Airport</t>
  </si>
  <si>
    <t>QUS</t>
  </si>
  <si>
    <t>DNGU</t>
  </si>
  <si>
    <t>Gusau Airport</t>
  </si>
  <si>
    <t>QUT</t>
  </si>
  <si>
    <t>RJTU</t>
  </si>
  <si>
    <t>Utsunomiya Air Field</t>
  </si>
  <si>
    <t>QUY</t>
  </si>
  <si>
    <t>EGUY</t>
  </si>
  <si>
    <t>RAF Wyton</t>
  </si>
  <si>
    <t>QVA</t>
  </si>
  <si>
    <t>LILN</t>
  </si>
  <si>
    <t>Varese / Venegono Airport</t>
  </si>
  <si>
    <t>QVB</t>
  </si>
  <si>
    <t>SSUV</t>
  </si>
  <si>
    <t>União da Vitória Airport</t>
  </si>
  <si>
    <t>QVE</t>
  </si>
  <si>
    <t>EFFO</t>
  </si>
  <si>
    <t>Forssa Airport</t>
  </si>
  <si>
    <t>QVP</t>
  </si>
  <si>
    <t>SDRR</t>
  </si>
  <si>
    <t>Avaré-Arandu Airport</t>
  </si>
  <si>
    <t>QWS</t>
  </si>
  <si>
    <t>EPNT</t>
  </si>
  <si>
    <t>Nowy Targ Airport</t>
  </si>
  <si>
    <t>QXB</t>
  </si>
  <si>
    <t>LFMA</t>
  </si>
  <si>
    <t>Aix Les Milles Airport</t>
  </si>
  <si>
    <t>QXC</t>
  </si>
  <si>
    <t>SNXS</t>
  </si>
  <si>
    <t>Fazenda São Braz Airport</t>
  </si>
  <si>
    <t>QXD</t>
  </si>
  <si>
    <t>SNKI</t>
  </si>
  <si>
    <t>Cachoeiro do Itapemirim Airport</t>
  </si>
  <si>
    <t>QYD</t>
  </si>
  <si>
    <t>EPOK</t>
  </si>
  <si>
    <t>Gdynia-Babie Doły Air Base</t>
  </si>
  <si>
    <t>QYR</t>
  </si>
  <si>
    <t>LFQB</t>
  </si>
  <si>
    <t>Barberey Airport</t>
  </si>
  <si>
    <t>QYY</t>
  </si>
  <si>
    <t>EPBK</t>
  </si>
  <si>
    <t>Białystok-Krywlany Airport</t>
  </si>
  <si>
    <t>QZD</t>
  </si>
  <si>
    <t>LHUD</t>
  </si>
  <si>
    <t>Szeged Glider Airport</t>
  </si>
  <si>
    <t>QZN</t>
  </si>
  <si>
    <t>DAAZ</t>
  </si>
  <si>
    <t>Relizane Airport</t>
  </si>
  <si>
    <t>QZO</t>
  </si>
  <si>
    <t>LIQB</t>
  </si>
  <si>
    <t>Arezzo Airport</t>
  </si>
  <si>
    <t>RAB</t>
  </si>
  <si>
    <t>AYRB</t>
  </si>
  <si>
    <t>Rabaul Airport, Rabaul, Papua New Guinea</t>
  </si>
  <si>
    <t>AYTK</t>
  </si>
  <si>
    <t>Tokua Airport</t>
  </si>
  <si>
    <t>RAC</t>
  </si>
  <si>
    <t>KRAC</t>
  </si>
  <si>
    <t>John H. Batten Airport</t>
  </si>
  <si>
    <t>RAE</t>
  </si>
  <si>
    <t>OERR</t>
  </si>
  <si>
    <t>Arar Domestic Airport</t>
  </si>
  <si>
    <t>RAG</t>
  </si>
  <si>
    <t>NZRA</t>
  </si>
  <si>
    <t>Raglan Airfield</t>
  </si>
  <si>
    <t>RAH</t>
  </si>
  <si>
    <t>OERF</t>
  </si>
  <si>
    <t>Rafha Domestic Airport</t>
  </si>
  <si>
    <t>RAI</t>
  </si>
  <si>
    <t>GVFM</t>
  </si>
  <si>
    <t>Praia International Airport</t>
  </si>
  <si>
    <t>GVNP</t>
  </si>
  <si>
    <t>RAJ</t>
  </si>
  <si>
    <t>VARK</t>
  </si>
  <si>
    <t>Rajkot Airport</t>
  </si>
  <si>
    <t>RAK</t>
  </si>
  <si>
    <t>GMMX</t>
  </si>
  <si>
    <t>Menara International Airport</t>
  </si>
  <si>
    <t>RAL</t>
  </si>
  <si>
    <t>KRAL</t>
  </si>
  <si>
    <t>Riverside Municipal Airport</t>
  </si>
  <si>
    <t>RAM</t>
  </si>
  <si>
    <t>YRNG</t>
  </si>
  <si>
    <t>Ramingining Airport</t>
  </si>
  <si>
    <t>RAN</t>
  </si>
  <si>
    <t>LIDR</t>
  </si>
  <si>
    <t>Ravenna Airport</t>
  </si>
  <si>
    <t>RAO</t>
  </si>
  <si>
    <t>SBRP</t>
  </si>
  <si>
    <t>Leite Lopes Airport</t>
  </si>
  <si>
    <t>RAP</t>
  </si>
  <si>
    <t>KRAP</t>
  </si>
  <si>
    <t>Rapid City Regional Airport</t>
  </si>
  <si>
    <t>RAR</t>
  </si>
  <si>
    <t>NCRG</t>
  </si>
  <si>
    <t>Rarotonga International Airport</t>
  </si>
  <si>
    <t>RAS</t>
  </si>
  <si>
    <t>OIGG</t>
  </si>
  <si>
    <t>Rasht Airport</t>
  </si>
  <si>
    <t>KRAS</t>
  </si>
  <si>
    <t>Mustang Beach Airport</t>
  </si>
  <si>
    <t>RAV</t>
  </si>
  <si>
    <t>SKCN</t>
  </si>
  <si>
    <t>Cravo Norte Airport</t>
  </si>
  <si>
    <t>RAW</t>
  </si>
  <si>
    <t>KRAW</t>
  </si>
  <si>
    <t>Warsaw Municipal Airport</t>
  </si>
  <si>
    <t>RAZ</t>
  </si>
  <si>
    <t>OPRT</t>
  </si>
  <si>
    <t>Rawalakot Airport</t>
  </si>
  <si>
    <t>RBA</t>
  </si>
  <si>
    <t>GMME</t>
  </si>
  <si>
    <t>Sale Airport</t>
  </si>
  <si>
    <t>RBB</t>
  </si>
  <si>
    <t>SWBR</t>
  </si>
  <si>
    <t>Borba Airport</t>
  </si>
  <si>
    <t>RBC</t>
  </si>
  <si>
    <t>YROI</t>
  </si>
  <si>
    <t>Robinvale Airport</t>
  </si>
  <si>
    <t>RBD</t>
  </si>
  <si>
    <t>KRBD</t>
  </si>
  <si>
    <t>Dallas Executive Airport</t>
  </si>
  <si>
    <t>RBE</t>
  </si>
  <si>
    <t>VDRK</t>
  </si>
  <si>
    <t>Ratanakiri Airport</t>
  </si>
  <si>
    <t>KRBE</t>
  </si>
  <si>
    <t>Rock County Airport</t>
  </si>
  <si>
    <t>RBG</t>
  </si>
  <si>
    <t>KRBG</t>
  </si>
  <si>
    <t>Roseburg Regional Airport</t>
  </si>
  <si>
    <t>RBJ</t>
  </si>
  <si>
    <t>RJCR</t>
  </si>
  <si>
    <t>Rebun Airport</t>
  </si>
  <si>
    <t>RBL</t>
  </si>
  <si>
    <t>KRBL</t>
  </si>
  <si>
    <t>Red Bluff Municipal Airport</t>
  </si>
  <si>
    <t>RBM</t>
  </si>
  <si>
    <t>EDMS</t>
  </si>
  <si>
    <t>Straubing Airport</t>
  </si>
  <si>
    <t>KRBM</t>
  </si>
  <si>
    <t>Robinson AAF/NG</t>
  </si>
  <si>
    <t>RBO</t>
  </si>
  <si>
    <t>SLRB</t>
  </si>
  <si>
    <t>Roboré Airport</t>
  </si>
  <si>
    <t>KRBO</t>
  </si>
  <si>
    <t>Nueces County Airport</t>
  </si>
  <si>
    <t>RBQ</t>
  </si>
  <si>
    <t>SLRQ</t>
  </si>
  <si>
    <t>Rurrenabaque Airport</t>
  </si>
  <si>
    <t>RBR</t>
  </si>
  <si>
    <t>SBRB</t>
  </si>
  <si>
    <t>Presidente Medici International Airport</t>
  </si>
  <si>
    <t>RBS</t>
  </si>
  <si>
    <t>YORB</t>
  </si>
  <si>
    <t>Orbost Airport</t>
  </si>
  <si>
    <t>RBT</t>
  </si>
  <si>
    <t>HKMB</t>
  </si>
  <si>
    <t>Segel Airport</t>
  </si>
  <si>
    <t>RBU</t>
  </si>
  <si>
    <t>YROE</t>
  </si>
  <si>
    <t>Roebourne Airport</t>
  </si>
  <si>
    <t>RBV</t>
  </si>
  <si>
    <t>AGRM</t>
  </si>
  <si>
    <t>Ramata Airport</t>
  </si>
  <si>
    <t>RBW</t>
  </si>
  <si>
    <t>KRBW</t>
  </si>
  <si>
    <t>Lowcountry Regional Airport</t>
  </si>
  <si>
    <t>RBY</t>
  </si>
  <si>
    <t>PARY</t>
  </si>
  <si>
    <t>Ruby Airport</t>
  </si>
  <si>
    <t>RCA</t>
  </si>
  <si>
    <t>KRCA</t>
  </si>
  <si>
    <t>Ellsworth AFB</t>
  </si>
  <si>
    <t>RCB</t>
  </si>
  <si>
    <t>FARB</t>
  </si>
  <si>
    <t>Richards Bay Airport</t>
  </si>
  <si>
    <t>RCH</t>
  </si>
  <si>
    <t>SKRH</t>
  </si>
  <si>
    <t>Almirante Padilla Airport</t>
  </si>
  <si>
    <t>RCK</t>
  </si>
  <si>
    <t>KRCK</t>
  </si>
  <si>
    <t>H. H. Coffield Regional Airport</t>
  </si>
  <si>
    <t>RCL</t>
  </si>
  <si>
    <t>NVSR</t>
  </si>
  <si>
    <t>Redcliffe Airport</t>
  </si>
  <si>
    <t>RCM</t>
  </si>
  <si>
    <t>YRMD</t>
  </si>
  <si>
    <t>Richmond Airport</t>
  </si>
  <si>
    <t>RCO</t>
  </si>
  <si>
    <t>LFDN</t>
  </si>
  <si>
    <t>Rochefort-Saint-Agnant (BA 721) Airport</t>
  </si>
  <si>
    <t>RCQ</t>
  </si>
  <si>
    <t>SATR</t>
  </si>
  <si>
    <t>Reconquista Airport</t>
  </si>
  <si>
    <t>RCR</t>
  </si>
  <si>
    <t>KRCR</t>
  </si>
  <si>
    <t>Fulton County Airport</t>
  </si>
  <si>
    <t>RCS</t>
  </si>
  <si>
    <t>EGTO</t>
  </si>
  <si>
    <t>Rochester Airport</t>
  </si>
  <si>
    <t>RCT</t>
  </si>
  <si>
    <t>KRCT</t>
  </si>
  <si>
    <t>Nartron Field</t>
  </si>
  <si>
    <t>RCU</t>
  </si>
  <si>
    <t>SAOC</t>
  </si>
  <si>
    <t>Area De Material Airport</t>
  </si>
  <si>
    <t>RCX</t>
  </si>
  <si>
    <t>KRCX</t>
  </si>
  <si>
    <t>Rusk County Airport</t>
  </si>
  <si>
    <t>RCY</t>
  </si>
  <si>
    <t>MYRP</t>
  </si>
  <si>
    <t>Rum Cay Airport</t>
  </si>
  <si>
    <t>RDC</t>
  </si>
  <si>
    <t>SNDC</t>
  </si>
  <si>
    <t>Redenção Airport</t>
  </si>
  <si>
    <t>RDD</t>
  </si>
  <si>
    <t>KRDD</t>
  </si>
  <si>
    <t>Redding Municipal Airport</t>
  </si>
  <si>
    <t>RDE</t>
  </si>
  <si>
    <t>WASM</t>
  </si>
  <si>
    <t>Merdei Airport</t>
  </si>
  <si>
    <t>RDG</t>
  </si>
  <si>
    <t>KRDG</t>
  </si>
  <si>
    <t>Reading Regional Airport (Carl A. Spaatz Field)</t>
  </si>
  <si>
    <t>RDK</t>
  </si>
  <si>
    <t>KRDK</t>
  </si>
  <si>
    <t>Red Oak Municipal Airport</t>
  </si>
  <si>
    <t>RDM</t>
  </si>
  <si>
    <t>KRDM</t>
  </si>
  <si>
    <t>Roberts Field</t>
  </si>
  <si>
    <t>RDN</t>
  </si>
  <si>
    <t>WMPR</t>
  </si>
  <si>
    <t>LTS Pulau Redang Airport</t>
  </si>
  <si>
    <t>RDR</t>
  </si>
  <si>
    <t>KRDR</t>
  </si>
  <si>
    <t>Grand Forks AFB</t>
  </si>
  <si>
    <t>RDS</t>
  </si>
  <si>
    <t>SAHS</t>
  </si>
  <si>
    <t>Rincon De Los Sauces Airport</t>
  </si>
  <si>
    <t>RDT</t>
  </si>
  <si>
    <t>GOSR</t>
  </si>
  <si>
    <t>Richard Toll Airport</t>
  </si>
  <si>
    <t>RDU</t>
  </si>
  <si>
    <t>KRDU</t>
  </si>
  <si>
    <t>Raleigh-Durham International Airport</t>
  </si>
  <si>
    <t>RDZ</t>
  </si>
  <si>
    <t>LFCR</t>
  </si>
  <si>
    <t>Rodez-Marcillac Airport</t>
  </si>
  <si>
    <t>REA</t>
  </si>
  <si>
    <t>NTGE</t>
  </si>
  <si>
    <t>Reao Airport</t>
  </si>
  <si>
    <t>REC</t>
  </si>
  <si>
    <t>SBRF</t>
  </si>
  <si>
    <t>Guararapes International Airport</t>
  </si>
  <si>
    <t>RED</t>
  </si>
  <si>
    <t>KRED</t>
  </si>
  <si>
    <t>Red Lodge Airport</t>
  </si>
  <si>
    <t>REG</t>
  </si>
  <si>
    <t>LICR</t>
  </si>
  <si>
    <t>Reggio Calabria Airport</t>
  </si>
  <si>
    <t>REI</t>
  </si>
  <si>
    <t>SOOR</t>
  </si>
  <si>
    <t>Regina Airport</t>
  </si>
  <si>
    <t>REK</t>
  </si>
  <si>
    <t>BIRK</t>
  </si>
  <si>
    <t>Reykjavík Airport</t>
  </si>
  <si>
    <t>REL</t>
  </si>
  <si>
    <t>SAVT</t>
  </si>
  <si>
    <t>Almirante Zar Airport</t>
  </si>
  <si>
    <t>REN</t>
  </si>
  <si>
    <t>UWOO</t>
  </si>
  <si>
    <t>Orenburg Tsentralny Airport</t>
  </si>
  <si>
    <t>REO</t>
  </si>
  <si>
    <t>KREO</t>
  </si>
  <si>
    <t>Rome State Airport</t>
  </si>
  <si>
    <t>REP</t>
  </si>
  <si>
    <t>VDSR</t>
  </si>
  <si>
    <t>Angkor International Airport</t>
  </si>
  <si>
    <t>REQ</t>
  </si>
  <si>
    <t>SPQN</t>
  </si>
  <si>
    <t>Requena Airport</t>
  </si>
  <si>
    <t>RER</t>
  </si>
  <si>
    <t>MGRT</t>
  </si>
  <si>
    <t>Retalhuleu Airport</t>
  </si>
  <si>
    <t>RES</t>
  </si>
  <si>
    <t>SARE</t>
  </si>
  <si>
    <t>Resistencia International Airport</t>
  </si>
  <si>
    <t>RET</t>
  </si>
  <si>
    <t>ENRS</t>
  </si>
  <si>
    <t>Røst Airport</t>
  </si>
  <si>
    <t>REU</t>
  </si>
  <si>
    <t>LERS</t>
  </si>
  <si>
    <t>Reus Airport</t>
  </si>
  <si>
    <t>REX</t>
  </si>
  <si>
    <t>MMRX</t>
  </si>
  <si>
    <t>General Lucio Blanco International Airport</t>
  </si>
  <si>
    <t>REY</t>
  </si>
  <si>
    <t>SLRY</t>
  </si>
  <si>
    <t>Reyes Airport</t>
  </si>
  <si>
    <t>RFA</t>
  </si>
  <si>
    <t>FEGR</t>
  </si>
  <si>
    <t>Rafaï Airport</t>
  </si>
  <si>
    <t>RFD</t>
  </si>
  <si>
    <t>KRFD</t>
  </si>
  <si>
    <t>Chicago Rockford International Airport</t>
  </si>
  <si>
    <t>RFG</t>
  </si>
  <si>
    <t>KRFG</t>
  </si>
  <si>
    <t>Rooke Field</t>
  </si>
  <si>
    <t>RFN</t>
  </si>
  <si>
    <t>BIRG</t>
  </si>
  <si>
    <t>Raufarhöfn Airport</t>
  </si>
  <si>
    <t>RFP</t>
  </si>
  <si>
    <t>NTTR</t>
  </si>
  <si>
    <t>Raiatea Airport</t>
  </si>
  <si>
    <t>RFR</t>
  </si>
  <si>
    <t>MRRF</t>
  </si>
  <si>
    <t>Rio Frio / Progreso Airport</t>
  </si>
  <si>
    <t>RFS</t>
  </si>
  <si>
    <t>MNRT</t>
  </si>
  <si>
    <t>Rosita Airport</t>
  </si>
  <si>
    <t>RGA</t>
  </si>
  <si>
    <t>SAWE</t>
  </si>
  <si>
    <t>Hermes Quijada International Airport</t>
  </si>
  <si>
    <t>RGB</t>
  </si>
  <si>
    <t>KRGB</t>
  </si>
  <si>
    <t>RGH</t>
  </si>
  <si>
    <t>VEBG</t>
  </si>
  <si>
    <t>Balurghat Airport</t>
  </si>
  <si>
    <t>RGI</t>
  </si>
  <si>
    <t>NTTG</t>
  </si>
  <si>
    <t>Rangiroa Airport</t>
  </si>
  <si>
    <t>RGK</t>
  </si>
  <si>
    <t>KRGK</t>
  </si>
  <si>
    <t>Red Wing Regional Airport</t>
  </si>
  <si>
    <t>RGL</t>
  </si>
  <si>
    <t>SAWG</t>
  </si>
  <si>
    <t>Piloto Civil Norberto Fernández International Airport</t>
  </si>
  <si>
    <t>RGN</t>
  </si>
  <si>
    <t>VYYY</t>
  </si>
  <si>
    <t>Yangon International Airport</t>
  </si>
  <si>
    <t>RGS</t>
  </si>
  <si>
    <t>LEBG</t>
  </si>
  <si>
    <t>Burgos Airport</t>
  </si>
  <si>
    <t>RGT</t>
  </si>
  <si>
    <t>WIPR</t>
  </si>
  <si>
    <t>Japura Airport</t>
  </si>
  <si>
    <t>RHA</t>
  </si>
  <si>
    <t>BIRE</t>
  </si>
  <si>
    <t>Reykhólar Airport</t>
  </si>
  <si>
    <t>RHD</t>
  </si>
  <si>
    <t>SANH</t>
  </si>
  <si>
    <t>Las Termas Airport</t>
  </si>
  <si>
    <t>RHE</t>
  </si>
  <si>
    <t>LFSR</t>
  </si>
  <si>
    <t>Reims-Champagne (BA 112) Airport</t>
  </si>
  <si>
    <t>RHI</t>
  </si>
  <si>
    <t>KRHI</t>
  </si>
  <si>
    <t>Rhinelander-Oneida County Airport</t>
  </si>
  <si>
    <t>RHL</t>
  </si>
  <si>
    <t>YRYH</t>
  </si>
  <si>
    <t>Roy Hill Station Airport</t>
  </si>
  <si>
    <t>RHO</t>
  </si>
  <si>
    <t>LGRP</t>
  </si>
  <si>
    <t>Rhodes International Airport, "Diagoras"</t>
  </si>
  <si>
    <t>RHP</t>
  </si>
  <si>
    <t>VNRC</t>
  </si>
  <si>
    <t>Ramechhap Airport</t>
  </si>
  <si>
    <t>KRHP</t>
  </si>
  <si>
    <t>Andrews-Murphy Airport</t>
  </si>
  <si>
    <t>RHV</t>
  </si>
  <si>
    <t>KRHV</t>
  </si>
  <si>
    <t>Reid-Hillview Airport of Santa Clara County</t>
  </si>
  <si>
    <t>RIA</t>
  </si>
  <si>
    <t>SBSM</t>
  </si>
  <si>
    <t>RIB</t>
  </si>
  <si>
    <t>SLRI</t>
  </si>
  <si>
    <t>Riberalta Airport</t>
  </si>
  <si>
    <t>RIC</t>
  </si>
  <si>
    <t>KRIC</t>
  </si>
  <si>
    <t>Richmond International Airport</t>
  </si>
  <si>
    <t>RID</t>
  </si>
  <si>
    <t>KRID</t>
  </si>
  <si>
    <t>Richmond Municipal Airport</t>
  </si>
  <si>
    <t>RIF</t>
  </si>
  <si>
    <t>KRIF</t>
  </si>
  <si>
    <t>Richfield Municipal Airport</t>
  </si>
  <si>
    <t>RIJ</t>
  </si>
  <si>
    <t>SPJA</t>
  </si>
  <si>
    <t>Juan Simons Vela Airport</t>
  </si>
  <si>
    <t>RIK</t>
  </si>
  <si>
    <t>MRCR</t>
  </si>
  <si>
    <t>Carrillo Airport</t>
  </si>
  <si>
    <t>RIL</t>
  </si>
  <si>
    <t>KRIL</t>
  </si>
  <si>
    <t>Garfield County Regional Airport</t>
  </si>
  <si>
    <t>RIM</t>
  </si>
  <si>
    <t>SPLN</t>
  </si>
  <si>
    <t>San Nicolas Airport</t>
  </si>
  <si>
    <t>RIN</t>
  </si>
  <si>
    <t>AGRC</t>
  </si>
  <si>
    <t>Ringi Cove Airport</t>
  </si>
  <si>
    <t>RIR</t>
  </si>
  <si>
    <t>KRIR</t>
  </si>
  <si>
    <t>Flabob Airport</t>
  </si>
  <si>
    <t>RIS</t>
  </si>
  <si>
    <t>RJER</t>
  </si>
  <si>
    <t>Rishiri Airport</t>
  </si>
  <si>
    <t>RIU</t>
  </si>
  <si>
    <t>KRIU</t>
  </si>
  <si>
    <t>Rancho Murieta Airport</t>
  </si>
  <si>
    <t>RIV</t>
  </si>
  <si>
    <t>KRIV</t>
  </si>
  <si>
    <t>March ARB</t>
  </si>
  <si>
    <t>RIW</t>
  </si>
  <si>
    <t>KRIW</t>
  </si>
  <si>
    <t>Riverton Regional Airport</t>
  </si>
  <si>
    <t>RIX</t>
  </si>
  <si>
    <t>EVRA</t>
  </si>
  <si>
    <t>Riga International Airport</t>
  </si>
  <si>
    <t>RIY</t>
  </si>
  <si>
    <t>OYRN</t>
  </si>
  <si>
    <t>Mukalla International Airport</t>
  </si>
  <si>
    <t>RJA</t>
  </si>
  <si>
    <t>VORY</t>
  </si>
  <si>
    <t>Rajahmundry Airport</t>
  </si>
  <si>
    <t>RJB</t>
  </si>
  <si>
    <t>VNRB</t>
  </si>
  <si>
    <t>Rajbiraj Airport</t>
  </si>
  <si>
    <t>RJD</t>
  </si>
  <si>
    <t>KRJD</t>
  </si>
  <si>
    <t>Ridgely Airpark</t>
  </si>
  <si>
    <t>RJH</t>
  </si>
  <si>
    <t>VGRJ</t>
  </si>
  <si>
    <t>Shah Makhdum Airport</t>
  </si>
  <si>
    <t>RJK</t>
  </si>
  <si>
    <t>LDRI</t>
  </si>
  <si>
    <t>Riviera Kvarner Airport</t>
  </si>
  <si>
    <t>RJL</t>
  </si>
  <si>
    <t>LELO</t>
  </si>
  <si>
    <t>Logroño-Agoncillo Airport</t>
  </si>
  <si>
    <t>RJN</t>
  </si>
  <si>
    <t>OIKR</t>
  </si>
  <si>
    <t>Rafsanjan Airport</t>
  </si>
  <si>
    <t>RKC</t>
  </si>
  <si>
    <t>K1O5</t>
  </si>
  <si>
    <t>Montague-Yreka Rohrer Field</t>
  </si>
  <si>
    <t>RKD</t>
  </si>
  <si>
    <t>KRKD</t>
  </si>
  <si>
    <t>Knox County Regional Airport</t>
  </si>
  <si>
    <t>RKE</t>
  </si>
  <si>
    <t>EKRK</t>
  </si>
  <si>
    <t>Roskilde Airport</t>
  </si>
  <si>
    <t>RKO</t>
  </si>
  <si>
    <t>WIBR</t>
  </si>
  <si>
    <t>Rokot Airport</t>
  </si>
  <si>
    <t>RKP</t>
  </si>
  <si>
    <t>KRKP</t>
  </si>
  <si>
    <t>Aransas County Airport</t>
  </si>
  <si>
    <t>RKR</t>
  </si>
  <si>
    <t>KRKR</t>
  </si>
  <si>
    <t>Robert S. Kerr Airport</t>
  </si>
  <si>
    <t>RKS</t>
  </si>
  <si>
    <t>KRKS</t>
  </si>
  <si>
    <t>Rock Springs-Sweetwater County Airport</t>
  </si>
  <si>
    <t>RKT</t>
  </si>
  <si>
    <t>OMRK</t>
  </si>
  <si>
    <t>Ras Al Khaimah International Airport</t>
  </si>
  <si>
    <t>RKW</t>
  </si>
  <si>
    <t>KRKW</t>
  </si>
  <si>
    <t>Rockwood Municipal Airport</t>
  </si>
  <si>
    <t>RLA</t>
  </si>
  <si>
    <t>K07</t>
  </si>
  <si>
    <t>Rolla Downtown Airport</t>
  </si>
  <si>
    <t>RLD</t>
  </si>
  <si>
    <t>KRLD</t>
  </si>
  <si>
    <t>Richland Airport</t>
  </si>
  <si>
    <t>RLG</t>
  </si>
  <si>
    <t>ETNL</t>
  </si>
  <si>
    <t>Rostock Laage Airport</t>
  </si>
  <si>
    <t>RLO</t>
  </si>
  <si>
    <t>SAOS</t>
  </si>
  <si>
    <t>Valle Del Conlara International Airport</t>
  </si>
  <si>
    <t>RMA</t>
  </si>
  <si>
    <t>YROM</t>
  </si>
  <si>
    <t>Roma Airport</t>
  </si>
  <si>
    <t>RMB</t>
  </si>
  <si>
    <t>OOBR</t>
  </si>
  <si>
    <t>Buraimi Airport</t>
  </si>
  <si>
    <t>RME</t>
  </si>
  <si>
    <t>KRME</t>
  </si>
  <si>
    <t>Griffiss Airpark</t>
  </si>
  <si>
    <t>RMF</t>
  </si>
  <si>
    <t>HEMA</t>
  </si>
  <si>
    <t>Marsa Alam International Airport</t>
  </si>
  <si>
    <t>RMG</t>
  </si>
  <si>
    <t>KRMG</t>
  </si>
  <si>
    <t>Richard B. Russell Airport</t>
  </si>
  <si>
    <t>RMI</t>
  </si>
  <si>
    <t>LIPR</t>
  </si>
  <si>
    <t>Federico Fellini International Airport</t>
  </si>
  <si>
    <t>RMK</t>
  </si>
  <si>
    <t>YREN</t>
  </si>
  <si>
    <t>Renmark Airport</t>
  </si>
  <si>
    <t>RML</t>
  </si>
  <si>
    <t>VCCC</t>
  </si>
  <si>
    <t>Ratmalana Airport</t>
  </si>
  <si>
    <t>RMN</t>
  </si>
  <si>
    <t>KRMN</t>
  </si>
  <si>
    <t>Stafford Regional Airport</t>
  </si>
  <si>
    <t>RMQ</t>
  </si>
  <si>
    <t>RCMQ</t>
  </si>
  <si>
    <t>Taichung International Airport</t>
  </si>
  <si>
    <t>RMS</t>
  </si>
  <si>
    <t>ETAR</t>
  </si>
  <si>
    <t>Ramstein Air Base</t>
  </si>
  <si>
    <t>RMY</t>
  </si>
  <si>
    <t>KRMY</t>
  </si>
  <si>
    <t>Brooks Field</t>
  </si>
  <si>
    <t>RNA</t>
  </si>
  <si>
    <t>AGAR</t>
  </si>
  <si>
    <t>Ulawa Airport</t>
  </si>
  <si>
    <t>RNB</t>
  </si>
  <si>
    <t>ESDF</t>
  </si>
  <si>
    <t>Ronneby Airport</t>
  </si>
  <si>
    <t>RNC</t>
  </si>
  <si>
    <t>KRNC</t>
  </si>
  <si>
    <t>Warren County Memorial Airport</t>
  </si>
  <si>
    <t>RND</t>
  </si>
  <si>
    <t>KRND</t>
  </si>
  <si>
    <t>Randolph AFB</t>
  </si>
  <si>
    <t>RNE</t>
  </si>
  <si>
    <t>LFLO</t>
  </si>
  <si>
    <t>Roanne-Renaison Airport</t>
  </si>
  <si>
    <t>RNH</t>
  </si>
  <si>
    <t>KRNH</t>
  </si>
  <si>
    <t>New Richmond Regional Airport</t>
  </si>
  <si>
    <t>RNI</t>
  </si>
  <si>
    <t>MNCI</t>
  </si>
  <si>
    <t>Corn Island Airport</t>
  </si>
  <si>
    <t>RNJ</t>
  </si>
  <si>
    <t>RORY</t>
  </si>
  <si>
    <t>Yoron Airport</t>
  </si>
  <si>
    <t>RNL</t>
  </si>
  <si>
    <t>AGGR</t>
  </si>
  <si>
    <t>Rennell/Tingoa Airport</t>
  </si>
  <si>
    <t>RNM</t>
  </si>
  <si>
    <t>KRNM</t>
  </si>
  <si>
    <t>Ramona Airport</t>
  </si>
  <si>
    <t>RNN</t>
  </si>
  <si>
    <t>EKRN</t>
  </si>
  <si>
    <t>Bornholm Airport</t>
  </si>
  <si>
    <t>RNO</t>
  </si>
  <si>
    <t>KRNO</t>
  </si>
  <si>
    <t>Reno-Tahoe International Airport</t>
  </si>
  <si>
    <t>RNP</t>
  </si>
  <si>
    <t>KRNP</t>
  </si>
  <si>
    <t>Owosso Community Airport</t>
  </si>
  <si>
    <t>RNS</t>
  </si>
  <si>
    <t>LFRN</t>
  </si>
  <si>
    <t>St. Jacques Airport</t>
  </si>
  <si>
    <t>RNT</t>
  </si>
  <si>
    <t>KRNT</t>
  </si>
  <si>
    <t>Renton Municipal Airport</t>
  </si>
  <si>
    <t>RNU</t>
  </si>
  <si>
    <t>WBKR</t>
  </si>
  <si>
    <t>Ranau Airport</t>
  </si>
  <si>
    <t>RNV</t>
  </si>
  <si>
    <t>KRNV</t>
  </si>
  <si>
    <t>Cleveland Municipal Airport</t>
  </si>
  <si>
    <t>ROA</t>
  </si>
  <si>
    <t>KROA</t>
  </si>
  <si>
    <t>Roanoke Regional Airport (Woodrum Field)</t>
  </si>
  <si>
    <t>ROB</t>
  </si>
  <si>
    <t>GLRB</t>
  </si>
  <si>
    <t>Roberts International Airport</t>
  </si>
  <si>
    <t>ROC</t>
  </si>
  <si>
    <t>KROC</t>
  </si>
  <si>
    <t>Greater Rochester International Airport</t>
  </si>
  <si>
    <t>ROD</t>
  </si>
  <si>
    <t>FARS</t>
  </si>
  <si>
    <t>Robertson Airport</t>
  </si>
  <si>
    <t>ROG</t>
  </si>
  <si>
    <t>KROG</t>
  </si>
  <si>
    <t>Rogers Municipal Airport (Carter Field)</t>
  </si>
  <si>
    <t>ROH</t>
  </si>
  <si>
    <t>YROB</t>
  </si>
  <si>
    <t>Robinhood Airport</t>
  </si>
  <si>
    <t>ROI</t>
  </si>
  <si>
    <t>VTUV</t>
  </si>
  <si>
    <t>Roi Et Airport</t>
  </si>
  <si>
    <t>ROK</t>
  </si>
  <si>
    <t>YBRK</t>
  </si>
  <si>
    <t>Rockhampton Airport</t>
  </si>
  <si>
    <t>KBRK</t>
  </si>
  <si>
    <t>ROO</t>
  </si>
  <si>
    <t>SWRD</t>
  </si>
  <si>
    <t>Rondonópolis Airport</t>
  </si>
  <si>
    <t>ROP</t>
  </si>
  <si>
    <t>PGRO</t>
  </si>
  <si>
    <t>Rota International Airport</t>
  </si>
  <si>
    <t>ROR</t>
  </si>
  <si>
    <t>PTRO</t>
  </si>
  <si>
    <t>Babelthuap Airport</t>
  </si>
  <si>
    <t>ROS</t>
  </si>
  <si>
    <t>SAAR</t>
  </si>
  <si>
    <t>Rosario - Islas Malvinas International Airport</t>
  </si>
  <si>
    <t>ROT</t>
  </si>
  <si>
    <t>NZRO</t>
  </si>
  <si>
    <t>Rotorua Airport</t>
  </si>
  <si>
    <t>ROU</t>
  </si>
  <si>
    <t>LBRS</t>
  </si>
  <si>
    <t>Rousse Airport</t>
  </si>
  <si>
    <t>ROV</t>
  </si>
  <si>
    <t>URRR</t>
  </si>
  <si>
    <t>Rostov-on-Don Airport</t>
  </si>
  <si>
    <t>ROW</t>
  </si>
  <si>
    <t>KROW</t>
  </si>
  <si>
    <t>Roswell International Air Center</t>
  </si>
  <si>
    <t>ROX</t>
  </si>
  <si>
    <t>KROX</t>
  </si>
  <si>
    <t>Roseau Municipal Airport (Rudy Billberg Field)</t>
  </si>
  <si>
    <t>ROY</t>
  </si>
  <si>
    <t>SAWM</t>
  </si>
  <si>
    <t>Rio Mayo Airport</t>
  </si>
  <si>
    <t>RPB</t>
  </si>
  <si>
    <t>KRPB</t>
  </si>
  <si>
    <t>Belleville Municipal Airport</t>
  </si>
  <si>
    <t>RPH</t>
  </si>
  <si>
    <t>KRPH</t>
  </si>
  <si>
    <t>Graham Municipal Airport</t>
  </si>
  <si>
    <t>RPJ</t>
  </si>
  <si>
    <t>KRPJ</t>
  </si>
  <si>
    <t>Rochelle Municipal Airport (Koritz Field)</t>
  </si>
  <si>
    <t>RPM</t>
  </si>
  <si>
    <t>YNGU</t>
  </si>
  <si>
    <t>Ngukurr Airport</t>
  </si>
  <si>
    <t>RPN</t>
  </si>
  <si>
    <t>LLIB</t>
  </si>
  <si>
    <t>Rosh Pina Airport</t>
  </si>
  <si>
    <t>RPR</t>
  </si>
  <si>
    <t>VARP</t>
  </si>
  <si>
    <t>Raipur Airport</t>
  </si>
  <si>
    <t>RPX</t>
  </si>
  <si>
    <t>KRPX</t>
  </si>
  <si>
    <t>Roundup Airport</t>
  </si>
  <si>
    <t>RQB</t>
  </si>
  <si>
    <t>KRQB</t>
  </si>
  <si>
    <t>Roben-Hood Airport</t>
  </si>
  <si>
    <t>RQE</t>
  </si>
  <si>
    <t>KRQE</t>
  </si>
  <si>
    <t>Window Rock Airport</t>
  </si>
  <si>
    <t>RQO</t>
  </si>
  <si>
    <t>KRQO</t>
  </si>
  <si>
    <t>El Reno Regional Airport</t>
  </si>
  <si>
    <t>RRE</t>
  </si>
  <si>
    <t>YMRE</t>
  </si>
  <si>
    <t>Marree Airport</t>
  </si>
  <si>
    <t>RRG</t>
  </si>
  <si>
    <t>FIMR</t>
  </si>
  <si>
    <t>Plaine Corail Airport</t>
  </si>
  <si>
    <t>RRK</t>
  </si>
  <si>
    <t>VERK</t>
  </si>
  <si>
    <t>Rourkela Airport</t>
  </si>
  <si>
    <t>RRL</t>
  </si>
  <si>
    <t>KRRL</t>
  </si>
  <si>
    <t>Merrill Municipal Airport</t>
  </si>
  <si>
    <t>RRQ</t>
  </si>
  <si>
    <t>KRRQ</t>
  </si>
  <si>
    <t>Rock Rapids Municipal Airport</t>
  </si>
  <si>
    <t>RRS</t>
  </si>
  <si>
    <t>ENRO</t>
  </si>
  <si>
    <t>Røros Airport</t>
  </si>
  <si>
    <t>RRT</t>
  </si>
  <si>
    <t>KRRT</t>
  </si>
  <si>
    <t>Warroad International Airport (Swede Carlson Field)</t>
  </si>
  <si>
    <t>RSA</t>
  </si>
  <si>
    <t>SAZR</t>
  </si>
  <si>
    <t>Santa Rosa Airport</t>
  </si>
  <si>
    <t>RSB</t>
  </si>
  <si>
    <t>YRSB</t>
  </si>
  <si>
    <t>Roseberth Airport</t>
  </si>
  <si>
    <t>RSD</t>
  </si>
  <si>
    <t>MYER</t>
  </si>
  <si>
    <t>Rock Sound Airport</t>
  </si>
  <si>
    <t>RSH</t>
  </si>
  <si>
    <t>PARS</t>
  </si>
  <si>
    <t>Russian Mission Airport</t>
  </si>
  <si>
    <t>RSK</t>
  </si>
  <si>
    <t>WASC</t>
  </si>
  <si>
    <t>Abresso Airport</t>
  </si>
  <si>
    <t>RSL</t>
  </si>
  <si>
    <t>KRSL</t>
  </si>
  <si>
    <t>Russell Municipal Airport</t>
  </si>
  <si>
    <t>RSN</t>
  </si>
  <si>
    <t>KRSN</t>
  </si>
  <si>
    <t>Ruston Regional Airport</t>
  </si>
  <si>
    <t>RST</t>
  </si>
  <si>
    <t>KRST</t>
  </si>
  <si>
    <t>Rochester International Airport</t>
  </si>
  <si>
    <t>RSU</t>
  </si>
  <si>
    <t>RKJY</t>
  </si>
  <si>
    <t>Yeosu Airport</t>
  </si>
  <si>
    <t>RSV</t>
  </si>
  <si>
    <t>KRSV</t>
  </si>
  <si>
    <t>Robinson Municipal Airport</t>
  </si>
  <si>
    <t>RSW</t>
  </si>
  <si>
    <t>KRSW</t>
  </si>
  <si>
    <t>Southwest Florida International Airport</t>
  </si>
  <si>
    <t>RTA</t>
  </si>
  <si>
    <t>NFNR</t>
  </si>
  <si>
    <t>Rotuma Airport</t>
  </si>
  <si>
    <t>RTB</t>
  </si>
  <si>
    <t>MHRO</t>
  </si>
  <si>
    <t>Juan Manuel Gálvez International Airport</t>
  </si>
  <si>
    <t>RTC</t>
  </si>
  <si>
    <t>VARG</t>
  </si>
  <si>
    <t>Ratnagiri Airport</t>
  </si>
  <si>
    <t>RTG</t>
  </si>
  <si>
    <t>WATG</t>
  </si>
  <si>
    <t>Satar Tacik Airport</t>
  </si>
  <si>
    <t>RTM</t>
  </si>
  <si>
    <t>EHRD</t>
  </si>
  <si>
    <t>Rotterdam Airport</t>
  </si>
  <si>
    <t>RTN</t>
  </si>
  <si>
    <t>KRTN</t>
  </si>
  <si>
    <t>Raton Municipal Airport (Crews Field)</t>
  </si>
  <si>
    <t>RTP</t>
  </si>
  <si>
    <t>YRTP</t>
  </si>
  <si>
    <t>Rutland Plains Airport</t>
  </si>
  <si>
    <t>RTS</t>
  </si>
  <si>
    <t>YRTI</t>
  </si>
  <si>
    <t>Rottnest Island Airport</t>
  </si>
  <si>
    <t>RTW</t>
  </si>
  <si>
    <t>UWSS</t>
  </si>
  <si>
    <t>Saratov Tsentralny Airport</t>
  </si>
  <si>
    <t>RTY</t>
  </si>
  <si>
    <t>YMYT</t>
  </si>
  <si>
    <t>Merty Merty Airport</t>
  </si>
  <si>
    <t>RUA</t>
  </si>
  <si>
    <t>HUAR</t>
  </si>
  <si>
    <t>Arua Airport</t>
  </si>
  <si>
    <t>RUE</t>
  </si>
  <si>
    <t>KRUE</t>
  </si>
  <si>
    <t>Russellville Regional Airport</t>
  </si>
  <si>
    <t>RUG</t>
  </si>
  <si>
    <t>ZSRG</t>
  </si>
  <si>
    <t>Rugao Air Base</t>
  </si>
  <si>
    <t>KRUG</t>
  </si>
  <si>
    <t>Rugby Municipal Airport</t>
  </si>
  <si>
    <t>RUH</t>
  </si>
  <si>
    <t>OERK</t>
  </si>
  <si>
    <t>King Khalid International Airport</t>
  </si>
  <si>
    <t>RUK</t>
  </si>
  <si>
    <t>VNRK</t>
  </si>
  <si>
    <t>Rukumkot Airport</t>
  </si>
  <si>
    <t>RUM</t>
  </si>
  <si>
    <t>VNRT</t>
  </si>
  <si>
    <t>Rumjatar Airport</t>
  </si>
  <si>
    <t>RUN</t>
  </si>
  <si>
    <t>FMEE</t>
  </si>
  <si>
    <t>Roland Garros Airport</t>
  </si>
  <si>
    <t>RUP</t>
  </si>
  <si>
    <t>VERU</t>
  </si>
  <si>
    <t>Rupsi Airport</t>
  </si>
  <si>
    <t>RUQ</t>
  </si>
  <si>
    <t>KRUQ</t>
  </si>
  <si>
    <t>Rowan County Airport</t>
  </si>
  <si>
    <t>RUR</t>
  </si>
  <si>
    <t>NTAR</t>
  </si>
  <si>
    <t>Rurutu Airport</t>
  </si>
  <si>
    <t>RUS</t>
  </si>
  <si>
    <t>AGGU</t>
  </si>
  <si>
    <t>Marau Airport</t>
  </si>
  <si>
    <t>RUT</t>
  </si>
  <si>
    <t>KRUT</t>
  </si>
  <si>
    <t>Rutland State Airport</t>
  </si>
  <si>
    <t>RUV</t>
  </si>
  <si>
    <t>MGRB</t>
  </si>
  <si>
    <t>Rubelsanto Airport</t>
  </si>
  <si>
    <t>RUY</t>
  </si>
  <si>
    <t>MHRU</t>
  </si>
  <si>
    <t>Copan Ruinas Airport</t>
  </si>
  <si>
    <t>RVA</t>
  </si>
  <si>
    <t>FMSG</t>
  </si>
  <si>
    <t>Farafangana Airport</t>
  </si>
  <si>
    <t>RVD</t>
  </si>
  <si>
    <t>SWLC</t>
  </si>
  <si>
    <t>General Leite de Castro Airport</t>
  </si>
  <si>
    <t>RVE</t>
  </si>
  <si>
    <t>SKSA</t>
  </si>
  <si>
    <t>Los Colonizadores Airport</t>
  </si>
  <si>
    <t>RVJ</t>
  </si>
  <si>
    <t>KRVJ</t>
  </si>
  <si>
    <t>Reidsville Municipal Airport (Swinton Smith Field)</t>
  </si>
  <si>
    <t>RVK</t>
  </si>
  <si>
    <t>ENRM</t>
  </si>
  <si>
    <t>Rørvik Airport, Ryum</t>
  </si>
  <si>
    <t>RVL</t>
  </si>
  <si>
    <t>KRVL</t>
  </si>
  <si>
    <t>Mifflin County Airport</t>
  </si>
  <si>
    <t>RVN</t>
  </si>
  <si>
    <t>EFRN</t>
  </si>
  <si>
    <t>Rovaniemi Airport, Rovaniemi, Finland</t>
  </si>
  <si>
    <t>EFRO</t>
  </si>
  <si>
    <t>Rovaniemi Airport</t>
  </si>
  <si>
    <t>KRVN</t>
  </si>
  <si>
    <t>Hawkins County Airport</t>
  </si>
  <si>
    <t>RVO</t>
  </si>
  <si>
    <t>FARI</t>
  </si>
  <si>
    <t>Reivilo Airport</t>
  </si>
  <si>
    <t>RVS</t>
  </si>
  <si>
    <t>KRVS</t>
  </si>
  <si>
    <t>Richard Lloyd Jones Jr. Airport</t>
  </si>
  <si>
    <t>RVT</t>
  </si>
  <si>
    <t>YNRV</t>
  </si>
  <si>
    <t>Ravensthorpe Airport</t>
  </si>
  <si>
    <t>RVY</t>
  </si>
  <si>
    <t>SURV</t>
  </si>
  <si>
    <t>Presidente General Don Oscar D. Gestido International Airport</t>
  </si>
  <si>
    <t>RWF</t>
  </si>
  <si>
    <t>KRWF</t>
  </si>
  <si>
    <t>Redwood Falls Municipal Airport</t>
  </si>
  <si>
    <t>RWI</t>
  </si>
  <si>
    <t>KRWI</t>
  </si>
  <si>
    <t>Rocky Mount-Wilson Regional Airport</t>
  </si>
  <si>
    <t>RWL</t>
  </si>
  <si>
    <t>KRWL</t>
  </si>
  <si>
    <t>Rawlins Municipal Airport (Harvey Field)</t>
  </si>
  <si>
    <t>RWN</t>
  </si>
  <si>
    <t>UKLR</t>
  </si>
  <si>
    <t>Rivne International Airport</t>
  </si>
  <si>
    <t>KRWN</t>
  </si>
  <si>
    <t>Arens Field</t>
  </si>
  <si>
    <t>RXE</t>
  </si>
  <si>
    <t>KRXE</t>
  </si>
  <si>
    <t>Rexburg-Madison County Airport</t>
  </si>
  <si>
    <t>RXS</t>
  </si>
  <si>
    <t>RPVR</t>
  </si>
  <si>
    <t>Roxas Airport</t>
  </si>
  <si>
    <t>RYB</t>
  </si>
  <si>
    <t>UUBK</t>
  </si>
  <si>
    <t>Staroselye Airport</t>
  </si>
  <si>
    <t>RYG</t>
  </si>
  <si>
    <t>ENRY</t>
  </si>
  <si>
    <t>Rygge Airport/Rygge Air Station</t>
  </si>
  <si>
    <t>RYK</t>
  </si>
  <si>
    <t>OPRK</t>
  </si>
  <si>
    <t>Shaikh Zaid Airport</t>
  </si>
  <si>
    <t>RYM</t>
  </si>
  <si>
    <t>KRYM</t>
  </si>
  <si>
    <t>Ray S. Miller AAF/NG</t>
  </si>
  <si>
    <t>RYN</t>
  </si>
  <si>
    <t>LFCY</t>
  </si>
  <si>
    <t>Royan-Médis Airport</t>
  </si>
  <si>
    <t>KRYN</t>
  </si>
  <si>
    <t>Ryan Field</t>
  </si>
  <si>
    <t>RYO</t>
  </si>
  <si>
    <t>SAWT</t>
  </si>
  <si>
    <t>28 De Noviembre Airport</t>
  </si>
  <si>
    <t>RYV</t>
  </si>
  <si>
    <t>KRYV</t>
  </si>
  <si>
    <t>Watertown Municipal Airport, Watertown, Wisconsin, United St</t>
  </si>
  <si>
    <t>RYY</t>
  </si>
  <si>
    <t>KRYY</t>
  </si>
  <si>
    <t>Cobb County Airport (McCollum Field)</t>
  </si>
  <si>
    <t>RZA</t>
  </si>
  <si>
    <t>SAWU</t>
  </si>
  <si>
    <t>Santa Cruz Airport</t>
  </si>
  <si>
    <t>RZE</t>
  </si>
  <si>
    <t>EPRZ</t>
  </si>
  <si>
    <t>Rzeszów-Jasionka Airport</t>
  </si>
  <si>
    <t>RZL</t>
  </si>
  <si>
    <t>KRZL</t>
  </si>
  <si>
    <t>Jasper County Airport</t>
  </si>
  <si>
    <t>RZN</t>
  </si>
  <si>
    <t>UUWR</t>
  </si>
  <si>
    <t>Turlatovo Airport</t>
  </si>
  <si>
    <t>KRZN</t>
  </si>
  <si>
    <t>Burnett County Airport</t>
  </si>
  <si>
    <t>RZR</t>
  </si>
  <si>
    <t>OINR</t>
  </si>
  <si>
    <t>Ramsar Airport</t>
  </si>
  <si>
    <t>RZT</t>
  </si>
  <si>
    <t>KRZT</t>
  </si>
  <si>
    <t>Ross County Airport</t>
  </si>
  <si>
    <t>RZZ</t>
  </si>
  <si>
    <t>KRZZ</t>
  </si>
  <si>
    <t>Halifax County Airport</t>
  </si>
  <si>
    <t>SAA</t>
  </si>
  <si>
    <t>KSAA</t>
  </si>
  <si>
    <t>Shively Field</t>
  </si>
  <si>
    <t>SAB</t>
  </si>
  <si>
    <t>TNCS</t>
  </si>
  <si>
    <t>Juancho E. Yrausquin Airport</t>
  </si>
  <si>
    <t>SAC</t>
  </si>
  <si>
    <t>KSAC</t>
  </si>
  <si>
    <t>Sacramento Executive Airport</t>
  </si>
  <si>
    <t>SAD</t>
  </si>
  <si>
    <t>KSAD</t>
  </si>
  <si>
    <t>Safford Regional Airport</t>
  </si>
  <si>
    <t>SAF</t>
  </si>
  <si>
    <t>KSAF</t>
  </si>
  <si>
    <t>Santa Fe Municipal Airport</t>
  </si>
  <si>
    <t>SAH</t>
  </si>
  <si>
    <t>OYSN</t>
  </si>
  <si>
    <t>El Rahaba Airport (Sanaa International)</t>
  </si>
  <si>
    <t>SAK</t>
  </si>
  <si>
    <t>BIKR</t>
  </si>
  <si>
    <t>Sauðárkrókur Airport</t>
  </si>
  <si>
    <t>SAL</t>
  </si>
  <si>
    <t>MSLP</t>
  </si>
  <si>
    <t>Comalapa International Airport (El Salvador International)</t>
  </si>
  <si>
    <t>SAN</t>
  </si>
  <si>
    <t>KSAN</t>
  </si>
  <si>
    <t>San Diego International Airport</t>
  </si>
  <si>
    <t>SAO</t>
  </si>
  <si>
    <t>SBMT</t>
  </si>
  <si>
    <t>Campo de Marte Airport</t>
  </si>
  <si>
    <t>SAP</t>
  </si>
  <si>
    <t>MHLM</t>
  </si>
  <si>
    <t>La Mesa International Airport</t>
  </si>
  <si>
    <t>SAQ</t>
  </si>
  <si>
    <t>MYAN</t>
  </si>
  <si>
    <t>San Andros Airport</t>
  </si>
  <si>
    <t>SAR</t>
  </si>
  <si>
    <t>KSAR</t>
  </si>
  <si>
    <t>Sparta Community Airport (Hunter Field)</t>
  </si>
  <si>
    <t>SAS</t>
  </si>
  <si>
    <t>KSAS</t>
  </si>
  <si>
    <t>Salton Sea Airport</t>
  </si>
  <si>
    <t>SAT</t>
  </si>
  <si>
    <t>KSAT</t>
  </si>
  <si>
    <t>San Antonio International Airport</t>
  </si>
  <si>
    <t>SAU</t>
  </si>
  <si>
    <t>WRKS</t>
  </si>
  <si>
    <t>Sawu Airport</t>
  </si>
  <si>
    <t>SAV</t>
  </si>
  <si>
    <t>KSAV</t>
  </si>
  <si>
    <t>Savannah/Hilton Head International Airport</t>
  </si>
  <si>
    <t>SAW</t>
  </si>
  <si>
    <t>LTFJ</t>
  </si>
  <si>
    <t>Sabiha Gokcen International Airport</t>
  </si>
  <si>
    <t>SAY</t>
  </si>
  <si>
    <t>LIQS</t>
  </si>
  <si>
    <t>Siena Airport</t>
  </si>
  <si>
    <t>SAZ</t>
  </si>
  <si>
    <t>GLST</t>
  </si>
  <si>
    <t>Sasstown Airport</t>
  </si>
  <si>
    <t>KSAZ</t>
  </si>
  <si>
    <t>Staples Municipal Airport</t>
  </si>
  <si>
    <t>SBA</t>
  </si>
  <si>
    <t>KSBA</t>
  </si>
  <si>
    <t>Santa Barbara Municipal Airport</t>
  </si>
  <si>
    <t>SBB</t>
  </si>
  <si>
    <t>SVSB</t>
  </si>
  <si>
    <t>Santa Bárbara de Barinas Airport</t>
  </si>
  <si>
    <t>SBD</t>
  </si>
  <si>
    <t>KSBD</t>
  </si>
  <si>
    <t>San Bernardino International Airport</t>
  </si>
  <si>
    <t>SBF</t>
  </si>
  <si>
    <t>OADS</t>
  </si>
  <si>
    <t>Sardeh Band Airport</t>
  </si>
  <si>
    <t>SBG</t>
  </si>
  <si>
    <t>WITB</t>
  </si>
  <si>
    <t>Maimun Saleh Airport</t>
  </si>
  <si>
    <t>SBH</t>
  </si>
  <si>
    <t>TFFJ</t>
  </si>
  <si>
    <t>Gustaf III Airport</t>
  </si>
  <si>
    <t>SBI</t>
  </si>
  <si>
    <t>GUSB</t>
  </si>
  <si>
    <t>Sambailo Airport</t>
  </si>
  <si>
    <t>SBJ</t>
  </si>
  <si>
    <t>SNMX</t>
  </si>
  <si>
    <t>São Mateus Airport</t>
  </si>
  <si>
    <t>SBK</t>
  </si>
  <si>
    <t>LFRT</t>
  </si>
  <si>
    <t>Saint-Brieuc-Armor Airport</t>
  </si>
  <si>
    <t>SBL</t>
  </si>
  <si>
    <t>SLSA</t>
  </si>
  <si>
    <t>Santa Ana del Yacuma Airport</t>
  </si>
  <si>
    <t>SBM</t>
  </si>
  <si>
    <t>KSBM</t>
  </si>
  <si>
    <t>Sheboygan County Memorial Airport</t>
  </si>
  <si>
    <t>SBN</t>
  </si>
  <si>
    <t>KSBN</t>
  </si>
  <si>
    <t>South Bend Regional Airport</t>
  </si>
  <si>
    <t>SBO</t>
  </si>
  <si>
    <t>KSBO</t>
  </si>
  <si>
    <t>Emanuel County Airport</t>
  </si>
  <si>
    <t>SBP</t>
  </si>
  <si>
    <t>KSBP</t>
  </si>
  <si>
    <t>San Luis Obispo County Regional Airport</t>
  </si>
  <si>
    <t>SBQ</t>
  </si>
  <si>
    <t>OPSB</t>
  </si>
  <si>
    <t>Sibi Airport</t>
  </si>
  <si>
    <t>SBR</t>
  </si>
  <si>
    <t>YSII</t>
  </si>
  <si>
    <t>Saibai Island Airport</t>
  </si>
  <si>
    <t>SBS</t>
  </si>
  <si>
    <t>KSBS</t>
  </si>
  <si>
    <t>Steamboat Springs Airport (Bob Adams Field)</t>
  </si>
  <si>
    <t>SBU</t>
  </si>
  <si>
    <t>KSBU</t>
  </si>
  <si>
    <t>Blue Earth Municipal Airport</t>
  </si>
  <si>
    <t>FASB</t>
  </si>
  <si>
    <t>Springbok Airport</t>
  </si>
  <si>
    <t>SBW</t>
  </si>
  <si>
    <t>WBGS</t>
  </si>
  <si>
    <t>Sibu Airport</t>
  </si>
  <si>
    <t>SBX</t>
  </si>
  <si>
    <t>KSBX</t>
  </si>
  <si>
    <t>Shelby Airport</t>
  </si>
  <si>
    <t>SBY</t>
  </si>
  <si>
    <t>KSBY</t>
  </si>
  <si>
    <t>Salisbury-Ocean City Wicomico Regional Airport</t>
  </si>
  <si>
    <t>SBZ</t>
  </si>
  <si>
    <t>LRSB</t>
  </si>
  <si>
    <t>Sibiu International Airport</t>
  </si>
  <si>
    <t>SCB</t>
  </si>
  <si>
    <t>KSCB</t>
  </si>
  <si>
    <t>Scribner State Airport</t>
  </si>
  <si>
    <t>SCC</t>
  </si>
  <si>
    <t>PASC</t>
  </si>
  <si>
    <t>Deadhorse Airport</t>
  </si>
  <si>
    <t>SCD</t>
  </si>
  <si>
    <t>MHUL</t>
  </si>
  <si>
    <t>Sulaco Airport</t>
  </si>
  <si>
    <t>SCE</t>
  </si>
  <si>
    <t>KUNV</t>
  </si>
  <si>
    <t>University Park Airport</t>
  </si>
  <si>
    <t>SCF</t>
  </si>
  <si>
    <t>KSDL</t>
  </si>
  <si>
    <t>Scottsdale Airport</t>
  </si>
  <si>
    <t>SCG</t>
  </si>
  <si>
    <t>YSPK</t>
  </si>
  <si>
    <t>Spring Creek Airport</t>
  </si>
  <si>
    <t>SCH</t>
  </si>
  <si>
    <t>KSCH</t>
  </si>
  <si>
    <t>Schenectady County Airport</t>
  </si>
  <si>
    <t>SCI</t>
  </si>
  <si>
    <t>SVPM</t>
  </si>
  <si>
    <t>Paramillo Airport</t>
  </si>
  <si>
    <t>SCK</t>
  </si>
  <si>
    <t>KSCK</t>
  </si>
  <si>
    <t>Stockton Metropolitan Airport</t>
  </si>
  <si>
    <t>SCL</t>
  </si>
  <si>
    <t>SCEL</t>
  </si>
  <si>
    <t>Comodoro Arturo Merino Benitez International Airport</t>
  </si>
  <si>
    <t>SCN</t>
  </si>
  <si>
    <t>EDDR</t>
  </si>
  <si>
    <t>Saarbrücken Airport</t>
  </si>
  <si>
    <t>SCO</t>
  </si>
  <si>
    <t>UATE</t>
  </si>
  <si>
    <t>Aktau Airport</t>
  </si>
  <si>
    <t>SCP</t>
  </si>
  <si>
    <t>LFNC</t>
  </si>
  <si>
    <t>Mont-Dauphin - St-Crépin Airport</t>
  </si>
  <si>
    <t>SCQ</t>
  </si>
  <si>
    <t>LEST</t>
  </si>
  <si>
    <t>Santiago de Compostela Airport</t>
  </si>
  <si>
    <t>SCS</t>
  </si>
  <si>
    <t>EGPM</t>
  </si>
  <si>
    <t>Scatsta Airport</t>
  </si>
  <si>
    <t>SCT</t>
  </si>
  <si>
    <t>OYSQ</t>
  </si>
  <si>
    <t>Socotra International Airport</t>
  </si>
  <si>
    <t>SCU</t>
  </si>
  <si>
    <t>MUCU</t>
  </si>
  <si>
    <t>Antonio Maceo International Airport</t>
  </si>
  <si>
    <t>SCV</t>
  </si>
  <si>
    <t>LRSV</t>
  </si>
  <si>
    <t>Suceava Airport</t>
  </si>
  <si>
    <t>SCW</t>
  </si>
  <si>
    <t>UUYY</t>
  </si>
  <si>
    <t>Syktyvkar Airport</t>
  </si>
  <si>
    <t>SCX</t>
  </si>
  <si>
    <t>KSCX</t>
  </si>
  <si>
    <t>Salina Cruz Airport</t>
  </si>
  <si>
    <t>SCY</t>
  </si>
  <si>
    <t>SEST</t>
  </si>
  <si>
    <t>San Cristóbal Airport</t>
  </si>
  <si>
    <t>SCZ</t>
  </si>
  <si>
    <t>AGGL</t>
  </si>
  <si>
    <t>Santa Cruz/Graciosa Bay/Luova Airport</t>
  </si>
  <si>
    <t>SDA</t>
  </si>
  <si>
    <t>ORBI</t>
  </si>
  <si>
    <t>Baghdad International Airport (formerly ORBS/Saddam Internat</t>
  </si>
  <si>
    <t>KSDA</t>
  </si>
  <si>
    <t>Shenandoah Municipal Airport</t>
  </si>
  <si>
    <t>SDB</t>
  </si>
  <si>
    <t>FASD</t>
  </si>
  <si>
    <t>Saldanha /Vredenburg Airport</t>
  </si>
  <si>
    <t>SDD</t>
  </si>
  <si>
    <t>FNUB</t>
  </si>
  <si>
    <t>Lubango Airport</t>
  </si>
  <si>
    <t>SDE</t>
  </si>
  <si>
    <t>SANE</t>
  </si>
  <si>
    <t>Vicecomodoro Ángel de la Paz Aragonés Airport</t>
  </si>
  <si>
    <t>SDF</t>
  </si>
  <si>
    <t>KSDF</t>
  </si>
  <si>
    <t>Louisville International Airport (Standiford Field)</t>
  </si>
  <si>
    <t>SDG</t>
  </si>
  <si>
    <t>OICS</t>
  </si>
  <si>
    <t>Sanandaj Airport</t>
  </si>
  <si>
    <t>SDH</t>
  </si>
  <si>
    <t>MHRS</t>
  </si>
  <si>
    <t>Santa Rosa Copán Airport</t>
  </si>
  <si>
    <t>SDJ</t>
  </si>
  <si>
    <t>RJSS</t>
  </si>
  <si>
    <t>Sendai Airport</t>
  </si>
  <si>
    <t>SDK</t>
  </si>
  <si>
    <t>WBKS</t>
  </si>
  <si>
    <t>Sandakan Airport</t>
  </si>
  <si>
    <t>SDL</t>
  </si>
  <si>
    <t>ESNN</t>
  </si>
  <si>
    <t>Sundsvall-Härnösand Airport (Midlanda Airport)</t>
  </si>
  <si>
    <t>SDM</t>
  </si>
  <si>
    <t>KSDM</t>
  </si>
  <si>
    <t>Brown Field Municipal Airport</t>
  </si>
  <si>
    <t>SDN</t>
  </si>
  <si>
    <t>ENSD</t>
  </si>
  <si>
    <t>Sandane Airport, Anda</t>
  </si>
  <si>
    <t>SDP</t>
  </si>
  <si>
    <t>PASD</t>
  </si>
  <si>
    <t>Sand Point Airport</t>
  </si>
  <si>
    <t>SDQ</t>
  </si>
  <si>
    <t>MDSD</t>
  </si>
  <si>
    <t>Las Américas International Airport</t>
  </si>
  <si>
    <t>SDR</t>
  </si>
  <si>
    <t>LEXJ</t>
  </si>
  <si>
    <t>Santander - Parayas Airport</t>
  </si>
  <si>
    <t>SDS</t>
  </si>
  <si>
    <t>RJSD</t>
  </si>
  <si>
    <t>Sado Airport</t>
  </si>
  <si>
    <t>SDT</t>
  </si>
  <si>
    <t>OPSS</t>
  </si>
  <si>
    <t>Saidu Sharif Airport</t>
  </si>
  <si>
    <t>SDU</t>
  </si>
  <si>
    <t>SBRJ</t>
  </si>
  <si>
    <t>Santos Dumont Airport</t>
  </si>
  <si>
    <t>SDV</t>
  </si>
  <si>
    <t>LLSD</t>
  </si>
  <si>
    <t>Sde Dov Airport</t>
  </si>
  <si>
    <t>SDX</t>
  </si>
  <si>
    <t>KSEZ</t>
  </si>
  <si>
    <t>Sedona Airport</t>
  </si>
  <si>
    <t>SDY</t>
  </si>
  <si>
    <t>KSDY</t>
  </si>
  <si>
    <t>Sidney-Richland Municipal Airport</t>
  </si>
  <si>
    <t>SEA</t>
  </si>
  <si>
    <t>KSEA</t>
  </si>
  <si>
    <t>Seattle-Tacoma International Airport</t>
  </si>
  <si>
    <t>SEB</t>
  </si>
  <si>
    <t>HLLS</t>
  </si>
  <si>
    <t>Sabha Airport</t>
  </si>
  <si>
    <t>SEE</t>
  </si>
  <si>
    <t>KSEE</t>
  </si>
  <si>
    <t>Gillespie Field</t>
  </si>
  <si>
    <t>SEF</t>
  </si>
  <si>
    <t>KSEF</t>
  </si>
  <si>
    <t>Sebring Regional Airport</t>
  </si>
  <si>
    <t>SEG</t>
  </si>
  <si>
    <t>KSEG</t>
  </si>
  <si>
    <t>Penn Valley Airport</t>
  </si>
  <si>
    <t>SEH</t>
  </si>
  <si>
    <t>WAJS</t>
  </si>
  <si>
    <t>Senggeh Airport</t>
  </si>
  <si>
    <t>SEM</t>
  </si>
  <si>
    <t>KSEM</t>
  </si>
  <si>
    <t>Craig Field</t>
  </si>
  <si>
    <t>SEN</t>
  </si>
  <si>
    <t>EGMC</t>
  </si>
  <si>
    <t>London Southend Airport</t>
  </si>
  <si>
    <t>SEO</t>
  </si>
  <si>
    <t>DISG</t>
  </si>
  <si>
    <t>Seguela Airport</t>
  </si>
  <si>
    <t>SEP</t>
  </si>
  <si>
    <t>KSEP</t>
  </si>
  <si>
    <t>Clark Field Municipal Airport</t>
  </si>
  <si>
    <t>SEQ</t>
  </si>
  <si>
    <t>WIBS</t>
  </si>
  <si>
    <t>Sungai Pakning Bengkalis Airport</t>
  </si>
  <si>
    <t>KSEQ</t>
  </si>
  <si>
    <t>Randolph AFB Aux.</t>
  </si>
  <si>
    <t>SER</t>
  </si>
  <si>
    <t>KSER</t>
  </si>
  <si>
    <t>Freeman Municipal Airport</t>
  </si>
  <si>
    <t>SET</t>
  </si>
  <si>
    <t>KSET</t>
  </si>
  <si>
    <t>St. Charles County Smartt Airport</t>
  </si>
  <si>
    <t>SEU</t>
  </si>
  <si>
    <t>HTSN</t>
  </si>
  <si>
    <t>Seronera Airport</t>
  </si>
  <si>
    <t>SEV</t>
  </si>
  <si>
    <t>UKCS</t>
  </si>
  <si>
    <t>Sievierodonetsk Airport</t>
  </si>
  <si>
    <t>SEW</t>
  </si>
  <si>
    <t>HE24</t>
  </si>
  <si>
    <t>Siwa Oasis North Airport</t>
  </si>
  <si>
    <t>SEY</t>
  </si>
  <si>
    <t>GQNS</t>
  </si>
  <si>
    <t>Sélibaby Airport</t>
  </si>
  <si>
    <t>SEZ</t>
  </si>
  <si>
    <t>FSIA</t>
  </si>
  <si>
    <t>Seychelles International Airport</t>
  </si>
  <si>
    <t>SFA</t>
  </si>
  <si>
    <t>DTTX</t>
  </si>
  <si>
    <t>Sfax Thyna International Airport</t>
  </si>
  <si>
    <t>SFB</t>
  </si>
  <si>
    <t>KSFB</t>
  </si>
  <si>
    <t>Orlando Sanford International Airport</t>
  </si>
  <si>
    <t>SFC</t>
  </si>
  <si>
    <t>TFFC</t>
  </si>
  <si>
    <t>St-François Airport</t>
  </si>
  <si>
    <t>SFD</t>
  </si>
  <si>
    <t>KSFD</t>
  </si>
  <si>
    <t>Bob Wiley Field</t>
  </si>
  <si>
    <t>SVSR</t>
  </si>
  <si>
    <t>Las Flecheras Airport</t>
  </si>
  <si>
    <t>SFE</t>
  </si>
  <si>
    <t>RPUS</t>
  </si>
  <si>
    <t>SFF</t>
  </si>
  <si>
    <t>KSFF</t>
  </si>
  <si>
    <t>Felts Field</t>
  </si>
  <si>
    <t>SFG</t>
  </si>
  <si>
    <t>L'Espérance Airport</t>
  </si>
  <si>
    <t>SFH</t>
  </si>
  <si>
    <t>MMSF</t>
  </si>
  <si>
    <t>San Felipe International Airport</t>
  </si>
  <si>
    <t>SFI</t>
  </si>
  <si>
    <t>GMMS</t>
  </si>
  <si>
    <t>Safi Airport</t>
  </si>
  <si>
    <t>SFJ</t>
  </si>
  <si>
    <t>BGSF</t>
  </si>
  <si>
    <t>Kangerlussuaq Airport</t>
  </si>
  <si>
    <t>SFK</t>
  </si>
  <si>
    <t>SNSW</t>
  </si>
  <si>
    <t>Soure Airport</t>
  </si>
  <si>
    <t>SPIP</t>
  </si>
  <si>
    <t>Satipo Airport</t>
  </si>
  <si>
    <t>SFL</t>
  </si>
  <si>
    <t>GVSF</t>
  </si>
  <si>
    <t>São Filipe Airport</t>
  </si>
  <si>
    <t>SFM</t>
  </si>
  <si>
    <t>KSFM</t>
  </si>
  <si>
    <t>Sanford Regional Airport</t>
  </si>
  <si>
    <t>SFN</t>
  </si>
  <si>
    <t>SAAV</t>
  </si>
  <si>
    <t>Sauce Viejo Airport</t>
  </si>
  <si>
    <t>SFO</t>
  </si>
  <si>
    <t>KSFO</t>
  </si>
  <si>
    <t>San Francisco International Airport</t>
  </si>
  <si>
    <t>SFQ</t>
  </si>
  <si>
    <t>LTCH</t>
  </si>
  <si>
    <t>Şanlıurfa Airport</t>
  </si>
  <si>
    <t>KSFQ</t>
  </si>
  <si>
    <t>Suffolk Executive Airport</t>
  </si>
  <si>
    <t>SFS</t>
  </si>
  <si>
    <t>RPLB</t>
  </si>
  <si>
    <t>Subic Bay International Airport</t>
  </si>
  <si>
    <t>SFT</t>
  </si>
  <si>
    <t>ESNS</t>
  </si>
  <si>
    <t>Skellefteä Airport</t>
  </si>
  <si>
    <t>SFY</t>
  </si>
  <si>
    <t>KSFY</t>
  </si>
  <si>
    <t>Tri-Township Airport</t>
  </si>
  <si>
    <t>SFZ</t>
  </si>
  <si>
    <t>KSFZ</t>
  </si>
  <si>
    <t>North Central State Airport</t>
  </si>
  <si>
    <t>SGA</t>
  </si>
  <si>
    <t>OASN</t>
  </si>
  <si>
    <t>Sheghnan Airport</t>
  </si>
  <si>
    <t>SGC</t>
  </si>
  <si>
    <t>USRR</t>
  </si>
  <si>
    <t>Surgut Airport</t>
  </si>
  <si>
    <t>SGD</t>
  </si>
  <si>
    <t>EKSB</t>
  </si>
  <si>
    <t>Sønderborg Airport</t>
  </si>
  <si>
    <t>SGE</t>
  </si>
  <si>
    <t>EDGS</t>
  </si>
  <si>
    <t>Siegerland Airport</t>
  </si>
  <si>
    <t>SGF</t>
  </si>
  <si>
    <t>KSGF</t>
  </si>
  <si>
    <t>Springfield-Branson National Airport</t>
  </si>
  <si>
    <t>SGG</t>
  </si>
  <si>
    <t>WBGY</t>
  </si>
  <si>
    <t>Simanggang Airport</t>
  </si>
  <si>
    <t>SGH</t>
  </si>
  <si>
    <t>KSGH</t>
  </si>
  <si>
    <t>Springfield-Beckley Municipal Airport</t>
  </si>
  <si>
    <t>SGI</t>
  </si>
  <si>
    <t>OPSR</t>
  </si>
  <si>
    <t>Mushaf Air Base</t>
  </si>
  <si>
    <t>SGN</t>
  </si>
  <si>
    <t>VVTS</t>
  </si>
  <si>
    <t>Tan Son Nhat International Airport</t>
  </si>
  <si>
    <t>SGO</t>
  </si>
  <si>
    <t>YSGE</t>
  </si>
  <si>
    <t>SGP</t>
  </si>
  <si>
    <t>YSHG</t>
  </si>
  <si>
    <t>Shay Gap Airport</t>
  </si>
  <si>
    <t>SGQ</t>
  </si>
  <si>
    <t>WRLA</t>
  </si>
  <si>
    <t>Sanggata Airport</t>
  </si>
  <si>
    <t>SGR</t>
  </si>
  <si>
    <t>KSGR</t>
  </si>
  <si>
    <t>Sugar Land Regional Airport</t>
  </si>
  <si>
    <t>SGS</t>
  </si>
  <si>
    <t>RPMN</t>
  </si>
  <si>
    <t>Sanga Sanga Airport</t>
  </si>
  <si>
    <t>KSGS</t>
  </si>
  <si>
    <t>South St. Paul Municipal Airport (Richard E. Fleming Field)</t>
  </si>
  <si>
    <t>SGT</t>
  </si>
  <si>
    <t>KSGT</t>
  </si>
  <si>
    <t>Stuttgart Municipal Airport</t>
  </si>
  <si>
    <t>SGU</t>
  </si>
  <si>
    <t>KSGU</t>
  </si>
  <si>
    <t>St. George Municipal Airport</t>
  </si>
  <si>
    <t>SGV</t>
  </si>
  <si>
    <t>SAVS</t>
  </si>
  <si>
    <t>Sierra Grande Airport</t>
  </si>
  <si>
    <t>SGX</t>
  </si>
  <si>
    <t>HTSO</t>
  </si>
  <si>
    <t>Songea Airport</t>
  </si>
  <si>
    <t>SGY</t>
  </si>
  <si>
    <t>PAGY</t>
  </si>
  <si>
    <t>Skagway Airport</t>
  </si>
  <si>
    <t>SGZ</t>
  </si>
  <si>
    <t>VTSH</t>
  </si>
  <si>
    <t>Songkhla Airport</t>
  </si>
  <si>
    <t>SHA</t>
  </si>
  <si>
    <t>ZSSS</t>
  </si>
  <si>
    <t>Shanghai Hongqiao International Airport</t>
  </si>
  <si>
    <t>SHB</t>
  </si>
  <si>
    <t>RJCN</t>
  </si>
  <si>
    <t>Nakashibetsu Airport</t>
  </si>
  <si>
    <t>SHD</t>
  </si>
  <si>
    <t>KSHD</t>
  </si>
  <si>
    <t>Shenandoah Valley Regional Airport</t>
  </si>
  <si>
    <t>SHE</t>
  </si>
  <si>
    <t>ZYTX</t>
  </si>
  <si>
    <t>Shenyang Taoxian International Airport</t>
  </si>
  <si>
    <t>SHG</t>
  </si>
  <si>
    <t>PAHG</t>
  </si>
  <si>
    <t>Shungnak Airport</t>
  </si>
  <si>
    <t>SHH</t>
  </si>
  <si>
    <t>PASH</t>
  </si>
  <si>
    <t>Shishmaref Airport</t>
  </si>
  <si>
    <t>SHI</t>
  </si>
  <si>
    <t>RORS</t>
  </si>
  <si>
    <t>Shimojishima Airport</t>
  </si>
  <si>
    <t>SHJ</t>
  </si>
  <si>
    <t>OMSJ</t>
  </si>
  <si>
    <t>Sharjah International Airport</t>
  </si>
  <si>
    <t>SHK</t>
  </si>
  <si>
    <t>FXSH</t>
  </si>
  <si>
    <t>Sehonghong Airport</t>
  </si>
  <si>
    <t>SHL</t>
  </si>
  <si>
    <t>VEBI</t>
  </si>
  <si>
    <t>Shillong Airport</t>
  </si>
  <si>
    <t>KSHL</t>
  </si>
  <si>
    <t>Sheldon Municipal Airport</t>
  </si>
  <si>
    <t>SHM</t>
  </si>
  <si>
    <t>RJBD</t>
  </si>
  <si>
    <t>Nanki-Shirahama Airport</t>
  </si>
  <si>
    <t>SHN</t>
  </si>
  <si>
    <t>KSHN</t>
  </si>
  <si>
    <t>Sanderson Field</t>
  </si>
  <si>
    <t>SHO</t>
  </si>
  <si>
    <t>RKND</t>
  </si>
  <si>
    <t>Sokcho Airport</t>
  </si>
  <si>
    <t>SHP</t>
  </si>
  <si>
    <t>ZBSH</t>
  </si>
  <si>
    <t>Shanhaiguan Airport</t>
  </si>
  <si>
    <t>SHQ</t>
  </si>
  <si>
    <t>YSPT</t>
  </si>
  <si>
    <t>Southport Airport</t>
  </si>
  <si>
    <t>SHR</t>
  </si>
  <si>
    <t>KSHR</t>
  </si>
  <si>
    <t>Sheridan County Airport</t>
  </si>
  <si>
    <t>SHS</t>
  </si>
  <si>
    <t>ZHSS</t>
  </si>
  <si>
    <t>Shashi Airport</t>
  </si>
  <si>
    <t>SHT</t>
  </si>
  <si>
    <t>YSHT</t>
  </si>
  <si>
    <t>Shepparton Airport</t>
  </si>
  <si>
    <t>SHU</t>
  </si>
  <si>
    <t>YSMP</t>
  </si>
  <si>
    <t>Smith Point Airport</t>
  </si>
  <si>
    <t>SHV</t>
  </si>
  <si>
    <t>KSHV</t>
  </si>
  <si>
    <t>Shreveport Regional Airport</t>
  </si>
  <si>
    <t>SHW</t>
  </si>
  <si>
    <t>OESH</t>
  </si>
  <si>
    <t>Sharurah Airport</t>
  </si>
  <si>
    <t>SHY</t>
  </si>
  <si>
    <t>HTSY</t>
  </si>
  <si>
    <t>Shinyanga Airport</t>
  </si>
  <si>
    <t>SHZ</t>
  </si>
  <si>
    <t>FXSS</t>
  </si>
  <si>
    <t>Seshutes Airport</t>
  </si>
  <si>
    <t>SIA</t>
  </si>
  <si>
    <t>ZLSN</t>
  </si>
  <si>
    <t>Xiguan Airport</t>
  </si>
  <si>
    <t>SIB</t>
  </si>
  <si>
    <t>FCBS</t>
  </si>
  <si>
    <t>Sibiti Airport</t>
  </si>
  <si>
    <t>SIC</t>
  </si>
  <si>
    <t>LTCM</t>
  </si>
  <si>
    <t>Sinop Airport</t>
  </si>
  <si>
    <t>SID</t>
  </si>
  <si>
    <t>GVAC</t>
  </si>
  <si>
    <t>Amilcar Cabral International Airport</t>
  </si>
  <si>
    <t>SIE</t>
  </si>
  <si>
    <t>LPSI</t>
  </si>
  <si>
    <t>Sines Airport</t>
  </si>
  <si>
    <t>SIF</t>
  </si>
  <si>
    <t>VNSI</t>
  </si>
  <si>
    <t>Simara Airport</t>
  </si>
  <si>
    <t>SIG</t>
  </si>
  <si>
    <t>TJIG</t>
  </si>
  <si>
    <t>Fernando Luis Ribas Dominicci Airport</t>
  </si>
  <si>
    <t>SIH</t>
  </si>
  <si>
    <t>VNDT</t>
  </si>
  <si>
    <t>Doti Airport</t>
  </si>
  <si>
    <t>SII</t>
  </si>
  <si>
    <t>GMMF</t>
  </si>
  <si>
    <t>Sania Ramel Airport</t>
  </si>
  <si>
    <t>SIJ</t>
  </si>
  <si>
    <t>BISI</t>
  </si>
  <si>
    <t>Siglufjordur Airport</t>
  </si>
  <si>
    <t>SIK</t>
  </si>
  <si>
    <t>KSIK</t>
  </si>
  <si>
    <t>Sikeston Memorial Municipal Airport</t>
  </si>
  <si>
    <t>SIN</t>
  </si>
  <si>
    <t>WSSS</t>
  </si>
  <si>
    <t>Singapore Changi Airport</t>
  </si>
  <si>
    <t>SIO</t>
  </si>
  <si>
    <t>YSMI</t>
  </si>
  <si>
    <t>Smithton Airport</t>
  </si>
  <si>
    <t>SIP</t>
  </si>
  <si>
    <t>UKFF</t>
  </si>
  <si>
    <t>Simferopol International Airport</t>
  </si>
  <si>
    <t>SIQ</t>
  </si>
  <si>
    <t>WIDS</t>
  </si>
  <si>
    <t>Dabo Airport</t>
  </si>
  <si>
    <t>SIR</t>
  </si>
  <si>
    <t>LSGS</t>
  </si>
  <si>
    <t>Sion Airport</t>
  </si>
  <si>
    <t>SIS</t>
  </si>
  <si>
    <t>FASS</t>
  </si>
  <si>
    <t>Sishen Airport</t>
  </si>
  <si>
    <t>SIT</t>
  </si>
  <si>
    <t>PASI</t>
  </si>
  <si>
    <t>Sitka Rocky Gutierrez Airport</t>
  </si>
  <si>
    <t>SIU</t>
  </si>
  <si>
    <t>MNSI</t>
  </si>
  <si>
    <t>Siuna Airport</t>
  </si>
  <si>
    <t>SIV</t>
  </si>
  <si>
    <t>KSIV</t>
  </si>
  <si>
    <t>Sullivan County Airport</t>
  </si>
  <si>
    <t>SIX</t>
  </si>
  <si>
    <t>YSGT</t>
  </si>
  <si>
    <t>Singleton Airport</t>
  </si>
  <si>
    <t>SIY</t>
  </si>
  <si>
    <t>KSIY</t>
  </si>
  <si>
    <t>Siskiyou County Airport</t>
  </si>
  <si>
    <t>SJA</t>
  </si>
  <si>
    <t>SPJN</t>
  </si>
  <si>
    <t>San Juan de Marcona Airport</t>
  </si>
  <si>
    <t>SJB</t>
  </si>
  <si>
    <t>SLJO</t>
  </si>
  <si>
    <t>San Joaquín Airport</t>
  </si>
  <si>
    <t>SJC</t>
  </si>
  <si>
    <t>KSJC</t>
  </si>
  <si>
    <t>Norman Y. Mineta San José International Airport</t>
  </si>
  <si>
    <t>SJD</t>
  </si>
  <si>
    <t>MMSD</t>
  </si>
  <si>
    <t>Los Cabos International Airport</t>
  </si>
  <si>
    <t>SJE</t>
  </si>
  <si>
    <t>SKSJ</t>
  </si>
  <si>
    <t>Jorge Enrique González Airport</t>
  </si>
  <si>
    <t>SJI</t>
  </si>
  <si>
    <t>RPUH</t>
  </si>
  <si>
    <t>San Jose Airport</t>
  </si>
  <si>
    <t>SJJ</t>
  </si>
  <si>
    <t>LQSA</t>
  </si>
  <si>
    <t>Sarajevo International Airport</t>
  </si>
  <si>
    <t>SJK</t>
  </si>
  <si>
    <t>SBSJ</t>
  </si>
  <si>
    <t>São José dos Campos Regional Airport</t>
  </si>
  <si>
    <t>SJL</t>
  </si>
  <si>
    <t>SBUA</t>
  </si>
  <si>
    <t>São Gabriel da Cachoeira Airport</t>
  </si>
  <si>
    <t>SJN</t>
  </si>
  <si>
    <t>KSJN</t>
  </si>
  <si>
    <t>St. Johns Industrial Air Park</t>
  </si>
  <si>
    <t>SJO</t>
  </si>
  <si>
    <t>MROC</t>
  </si>
  <si>
    <t>Juan Santamaría International Airport</t>
  </si>
  <si>
    <t>SJP</t>
  </si>
  <si>
    <t>SBSR</t>
  </si>
  <si>
    <t>Prof. Eribel Manoel Reino State Airport</t>
  </si>
  <si>
    <t>SJQ</t>
  </si>
  <si>
    <t>FLSS</t>
  </si>
  <si>
    <t>Sesheke Airport</t>
  </si>
  <si>
    <t>SJS</t>
  </si>
  <si>
    <t>SLJE</t>
  </si>
  <si>
    <t>San José De Chiquitos Airport</t>
  </si>
  <si>
    <t>SJT</t>
  </si>
  <si>
    <t>KSJT</t>
  </si>
  <si>
    <t>San Angelo Regional Airport (Mathis Field)</t>
  </si>
  <si>
    <t>SJU</t>
  </si>
  <si>
    <t>TJSJ</t>
  </si>
  <si>
    <t>Luis Muñoz Marín International Airport</t>
  </si>
  <si>
    <t>SJV</t>
  </si>
  <si>
    <t>SLJV</t>
  </si>
  <si>
    <t>San Javier Airport</t>
  </si>
  <si>
    <t>SJW</t>
  </si>
  <si>
    <t>ZBSJ</t>
  </si>
  <si>
    <t>Shijiazhuang Daguocun International Airport</t>
  </si>
  <si>
    <t>SJX</t>
  </si>
  <si>
    <t>KSJX</t>
  </si>
  <si>
    <t>Beaver Island Airport</t>
  </si>
  <si>
    <t>SJY</t>
  </si>
  <si>
    <t>EFSI</t>
  </si>
  <si>
    <t>Seinäjoki Airport</t>
  </si>
  <si>
    <t>SJZ</t>
  </si>
  <si>
    <t>LPSJ</t>
  </si>
  <si>
    <t>São Jorge Airport</t>
  </si>
  <si>
    <t>SKA</t>
  </si>
  <si>
    <t>KSKA</t>
  </si>
  <si>
    <t>Fairchild AFB</t>
  </si>
  <si>
    <t>SKB</t>
  </si>
  <si>
    <t>TKPK</t>
  </si>
  <si>
    <t>Robert L. Bradshaw International Airport</t>
  </si>
  <si>
    <t>SKD</t>
  </si>
  <si>
    <t>UTSS</t>
  </si>
  <si>
    <t>Samarkand Airport</t>
  </si>
  <si>
    <t>SKE</t>
  </si>
  <si>
    <t>ENSN</t>
  </si>
  <si>
    <t>Skien Airport, Geiteryggen</t>
  </si>
  <si>
    <t>SKF</t>
  </si>
  <si>
    <t>KSKF</t>
  </si>
  <si>
    <t>Lackland AFB (Kelly Field Annex)</t>
  </si>
  <si>
    <t>SKG</t>
  </si>
  <si>
    <t>LGTS</t>
  </si>
  <si>
    <t>Makedonia Airport</t>
  </si>
  <si>
    <t>SKH</t>
  </si>
  <si>
    <t>VNSK</t>
  </si>
  <si>
    <t>Surkhet Airport</t>
  </si>
  <si>
    <t>SKI</t>
  </si>
  <si>
    <t>KSKI</t>
  </si>
  <si>
    <t>Sac City Municipal Airport</t>
  </si>
  <si>
    <t>SKL</t>
  </si>
  <si>
    <t>XBRO</t>
  </si>
  <si>
    <t>Skye Bridge Ashaig Airport</t>
  </si>
  <si>
    <t>SKN</t>
  </si>
  <si>
    <t>ENSK</t>
  </si>
  <si>
    <t>Stokmarknes Airport, Skagen</t>
  </si>
  <si>
    <t>SKO</t>
  </si>
  <si>
    <t>DNSO</t>
  </si>
  <si>
    <t>Sadiq Abubakar III International Airport</t>
  </si>
  <si>
    <t>SKP</t>
  </si>
  <si>
    <t>LWSK</t>
  </si>
  <si>
    <t>Skopje Airport</t>
  </si>
  <si>
    <t>SKQ</t>
  </si>
  <si>
    <t>FXSK</t>
  </si>
  <si>
    <t>Sekakes Airport</t>
  </si>
  <si>
    <t>SKS</t>
  </si>
  <si>
    <t>EKSP</t>
  </si>
  <si>
    <t>Skrydstrup Airport</t>
  </si>
  <si>
    <t>SKT</t>
  </si>
  <si>
    <t>OPST</t>
  </si>
  <si>
    <t>Sialkot International Airport</t>
  </si>
  <si>
    <t>SKU</t>
  </si>
  <si>
    <t>LGSY</t>
  </si>
  <si>
    <t>Skiros Airport</t>
  </si>
  <si>
    <t>SKV</t>
  </si>
  <si>
    <t>HESC</t>
  </si>
  <si>
    <t>St. Catherine International Airport</t>
  </si>
  <si>
    <t>SKW</t>
  </si>
  <si>
    <t>PASW</t>
  </si>
  <si>
    <t>Skwentna Airport</t>
  </si>
  <si>
    <t>SKX</t>
  </si>
  <si>
    <t>UWPS</t>
  </si>
  <si>
    <t>Saransk Airport</t>
  </si>
  <si>
    <t>KSKX</t>
  </si>
  <si>
    <t>Taos Regional Airport</t>
  </si>
  <si>
    <t>SKY</t>
  </si>
  <si>
    <t>KSKY</t>
  </si>
  <si>
    <t>Griffing Sandusky Airport</t>
  </si>
  <si>
    <t>SKZ</t>
  </si>
  <si>
    <t>OPSK</t>
  </si>
  <si>
    <t>Sukkur Airport</t>
  </si>
  <si>
    <t>SLA</t>
  </si>
  <si>
    <t>SASA</t>
  </si>
  <si>
    <t>Martín Miguel de Güemes International Airport</t>
  </si>
  <si>
    <t>SLB</t>
  </si>
  <si>
    <t>KSLB</t>
  </si>
  <si>
    <t>Storm Lake Municipal Airport</t>
  </si>
  <si>
    <t>SLC</t>
  </si>
  <si>
    <t>KSLC</t>
  </si>
  <si>
    <t>Salt Lake City International Airport</t>
  </si>
  <si>
    <t>SLD</t>
  </si>
  <si>
    <t>LZSL</t>
  </si>
  <si>
    <t>Sliač Airport</t>
  </si>
  <si>
    <t>SLE</t>
  </si>
  <si>
    <t>KSLE</t>
  </si>
  <si>
    <t>McNary Field</t>
  </si>
  <si>
    <t>SLF</t>
  </si>
  <si>
    <t>OESL</t>
  </si>
  <si>
    <t>Sulayel Airport</t>
  </si>
  <si>
    <t>SLG</t>
  </si>
  <si>
    <t>KSLG</t>
  </si>
  <si>
    <t>Smith Field</t>
  </si>
  <si>
    <t>SLH</t>
  </si>
  <si>
    <t>KSLH</t>
  </si>
  <si>
    <t>Cheboygan County Airport</t>
  </si>
  <si>
    <t>NVSC</t>
  </si>
  <si>
    <t>Sola Airport</t>
  </si>
  <si>
    <t>SLI</t>
  </si>
  <si>
    <t>KSLI</t>
  </si>
  <si>
    <t>Los Alamitos Army Airfield</t>
  </si>
  <si>
    <t>FLSW</t>
  </si>
  <si>
    <t>Solwesi Airport</t>
  </si>
  <si>
    <t>SLJ</t>
  </si>
  <si>
    <t>KSLJ</t>
  </si>
  <si>
    <t>Hagler Army Airfield</t>
  </si>
  <si>
    <t>SLK</t>
  </si>
  <si>
    <t>KSLK</t>
  </si>
  <si>
    <t>Adirondack Regional Airport</t>
  </si>
  <si>
    <t>SLL</t>
  </si>
  <si>
    <t>OOSA</t>
  </si>
  <si>
    <t>Salalah Airport</t>
  </si>
  <si>
    <t>SLM</t>
  </si>
  <si>
    <t>LESA</t>
  </si>
  <si>
    <t>Matacán Airport</t>
  </si>
  <si>
    <t>SLN</t>
  </si>
  <si>
    <t>KSLN</t>
  </si>
  <si>
    <t>Salina Municipal Airport</t>
  </si>
  <si>
    <t>SLO</t>
  </si>
  <si>
    <t>KSLO</t>
  </si>
  <si>
    <t>Salem-Leckrone Airport</t>
  </si>
  <si>
    <t>SLP</t>
  </si>
  <si>
    <t>MMSP</t>
  </si>
  <si>
    <t>Ponciano Arriaga International Airport</t>
  </si>
  <si>
    <t>SLQ</t>
  </si>
  <si>
    <t>PASL</t>
  </si>
  <si>
    <t>Sleetmute Airport</t>
  </si>
  <si>
    <t>SLR</t>
  </si>
  <si>
    <t>KSLR</t>
  </si>
  <si>
    <t>Sulphur Springs Municipal Airport</t>
  </si>
  <si>
    <t>SLS</t>
  </si>
  <si>
    <t>LBSS</t>
  </si>
  <si>
    <t>Silistra Polkovnik Lambrinovo Airfield</t>
  </si>
  <si>
    <t>SLU</t>
  </si>
  <si>
    <t>TLPC</t>
  </si>
  <si>
    <t>George F. L. Charles Airport</t>
  </si>
  <si>
    <t>SLV</t>
  </si>
  <si>
    <t>VISM</t>
  </si>
  <si>
    <t>Shimla Airport</t>
  </si>
  <si>
    <t>SLW</t>
  </si>
  <si>
    <t>MMIO</t>
  </si>
  <si>
    <t>Plan de Guadalupe International Airport</t>
  </si>
  <si>
    <t>SLX</t>
  </si>
  <si>
    <t>MBSY</t>
  </si>
  <si>
    <t>Salt Cay Airport</t>
  </si>
  <si>
    <t>SLY</t>
  </si>
  <si>
    <t>USDD</t>
  </si>
  <si>
    <t>Salekhard Airport</t>
  </si>
  <si>
    <t>SLZ</t>
  </si>
  <si>
    <t>SBSL</t>
  </si>
  <si>
    <t>Marechal Cunha Machado International Airport</t>
  </si>
  <si>
    <t>SMA</t>
  </si>
  <si>
    <t>LPAZ</t>
  </si>
  <si>
    <t>Aeroporto de Santa Maria</t>
  </si>
  <si>
    <t>SMB</t>
  </si>
  <si>
    <t>SCSB</t>
  </si>
  <si>
    <t>Franco Bianco Airport</t>
  </si>
  <si>
    <t>SMD</t>
  </si>
  <si>
    <t>KSMD</t>
  </si>
  <si>
    <t>SME</t>
  </si>
  <si>
    <t>KSME</t>
  </si>
  <si>
    <t>Somerset-Pulaski County Airport (J.T. Wilson Field)</t>
  </si>
  <si>
    <t>SMF</t>
  </si>
  <si>
    <t>KSMF</t>
  </si>
  <si>
    <t>Sacramento International Airport</t>
  </si>
  <si>
    <t>SMG</t>
  </si>
  <si>
    <t>SPMR</t>
  </si>
  <si>
    <t>SMI</t>
  </si>
  <si>
    <t>LGSM</t>
  </si>
  <si>
    <t>Samos International Airport "Aristarchos of Samos"</t>
  </si>
  <si>
    <t>SML</t>
  </si>
  <si>
    <t>MYLS</t>
  </si>
  <si>
    <t>Stella Maris Airport</t>
  </si>
  <si>
    <t>SMM</t>
  </si>
  <si>
    <t>WBKA</t>
  </si>
  <si>
    <t>Semporna Airport</t>
  </si>
  <si>
    <t>SMN</t>
  </si>
  <si>
    <t>KSMN</t>
  </si>
  <si>
    <t>Lemhi County Airport</t>
  </si>
  <si>
    <t>SMO</t>
  </si>
  <si>
    <t>KSMO</t>
  </si>
  <si>
    <t>Santa Monica Municipal Airport</t>
  </si>
  <si>
    <t>SMQ</t>
  </si>
  <si>
    <t>WAOS</t>
  </si>
  <si>
    <t>Sampit Airport</t>
  </si>
  <si>
    <t>SMR</t>
  </si>
  <si>
    <t>SKSM</t>
  </si>
  <si>
    <t>Simón Bolívar Airport</t>
  </si>
  <si>
    <t>SMS</t>
  </si>
  <si>
    <t>FMMS</t>
  </si>
  <si>
    <t>Sainte Marie Airport</t>
  </si>
  <si>
    <t>KSMS</t>
  </si>
  <si>
    <t>Sumter Airport</t>
  </si>
  <si>
    <t>SMU</t>
  </si>
  <si>
    <t>PASP</t>
  </si>
  <si>
    <t>Sheep Mountain Airport</t>
  </si>
  <si>
    <t>SMV</t>
  </si>
  <si>
    <t>LSZS</t>
  </si>
  <si>
    <t>St Moritz - Samedan Airport</t>
  </si>
  <si>
    <t>SMW</t>
  </si>
  <si>
    <t>GMMA</t>
  </si>
  <si>
    <t>Smara Airport</t>
  </si>
  <si>
    <t>SMX</t>
  </si>
  <si>
    <t>KSMX</t>
  </si>
  <si>
    <t>Santa Maria Public Airport (Capt. G. Allan Hancock Field)</t>
  </si>
  <si>
    <t>SMY</t>
  </si>
  <si>
    <t>GOTS</t>
  </si>
  <si>
    <t>Simenti Airport</t>
  </si>
  <si>
    <t>SMZ</t>
  </si>
  <si>
    <t>SMST</t>
  </si>
  <si>
    <t>Stoelmans Eiland Airport</t>
  </si>
  <si>
    <t>SNA</t>
  </si>
  <si>
    <t>KSNA</t>
  </si>
  <si>
    <t>John Wayne Airport</t>
  </si>
  <si>
    <t>SNB</t>
  </si>
  <si>
    <t>YSNB</t>
  </si>
  <si>
    <t>Snake Bay Airport</t>
  </si>
  <si>
    <t>SNC</t>
  </si>
  <si>
    <t>SESA</t>
  </si>
  <si>
    <t>General Ulpiano Paez Airport</t>
  </si>
  <si>
    <t>KSNC</t>
  </si>
  <si>
    <t>Chester Airport</t>
  </si>
  <si>
    <t>SNE</t>
  </si>
  <si>
    <t>GVSN</t>
  </si>
  <si>
    <t>Preguiça Airport</t>
  </si>
  <si>
    <t>SNF</t>
  </si>
  <si>
    <t>SVSP</t>
  </si>
  <si>
    <t>Sub Teniente Nestor Arias Airport</t>
  </si>
  <si>
    <t>SNG</t>
  </si>
  <si>
    <t>SLSI</t>
  </si>
  <si>
    <t>Capitán Av. Juan Cochamanidis S. Airport</t>
  </si>
  <si>
    <t>SNH</t>
  </si>
  <si>
    <t>YSPE</t>
  </si>
  <si>
    <t>Stanthorpe Airport</t>
  </si>
  <si>
    <t>KSNH</t>
  </si>
  <si>
    <t>Savannah-Hardin County Airport</t>
  </si>
  <si>
    <t>SNI</t>
  </si>
  <si>
    <t>GLGE</t>
  </si>
  <si>
    <t>Greenville Sinoe Airport</t>
  </si>
  <si>
    <t>SNJ</t>
  </si>
  <si>
    <t>MUSJ</t>
  </si>
  <si>
    <t>San Julian Air Base</t>
  </si>
  <si>
    <t>SNK</t>
  </si>
  <si>
    <t>KSNK</t>
  </si>
  <si>
    <t>Winston Field</t>
  </si>
  <si>
    <t>SNL</t>
  </si>
  <si>
    <t>KSNL</t>
  </si>
  <si>
    <t>Shawnee Regional Airport</t>
  </si>
  <si>
    <t>SNM</t>
  </si>
  <si>
    <t>SLSM</t>
  </si>
  <si>
    <t>San Ignacio de Moxos Airport</t>
  </si>
  <si>
    <t>SNN</t>
  </si>
  <si>
    <t>EINN</t>
  </si>
  <si>
    <t>Shannon International Airport</t>
  </si>
  <si>
    <t>SNO</t>
  </si>
  <si>
    <t>VTUI</t>
  </si>
  <si>
    <t>Sakon Nakhon Airport</t>
  </si>
  <si>
    <t>SNP</t>
  </si>
  <si>
    <t>PASN</t>
  </si>
  <si>
    <t>St. Paul Island Airport</t>
  </si>
  <si>
    <t>SNR</t>
  </si>
  <si>
    <t>LFRZ</t>
  </si>
  <si>
    <t>Saint-Nazaire-Montoir Airport</t>
  </si>
  <si>
    <t>SNS</t>
  </si>
  <si>
    <t>KSNS</t>
  </si>
  <si>
    <t>Salinas Municipal Airport</t>
  </si>
  <si>
    <t>SNU</t>
  </si>
  <si>
    <t>MUSC</t>
  </si>
  <si>
    <t>Abel Santamaria Airport</t>
  </si>
  <si>
    <t>SNV</t>
  </si>
  <si>
    <t>SVSE</t>
  </si>
  <si>
    <t>Santa Elena de Uairen Airport</t>
  </si>
  <si>
    <t>SNW</t>
  </si>
  <si>
    <t>VYTD</t>
  </si>
  <si>
    <t>Thandwe Airport</t>
  </si>
  <si>
    <t>SNX</t>
  </si>
  <si>
    <t>MDSB</t>
  </si>
  <si>
    <t>Sabana de Mar Airport</t>
  </si>
  <si>
    <t>KSNY</t>
  </si>
  <si>
    <t>Sidney Municipal Airport (Lloyd W. Carr Field)</t>
  </si>
  <si>
    <t>SNZ</t>
  </si>
  <si>
    <t>SBSC</t>
  </si>
  <si>
    <t>SOA</t>
  </si>
  <si>
    <t>KSOA</t>
  </si>
  <si>
    <t>Sonora Municipal Airport</t>
  </si>
  <si>
    <t>SOB</t>
  </si>
  <si>
    <t>LHSM</t>
  </si>
  <si>
    <t>Sármellék International Airport</t>
  </si>
  <si>
    <t>SOC</t>
  </si>
  <si>
    <t>WARQ</t>
  </si>
  <si>
    <t>Adi Sumarmo Wiryokusumo Airport</t>
  </si>
  <si>
    <t>SOD</t>
  </si>
  <si>
    <t>SDCO</t>
  </si>
  <si>
    <t>Sorocaba Airport</t>
  </si>
  <si>
    <t>SOE</t>
  </si>
  <si>
    <t>FCOS</t>
  </si>
  <si>
    <t>Souanke Airport</t>
  </si>
  <si>
    <t>SOF</t>
  </si>
  <si>
    <t>LBSF</t>
  </si>
  <si>
    <t>Sofia Airport</t>
  </si>
  <si>
    <t>SOG</t>
  </si>
  <si>
    <t>ENSG</t>
  </si>
  <si>
    <t>Sogndal Airport, Haukåsen</t>
  </si>
  <si>
    <t>SOJ</t>
  </si>
  <si>
    <t>ENSR</t>
  </si>
  <si>
    <t>Sørkjosen Airport</t>
  </si>
  <si>
    <t>SOK</t>
  </si>
  <si>
    <t>FXSM</t>
  </si>
  <si>
    <t>Semonkong Airport</t>
  </si>
  <si>
    <t>SOM</t>
  </si>
  <si>
    <t>SVST</t>
  </si>
  <si>
    <t>San Tomé Airport</t>
  </si>
  <si>
    <t>SON</t>
  </si>
  <si>
    <t>NVSS</t>
  </si>
  <si>
    <t>Santo Pekoa International Airport</t>
  </si>
  <si>
    <t>SOO</t>
  </si>
  <si>
    <t>ESNY</t>
  </si>
  <si>
    <t>Söderhamn Airport</t>
  </si>
  <si>
    <t>SOP</t>
  </si>
  <si>
    <t>KSOP</t>
  </si>
  <si>
    <t>Moore County Airport</t>
  </si>
  <si>
    <t>SOQ</t>
  </si>
  <si>
    <t>WASS</t>
  </si>
  <si>
    <t>Sorong (Jefman) Airport</t>
  </si>
  <si>
    <t>SOT</t>
  </si>
  <si>
    <t>EFSO</t>
  </si>
  <si>
    <t>Sodankyla Airport</t>
  </si>
  <si>
    <t>SOU</t>
  </si>
  <si>
    <t>EGHI</t>
  </si>
  <si>
    <t>Southampton Airport</t>
  </si>
  <si>
    <t>SOV</t>
  </si>
  <si>
    <t>PASO</t>
  </si>
  <si>
    <t>Seldovia Airport</t>
  </si>
  <si>
    <t>SOW</t>
  </si>
  <si>
    <t>KSOW</t>
  </si>
  <si>
    <t>Show Low Regional Airport</t>
  </si>
  <si>
    <t>SOX</t>
  </si>
  <si>
    <t>SKSO</t>
  </si>
  <si>
    <t>Alberto Lleras Camargo Airport</t>
  </si>
  <si>
    <t>SOY</t>
  </si>
  <si>
    <t>EGER</t>
  </si>
  <si>
    <t>Stronsay Airport</t>
  </si>
  <si>
    <t>KSOY</t>
  </si>
  <si>
    <t>Sioux Center Municipal Airport</t>
  </si>
  <si>
    <t>SOZ</t>
  </si>
  <si>
    <t>LFKS</t>
  </si>
  <si>
    <t>Solenzara (BA 126) Air Base</t>
  </si>
  <si>
    <t>SPA</t>
  </si>
  <si>
    <t>KSPA</t>
  </si>
  <si>
    <t>Spartanburg Downtown Memorial Airport</t>
  </si>
  <si>
    <t>SPC</t>
  </si>
  <si>
    <t>GCLA</t>
  </si>
  <si>
    <t>La Palma Airport</t>
  </si>
  <si>
    <t>SPD</t>
  </si>
  <si>
    <t>VGSD</t>
  </si>
  <si>
    <t>Saidpur Airport</t>
  </si>
  <si>
    <t>SPE</t>
  </si>
  <si>
    <t>WBKO</t>
  </si>
  <si>
    <t>Sepulot Airport</t>
  </si>
  <si>
    <t>SPF</t>
  </si>
  <si>
    <t>KSPF</t>
  </si>
  <si>
    <t>Black Hills Airport (Clyde Ice Field)</t>
  </si>
  <si>
    <t>SPG</t>
  </si>
  <si>
    <t>KSPG</t>
  </si>
  <si>
    <t>Albert Whitted Airport</t>
  </si>
  <si>
    <t>SPH</t>
  </si>
  <si>
    <t>KSPH</t>
  </si>
  <si>
    <t>Springhill Airport</t>
  </si>
  <si>
    <t>SPI</t>
  </si>
  <si>
    <t>KSPI</t>
  </si>
  <si>
    <t>Abraham Lincoln Capital Airport</t>
  </si>
  <si>
    <t>SPJ</t>
  </si>
  <si>
    <t>LGSP</t>
  </si>
  <si>
    <t>Sparti Airport</t>
  </si>
  <si>
    <t>SPM</t>
  </si>
  <si>
    <t>ETAD</t>
  </si>
  <si>
    <t>Spangdahlem Air Base</t>
  </si>
  <si>
    <t>SPN</t>
  </si>
  <si>
    <t>PGSN</t>
  </si>
  <si>
    <t>Saipan International Airport</t>
  </si>
  <si>
    <t>SPP</t>
  </si>
  <si>
    <t>FNME</t>
  </si>
  <si>
    <t>Menongue Airport</t>
  </si>
  <si>
    <t>SPS</t>
  </si>
  <si>
    <t>KSPS</t>
  </si>
  <si>
    <t>Sheppard AFB / Wichita Falls Municipal Airport</t>
  </si>
  <si>
    <t>SPU</t>
  </si>
  <si>
    <t>LDSP</t>
  </si>
  <si>
    <t>Split Airport</t>
  </si>
  <si>
    <t>SPW</t>
  </si>
  <si>
    <t>KSPW</t>
  </si>
  <si>
    <t>Spencer Municipal Airport</t>
  </si>
  <si>
    <t>SPY</t>
  </si>
  <si>
    <t>DISP</t>
  </si>
  <si>
    <t>San Pedro Airport</t>
  </si>
  <si>
    <t>SPZ</t>
  </si>
  <si>
    <t>KASG</t>
  </si>
  <si>
    <t>Springdale Municipal Airport</t>
  </si>
  <si>
    <t>SQC</t>
  </si>
  <si>
    <t>YSCR</t>
  </si>
  <si>
    <t>Southern Cross Airport</t>
  </si>
  <si>
    <t>SQD</t>
  </si>
  <si>
    <t>SPSF</t>
  </si>
  <si>
    <t>San Francisco Airport</t>
  </si>
  <si>
    <t>SQG</t>
  </si>
  <si>
    <t>WIOS</t>
  </si>
  <si>
    <t>Sintang(Susilo) Airport</t>
  </si>
  <si>
    <t>SQH</t>
  </si>
  <si>
    <t>VVNS</t>
  </si>
  <si>
    <t>Na-San Airport</t>
  </si>
  <si>
    <t>SQI</t>
  </si>
  <si>
    <t>KSQI</t>
  </si>
  <si>
    <t>Whiteside County Airport (Jos. H. Bittorf Field)</t>
  </si>
  <si>
    <t>SQL</t>
  </si>
  <si>
    <t>KSQL</t>
  </si>
  <si>
    <t>San Carlos Airport</t>
  </si>
  <si>
    <t>SQM</t>
  </si>
  <si>
    <t>SWUA</t>
  </si>
  <si>
    <t>São Miguel do Araguaia Airport</t>
  </si>
  <si>
    <t>SQN</t>
  </si>
  <si>
    <t>WAPN</t>
  </si>
  <si>
    <t>Emalamo Sanana Airport</t>
  </si>
  <si>
    <t>SQO</t>
  </si>
  <si>
    <t>ESUD</t>
  </si>
  <si>
    <t>Storuman Airport</t>
  </si>
  <si>
    <t>SQQ</t>
  </si>
  <si>
    <t>EYSA</t>
  </si>
  <si>
    <t>Šiauliai International Airport</t>
  </si>
  <si>
    <t>SQR</t>
  </si>
  <si>
    <t>WAWS</t>
  </si>
  <si>
    <t>Soroako Airport</t>
  </si>
  <si>
    <t>SQU</t>
  </si>
  <si>
    <t>SPOA</t>
  </si>
  <si>
    <t>Saposoa Airport</t>
  </si>
  <si>
    <t>SQW</t>
  </si>
  <si>
    <t>EKSV</t>
  </si>
  <si>
    <t>Skive Airport</t>
  </si>
  <si>
    <t>SQX</t>
  </si>
  <si>
    <t>SSOE</t>
  </si>
  <si>
    <t>São Miguel do Oeste Airport</t>
  </si>
  <si>
    <t>SQY</t>
  </si>
  <si>
    <t>SSRU</t>
  </si>
  <si>
    <t>São Lourenço do Sul Airport</t>
  </si>
  <si>
    <t>SQZ</t>
  </si>
  <si>
    <t>EGXP</t>
  </si>
  <si>
    <t>RAF Scampton</t>
  </si>
  <si>
    <t>SRA</t>
  </si>
  <si>
    <t>SSZR</t>
  </si>
  <si>
    <t>SRB</t>
  </si>
  <si>
    <t>SLSR</t>
  </si>
  <si>
    <t>Santa Rosa De Yacuma Airport</t>
  </si>
  <si>
    <t>KSRB</t>
  </si>
  <si>
    <t>Upper Cumberland Regional Airport</t>
  </si>
  <si>
    <t>SRC</t>
  </si>
  <si>
    <t>KSRC</t>
  </si>
  <si>
    <t>Searcy Municipal Airport</t>
  </si>
  <si>
    <t>SRD</t>
  </si>
  <si>
    <t>SLRA</t>
  </si>
  <si>
    <t>San Ramón Airport</t>
  </si>
  <si>
    <t>SRE</t>
  </si>
  <si>
    <t>SLSU</t>
  </si>
  <si>
    <t>Juana Azurduy de Padilla International Airport</t>
  </si>
  <si>
    <t>KSRE</t>
  </si>
  <si>
    <t>Seminole Municipal Airport</t>
  </si>
  <si>
    <t>SRG</t>
  </si>
  <si>
    <t>WARS</t>
  </si>
  <si>
    <t>Achmad Yani International Airport</t>
  </si>
  <si>
    <t>SRH</t>
  </si>
  <si>
    <t>FTTA</t>
  </si>
  <si>
    <t>Sarh Airport</t>
  </si>
  <si>
    <t>SRI</t>
  </si>
  <si>
    <t>WALS</t>
  </si>
  <si>
    <t>Temindung Airport</t>
  </si>
  <si>
    <t>SRJ</t>
  </si>
  <si>
    <t>SLSB</t>
  </si>
  <si>
    <t>Capitán Germán Quiroga Guardia Airport</t>
  </si>
  <si>
    <t>SRN</t>
  </si>
  <si>
    <t>YSRN</t>
  </si>
  <si>
    <t>Strahan Airport</t>
  </si>
  <si>
    <t>SRP</t>
  </si>
  <si>
    <t>ENSA</t>
  </si>
  <si>
    <t>Stord Airport, Sørstokken</t>
  </si>
  <si>
    <t>ENSO</t>
  </si>
  <si>
    <t>Stord Airport</t>
  </si>
  <si>
    <t>SRQ</t>
  </si>
  <si>
    <t>KSRQ</t>
  </si>
  <si>
    <t>Sarasota-Bradenton International Airport</t>
  </si>
  <si>
    <t>SRR</t>
  </si>
  <si>
    <t>KSRR</t>
  </si>
  <si>
    <t>Sierra Blanca Regional Airport</t>
  </si>
  <si>
    <t>SRT</t>
  </si>
  <si>
    <t>HUSO</t>
  </si>
  <si>
    <t>Soroti Airport</t>
  </si>
  <si>
    <t>SRX</t>
  </si>
  <si>
    <t>HLGD</t>
  </si>
  <si>
    <t>Gardabya Airport</t>
  </si>
  <si>
    <t>SRY</t>
  </si>
  <si>
    <t>OINZ</t>
  </si>
  <si>
    <t>Sari, Iran</t>
  </si>
  <si>
    <t>SRZ</t>
  </si>
  <si>
    <t>SLET</t>
  </si>
  <si>
    <t>El Trompillo Airport</t>
  </si>
  <si>
    <t>SSA</t>
  </si>
  <si>
    <t>SBSV</t>
  </si>
  <si>
    <t>Deputado Luís Eduardo Magalhães International Airport</t>
  </si>
  <si>
    <t>SSC</t>
  </si>
  <si>
    <t>KSSC</t>
  </si>
  <si>
    <t>Shaw AFB</t>
  </si>
  <si>
    <t>SSD</t>
  </si>
  <si>
    <t>SCSF</t>
  </si>
  <si>
    <t>Víctor Lafón Airport</t>
  </si>
  <si>
    <t>SSE</t>
  </si>
  <si>
    <t>VASL</t>
  </si>
  <si>
    <t>Solapur Airport</t>
  </si>
  <si>
    <t>SSF</t>
  </si>
  <si>
    <t>KSSF</t>
  </si>
  <si>
    <t>Stinson Municipal Airport</t>
  </si>
  <si>
    <t>SSG</t>
  </si>
  <si>
    <t>FGSL</t>
  </si>
  <si>
    <t>Malabo International Airport (Saint Isabel Airport)</t>
  </si>
  <si>
    <t>SSH</t>
  </si>
  <si>
    <t>HESH</t>
  </si>
  <si>
    <t>Sharm El Sheikh International Airport</t>
  </si>
  <si>
    <t>SSI</t>
  </si>
  <si>
    <t>KSSI</t>
  </si>
  <si>
    <t>Malcolm McKinnon Airport</t>
  </si>
  <si>
    <t>SSJ</t>
  </si>
  <si>
    <t>ENST</t>
  </si>
  <si>
    <t>Sandnessjøen Airport, Stokka</t>
  </si>
  <si>
    <t>SSN</t>
  </si>
  <si>
    <t>RKSM</t>
  </si>
  <si>
    <t>Seoul Airbase</t>
  </si>
  <si>
    <t>SSO</t>
  </si>
  <si>
    <t>SNLO</t>
  </si>
  <si>
    <t>São Lourenço Airport</t>
  </si>
  <si>
    <t>SSQ</t>
  </si>
  <si>
    <t>CSR8</t>
  </si>
  <si>
    <t>La Sarre Airport</t>
  </si>
  <si>
    <t>KSSQ</t>
  </si>
  <si>
    <t>Shell Lake Municipal Airport</t>
  </si>
  <si>
    <t>SSR</t>
  </si>
  <si>
    <t>NVSH</t>
  </si>
  <si>
    <t>Sara Airport</t>
  </si>
  <si>
    <t>SST</t>
  </si>
  <si>
    <t>SAZL</t>
  </si>
  <si>
    <t>Santa Teresita Airport</t>
  </si>
  <si>
    <t>SSX</t>
  </si>
  <si>
    <t>LTAQ</t>
  </si>
  <si>
    <t>Samsun Samair Airport</t>
  </si>
  <si>
    <t>SSY</t>
  </si>
  <si>
    <t>FNBC</t>
  </si>
  <si>
    <t>Mbanza Congo Airport</t>
  </si>
  <si>
    <t>SSZ</t>
  </si>
  <si>
    <t>SBST</t>
  </si>
  <si>
    <t>Santos Air Base</t>
  </si>
  <si>
    <t>STA</t>
  </si>
  <si>
    <t>EKVJ</t>
  </si>
  <si>
    <t>Stauning Vestjylland Airport</t>
  </si>
  <si>
    <t>STB</t>
  </si>
  <si>
    <t>SVSZ</t>
  </si>
  <si>
    <t>Santa Bárbara del Zulia Airport</t>
  </si>
  <si>
    <t>STC</t>
  </si>
  <si>
    <t>KSTC</t>
  </si>
  <si>
    <t>St. Cloud Regional Airport</t>
  </si>
  <si>
    <t>STD</t>
  </si>
  <si>
    <t>SVSO</t>
  </si>
  <si>
    <t>Mayor Buenaventura Vivas Airport</t>
  </si>
  <si>
    <t>STE</t>
  </si>
  <si>
    <t>KSTE</t>
  </si>
  <si>
    <t>Stevens Point Municipal Airport</t>
  </si>
  <si>
    <t>STG</t>
  </si>
  <si>
    <t>St. George Airport</t>
  </si>
  <si>
    <t>STH</t>
  </si>
  <si>
    <t>YSMR</t>
  </si>
  <si>
    <t>Strathmore Airport</t>
  </si>
  <si>
    <t>STI</t>
  </si>
  <si>
    <t>MDST</t>
  </si>
  <si>
    <t>Cibao International Airport</t>
  </si>
  <si>
    <t>STJ</t>
  </si>
  <si>
    <t>KSTJ</t>
  </si>
  <si>
    <t>Rosecrans Memorial Airport</t>
  </si>
  <si>
    <t>STK</t>
  </si>
  <si>
    <t>KSTK</t>
  </si>
  <si>
    <t>Sterling Municipal Airport</t>
  </si>
  <si>
    <t>STL</t>
  </si>
  <si>
    <t>KSTL</t>
  </si>
  <si>
    <t>St. Louis Lambert International Airport</t>
  </si>
  <si>
    <t>STM</t>
  </si>
  <si>
    <t>SBSN</t>
  </si>
  <si>
    <t>Maestro Wilson Fonseca Airport</t>
  </si>
  <si>
    <t>STN</t>
  </si>
  <si>
    <t>EGSS</t>
  </si>
  <si>
    <t>London Stansted Airport</t>
  </si>
  <si>
    <t>STP</t>
  </si>
  <si>
    <t>KSTP</t>
  </si>
  <si>
    <t>St. Paul Downtown Airport (Holman Field)</t>
  </si>
  <si>
    <t>STQ</t>
  </si>
  <si>
    <t>KOYM</t>
  </si>
  <si>
    <t>St. Marys Municipal Airport</t>
  </si>
  <si>
    <t>STR</t>
  </si>
  <si>
    <t>EDDS</t>
  </si>
  <si>
    <t>Stuttgart Airport</t>
  </si>
  <si>
    <t>STS</t>
  </si>
  <si>
    <t>KSTS</t>
  </si>
  <si>
    <t>Charles M. Schulz Sonoma County Airport</t>
  </si>
  <si>
    <t>STT</t>
  </si>
  <si>
    <t>TIST</t>
  </si>
  <si>
    <t>Cyril E. King Airport</t>
  </si>
  <si>
    <t>STV</t>
  </si>
  <si>
    <t>VASU</t>
  </si>
  <si>
    <t>Surat Airport</t>
  </si>
  <si>
    <t>STW</t>
  </si>
  <si>
    <t>URMT</t>
  </si>
  <si>
    <t>Stavropol Shpakovskoye Airport</t>
  </si>
  <si>
    <t>STX</t>
  </si>
  <si>
    <t>TISX</t>
  </si>
  <si>
    <t>Henry E. Rohlsen Airport</t>
  </si>
  <si>
    <t>STY</t>
  </si>
  <si>
    <t>SUSO</t>
  </si>
  <si>
    <t>Nueva Hesperides International Airport</t>
  </si>
  <si>
    <t>STZ</t>
  </si>
  <si>
    <t>SWST</t>
  </si>
  <si>
    <t>SUA</t>
  </si>
  <si>
    <t>KSUA</t>
  </si>
  <si>
    <t>Witham Field</t>
  </si>
  <si>
    <t>SUB</t>
  </si>
  <si>
    <t>WARR</t>
  </si>
  <si>
    <t>Juanda International Airport</t>
  </si>
  <si>
    <t>SUD</t>
  </si>
  <si>
    <t>KSUD</t>
  </si>
  <si>
    <t>Stroud Municipal Airport</t>
  </si>
  <si>
    <t>SUE</t>
  </si>
  <si>
    <t>KSUE</t>
  </si>
  <si>
    <t>Door County Cherryland Airport</t>
  </si>
  <si>
    <t>SUF</t>
  </si>
  <si>
    <t>LICA</t>
  </si>
  <si>
    <t>Lamezia Terme International Airport</t>
  </si>
  <si>
    <t>SUG</t>
  </si>
  <si>
    <t>RPMS</t>
  </si>
  <si>
    <t>Surigao Airport</t>
  </si>
  <si>
    <t>SUH</t>
  </si>
  <si>
    <t>OOSR</t>
  </si>
  <si>
    <t>Sur Airport</t>
  </si>
  <si>
    <t>SUI</t>
  </si>
  <si>
    <t>UGSS</t>
  </si>
  <si>
    <t>Sukhumi Dranda Airport</t>
  </si>
  <si>
    <t>SUJ</t>
  </si>
  <si>
    <t>LRSM</t>
  </si>
  <si>
    <t>Satu Mare International Airport</t>
  </si>
  <si>
    <t>SUL</t>
  </si>
  <si>
    <t>OPSU</t>
  </si>
  <si>
    <t>Sui Airport</t>
  </si>
  <si>
    <t>SUN</t>
  </si>
  <si>
    <t>KSUN</t>
  </si>
  <si>
    <t>Friedman Memorial Airport</t>
  </si>
  <si>
    <t>SUP</t>
  </si>
  <si>
    <t>WART</t>
  </si>
  <si>
    <t>Trunojoyo Airport</t>
  </si>
  <si>
    <t>SUQ</t>
  </si>
  <si>
    <t>SESC</t>
  </si>
  <si>
    <t>Sucua Airport</t>
  </si>
  <si>
    <t>SUR</t>
  </si>
  <si>
    <t>CJV7</t>
  </si>
  <si>
    <t>Summer Beaver Airport</t>
  </si>
  <si>
    <t>SUS</t>
  </si>
  <si>
    <t>KSUS</t>
  </si>
  <si>
    <t>Spirit of St. Louis Airport</t>
  </si>
  <si>
    <t>SUT</t>
  </si>
  <si>
    <t>HTSU</t>
  </si>
  <si>
    <t>Sumbawanga Airport</t>
  </si>
  <si>
    <t>KSUT</t>
  </si>
  <si>
    <t>Brunswick County Airport</t>
  </si>
  <si>
    <t>SUU</t>
  </si>
  <si>
    <t>KSUU</t>
  </si>
  <si>
    <t>Travis AFB</t>
  </si>
  <si>
    <t>SUV</t>
  </si>
  <si>
    <t>NFNA</t>
  </si>
  <si>
    <t>Nausori International Airport</t>
  </si>
  <si>
    <t>SUW</t>
  </si>
  <si>
    <t>KSUW</t>
  </si>
  <si>
    <t>Richard I. Bong Airport</t>
  </si>
  <si>
    <t>SUX</t>
  </si>
  <si>
    <t>KSUX</t>
  </si>
  <si>
    <t>Sioux Gateway Airport</t>
  </si>
  <si>
    <t>SVA</t>
  </si>
  <si>
    <t>PASA</t>
  </si>
  <si>
    <t>Savoonga Airport</t>
  </si>
  <si>
    <t>SVB</t>
  </si>
  <si>
    <t>FMNS</t>
  </si>
  <si>
    <t>Sambava Airport</t>
  </si>
  <si>
    <t>SVC</t>
  </si>
  <si>
    <t>KSVC</t>
  </si>
  <si>
    <t>Grant County Airport</t>
  </si>
  <si>
    <t>SVD</t>
  </si>
  <si>
    <t>TVSV</t>
  </si>
  <si>
    <t>E.T. Joshua Airport</t>
  </si>
  <si>
    <t>SVE</t>
  </si>
  <si>
    <t>KSVE</t>
  </si>
  <si>
    <t>Susanville Municipal Airport</t>
  </si>
  <si>
    <t>SVF</t>
  </si>
  <si>
    <t>DBBS</t>
  </si>
  <si>
    <t>Savé Airport</t>
  </si>
  <si>
    <t>SVG</t>
  </si>
  <si>
    <t>ENZV</t>
  </si>
  <si>
    <t>Stavanger Airport, Sola</t>
  </si>
  <si>
    <t>SVH</t>
  </si>
  <si>
    <t>KSVH</t>
  </si>
  <si>
    <t>Statesville Regional Airport</t>
  </si>
  <si>
    <t>SVI</t>
  </si>
  <si>
    <t>SKSV</t>
  </si>
  <si>
    <t>Eduardo Falla Solano Airport</t>
  </si>
  <si>
    <t>SVJ</t>
  </si>
  <si>
    <t>ENSH</t>
  </si>
  <si>
    <t>Svolvær Airport, Helle</t>
  </si>
  <si>
    <t>SVL</t>
  </si>
  <si>
    <t>EFSA</t>
  </si>
  <si>
    <t>Savonlinna Airport</t>
  </si>
  <si>
    <t>SVN</t>
  </si>
  <si>
    <t>KSVN</t>
  </si>
  <si>
    <t>Hunter AAF</t>
  </si>
  <si>
    <t>SVO</t>
  </si>
  <si>
    <t>UUEE</t>
  </si>
  <si>
    <t>Sheremetyevo International Airport</t>
  </si>
  <si>
    <t>SVP</t>
  </si>
  <si>
    <t>FNKU</t>
  </si>
  <si>
    <t>Kuito Airport</t>
  </si>
  <si>
    <t>SVQ</t>
  </si>
  <si>
    <t>LEZL</t>
  </si>
  <si>
    <t>San Pablo Airport</t>
  </si>
  <si>
    <t>SVU</t>
  </si>
  <si>
    <t>NFNS</t>
  </si>
  <si>
    <t>Savusavu Airport</t>
  </si>
  <si>
    <t>SVW</t>
  </si>
  <si>
    <t>PASV</t>
  </si>
  <si>
    <t>Sparrevohn LRRS</t>
  </si>
  <si>
    <t>SVX</t>
  </si>
  <si>
    <t>USSS</t>
  </si>
  <si>
    <t>Koltsovo International Airport</t>
  </si>
  <si>
    <t>SVZ</t>
  </si>
  <si>
    <t>SVSA</t>
  </si>
  <si>
    <t>Juan Vicente Gómez International Airport</t>
  </si>
  <si>
    <t>SWA</t>
  </si>
  <si>
    <t>ZGOW</t>
  </si>
  <si>
    <t>Shantou Waisha Airport</t>
  </si>
  <si>
    <t>SWC</t>
  </si>
  <si>
    <t>YSWL</t>
  </si>
  <si>
    <t>Stawell Airport</t>
  </si>
  <si>
    <t>SWD</t>
  </si>
  <si>
    <t>PAWD</t>
  </si>
  <si>
    <t>Seward Airport</t>
  </si>
  <si>
    <t>SWF</t>
  </si>
  <si>
    <t>KSWF</t>
  </si>
  <si>
    <t>Stewart International Airport</t>
  </si>
  <si>
    <t>SWH</t>
  </si>
  <si>
    <t>YSWH</t>
  </si>
  <si>
    <t>Swan Hill Airport</t>
  </si>
  <si>
    <t>SWI</t>
  </si>
  <si>
    <t>KSWI</t>
  </si>
  <si>
    <t>Sherman Municipal Airport</t>
  </si>
  <si>
    <t>SWJ</t>
  </si>
  <si>
    <t>NVSX</t>
  </si>
  <si>
    <t>Southwest Bay Airport</t>
  </si>
  <si>
    <t>SWN</t>
  </si>
  <si>
    <t>OPSW</t>
  </si>
  <si>
    <t>Sahiwal Airport</t>
  </si>
  <si>
    <t>SWO</t>
  </si>
  <si>
    <t>KSWO</t>
  </si>
  <si>
    <t>Stillwater Regional Airport</t>
  </si>
  <si>
    <t>SWP</t>
  </si>
  <si>
    <t>FYSM</t>
  </si>
  <si>
    <t>Swakopmund Airport</t>
  </si>
  <si>
    <t>SWQ</t>
  </si>
  <si>
    <t>WADS</t>
  </si>
  <si>
    <t>Sumbawa Besar Airport</t>
  </si>
  <si>
    <t>SWS</t>
  </si>
  <si>
    <t>EGFH</t>
  </si>
  <si>
    <t>Swansea Airport</t>
  </si>
  <si>
    <t>SWT</t>
  </si>
  <si>
    <t>KSWT</t>
  </si>
  <si>
    <t>Seward Municipal Airport</t>
  </si>
  <si>
    <t>SWU</t>
  </si>
  <si>
    <t>RKSW</t>
  </si>
  <si>
    <t>Suwon Airport</t>
  </si>
  <si>
    <t>SWW</t>
  </si>
  <si>
    <t>KSWW</t>
  </si>
  <si>
    <t>Avenger Field</t>
  </si>
  <si>
    <t>SWX</t>
  </si>
  <si>
    <t>FBSW</t>
  </si>
  <si>
    <t>Shakawe Airport</t>
  </si>
  <si>
    <t>SWY</t>
  </si>
  <si>
    <t>WMBA</t>
  </si>
  <si>
    <t>Sitiawan Airport</t>
  </si>
  <si>
    <t>SXB</t>
  </si>
  <si>
    <t>LFST</t>
  </si>
  <si>
    <t>Strasbourg Entzheim International Airport</t>
  </si>
  <si>
    <t>SXE</t>
  </si>
  <si>
    <t>YMES</t>
  </si>
  <si>
    <t>RAAF Base East Sale</t>
  </si>
  <si>
    <t>SXF</t>
  </si>
  <si>
    <t>EDDB</t>
  </si>
  <si>
    <t>Berlin-Schönefeld International Airport</t>
  </si>
  <si>
    <t>SXG</t>
  </si>
  <si>
    <t>FLSN</t>
  </si>
  <si>
    <t>Senanga Airport</t>
  </si>
  <si>
    <t>SXI</t>
  </si>
  <si>
    <t>OIBS</t>
  </si>
  <si>
    <t>Sirri Island Airport</t>
  </si>
  <si>
    <t>SXJ</t>
  </si>
  <si>
    <t>ZWSS</t>
  </si>
  <si>
    <t>Shanshan Airport</t>
  </si>
  <si>
    <t>SXK</t>
  </si>
  <si>
    <t>WAPI</t>
  </si>
  <si>
    <t>Saumlaki Airport</t>
  </si>
  <si>
    <t>SXL</t>
  </si>
  <si>
    <t>EISG</t>
  </si>
  <si>
    <t>Sligo Airport</t>
  </si>
  <si>
    <t>SXM</t>
  </si>
  <si>
    <t>TNCM</t>
  </si>
  <si>
    <t>Princess Juliana International Airport</t>
  </si>
  <si>
    <t>SXN</t>
  </si>
  <si>
    <t>FBSN</t>
  </si>
  <si>
    <t>Sua Pan Airport</t>
  </si>
  <si>
    <t>SXO</t>
  </si>
  <si>
    <t>SWFX</t>
  </si>
  <si>
    <t>São Félix do Araguaia Airport</t>
  </si>
  <si>
    <t>SXQ</t>
  </si>
  <si>
    <t>PASX</t>
  </si>
  <si>
    <t>Soldotna Airport</t>
  </si>
  <si>
    <t>SXR</t>
  </si>
  <si>
    <t>VISR</t>
  </si>
  <si>
    <t>Sheikh Ul Alam International Airport, Srinagar, India</t>
  </si>
  <si>
    <t>SXS</t>
  </si>
  <si>
    <t>WBKH</t>
  </si>
  <si>
    <t>Sahabat [Sahabat 16] Airport</t>
  </si>
  <si>
    <t>SXT</t>
  </si>
  <si>
    <t>WMAN</t>
  </si>
  <si>
    <t>Sungai Tiang Airport</t>
  </si>
  <si>
    <t>SXU</t>
  </si>
  <si>
    <t>HASD</t>
  </si>
  <si>
    <t>Soddu Airport</t>
  </si>
  <si>
    <t>SXV</t>
  </si>
  <si>
    <t>VOSM</t>
  </si>
  <si>
    <t>Salem Airport</t>
  </si>
  <si>
    <t>SXX</t>
  </si>
  <si>
    <t>SNFX</t>
  </si>
  <si>
    <t>São Félix do Xingu Airport</t>
  </si>
  <si>
    <t>SXZ</t>
  </si>
  <si>
    <t>LTCL</t>
  </si>
  <si>
    <t>Siirt Airport</t>
  </si>
  <si>
    <t>SYA</t>
  </si>
  <si>
    <t>PASY</t>
  </si>
  <si>
    <t>Eareckson AS</t>
  </si>
  <si>
    <t>SYC</t>
  </si>
  <si>
    <t>SPOV</t>
  </si>
  <si>
    <t>Shiringayoc/Hacienda Hda Mejia Airport</t>
  </si>
  <si>
    <t>SPSY</t>
  </si>
  <si>
    <t>Shiringayoc Airport</t>
  </si>
  <si>
    <t>SYD</t>
  </si>
  <si>
    <t>YSSY</t>
  </si>
  <si>
    <t>Sydney Airport</t>
  </si>
  <si>
    <t>SYE</t>
  </si>
  <si>
    <t>OYSH</t>
  </si>
  <si>
    <t>Sadah Airport</t>
  </si>
  <si>
    <t>SYF</t>
  </si>
  <si>
    <t>KSYF</t>
  </si>
  <si>
    <t>Cheyenne County Municipal Airport</t>
  </si>
  <si>
    <t>SYI</t>
  </si>
  <si>
    <t>KSYI</t>
  </si>
  <si>
    <t>Shelbyville Municipal Airport (Bomar Field)</t>
  </si>
  <si>
    <t>SYJ</t>
  </si>
  <si>
    <t>OIKY</t>
  </si>
  <si>
    <t>Sirjan Airport</t>
  </si>
  <si>
    <t>SYK</t>
  </si>
  <si>
    <t>BIST</t>
  </si>
  <si>
    <t>Stykkishólmur Airport</t>
  </si>
  <si>
    <t>SYL</t>
  </si>
  <si>
    <t>KSYL</t>
  </si>
  <si>
    <t>Roberts Army Heliport</t>
  </si>
  <si>
    <t>SYM</t>
  </si>
  <si>
    <t>ZPSM</t>
  </si>
  <si>
    <t>Simao Airport</t>
  </si>
  <si>
    <t>SYN</t>
  </si>
  <si>
    <t>KSYN</t>
  </si>
  <si>
    <t>Stanton Airfield</t>
  </si>
  <si>
    <t>SYO</t>
  </si>
  <si>
    <t>RJSY</t>
  </si>
  <si>
    <t>Shonai Airport</t>
  </si>
  <si>
    <t>SYP</t>
  </si>
  <si>
    <t>MPSA</t>
  </si>
  <si>
    <t>Ruben Cantu Airport</t>
  </si>
  <si>
    <t>SYQ</t>
  </si>
  <si>
    <t>MRPV</t>
  </si>
  <si>
    <t>Tobías Bolaños International Airport</t>
  </si>
  <si>
    <t>SYR</t>
  </si>
  <si>
    <t>KSYR</t>
  </si>
  <si>
    <t>Syracuse Hancock International Airport</t>
  </si>
  <si>
    <t>SYT</t>
  </si>
  <si>
    <t>LFLN</t>
  </si>
  <si>
    <t>Saint-Yan Airport</t>
  </si>
  <si>
    <t>SYU</t>
  </si>
  <si>
    <t>YWBS</t>
  </si>
  <si>
    <t>Warraber Island Airport</t>
  </si>
  <si>
    <t>SYV</t>
  </si>
  <si>
    <t>KSYV</t>
  </si>
  <si>
    <t>Sylvester Airport</t>
  </si>
  <si>
    <t>SYW</t>
  </si>
  <si>
    <t>OPSN</t>
  </si>
  <si>
    <t>Sehwan Sharif Airport</t>
  </si>
  <si>
    <t>SYX</t>
  </si>
  <si>
    <t>ZJSY</t>
  </si>
  <si>
    <t>Sanya Fenghuang International Airport</t>
  </si>
  <si>
    <t>SYY</t>
  </si>
  <si>
    <t>EGPO</t>
  </si>
  <si>
    <t>Stornoway Airport</t>
  </si>
  <si>
    <t>SYZ</t>
  </si>
  <si>
    <t>OISS</t>
  </si>
  <si>
    <t>Shiraz International Airport</t>
  </si>
  <si>
    <t>SZA</t>
  </si>
  <si>
    <t>FNSO</t>
  </si>
  <si>
    <t>Soyo Airport</t>
  </si>
  <si>
    <t>SZB</t>
  </si>
  <si>
    <t>WMSA</t>
  </si>
  <si>
    <t>Sultan Abdul Aziz Shah Airport</t>
  </si>
  <si>
    <t>SZD</t>
  </si>
  <si>
    <t>EGSY</t>
  </si>
  <si>
    <t>Sheffield City Airport</t>
  </si>
  <si>
    <t>SZF</t>
  </si>
  <si>
    <t>LTFH</t>
  </si>
  <si>
    <t>Carsamba Airport</t>
  </si>
  <si>
    <t>SZG</t>
  </si>
  <si>
    <t>LOWS</t>
  </si>
  <si>
    <t>Salzburg Airport</t>
  </si>
  <si>
    <t>SZJ</t>
  </si>
  <si>
    <t>MUSN</t>
  </si>
  <si>
    <t>Siguanea Airport</t>
  </si>
  <si>
    <t>SZK</t>
  </si>
  <si>
    <t>FASZ</t>
  </si>
  <si>
    <t>Skukuza Airport</t>
  </si>
  <si>
    <t>SZL</t>
  </si>
  <si>
    <t>KSZL</t>
  </si>
  <si>
    <t>Whiteman AFB</t>
  </si>
  <si>
    <t>SZN</t>
  </si>
  <si>
    <t>KSZN</t>
  </si>
  <si>
    <t>Santa Cruz Island Airport</t>
  </si>
  <si>
    <t>SZQ</t>
  </si>
  <si>
    <t>KSZP</t>
  </si>
  <si>
    <t>Saenz Peña Airport</t>
  </si>
  <si>
    <t>SZR</t>
  </si>
  <si>
    <t>LBSZ</t>
  </si>
  <si>
    <t>Stara Zagora Airport</t>
  </si>
  <si>
    <t>SZS</t>
  </si>
  <si>
    <t>NZRC</t>
  </si>
  <si>
    <t>Ryans Creek Aerodrome</t>
  </si>
  <si>
    <t>SZT</t>
  </si>
  <si>
    <t>MMSC</t>
  </si>
  <si>
    <t>San Cristobal De Las Casas Airport</t>
  </si>
  <si>
    <t>KSZT</t>
  </si>
  <si>
    <t>Sandpoint Airport</t>
  </si>
  <si>
    <t>SZV</t>
  </si>
  <si>
    <t>ZSSZ</t>
  </si>
  <si>
    <t>Guangfu Airport</t>
  </si>
  <si>
    <t>SZW</t>
  </si>
  <si>
    <t>EDOP</t>
  </si>
  <si>
    <t>Schwerin Parchim Airport</t>
  </si>
  <si>
    <t>SZX</t>
  </si>
  <si>
    <t>ZGSZ</t>
  </si>
  <si>
    <t>Shenzhen Bao'an International Airport</t>
  </si>
  <si>
    <t>SZY</t>
  </si>
  <si>
    <t>EPSY</t>
  </si>
  <si>
    <t>Szczytno-Snationalrt</t>
  </si>
  <si>
    <t>KSZY</t>
  </si>
  <si>
    <t>Robert Sibley Airport</t>
  </si>
  <si>
    <t>SZZ</t>
  </si>
  <si>
    <t>EPSC</t>
  </si>
  <si>
    <t>Solidarity Szczecin–Goleniów Airport</t>
  </si>
  <si>
    <t>TAB</t>
  </si>
  <si>
    <t>TTCP</t>
  </si>
  <si>
    <t>Crown Point International Airport</t>
  </si>
  <si>
    <t>TAC</t>
  </si>
  <si>
    <t>RPVA</t>
  </si>
  <si>
    <t>Daniel Z. Romualdez Airport</t>
  </si>
  <si>
    <t>TAD</t>
  </si>
  <si>
    <t>KTAD</t>
  </si>
  <si>
    <t>Perry Stokes Airport</t>
  </si>
  <si>
    <t>TAE</t>
  </si>
  <si>
    <t>RKTN</t>
  </si>
  <si>
    <t>Daegu International Airport</t>
  </si>
  <si>
    <t>TAF</t>
  </si>
  <si>
    <t>DAOL</t>
  </si>
  <si>
    <t>Tafaraoui Airport</t>
  </si>
  <si>
    <t>TAG</t>
  </si>
  <si>
    <t>RPVT</t>
  </si>
  <si>
    <t>Tagbilaran Airport</t>
  </si>
  <si>
    <t>TAH</t>
  </si>
  <si>
    <t>NVVW</t>
  </si>
  <si>
    <t>Tanna Airport</t>
  </si>
  <si>
    <t>TAI</t>
  </si>
  <si>
    <t>OYTZ</t>
  </si>
  <si>
    <t>Ta'izz International Airport</t>
  </si>
  <si>
    <t>TAK</t>
  </si>
  <si>
    <t>RJOT</t>
  </si>
  <si>
    <t>Takamatsu Airport</t>
  </si>
  <si>
    <t>TAL</t>
  </si>
  <si>
    <t>PATA</t>
  </si>
  <si>
    <t>Ralph M. Calhoun Memorial Airport</t>
  </si>
  <si>
    <t>TAM</t>
  </si>
  <si>
    <t>MMTM</t>
  </si>
  <si>
    <t>General Francisco Javier Mina International Airport</t>
  </si>
  <si>
    <t>TAN</t>
  </si>
  <si>
    <t>YTGA</t>
  </si>
  <si>
    <t>Tangalooma Airport</t>
  </si>
  <si>
    <t>KTAN</t>
  </si>
  <si>
    <t>Taunton Municipal Airport</t>
  </si>
  <si>
    <t>TAO</t>
  </si>
  <si>
    <t>ZSQD</t>
  </si>
  <si>
    <t>Qingdao Liuting International Airport</t>
  </si>
  <si>
    <t>TAP</t>
  </si>
  <si>
    <t>MMTP</t>
  </si>
  <si>
    <t>Tapachula International Airport</t>
  </si>
  <si>
    <t>TAQ</t>
  </si>
  <si>
    <t>YTAR</t>
  </si>
  <si>
    <t>Tarcoola Airport</t>
  </si>
  <si>
    <t>TAR</t>
  </si>
  <si>
    <t>LIBG</t>
  </si>
  <si>
    <t>Taranto / Grottaglie Airport</t>
  </si>
  <si>
    <t>TAS</t>
  </si>
  <si>
    <t>UTTT</t>
  </si>
  <si>
    <t>Yuzhny Airport</t>
  </si>
  <si>
    <t>TAT</t>
  </si>
  <si>
    <t>LZTT</t>
  </si>
  <si>
    <t>Poprad-Tatry Airport</t>
  </si>
  <si>
    <t>TAW</t>
  </si>
  <si>
    <t>SUTB</t>
  </si>
  <si>
    <t>Tacuarembo Airport</t>
  </si>
  <si>
    <t>TAX</t>
  </si>
  <si>
    <t>WAPT</t>
  </si>
  <si>
    <t>Taliabu Island Airport</t>
  </si>
  <si>
    <t>TAY</t>
  </si>
  <si>
    <t>EETU</t>
  </si>
  <si>
    <t>Tartu-Ülenurme Airport</t>
  </si>
  <si>
    <t>TAZ</t>
  </si>
  <si>
    <t>UTAT</t>
  </si>
  <si>
    <t>Daşoguz Airport</t>
  </si>
  <si>
    <t>KTAZ</t>
  </si>
  <si>
    <t>Taylorville Municipal Airport</t>
  </si>
  <si>
    <t>TBB</t>
  </si>
  <si>
    <t>VVTH</t>
  </si>
  <si>
    <t>Dong Tac Airport</t>
  </si>
  <si>
    <t>TBF</t>
  </si>
  <si>
    <t>NGTE</t>
  </si>
  <si>
    <t>Tabiteuea North Airport</t>
  </si>
  <si>
    <t>TBG</t>
  </si>
  <si>
    <t>AYTB</t>
  </si>
  <si>
    <t>Tabubil Airport</t>
  </si>
  <si>
    <t>TBH</t>
  </si>
  <si>
    <t>RPVU</t>
  </si>
  <si>
    <t>Romblon Airport</t>
  </si>
  <si>
    <t>TBJ</t>
  </si>
  <si>
    <t>DTKA</t>
  </si>
  <si>
    <t>Tabarka 7 Novembre Airport</t>
  </si>
  <si>
    <t>TBK</t>
  </si>
  <si>
    <t>YTBR</t>
  </si>
  <si>
    <t>Timber Creek Airport</t>
  </si>
  <si>
    <t>TBL</t>
  </si>
  <si>
    <t>YTAB</t>
  </si>
  <si>
    <t>Tableland Homestead Airport</t>
  </si>
  <si>
    <t>TBN</t>
  </si>
  <si>
    <t>KTBN</t>
  </si>
  <si>
    <t>Waynesville Regional Airport (Forney Field)</t>
  </si>
  <si>
    <t>TBO</t>
  </si>
  <si>
    <t>HTTB</t>
  </si>
  <si>
    <t>Tabora Airport</t>
  </si>
  <si>
    <t>TBP</t>
  </si>
  <si>
    <t>SPME</t>
  </si>
  <si>
    <t>Capitan FAP Pedro Canga Rodriguez Airport</t>
  </si>
  <si>
    <t>TBR</t>
  </si>
  <si>
    <t>KTBR</t>
  </si>
  <si>
    <t>Statesboro-Bulloch County Airport</t>
  </si>
  <si>
    <t>TBS</t>
  </si>
  <si>
    <t>UGTB</t>
  </si>
  <si>
    <t>Tbilisi International Airport</t>
  </si>
  <si>
    <t>TBT</t>
  </si>
  <si>
    <t>SBTT</t>
  </si>
  <si>
    <t>Tabatinga International Airport</t>
  </si>
  <si>
    <t>TBU</t>
  </si>
  <si>
    <t>SKTB</t>
  </si>
  <si>
    <t>Tibú Airport</t>
  </si>
  <si>
    <t>NFTF</t>
  </si>
  <si>
    <t>Fua?amotu International Airport</t>
  </si>
  <si>
    <t>TBW</t>
  </si>
  <si>
    <t>UUOT</t>
  </si>
  <si>
    <t>Donskoye Airport</t>
  </si>
  <si>
    <t>TBY</t>
  </si>
  <si>
    <t>FBTS</t>
  </si>
  <si>
    <t>Tshabong Airport</t>
  </si>
  <si>
    <t>TBZ</t>
  </si>
  <si>
    <t>OITT</t>
  </si>
  <si>
    <t>Tabriz International Airport</t>
  </si>
  <si>
    <t>TCA</t>
  </si>
  <si>
    <t>YTNK</t>
  </si>
  <si>
    <t>Tennant Creek Airport</t>
  </si>
  <si>
    <t>TCB</t>
  </si>
  <si>
    <t>MYAT</t>
  </si>
  <si>
    <t>Treasure Cay Airport</t>
  </si>
  <si>
    <t>TCC</t>
  </si>
  <si>
    <t>KTCC</t>
  </si>
  <si>
    <t>Tucumcari Municipal Airport</t>
  </si>
  <si>
    <t>TCE</t>
  </si>
  <si>
    <t>LRTC</t>
  </si>
  <si>
    <t>Tulcea Airport</t>
  </si>
  <si>
    <t>TCG</t>
  </si>
  <si>
    <t>ZWTC</t>
  </si>
  <si>
    <t>Tacheng Airport</t>
  </si>
  <si>
    <t>SPCH</t>
  </si>
  <si>
    <t>Tocache Airport</t>
  </si>
  <si>
    <t>TCH</t>
  </si>
  <si>
    <t>FOOT</t>
  </si>
  <si>
    <t>Tchibanga Airport</t>
  </si>
  <si>
    <t>TCL</t>
  </si>
  <si>
    <t>KTCL</t>
  </si>
  <si>
    <t>Tuscaloosa Regional Airport</t>
  </si>
  <si>
    <t>TCM</t>
  </si>
  <si>
    <t>KTCM</t>
  </si>
  <si>
    <t>McChord AFB</t>
  </si>
  <si>
    <t>TCN</t>
  </si>
  <si>
    <t>MMHC</t>
  </si>
  <si>
    <t>Tehuacán Airport</t>
  </si>
  <si>
    <t>TCO</t>
  </si>
  <si>
    <t>SKCO</t>
  </si>
  <si>
    <t>TCP</t>
  </si>
  <si>
    <t>HETB</t>
  </si>
  <si>
    <t>Taba International Airport</t>
  </si>
  <si>
    <t>TCQ</t>
  </si>
  <si>
    <t>SPTN</t>
  </si>
  <si>
    <t>Coronel FAP Carlos Ciriani Santa Rosa International Airport</t>
  </si>
  <si>
    <t>TCS</t>
  </si>
  <si>
    <t>KTCS</t>
  </si>
  <si>
    <t>Truth or Consequences Municipal Airport</t>
  </si>
  <si>
    <t>TCU</t>
  </si>
  <si>
    <t>FATN</t>
  </si>
  <si>
    <t>Thaba Nchu Tar Airport</t>
  </si>
  <si>
    <t>TCW</t>
  </si>
  <si>
    <t>YTOC</t>
  </si>
  <si>
    <t>Tocumwal Airport</t>
  </si>
  <si>
    <t>TCX</t>
  </si>
  <si>
    <t>OIMT</t>
  </si>
  <si>
    <t>Tabas Airport</t>
  </si>
  <si>
    <t>TCY</t>
  </si>
  <si>
    <t>KTCY</t>
  </si>
  <si>
    <t>Tracy Municipal Airport</t>
  </si>
  <si>
    <t>TCZ</t>
  </si>
  <si>
    <t>ZUTC</t>
  </si>
  <si>
    <t>Tengchong Tuofeng Airport</t>
  </si>
  <si>
    <t>TDA</t>
  </si>
  <si>
    <t>SKTD</t>
  </si>
  <si>
    <t>Trinidad Airport</t>
  </si>
  <si>
    <t>TDD</t>
  </si>
  <si>
    <t>SLTR</t>
  </si>
  <si>
    <t>Teniente Jorge Henrich Arauz Airport</t>
  </si>
  <si>
    <t>TDF</t>
  </si>
  <si>
    <t>KTDF</t>
  </si>
  <si>
    <t>Person County Airport</t>
  </si>
  <si>
    <t>TDG</t>
  </si>
  <si>
    <t>RPMW</t>
  </si>
  <si>
    <t>Tandag Airport</t>
  </si>
  <si>
    <t>TDJ</t>
  </si>
  <si>
    <t>HDTJ</t>
  </si>
  <si>
    <t>Tadjoura Airport</t>
  </si>
  <si>
    <t>TDK</t>
  </si>
  <si>
    <t>UAAT</t>
  </si>
  <si>
    <t>Taldykorgan Airport</t>
  </si>
  <si>
    <t>TDL</t>
  </si>
  <si>
    <t>SAZT</t>
  </si>
  <si>
    <t>Tandil Airport</t>
  </si>
  <si>
    <t>TDO</t>
  </si>
  <si>
    <t>KTDO</t>
  </si>
  <si>
    <t>South Lewis County Airport (Ed Carlson Memorial Field)</t>
  </si>
  <si>
    <t>TDR</t>
  </si>
  <si>
    <t>YTDR</t>
  </si>
  <si>
    <t>Theodore Airport</t>
  </si>
  <si>
    <t>TDV</t>
  </si>
  <si>
    <t>FMSN</t>
  </si>
  <si>
    <t>Samangoky Airport</t>
  </si>
  <si>
    <t>TDW</t>
  </si>
  <si>
    <t>KTDW</t>
  </si>
  <si>
    <t>Tradewind Airport</t>
  </si>
  <si>
    <t>TDX</t>
  </si>
  <si>
    <t>VTBO</t>
  </si>
  <si>
    <t>Trat Airport</t>
  </si>
  <si>
    <t>TDZ</t>
  </si>
  <si>
    <t>KTDZ</t>
  </si>
  <si>
    <t>Metcalf Field</t>
  </si>
  <si>
    <t>TEA</t>
  </si>
  <si>
    <t>MHTE</t>
  </si>
  <si>
    <t>Tela Airport</t>
  </si>
  <si>
    <t>TEB</t>
  </si>
  <si>
    <t>KTEB</t>
  </si>
  <si>
    <t>Teterboro Airport</t>
  </si>
  <si>
    <t>TEC</t>
  </si>
  <si>
    <t>SBTL</t>
  </si>
  <si>
    <t>Telêmaco Borba Airport</t>
  </si>
  <si>
    <t>TED</t>
  </si>
  <si>
    <t>EKTS</t>
  </si>
  <si>
    <t>Thisted Airport</t>
  </si>
  <si>
    <t>TEE</t>
  </si>
  <si>
    <t>DABS</t>
  </si>
  <si>
    <t>Cheikh Larbi Tébessi Airport</t>
  </si>
  <si>
    <t>TEF</t>
  </si>
  <si>
    <t>YTEF</t>
  </si>
  <si>
    <t>Telfer Airport</t>
  </si>
  <si>
    <t>TEG</t>
  </si>
  <si>
    <t>DFET</t>
  </si>
  <si>
    <t>Tenkodogo Airport</t>
  </si>
  <si>
    <t>TEI</t>
  </si>
  <si>
    <t>VETJ</t>
  </si>
  <si>
    <t>Tezu Airport</t>
  </si>
  <si>
    <t>TEL</t>
  </si>
  <si>
    <t>WBKE</t>
  </si>
  <si>
    <t>Telupid Airport</t>
  </si>
  <si>
    <t>KTEL</t>
  </si>
  <si>
    <t>Perry County Municipal Airport</t>
  </si>
  <si>
    <t>TEM</t>
  </si>
  <si>
    <t>YTEM</t>
  </si>
  <si>
    <t>Temora Airport</t>
  </si>
  <si>
    <t>TEN</t>
  </si>
  <si>
    <t>ZUTR</t>
  </si>
  <si>
    <t>Tongren Daxing Airport</t>
  </si>
  <si>
    <t>TEQ</t>
  </si>
  <si>
    <t>LTBU</t>
  </si>
  <si>
    <t>Çorlu Airport</t>
  </si>
  <si>
    <t>TER</t>
  </si>
  <si>
    <t>LPLA</t>
  </si>
  <si>
    <t>Lajes Airport</t>
  </si>
  <si>
    <t>TES</t>
  </si>
  <si>
    <t>HHTS</t>
  </si>
  <si>
    <t>Tessenei Airport</t>
  </si>
  <si>
    <t>TET</t>
  </si>
  <si>
    <t>FQTT</t>
  </si>
  <si>
    <t>Chingozi Airport</t>
  </si>
  <si>
    <t>TEU</t>
  </si>
  <si>
    <t>NZMO</t>
  </si>
  <si>
    <t>Manapouri Airport</t>
  </si>
  <si>
    <t>TEW</t>
  </si>
  <si>
    <t>KTEW</t>
  </si>
  <si>
    <t>Mason Jewett Field</t>
  </si>
  <si>
    <t>TEX</t>
  </si>
  <si>
    <t>KTEX</t>
  </si>
  <si>
    <t>Telluride Regional Airport</t>
  </si>
  <si>
    <t>TEY</t>
  </si>
  <si>
    <t>BITE</t>
  </si>
  <si>
    <t>Ãžingeyri Airport</t>
  </si>
  <si>
    <t>TEZ</t>
  </si>
  <si>
    <t>VETZ</t>
  </si>
  <si>
    <t>Tezpur Airport</t>
  </si>
  <si>
    <t>TFF</t>
  </si>
  <si>
    <t>SBTF</t>
  </si>
  <si>
    <t>Tefé Airport</t>
  </si>
  <si>
    <t>TFL</t>
  </si>
  <si>
    <t>SNTO</t>
  </si>
  <si>
    <t>Juscelino Kubitscheck Airport</t>
  </si>
  <si>
    <t>TFN</t>
  </si>
  <si>
    <t>GCXO</t>
  </si>
  <si>
    <t>Tenerife North Airport (Los Rodeos)</t>
  </si>
  <si>
    <t>TFS</t>
  </si>
  <si>
    <t>GCTS</t>
  </si>
  <si>
    <t>Tenerife South Airport (Reina Sofia)</t>
  </si>
  <si>
    <t>TFT</t>
  </si>
  <si>
    <t>OPTT</t>
  </si>
  <si>
    <t>Taftan Airport</t>
  </si>
  <si>
    <t>TGA</t>
  </si>
  <si>
    <t>WSAT</t>
  </si>
  <si>
    <t>Tengah Air Base</t>
  </si>
  <si>
    <t>TGC</t>
  </si>
  <si>
    <t>WBGT</t>
  </si>
  <si>
    <t>Tanjung Manis Airport</t>
  </si>
  <si>
    <t>KTGC</t>
  </si>
  <si>
    <t>Gibson County Airport</t>
  </si>
  <si>
    <t>TGD</t>
  </si>
  <si>
    <t>LYPG</t>
  </si>
  <si>
    <t>Podgorica Airport</t>
  </si>
  <si>
    <t>TGG</t>
  </si>
  <si>
    <t>WMKN</t>
  </si>
  <si>
    <t>Sultan Mahmud Airport</t>
  </si>
  <si>
    <t>TGH</t>
  </si>
  <si>
    <t>NVST</t>
  </si>
  <si>
    <t>Tongoa Island Airport</t>
  </si>
  <si>
    <t>TGI</t>
  </si>
  <si>
    <t>SPGM</t>
  </si>
  <si>
    <t>Tingo Maria Airport</t>
  </si>
  <si>
    <t>KTGI</t>
  </si>
  <si>
    <t>Tangier Island Airport</t>
  </si>
  <si>
    <t>TGJ</t>
  </si>
  <si>
    <t>NWWA</t>
  </si>
  <si>
    <t>Tiga Airport</t>
  </si>
  <si>
    <t>TGM</t>
  </si>
  <si>
    <t>MMTB</t>
  </si>
  <si>
    <t>Terán Air Base</t>
  </si>
  <si>
    <t>LRTM</t>
  </si>
  <si>
    <t>Târgu Mure? International Airport</t>
  </si>
  <si>
    <t>TGN</t>
  </si>
  <si>
    <t>YLTV</t>
  </si>
  <si>
    <t>Latrobe Valley Airport</t>
  </si>
  <si>
    <t>TGO</t>
  </si>
  <si>
    <t>ZBTL</t>
  </si>
  <si>
    <t>Tongliao Airport</t>
  </si>
  <si>
    <t>TGR</t>
  </si>
  <si>
    <t>DAUK</t>
  </si>
  <si>
    <t>Touggourt Sidi Madhi Airport</t>
  </si>
  <si>
    <t>TGT</t>
  </si>
  <si>
    <t>HTTG</t>
  </si>
  <si>
    <t>Tanga Airport</t>
  </si>
  <si>
    <t>TGU</t>
  </si>
  <si>
    <t>MHTG</t>
  </si>
  <si>
    <t>Toncontín International Airport</t>
  </si>
  <si>
    <t>TGZ</t>
  </si>
  <si>
    <t>MMTG</t>
  </si>
  <si>
    <t>Francisco Sarabia National Airport (Llano San Juan Airport)</t>
  </si>
  <si>
    <t>THA</t>
  </si>
  <si>
    <t>KTHA</t>
  </si>
  <si>
    <t>Tullahoma Regional Airport (William Northern Field)</t>
  </si>
  <si>
    <t>THB</t>
  </si>
  <si>
    <t>FXTA</t>
  </si>
  <si>
    <t>Thaba-Tseka Airport</t>
  </si>
  <si>
    <t>THC</t>
  </si>
  <si>
    <t>GLTN</t>
  </si>
  <si>
    <t>Tchien Airport</t>
  </si>
  <si>
    <t>THE</t>
  </si>
  <si>
    <t>SBTE</t>
  </si>
  <si>
    <t>Senador Petrônio Portella Regional Airport</t>
  </si>
  <si>
    <t>THF</t>
  </si>
  <si>
    <t>EDDI</t>
  </si>
  <si>
    <t>Tempelhof International Airport</t>
  </si>
  <si>
    <t>THG</t>
  </si>
  <si>
    <t>YTNG</t>
  </si>
  <si>
    <t>Thangool Airport</t>
  </si>
  <si>
    <t>THH</t>
  </si>
  <si>
    <t>NZTS</t>
  </si>
  <si>
    <t>Taharoa Aerodrome</t>
  </si>
  <si>
    <t>THI</t>
  </si>
  <si>
    <t>GQNC</t>
  </si>
  <si>
    <t>Tichitt Airport</t>
  </si>
  <si>
    <t>THK</t>
  </si>
  <si>
    <t>VLTK</t>
  </si>
  <si>
    <t>Thakhek Airport</t>
  </si>
  <si>
    <t>THL</t>
  </si>
  <si>
    <t>VYTL</t>
  </si>
  <si>
    <t>Tachilek Airport</t>
  </si>
  <si>
    <t>THM</t>
  </si>
  <si>
    <t>KTHM</t>
  </si>
  <si>
    <t>Thompson Falls Airport</t>
  </si>
  <si>
    <t>THN</t>
  </si>
  <si>
    <t>ESGT</t>
  </si>
  <si>
    <t>Trollhättan-Vänersborg Airport</t>
  </si>
  <si>
    <t>THO</t>
  </si>
  <si>
    <t>BITN</t>
  </si>
  <si>
    <t>Thorshofn Airport</t>
  </si>
  <si>
    <t>THP</t>
  </si>
  <si>
    <t>KTHP</t>
  </si>
  <si>
    <t>Hot Springs County-Thermopolis Municipal Airport</t>
  </si>
  <si>
    <t>THR</t>
  </si>
  <si>
    <t>OIII</t>
  </si>
  <si>
    <t>Mehrabad International Airport</t>
  </si>
  <si>
    <t>THS</t>
  </si>
  <si>
    <t>VTPO</t>
  </si>
  <si>
    <t>Sukhothai Airport</t>
  </si>
  <si>
    <t>THT</t>
  </si>
  <si>
    <t>GQNT</t>
  </si>
  <si>
    <t>Tamchakett Airport</t>
  </si>
  <si>
    <t>THU</t>
  </si>
  <si>
    <t>BGTL</t>
  </si>
  <si>
    <t>Thule Air Base</t>
  </si>
  <si>
    <t>THV</t>
  </si>
  <si>
    <t>KTHV</t>
  </si>
  <si>
    <t>York Airport</t>
  </si>
  <si>
    <t>THY</t>
  </si>
  <si>
    <t>FATH</t>
  </si>
  <si>
    <t>Thohoyandou Airport</t>
  </si>
  <si>
    <t>THZ</t>
  </si>
  <si>
    <t>DRRT</t>
  </si>
  <si>
    <t>Tahoua Airport</t>
  </si>
  <si>
    <t>TIA</t>
  </si>
  <si>
    <t>LATI</t>
  </si>
  <si>
    <t>Tirana International Airport</t>
  </si>
  <si>
    <t>TID</t>
  </si>
  <si>
    <t>DAOB</t>
  </si>
  <si>
    <t>Bou Chekif Airport</t>
  </si>
  <si>
    <t>TIE</t>
  </si>
  <si>
    <t>HATP</t>
  </si>
  <si>
    <t>Tippi Airport</t>
  </si>
  <si>
    <t>TIF</t>
  </si>
  <si>
    <t>OETF</t>
  </si>
  <si>
    <t>Taif Airport</t>
  </si>
  <si>
    <t>TIH</t>
  </si>
  <si>
    <t>NTGC</t>
  </si>
  <si>
    <t>Tikehau Airport</t>
  </si>
  <si>
    <t>TII</t>
  </si>
  <si>
    <t>OATN</t>
  </si>
  <si>
    <t>Tarin Kowt Airport</t>
  </si>
  <si>
    <t>TIJ</t>
  </si>
  <si>
    <t>MMTJ</t>
  </si>
  <si>
    <t>General Abelardo L. Rodríguez International Airport</t>
  </si>
  <si>
    <t>TIK</t>
  </si>
  <si>
    <t>KTIK</t>
  </si>
  <si>
    <t>Tinker AFB</t>
  </si>
  <si>
    <t>TIM</t>
  </si>
  <si>
    <t>WABP</t>
  </si>
  <si>
    <t>Moses Kilangin Airport</t>
  </si>
  <si>
    <t>TIN</t>
  </si>
  <si>
    <t>DAOF</t>
  </si>
  <si>
    <t>Tindouf Airport</t>
  </si>
  <si>
    <t>TIO</t>
  </si>
  <si>
    <t>VYHN</t>
  </si>
  <si>
    <t>Tilin Airport</t>
  </si>
  <si>
    <t>TIP</t>
  </si>
  <si>
    <t>HLLT</t>
  </si>
  <si>
    <t>Tripoli International Airport</t>
  </si>
  <si>
    <t>KTIP</t>
  </si>
  <si>
    <t>Rantoul National Aviation Center (Frank Elliott Field)</t>
  </si>
  <si>
    <t>TIQ</t>
  </si>
  <si>
    <t>PGWT</t>
  </si>
  <si>
    <t>Tinian International Airport</t>
  </si>
  <si>
    <t>TIR</t>
  </si>
  <si>
    <t>VOTP</t>
  </si>
  <si>
    <t>Tirupati Airport</t>
  </si>
  <si>
    <t>TIU</t>
  </si>
  <si>
    <t>NZTU</t>
  </si>
  <si>
    <t>Richard Pearse Airport</t>
  </si>
  <si>
    <t>TIV</t>
  </si>
  <si>
    <t>LYTV</t>
  </si>
  <si>
    <t>Tivat Airport</t>
  </si>
  <si>
    <t>TIW</t>
  </si>
  <si>
    <t>KTIW</t>
  </si>
  <si>
    <t>Tacoma Narrows Airport</t>
  </si>
  <si>
    <t>TIX</t>
  </si>
  <si>
    <t>KTIX</t>
  </si>
  <si>
    <t>Space Coast Regional Airport</t>
  </si>
  <si>
    <t>TIY</t>
  </si>
  <si>
    <t>GQND</t>
  </si>
  <si>
    <t>Tidjikja Airport</t>
  </si>
  <si>
    <t>TIZ</t>
  </si>
  <si>
    <t>AYTA</t>
  </si>
  <si>
    <t>Tari Airport</t>
  </si>
  <si>
    <t>TJ?</t>
  </si>
  <si>
    <t>USTR</t>
  </si>
  <si>
    <t>Roschino Airport</t>
  </si>
  <si>
    <t>TJA</t>
  </si>
  <si>
    <t>SLTJ</t>
  </si>
  <si>
    <t>Capitán Oriel Lea Plaza Airport</t>
  </si>
  <si>
    <t>TJB</t>
  </si>
  <si>
    <t>WIBT</t>
  </si>
  <si>
    <t>Tanjung Balai Airport</t>
  </si>
  <si>
    <t>TJG</t>
  </si>
  <si>
    <t>WAON</t>
  </si>
  <si>
    <t>Warukin Airport</t>
  </si>
  <si>
    <t>TJH</t>
  </si>
  <si>
    <t>RJBT</t>
  </si>
  <si>
    <t>Tajima Airport</t>
  </si>
  <si>
    <t>TJI</t>
  </si>
  <si>
    <t>MHTJ</t>
  </si>
  <si>
    <t>Trujillo Airport</t>
  </si>
  <si>
    <t>TJK</t>
  </si>
  <si>
    <t>LTAW</t>
  </si>
  <si>
    <t>Tokat Airport</t>
  </si>
  <si>
    <t>TJM</t>
  </si>
  <si>
    <t>Roshchino International Airport</t>
  </si>
  <si>
    <t>TJQ</t>
  </si>
  <si>
    <t>WIKD</t>
  </si>
  <si>
    <t>Buluh Tumbang Airport</t>
  </si>
  <si>
    <t>WIOD</t>
  </si>
  <si>
    <t>Buluh Tumbang (H A S Hanandjoeddin) Airport</t>
  </si>
  <si>
    <t>TJS</t>
  </si>
  <si>
    <t>WALG</t>
  </si>
  <si>
    <t>Tanjung Harapan Airport</t>
  </si>
  <si>
    <t>TJU</t>
  </si>
  <si>
    <t>UTDK</t>
  </si>
  <si>
    <t>Kulob Airport</t>
  </si>
  <si>
    <t>TJV</t>
  </si>
  <si>
    <t>VOTJ</t>
  </si>
  <si>
    <t>Tanjore Air Force Base</t>
  </si>
  <si>
    <t>TKA</t>
  </si>
  <si>
    <t>PATK</t>
  </si>
  <si>
    <t>Talkeetna Airport</t>
  </si>
  <si>
    <t>TKC</t>
  </si>
  <si>
    <t>FKKC</t>
  </si>
  <si>
    <t>Tiko Airport</t>
  </si>
  <si>
    <t>KTKC</t>
  </si>
  <si>
    <t>TKD</t>
  </si>
  <si>
    <t>DGTK</t>
  </si>
  <si>
    <t>Takoradi Airport</t>
  </si>
  <si>
    <t>TKG</t>
  </si>
  <si>
    <t>WIAT</t>
  </si>
  <si>
    <t>Radin Inten II (Branti) Airport</t>
  </si>
  <si>
    <t>TKH</t>
  </si>
  <si>
    <t>VTPI</t>
  </si>
  <si>
    <t>Takhli Airport</t>
  </si>
  <si>
    <t>TKI</t>
  </si>
  <si>
    <t>KTKI</t>
  </si>
  <si>
    <t>Collin County Regional Airport at McKinney</t>
  </si>
  <si>
    <t>TKJ</t>
  </si>
  <si>
    <t>PATJ</t>
  </si>
  <si>
    <t>Tok Airport</t>
  </si>
  <si>
    <t>TKK</t>
  </si>
  <si>
    <t>PTKK</t>
  </si>
  <si>
    <t>Chuuk International Airport</t>
  </si>
  <si>
    <t>TKN</t>
  </si>
  <si>
    <t>RJKN</t>
  </si>
  <si>
    <t>Tokunoshima Airport</t>
  </si>
  <si>
    <t>TKO</t>
  </si>
  <si>
    <t>FXTK</t>
  </si>
  <si>
    <t>Tlokoeng Airport</t>
  </si>
  <si>
    <t>KTKO</t>
  </si>
  <si>
    <t>Mankato Airport</t>
  </si>
  <si>
    <t>TKP</t>
  </si>
  <si>
    <t>NTGT</t>
  </si>
  <si>
    <t>Takapoto Airport</t>
  </si>
  <si>
    <t>TKQ</t>
  </si>
  <si>
    <t>HTKA</t>
  </si>
  <si>
    <t>Kigoma Airport</t>
  </si>
  <si>
    <t>TKR</t>
  </si>
  <si>
    <t>VGSG</t>
  </si>
  <si>
    <t>Thakurgaon Airport</t>
  </si>
  <si>
    <t>TKS</t>
  </si>
  <si>
    <t>RJOS</t>
  </si>
  <si>
    <t>Tokushima Airport</t>
  </si>
  <si>
    <t>TKT</t>
  </si>
  <si>
    <t>VTPT</t>
  </si>
  <si>
    <t>Tak Airport</t>
  </si>
  <si>
    <t>TKU</t>
  </si>
  <si>
    <t>EFTU</t>
  </si>
  <si>
    <t>Turku Airport</t>
  </si>
  <si>
    <t>TKV</t>
  </si>
  <si>
    <t>NTGO</t>
  </si>
  <si>
    <t>Tatakoto Airport</t>
  </si>
  <si>
    <t>KTKV</t>
  </si>
  <si>
    <t>Tomahawk Regional Airport</t>
  </si>
  <si>
    <t>TKX</t>
  </si>
  <si>
    <t>NTKR</t>
  </si>
  <si>
    <t>Takaroa Airport</t>
  </si>
  <si>
    <t>KTKX</t>
  </si>
  <si>
    <t>Kennett Memorial Airport</t>
  </si>
  <si>
    <t>TKY</t>
  </si>
  <si>
    <t>YTKY</t>
  </si>
  <si>
    <t>Turkey Creek Airport</t>
  </si>
  <si>
    <t>TKZ</t>
  </si>
  <si>
    <t>NZTO</t>
  </si>
  <si>
    <t>Tokoroa Airfield</t>
  </si>
  <si>
    <t>TLA</t>
  </si>
  <si>
    <t>PATE</t>
  </si>
  <si>
    <t>Teller Airport</t>
  </si>
  <si>
    <t>TLB</t>
  </si>
  <si>
    <t>OPTA</t>
  </si>
  <si>
    <t>Tarbela Dam Airport</t>
  </si>
  <si>
    <t>TLC</t>
  </si>
  <si>
    <t>MMTO</t>
  </si>
  <si>
    <t>Lic. Adolfo López Mateos International Airport</t>
  </si>
  <si>
    <t>TLD</t>
  </si>
  <si>
    <t>FBTL</t>
  </si>
  <si>
    <t>Limpopo Valley Airport</t>
  </si>
  <si>
    <t>TLE</t>
  </si>
  <si>
    <t>FMST</t>
  </si>
  <si>
    <t>Toliara Airport</t>
  </si>
  <si>
    <t>TLH</t>
  </si>
  <si>
    <t>KTLH</t>
  </si>
  <si>
    <t>Tallahassee Regional Airport</t>
  </si>
  <si>
    <t>TLI</t>
  </si>
  <si>
    <t>WAMI</t>
  </si>
  <si>
    <t>Toli Toli Airport</t>
  </si>
  <si>
    <t>TLJ</t>
  </si>
  <si>
    <t>PATL</t>
  </si>
  <si>
    <t>Tatalina LRRS</t>
  </si>
  <si>
    <t>TLL</t>
  </si>
  <si>
    <t>EETN</t>
  </si>
  <si>
    <t>Tallinn Airport</t>
  </si>
  <si>
    <t>TLM</t>
  </si>
  <si>
    <t>DAON</t>
  </si>
  <si>
    <t>Zenata â€“ Messali El Hadj Airport</t>
  </si>
  <si>
    <t>TLR</t>
  </si>
  <si>
    <t>KTLR</t>
  </si>
  <si>
    <t>Mefford Field</t>
  </si>
  <si>
    <t>TLS</t>
  </si>
  <si>
    <t>LFBO</t>
  </si>
  <si>
    <t>Toulouse Blagnac International Airport</t>
  </si>
  <si>
    <t>TLU</t>
  </si>
  <si>
    <t>SKTL</t>
  </si>
  <si>
    <t>Tolú Airport</t>
  </si>
  <si>
    <t>TLV</t>
  </si>
  <si>
    <t>LLBG</t>
  </si>
  <si>
    <t>Ben Gurion International Airport</t>
  </si>
  <si>
    <t>TLX</t>
  </si>
  <si>
    <t>SCTL</t>
  </si>
  <si>
    <t>Panguilemo Airport</t>
  </si>
  <si>
    <t>TLZ</t>
  </si>
  <si>
    <t>SWKT</t>
  </si>
  <si>
    <t>Catalão Airport</t>
  </si>
  <si>
    <t>TMA</t>
  </si>
  <si>
    <t>KTMA</t>
  </si>
  <si>
    <t>Henry Tift Myers Airport</t>
  </si>
  <si>
    <t>TMB</t>
  </si>
  <si>
    <t>KTMB</t>
  </si>
  <si>
    <t>Miami Executive Airport</t>
  </si>
  <si>
    <t>TMC</t>
  </si>
  <si>
    <t>WADT</t>
  </si>
  <si>
    <t>Tambolaka Airport</t>
  </si>
  <si>
    <t>TMD</t>
  </si>
  <si>
    <t>GQNH</t>
  </si>
  <si>
    <t>Timbedra Airport</t>
  </si>
  <si>
    <t>TME</t>
  </si>
  <si>
    <t>SKTM</t>
  </si>
  <si>
    <t>Gabriel Vargas Santos Airport</t>
  </si>
  <si>
    <t>TMG</t>
  </si>
  <si>
    <t>WBKM</t>
  </si>
  <si>
    <t>Tomanggong Airport</t>
  </si>
  <si>
    <t>TMH</t>
  </si>
  <si>
    <t>WAKT</t>
  </si>
  <si>
    <t>Tanah Merah Airport</t>
  </si>
  <si>
    <t>TMI</t>
  </si>
  <si>
    <t>VNTR</t>
  </si>
  <si>
    <t>Tumlingtar Airport</t>
  </si>
  <si>
    <t>TMJ</t>
  </si>
  <si>
    <t>UTST</t>
  </si>
  <si>
    <t>Termez Airport</t>
  </si>
  <si>
    <t>TML</t>
  </si>
  <si>
    <t>DGLE</t>
  </si>
  <si>
    <t>Tamale Airport</t>
  </si>
  <si>
    <t>TMM</t>
  </si>
  <si>
    <t>FMMT</t>
  </si>
  <si>
    <t>Toamasina Airport</t>
  </si>
  <si>
    <t>TMN</t>
  </si>
  <si>
    <t>NGTM</t>
  </si>
  <si>
    <t>Tamana Island Airport</t>
  </si>
  <si>
    <t>TMO</t>
  </si>
  <si>
    <t>SVTM</t>
  </si>
  <si>
    <t>Tumeremo Airport</t>
  </si>
  <si>
    <t>TMP</t>
  </si>
  <si>
    <t>EFTP</t>
  </si>
  <si>
    <t>Tampere-Pirkkala Airport</t>
  </si>
  <si>
    <t>TMQ</t>
  </si>
  <si>
    <t>DFEM</t>
  </si>
  <si>
    <t>Tambao Airport</t>
  </si>
  <si>
    <t>TMR</t>
  </si>
  <si>
    <t>DAAT</t>
  </si>
  <si>
    <t>Aguenar â€“ Hadj Bey Akhamok Airport</t>
  </si>
  <si>
    <t>TMS</t>
  </si>
  <si>
    <t>FPST</t>
  </si>
  <si>
    <t>São_Tomé_International_Airport</t>
  </si>
  <si>
    <t>TMT</t>
  </si>
  <si>
    <t>SBTB</t>
  </si>
  <si>
    <t>Trombetas Airport</t>
  </si>
  <si>
    <t>TMU</t>
  </si>
  <si>
    <t>MRTR</t>
  </si>
  <si>
    <t>Tambor Airport</t>
  </si>
  <si>
    <t>TMW</t>
  </si>
  <si>
    <t>YSTW</t>
  </si>
  <si>
    <t>Tamworth, New South Wales, Australia</t>
  </si>
  <si>
    <t>TMX</t>
  </si>
  <si>
    <t>DAUT</t>
  </si>
  <si>
    <t>Timimoun Airport</t>
  </si>
  <si>
    <t>TMZ</t>
  </si>
  <si>
    <t>NZTH</t>
  </si>
  <si>
    <t>Thames Aerodrome</t>
  </si>
  <si>
    <t>TNA</t>
  </si>
  <si>
    <t>ZSJN</t>
  </si>
  <si>
    <t>Yaoqiang Airport</t>
  </si>
  <si>
    <t>TNB</t>
  </si>
  <si>
    <t>WRLH</t>
  </si>
  <si>
    <t>Tanah Grogot Airport</t>
  </si>
  <si>
    <t>TNC</t>
  </si>
  <si>
    <t>PATC</t>
  </si>
  <si>
    <t>Tin City Long Range Radar Station</t>
  </si>
  <si>
    <t>TND</t>
  </si>
  <si>
    <t>MUTD</t>
  </si>
  <si>
    <t>Alberto Delgado Airport</t>
  </si>
  <si>
    <t>TNE</t>
  </si>
  <si>
    <t>RJFG</t>
  </si>
  <si>
    <t>New Tanegashima Airport</t>
  </si>
  <si>
    <t>TNF</t>
  </si>
  <si>
    <t>LFPN</t>
  </si>
  <si>
    <t>Toussus-le-Noble Airport</t>
  </si>
  <si>
    <t>TNG</t>
  </si>
  <si>
    <t>GMTT</t>
  </si>
  <si>
    <t>Ibn Batouta International Airport</t>
  </si>
  <si>
    <t>TNH</t>
  </si>
  <si>
    <t>ZYTN</t>
  </si>
  <si>
    <t>Tonghua Liuhe Airport</t>
  </si>
  <si>
    <t>TNI</t>
  </si>
  <si>
    <t>VIST</t>
  </si>
  <si>
    <t>Satna Airport</t>
  </si>
  <si>
    <t>TNJ</t>
  </si>
  <si>
    <t>WIDN</t>
  </si>
  <si>
    <t>Kijang Airport</t>
  </si>
  <si>
    <t>TNL</t>
  </si>
  <si>
    <t>UKLT</t>
  </si>
  <si>
    <t>Ternopil International Airport</t>
  </si>
  <si>
    <t>TNN</t>
  </si>
  <si>
    <t>RCNN</t>
  </si>
  <si>
    <t>Tainan Airport</t>
  </si>
  <si>
    <t>TNO</t>
  </si>
  <si>
    <t>MRCV</t>
  </si>
  <si>
    <t>Cabo Velas Airport</t>
  </si>
  <si>
    <t>MRTM</t>
  </si>
  <si>
    <t>Tamarindo Airport</t>
  </si>
  <si>
    <t>TNP</t>
  </si>
  <si>
    <t>KTNP</t>
  </si>
  <si>
    <t>Twentynine Palms Airport</t>
  </si>
  <si>
    <t>TNR</t>
  </si>
  <si>
    <t>FMMI</t>
  </si>
  <si>
    <t>Antananarivo Arivonimamo Airport</t>
  </si>
  <si>
    <t>TNT</t>
  </si>
  <si>
    <t>KTNT</t>
  </si>
  <si>
    <t>Dade-Collier Training and Transition Airport</t>
  </si>
  <si>
    <t>TNU</t>
  </si>
  <si>
    <t>KTNU</t>
  </si>
  <si>
    <t>Newton Municipal Airport</t>
  </si>
  <si>
    <t>TNV</t>
  </si>
  <si>
    <t>PLFA</t>
  </si>
  <si>
    <t>Tabuaeran Island Airport</t>
  </si>
  <si>
    <t>TNW</t>
  </si>
  <si>
    <t>PAFL</t>
  </si>
  <si>
    <t>Tin Creek Airport</t>
  </si>
  <si>
    <t>TNX</t>
  </si>
  <si>
    <t>VDST</t>
  </si>
  <si>
    <t>Stung Treng Airport</t>
  </si>
  <si>
    <t>TOA</t>
  </si>
  <si>
    <t>KTOA</t>
  </si>
  <si>
    <t>Zamperini Field</t>
  </si>
  <si>
    <t>TOB</t>
  </si>
  <si>
    <t>HLGN</t>
  </si>
  <si>
    <t>Gamal Abdel Nasser Airport</t>
  </si>
  <si>
    <t>KTOB</t>
  </si>
  <si>
    <t>Dodge Center Airport</t>
  </si>
  <si>
    <t>TOC</t>
  </si>
  <si>
    <t>KTOC</t>
  </si>
  <si>
    <t>Toccoa RG Letourneau Field</t>
  </si>
  <si>
    <t>TOD</t>
  </si>
  <si>
    <t>WMBT</t>
  </si>
  <si>
    <t>Pulau Tioman Airport</t>
  </si>
  <si>
    <t>TOE</t>
  </si>
  <si>
    <t>DTTZ</t>
  </si>
  <si>
    <t>Tozeur Nefta International Airport</t>
  </si>
  <si>
    <t>TOF</t>
  </si>
  <si>
    <t>UNTT</t>
  </si>
  <si>
    <t>Bogashevo Airport</t>
  </si>
  <si>
    <t>TOG</t>
  </si>
  <si>
    <t>PATG</t>
  </si>
  <si>
    <t>Togiak Airport</t>
  </si>
  <si>
    <t>TOH</t>
  </si>
  <si>
    <t>NVSD</t>
  </si>
  <si>
    <t>Torres Airstrip</t>
  </si>
  <si>
    <t>TOI</t>
  </si>
  <si>
    <t>KTOI</t>
  </si>
  <si>
    <t>Troy Municipal Airport</t>
  </si>
  <si>
    <t>TOJ</t>
  </si>
  <si>
    <t>LETO</t>
  </si>
  <si>
    <t>Madrid-Torrejón Airport</t>
  </si>
  <si>
    <t>TOL</t>
  </si>
  <si>
    <t>KTOL</t>
  </si>
  <si>
    <t>Toledo Express Airport</t>
  </si>
  <si>
    <t>TOM</t>
  </si>
  <si>
    <t>GATB</t>
  </si>
  <si>
    <t>Timbuktu Airport</t>
  </si>
  <si>
    <t>TOO</t>
  </si>
  <si>
    <t>MRSV</t>
  </si>
  <si>
    <t>San Vito De Java Airport</t>
  </si>
  <si>
    <t>TOP</t>
  </si>
  <si>
    <t>KTOP</t>
  </si>
  <si>
    <t>Philip Billard Municipal Airport</t>
  </si>
  <si>
    <t>TOQ</t>
  </si>
  <si>
    <t>SCBE</t>
  </si>
  <si>
    <t>Barriles Airport</t>
  </si>
  <si>
    <t>TOR</t>
  </si>
  <si>
    <t>KTOR</t>
  </si>
  <si>
    <t>Torrington Municipal Airport</t>
  </si>
  <si>
    <t>TOS</t>
  </si>
  <si>
    <t>ENTC</t>
  </si>
  <si>
    <t>Tromsø Airport</t>
  </si>
  <si>
    <t>TOT</t>
  </si>
  <si>
    <t>SMCD</t>
  </si>
  <si>
    <t>Coronie Airport</t>
  </si>
  <si>
    <t>SMCO</t>
  </si>
  <si>
    <t>Totness Airport</t>
  </si>
  <si>
    <t>TOU</t>
  </si>
  <si>
    <t>NWWU</t>
  </si>
  <si>
    <t>Touho Airport</t>
  </si>
  <si>
    <t>SBTD</t>
  </si>
  <si>
    <t>Toledo Airport</t>
  </si>
  <si>
    <t>TOX</t>
  </si>
  <si>
    <t>USTO</t>
  </si>
  <si>
    <t>Tobolsk Airport</t>
  </si>
  <si>
    <t>TOY</t>
  </si>
  <si>
    <t>RJNT</t>
  </si>
  <si>
    <t>Toyama Airport</t>
  </si>
  <si>
    <t>TPA</t>
  </si>
  <si>
    <t>KTPA</t>
  </si>
  <si>
    <t>Tampa International Airport</t>
  </si>
  <si>
    <t>TPC</t>
  </si>
  <si>
    <t>SETR</t>
  </si>
  <si>
    <t>Tarapoa Airport</t>
  </si>
  <si>
    <t>TPE</t>
  </si>
  <si>
    <t>RCTP</t>
  </si>
  <si>
    <t>Taoyuan International Airport</t>
  </si>
  <si>
    <t>TPF</t>
  </si>
  <si>
    <t>KTPF</t>
  </si>
  <si>
    <t>Peter O. Knight Airport</t>
  </si>
  <si>
    <t>TPG</t>
  </si>
  <si>
    <t>WMBI</t>
  </si>
  <si>
    <t>Taiping (Tekah) Airport</t>
  </si>
  <si>
    <t>TPH</t>
  </si>
  <si>
    <t>KTPH</t>
  </si>
  <si>
    <t>Tonopah Airport</t>
  </si>
  <si>
    <t>TPJ</t>
  </si>
  <si>
    <t>VNTJ</t>
  </si>
  <si>
    <t>Taplejung Airport</t>
  </si>
  <si>
    <t>TPK</t>
  </si>
  <si>
    <t>WITA</t>
  </si>
  <si>
    <t>Teuku Cut Ali Airport</t>
  </si>
  <si>
    <t>TPL</t>
  </si>
  <si>
    <t>KTPL</t>
  </si>
  <si>
    <t>Draughon-Miller Central Texas Regional Airport</t>
  </si>
  <si>
    <t>TPN</t>
  </si>
  <si>
    <t>SETI</t>
  </si>
  <si>
    <t>Tiputini Airport</t>
  </si>
  <si>
    <t>TPO</t>
  </si>
  <si>
    <t>PALJ</t>
  </si>
  <si>
    <t>Port Alsworth Airport</t>
  </si>
  <si>
    <t>TPP</t>
  </si>
  <si>
    <t>SPST</t>
  </si>
  <si>
    <t>Cadete FAP Guillermo Del Castillo Paredes Airport</t>
  </si>
  <si>
    <t>TPQ</t>
  </si>
  <si>
    <t>MMEP</t>
  </si>
  <si>
    <t>Amado Nervo National Airport</t>
  </si>
  <si>
    <t>TPR</t>
  </si>
  <si>
    <t>YTMP</t>
  </si>
  <si>
    <t>Tom Price Airport</t>
  </si>
  <si>
    <t>TPS</t>
  </si>
  <si>
    <t>LICT</t>
  </si>
  <si>
    <t>Trapani-Birgi Airport</t>
  </si>
  <si>
    <t>TQE</t>
  </si>
  <si>
    <t>KTQE</t>
  </si>
  <si>
    <t>Tekamah Municipal Airport</t>
  </si>
  <si>
    <t>TQH</t>
  </si>
  <si>
    <t>KTQH</t>
  </si>
  <si>
    <t>Tahlequah Municipal Airport</t>
  </si>
  <si>
    <t>TQK</t>
  </si>
  <si>
    <t>KTQK</t>
  </si>
  <si>
    <t>Scott City Municipal Airport</t>
  </si>
  <si>
    <t>TQN</t>
  </si>
  <si>
    <t>OATQ</t>
  </si>
  <si>
    <t>Taloqan Airport</t>
  </si>
  <si>
    <t>TQS</t>
  </si>
  <si>
    <t>SKTQ</t>
  </si>
  <si>
    <t>Tres Esquinas Air Base</t>
  </si>
  <si>
    <t>TRA</t>
  </si>
  <si>
    <t>RORT</t>
  </si>
  <si>
    <t>Tarama Airport</t>
  </si>
  <si>
    <t>TRB</t>
  </si>
  <si>
    <t>SKTU</t>
  </si>
  <si>
    <t>Gonzalo Mejía Airport</t>
  </si>
  <si>
    <t>TRC</t>
  </si>
  <si>
    <t>MMTC</t>
  </si>
  <si>
    <t>Francisco Sarabia International Airport (Torreon Internation</t>
  </si>
  <si>
    <t>TRD</t>
  </si>
  <si>
    <t>ENVA</t>
  </si>
  <si>
    <t>Trondheim Airport, Værnes</t>
  </si>
  <si>
    <t>TRE</t>
  </si>
  <si>
    <t>EGPU</t>
  </si>
  <si>
    <t>Tiree Airport</t>
  </si>
  <si>
    <t>TRF</t>
  </si>
  <si>
    <t>ENTO</t>
  </si>
  <si>
    <t>Sandefjord Airport, Torp</t>
  </si>
  <si>
    <t>TRG</t>
  </si>
  <si>
    <t>NZTG</t>
  </si>
  <si>
    <t>Tauranga Airport</t>
  </si>
  <si>
    <t>TRI</t>
  </si>
  <si>
    <t>KTRI</t>
  </si>
  <si>
    <t>Tri-Cities Regional Airport</t>
  </si>
  <si>
    <t>TRK</t>
  </si>
  <si>
    <t>WALR</t>
  </si>
  <si>
    <t>Juwata Airport</t>
  </si>
  <si>
    <t>KTRK</t>
  </si>
  <si>
    <t>Truckee-Tahoe Airport</t>
  </si>
  <si>
    <t>TRL</t>
  </si>
  <si>
    <t>KTRL</t>
  </si>
  <si>
    <t>Terrell Municipal Airport</t>
  </si>
  <si>
    <t>TRM</t>
  </si>
  <si>
    <t>KTRM</t>
  </si>
  <si>
    <t>Jacqueline Cochran Regional Airport</t>
  </si>
  <si>
    <t>TRN</t>
  </si>
  <si>
    <t>LIMF</t>
  </si>
  <si>
    <t>Turin International Airport</t>
  </si>
  <si>
    <t>TRO</t>
  </si>
  <si>
    <t>YTRE</t>
  </si>
  <si>
    <t>Taree Airport</t>
  </si>
  <si>
    <t>TRQ</t>
  </si>
  <si>
    <t>SBTK</t>
  </si>
  <si>
    <t>Tarauacá Airport</t>
  </si>
  <si>
    <t>TRR</t>
  </si>
  <si>
    <t>VCCT</t>
  </si>
  <si>
    <t>China Bay Airport</t>
  </si>
  <si>
    <t>TRS</t>
  </si>
  <si>
    <t>LIPQ</t>
  </si>
  <si>
    <t>Friuli Venezia Giulia Airport</t>
  </si>
  <si>
    <t>TRU</t>
  </si>
  <si>
    <t>SPRU</t>
  </si>
  <si>
    <t>Cap. FAP Carlos Martínez de Pinillos International Airport</t>
  </si>
  <si>
    <t>TRV</t>
  </si>
  <si>
    <t>VOTV</t>
  </si>
  <si>
    <t>Trivandrum International Airport</t>
  </si>
  <si>
    <t>TRW</t>
  </si>
  <si>
    <t>NGTA</t>
  </si>
  <si>
    <t>Bonriki International Airport</t>
  </si>
  <si>
    <t>TRX</t>
  </si>
  <si>
    <t>KTRX</t>
  </si>
  <si>
    <t>Trenton Municipal Airport</t>
  </si>
  <si>
    <t>TRY</t>
  </si>
  <si>
    <t>HUTO</t>
  </si>
  <si>
    <t>Tororo Airport</t>
  </si>
  <si>
    <t>TRZ</t>
  </si>
  <si>
    <t>VOTR</t>
  </si>
  <si>
    <t>Tiruchirapalli Airport</t>
  </si>
  <si>
    <t>TSA</t>
  </si>
  <si>
    <t>RCSS</t>
  </si>
  <si>
    <t>Taipei Songshan Airport</t>
  </si>
  <si>
    <t>TSB</t>
  </si>
  <si>
    <t>FYTM</t>
  </si>
  <si>
    <t>Tsumeb Airport</t>
  </si>
  <si>
    <t>TSC</t>
  </si>
  <si>
    <t>SETH</t>
  </si>
  <si>
    <t>Taisha Airport</t>
  </si>
  <si>
    <t>TSE</t>
  </si>
  <si>
    <t>UACC</t>
  </si>
  <si>
    <t>Astana Airport</t>
  </si>
  <si>
    <t>TSF</t>
  </si>
  <si>
    <t>LIPH</t>
  </si>
  <si>
    <t>Treviso Airport</t>
  </si>
  <si>
    <t>TSH</t>
  </si>
  <si>
    <t>FZUK</t>
  </si>
  <si>
    <t>Tshikapa Airport</t>
  </si>
  <si>
    <t>TSJ</t>
  </si>
  <si>
    <t>RJDT</t>
  </si>
  <si>
    <t>Tsushima Airport</t>
  </si>
  <si>
    <t>TSL</t>
  </si>
  <si>
    <t>MMTN</t>
  </si>
  <si>
    <t>Tamuín National Airport</t>
  </si>
  <si>
    <t>TSN</t>
  </si>
  <si>
    <t>ZBTJ</t>
  </si>
  <si>
    <t>Tianjin Binhai International Airport</t>
  </si>
  <si>
    <t>TSO</t>
  </si>
  <si>
    <t>KTSO</t>
  </si>
  <si>
    <t>Carroll County-Tolson Airport</t>
  </si>
  <si>
    <t>TSP</t>
  </si>
  <si>
    <t>KTSP</t>
  </si>
  <si>
    <t>Tehachapi Municipal Airport</t>
  </si>
  <si>
    <t>TSR</t>
  </si>
  <si>
    <t>LRTR</t>
  </si>
  <si>
    <t>Traian Vuia International Airport</t>
  </si>
  <si>
    <t>TST</t>
  </si>
  <si>
    <t>VTST</t>
  </si>
  <si>
    <t>Trang Airport</t>
  </si>
  <si>
    <t>TSU</t>
  </si>
  <si>
    <t>NGTS</t>
  </si>
  <si>
    <t>Tabiteuea South Airport</t>
  </si>
  <si>
    <t>TSV</t>
  </si>
  <si>
    <t>YBTL</t>
  </si>
  <si>
    <t>Townsville International Airport</t>
  </si>
  <si>
    <t>TSX</t>
  </si>
  <si>
    <t>WALT</t>
  </si>
  <si>
    <t>Tanjung Santan Airport</t>
  </si>
  <si>
    <t>TSY</t>
  </si>
  <si>
    <t>WIAM</t>
  </si>
  <si>
    <t>Tasikmalaya Airport</t>
  </si>
  <si>
    <t>Cibeureum Airport</t>
  </si>
  <si>
    <t>TSZ</t>
  </si>
  <si>
    <t>ZMTG</t>
  </si>
  <si>
    <t>Tsetserleg Airport</t>
  </si>
  <si>
    <t>TTA</t>
  </si>
  <si>
    <t>GMAT</t>
  </si>
  <si>
    <t>Tan Tan Airport {Plage Blanche Airport)</t>
  </si>
  <si>
    <t>TTB</t>
  </si>
  <si>
    <t>LIET</t>
  </si>
  <si>
    <t>Tortoli' / Arbatax Airport</t>
  </si>
  <si>
    <t>TTC</t>
  </si>
  <si>
    <t>SCTT</t>
  </si>
  <si>
    <t>Las Breas Airport</t>
  </si>
  <si>
    <t>TTD</t>
  </si>
  <si>
    <t>KTTD</t>
  </si>
  <si>
    <t>Portland-Troutdale Airport</t>
  </si>
  <si>
    <t>TTE</t>
  </si>
  <si>
    <t>WAMT</t>
  </si>
  <si>
    <t>Sultan Khairun Babullah Airport</t>
  </si>
  <si>
    <t>TTF</t>
  </si>
  <si>
    <t>KTTF</t>
  </si>
  <si>
    <t>Custer Airport</t>
  </si>
  <si>
    <t>TTG</t>
  </si>
  <si>
    <t>SAST</t>
  </si>
  <si>
    <t>Tartagal Airport</t>
  </si>
  <si>
    <t>TTH</t>
  </si>
  <si>
    <t>OOTH</t>
  </si>
  <si>
    <t>Thumrait Air Base</t>
  </si>
  <si>
    <t>TTI</t>
  </si>
  <si>
    <t>NTTE</t>
  </si>
  <si>
    <t>Tetiaroa Airport</t>
  </si>
  <si>
    <t>TTJ</t>
  </si>
  <si>
    <t>RJOR</t>
  </si>
  <si>
    <t>Tottori Airport</t>
  </si>
  <si>
    <t>TTN</t>
  </si>
  <si>
    <t>KTTN</t>
  </si>
  <si>
    <t>Trenton-Mercer Airport</t>
  </si>
  <si>
    <t>TTQ</t>
  </si>
  <si>
    <t>MRAO</t>
  </si>
  <si>
    <t>Tortuguero Airport</t>
  </si>
  <si>
    <t>TTR</t>
  </si>
  <si>
    <t>WAWT</t>
  </si>
  <si>
    <t>Pongtiku Airport</t>
  </si>
  <si>
    <t>TTS</t>
  </si>
  <si>
    <t>FMNT</t>
  </si>
  <si>
    <t>Tsaratanana Airport</t>
  </si>
  <si>
    <t>TTT</t>
  </si>
  <si>
    <t>RCFN</t>
  </si>
  <si>
    <t>Taitung Airport</t>
  </si>
  <si>
    <t>TTU</t>
  </si>
  <si>
    <t>GMTN</t>
  </si>
  <si>
    <t>Sania Ramel</t>
  </si>
  <si>
    <t>TTW</t>
  </si>
  <si>
    <t>PATW</t>
  </si>
  <si>
    <t>Cantwell Airport</t>
  </si>
  <si>
    <t>TUA</t>
  </si>
  <si>
    <t>SETU</t>
  </si>
  <si>
    <t>Teniente Coronel Luis a Mantilla International Airport</t>
  </si>
  <si>
    <t>TUB</t>
  </si>
  <si>
    <t>NTAT</t>
  </si>
  <si>
    <t>Tubuai Airport</t>
  </si>
  <si>
    <t>TUC</t>
  </si>
  <si>
    <t>SANT</t>
  </si>
  <si>
    <t>Teniente General Benjamín Matienzo International Airport</t>
  </si>
  <si>
    <t>TUD</t>
  </si>
  <si>
    <t>GOTT</t>
  </si>
  <si>
    <t>Tambacounda Airport</t>
  </si>
  <si>
    <t>TUF</t>
  </si>
  <si>
    <t>LFOT</t>
  </si>
  <si>
    <t>Tours Val de Loire Airport</t>
  </si>
  <si>
    <t>TUG</t>
  </si>
  <si>
    <t>RPUT</t>
  </si>
  <si>
    <t>Tuguegarao Airport</t>
  </si>
  <si>
    <t>TUI</t>
  </si>
  <si>
    <t>OETR</t>
  </si>
  <si>
    <t>Turaif Domestic Airport</t>
  </si>
  <si>
    <t>TUK</t>
  </si>
  <si>
    <t>OPTU</t>
  </si>
  <si>
    <t>Turbat International Airport</t>
  </si>
  <si>
    <t>TUL</t>
  </si>
  <si>
    <t>KTUL</t>
  </si>
  <si>
    <t>Tulsa International Airport</t>
  </si>
  <si>
    <t>TUM</t>
  </si>
  <si>
    <t>YTMU</t>
  </si>
  <si>
    <t>Tumut Airport</t>
  </si>
  <si>
    <t>TUN</t>
  </si>
  <si>
    <t>DTTA</t>
  </si>
  <si>
    <t>Tunis-Carthage International Airport</t>
  </si>
  <si>
    <t>TUO</t>
  </si>
  <si>
    <t>NZAP</t>
  </si>
  <si>
    <t>Taupo Airport</t>
  </si>
  <si>
    <t>TUP</t>
  </si>
  <si>
    <t>KTUP</t>
  </si>
  <si>
    <t>Tupelo Regional Airport</t>
  </si>
  <si>
    <t>TUQ</t>
  </si>
  <si>
    <t>DFOT</t>
  </si>
  <si>
    <t>Tougan Airport</t>
  </si>
  <si>
    <t>TUR</t>
  </si>
  <si>
    <t>SBTU</t>
  </si>
  <si>
    <t>Tucuruí Airport</t>
  </si>
  <si>
    <t>TUS</t>
  </si>
  <si>
    <t>KTUS</t>
  </si>
  <si>
    <t>Tucson International Airport</t>
  </si>
  <si>
    <t>TUU</t>
  </si>
  <si>
    <t>OETB</t>
  </si>
  <si>
    <t>Tabuk Regional Airport</t>
  </si>
  <si>
    <t>TUV</t>
  </si>
  <si>
    <t>SVTC</t>
  </si>
  <si>
    <t>Tucupita Airport</t>
  </si>
  <si>
    <t>TVA</t>
  </si>
  <si>
    <t>FMMR</t>
  </si>
  <si>
    <t>Morafenobe Airport</t>
  </si>
  <si>
    <t>TVB</t>
  </si>
  <si>
    <t>KTVB</t>
  </si>
  <si>
    <t>Cabool Memorial Airport</t>
  </si>
  <si>
    <t>TVC</t>
  </si>
  <si>
    <t>KTVC</t>
  </si>
  <si>
    <t>Cherry Capital Airport</t>
  </si>
  <si>
    <t>TVF</t>
  </si>
  <si>
    <t>KTVF</t>
  </si>
  <si>
    <t>Thief River Falls Regional Airport</t>
  </si>
  <si>
    <t>TVI</t>
  </si>
  <si>
    <t>KTVI</t>
  </si>
  <si>
    <t>Thomasville Regional Airport</t>
  </si>
  <si>
    <t>TVK</t>
  </si>
  <si>
    <t>KTVK</t>
  </si>
  <si>
    <t>TVL</t>
  </si>
  <si>
    <t>KTVL</t>
  </si>
  <si>
    <t>Lake Tahoe Airport</t>
  </si>
  <si>
    <t>TVR</t>
  </si>
  <si>
    <t>KTVR</t>
  </si>
  <si>
    <t>Vicksburg Tallulah Regional Airport</t>
  </si>
  <si>
    <t>TVU</t>
  </si>
  <si>
    <t>NFNM</t>
  </si>
  <si>
    <t>Matei Airport</t>
  </si>
  <si>
    <t>TVY</t>
  </si>
  <si>
    <t>VYDW</t>
  </si>
  <si>
    <t>Dawei Airport</t>
  </si>
  <si>
    <t>KTVY</t>
  </si>
  <si>
    <t>Tooele Valley Airport (Bolinder Field)</t>
  </si>
  <si>
    <t>TWB</t>
  </si>
  <si>
    <t>YTWB</t>
  </si>
  <si>
    <t>Toowoomba Airport</t>
  </si>
  <si>
    <t>TWF</t>
  </si>
  <si>
    <t>KTWF</t>
  </si>
  <si>
    <t>Joslin Field - Magic Valley Regional Airport</t>
  </si>
  <si>
    <t>TWM</t>
  </si>
  <si>
    <t>KTWM</t>
  </si>
  <si>
    <t>Richard B. Helgeson Airport</t>
  </si>
  <si>
    <t>TWU</t>
  </si>
  <si>
    <t>WBKW</t>
  </si>
  <si>
    <t>Tawau Airport</t>
  </si>
  <si>
    <t>TWZ</t>
  </si>
  <si>
    <t>NZUK</t>
  </si>
  <si>
    <t>Pukaki Airport</t>
  </si>
  <si>
    <t>TXG</t>
  </si>
  <si>
    <t>RCLG</t>
  </si>
  <si>
    <t>Taichung, Taiwan</t>
  </si>
  <si>
    <t>TXK</t>
  </si>
  <si>
    <t>KTXK</t>
  </si>
  <si>
    <t>Texarkana Regional Airport (Webb Field)</t>
  </si>
  <si>
    <t>TXL</t>
  </si>
  <si>
    <t>EDDT</t>
  </si>
  <si>
    <t>Tegel International Airport</t>
  </si>
  <si>
    <t>TXM</t>
  </si>
  <si>
    <t>WAST</t>
  </si>
  <si>
    <t>Teminabuan Airport</t>
  </si>
  <si>
    <t>TXN</t>
  </si>
  <si>
    <t>ZSTX</t>
  </si>
  <si>
    <t>Tunxi International Airport</t>
  </si>
  <si>
    <t>TXU</t>
  </si>
  <si>
    <t>DITB</t>
  </si>
  <si>
    <t>Tabou Airport</t>
  </si>
  <si>
    <t>TYB</t>
  </si>
  <si>
    <t>YTIB</t>
  </si>
  <si>
    <t>Tibooburra Airport</t>
  </si>
  <si>
    <t>TYD</t>
  </si>
  <si>
    <t>UHBW</t>
  </si>
  <si>
    <t>Tynda Airport</t>
  </si>
  <si>
    <t>TYF</t>
  </si>
  <si>
    <t>ESST</t>
  </si>
  <si>
    <t>Torsby Airport</t>
  </si>
  <si>
    <t>TYG</t>
  </si>
  <si>
    <t>YTHY</t>
  </si>
  <si>
    <t>Thylungra Airport</t>
  </si>
  <si>
    <t>TYL</t>
  </si>
  <si>
    <t>SPYL</t>
  </si>
  <si>
    <t>Capitan Montes Airport</t>
  </si>
  <si>
    <t>KTYL</t>
  </si>
  <si>
    <t>Taylor Airport</t>
  </si>
  <si>
    <t>TYM</t>
  </si>
  <si>
    <t>MYES</t>
  </si>
  <si>
    <t>Staniel Cay Airport</t>
  </si>
  <si>
    <t>TYN</t>
  </si>
  <si>
    <t>ZBYN</t>
  </si>
  <si>
    <t>Taiyuan Wusu Airport</t>
  </si>
  <si>
    <t>TYP</t>
  </si>
  <si>
    <t>YTMY</t>
  </si>
  <si>
    <t>Tobermorey Airport</t>
  </si>
  <si>
    <t>TYR</t>
  </si>
  <si>
    <t>KTYR</t>
  </si>
  <si>
    <t>Tyler Pounds Regional Airport</t>
  </si>
  <si>
    <t>TYS</t>
  </si>
  <si>
    <t>KTYS</t>
  </si>
  <si>
    <t>McGhee Tyson Airport</t>
  </si>
  <si>
    <t>TYT</t>
  </si>
  <si>
    <t>SUTR</t>
  </si>
  <si>
    <t>Treinta y Tres Airport</t>
  </si>
  <si>
    <t>TZL</t>
  </si>
  <si>
    <t>LQTZ</t>
  </si>
  <si>
    <t>Tuzla International Airport</t>
  </si>
  <si>
    <t>TZR</t>
  </si>
  <si>
    <t>LHTA</t>
  </si>
  <si>
    <t>Taszár Air Base</t>
  </si>
  <si>
    <t>KTZR</t>
  </si>
  <si>
    <t>Bolton Field</t>
  </si>
  <si>
    <t>TZT</t>
  </si>
  <si>
    <t>KTZT</t>
  </si>
  <si>
    <t>Belle Plaine Municipal Airport</t>
  </si>
  <si>
    <t>TZV</t>
  </si>
  <si>
    <t>KTZV</t>
  </si>
  <si>
    <t>Tompkinsville-Monroe County Airport</t>
  </si>
  <si>
    <t>TZX</t>
  </si>
  <si>
    <t>LTCG</t>
  </si>
  <si>
    <t>Trabzon Airport? Trabzon, Turkey</t>
  </si>
  <si>
    <t>UAB</t>
  </si>
  <si>
    <t>LTAG</t>
  </si>
  <si>
    <t>Incirlik Air Base</t>
  </si>
  <si>
    <t>UAC</t>
  </si>
  <si>
    <t>MM76</t>
  </si>
  <si>
    <t>San Luis Río Colorado Airport</t>
  </si>
  <si>
    <t>UAH</t>
  </si>
  <si>
    <t>NTMU</t>
  </si>
  <si>
    <t>Ua Huka Airport</t>
  </si>
  <si>
    <t>UAI</t>
  </si>
  <si>
    <t>WPDB</t>
  </si>
  <si>
    <t>Suai Airport</t>
  </si>
  <si>
    <t>UAK</t>
  </si>
  <si>
    <t>BGBW</t>
  </si>
  <si>
    <t>Narsarsuaq Airport</t>
  </si>
  <si>
    <t>UAL</t>
  </si>
  <si>
    <t>FNUA</t>
  </si>
  <si>
    <t>Luau Airport</t>
  </si>
  <si>
    <t>UAM</t>
  </si>
  <si>
    <t>PGUA</t>
  </si>
  <si>
    <t>Andersen Air Force Base</t>
  </si>
  <si>
    <t>UAO</t>
  </si>
  <si>
    <t>KUAO</t>
  </si>
  <si>
    <t>Aurora State Airport</t>
  </si>
  <si>
    <t>UAP</t>
  </si>
  <si>
    <t>NTMP</t>
  </si>
  <si>
    <t>Ua Pou Airport</t>
  </si>
  <si>
    <t>UAQ</t>
  </si>
  <si>
    <t>SANU</t>
  </si>
  <si>
    <t>Domingo Faustino Sarmiento Airport</t>
  </si>
  <si>
    <t>UAR</t>
  </si>
  <si>
    <t>GMFB</t>
  </si>
  <si>
    <t>Bouarfa Airport</t>
  </si>
  <si>
    <t>UAS</t>
  </si>
  <si>
    <t>HKSB</t>
  </si>
  <si>
    <t>Samburu South Airport</t>
  </si>
  <si>
    <t>UBA</t>
  </si>
  <si>
    <t>SBUR</t>
  </si>
  <si>
    <t>Uberaba Municipal Airport</t>
  </si>
  <si>
    <t>UBB</t>
  </si>
  <si>
    <t>YMAA</t>
  </si>
  <si>
    <t>Mabuiag Island Airport</t>
  </si>
  <si>
    <t>UBE</t>
  </si>
  <si>
    <t>KUBE</t>
  </si>
  <si>
    <t>Cumberland Municipal Airport</t>
  </si>
  <si>
    <t>UBJ</t>
  </si>
  <si>
    <t>RJDC</t>
  </si>
  <si>
    <t>Yamaguchi Ube Airport</t>
  </si>
  <si>
    <t>UBP</t>
  </si>
  <si>
    <t>VTUU</t>
  </si>
  <si>
    <t>Ubon Ratchathani Airport</t>
  </si>
  <si>
    <t>UBR</t>
  </si>
  <si>
    <t>WAJU</t>
  </si>
  <si>
    <t>Ubrub Airport</t>
  </si>
  <si>
    <t>UBS</t>
  </si>
  <si>
    <t>KUBS</t>
  </si>
  <si>
    <t>Columbus-Lowndes County Airport</t>
  </si>
  <si>
    <t>UBT</t>
  </si>
  <si>
    <t>SDUB</t>
  </si>
  <si>
    <t>Ubatuba Airport</t>
  </si>
  <si>
    <t>UBU</t>
  </si>
  <si>
    <t>YKAL</t>
  </si>
  <si>
    <t>Kalumburu Airport</t>
  </si>
  <si>
    <t>UBW</t>
  </si>
  <si>
    <t>PAKU</t>
  </si>
  <si>
    <t>Ugnu-Kuparuk Airport</t>
  </si>
  <si>
    <t>UBX</t>
  </si>
  <si>
    <t>KUBX</t>
  </si>
  <si>
    <t>Cuba Municipal Airport</t>
  </si>
  <si>
    <t>UCA</t>
  </si>
  <si>
    <t>KUCA</t>
  </si>
  <si>
    <t>Oneida County Airport</t>
  </si>
  <si>
    <t>UCK</t>
  </si>
  <si>
    <t>UKLC</t>
  </si>
  <si>
    <t>Lutsk Airport</t>
  </si>
  <si>
    <t>UCN</t>
  </si>
  <si>
    <t>GLBU</t>
  </si>
  <si>
    <t>Buchanan Airport</t>
  </si>
  <si>
    <t>GLLB</t>
  </si>
  <si>
    <t>Lamco Airport</t>
  </si>
  <si>
    <t>UCP</t>
  </si>
  <si>
    <t>KUCP</t>
  </si>
  <si>
    <t>New Castle Municipal Airport</t>
  </si>
  <si>
    <t>UCT</t>
  </si>
  <si>
    <t>UUYH</t>
  </si>
  <si>
    <t>Ukhta Airport</t>
  </si>
  <si>
    <t>UCY</t>
  </si>
  <si>
    <t>KUCY</t>
  </si>
  <si>
    <t>Everett-Stewart Airport</t>
  </si>
  <si>
    <t>UCZ</t>
  </si>
  <si>
    <t>SPIZ</t>
  </si>
  <si>
    <t>Uchiza Airport</t>
  </si>
  <si>
    <t>UDA</t>
  </si>
  <si>
    <t>YUDA</t>
  </si>
  <si>
    <t>Undara Airport</t>
  </si>
  <si>
    <t>UDD</t>
  </si>
  <si>
    <t>KUDD</t>
  </si>
  <si>
    <t>Bermuda Dunes Airport</t>
  </si>
  <si>
    <t>UDE</t>
  </si>
  <si>
    <t>EHVK</t>
  </si>
  <si>
    <t>Volkel Airport</t>
  </si>
  <si>
    <t>UDG</t>
  </si>
  <si>
    <t>KUDG</t>
  </si>
  <si>
    <t>Darlington County Jetport Airport</t>
  </si>
  <si>
    <t>UDI</t>
  </si>
  <si>
    <t>SBUL</t>
  </si>
  <si>
    <t>Ten. Cel. Av. César Bombonato Airport</t>
  </si>
  <si>
    <t>UDJ</t>
  </si>
  <si>
    <t>UKLU</t>
  </si>
  <si>
    <t>Uzhhorod International Airport</t>
  </si>
  <si>
    <t>UDN</t>
  </si>
  <si>
    <t>LIPD</t>
  </si>
  <si>
    <t>Udine / Campoformido Air Base</t>
  </si>
  <si>
    <t>UDR</t>
  </si>
  <si>
    <t>VAUD</t>
  </si>
  <si>
    <t>Maharana Pratap Airport</t>
  </si>
  <si>
    <t>UEE</t>
  </si>
  <si>
    <t>YQNS</t>
  </si>
  <si>
    <t>Queenstown Airport</t>
  </si>
  <si>
    <t>UEL</t>
  </si>
  <si>
    <t>FQQL</t>
  </si>
  <si>
    <t>Quelimane Airport</t>
  </si>
  <si>
    <t>UEN</t>
  </si>
  <si>
    <t>USDU</t>
  </si>
  <si>
    <t>Urengoy Airport</t>
  </si>
  <si>
    <t>UEO</t>
  </si>
  <si>
    <t>ROKJ</t>
  </si>
  <si>
    <t>Kumejima Airport</t>
  </si>
  <si>
    <t>UES</t>
  </si>
  <si>
    <t>KUES</t>
  </si>
  <si>
    <t>Waukesha County Airport</t>
  </si>
  <si>
    <t>UET</t>
  </si>
  <si>
    <t>OPQT</t>
  </si>
  <si>
    <t>Quetta International Airport</t>
  </si>
  <si>
    <t>UFA</t>
  </si>
  <si>
    <t>UWUU</t>
  </si>
  <si>
    <t>Ufa Airport</t>
  </si>
  <si>
    <t>UGA</t>
  </si>
  <si>
    <t>ZMBN</t>
  </si>
  <si>
    <t>Bulgan Airport</t>
  </si>
  <si>
    <t>UGB</t>
  </si>
  <si>
    <t>Ugashik Bay Airport</t>
  </si>
  <si>
    <t>UGC</t>
  </si>
  <si>
    <t>UTNU</t>
  </si>
  <si>
    <t>Urgench Airport</t>
  </si>
  <si>
    <t>UGN</t>
  </si>
  <si>
    <t>KUGN</t>
  </si>
  <si>
    <t>Waukegan National Airport</t>
  </si>
  <si>
    <t>UGO</t>
  </si>
  <si>
    <t>FNUG</t>
  </si>
  <si>
    <t>Uige Airport</t>
  </si>
  <si>
    <t>UGT</t>
  </si>
  <si>
    <t>ZMBR</t>
  </si>
  <si>
    <t>Bulagtai Resort Airport</t>
  </si>
  <si>
    <t>UHE</t>
  </si>
  <si>
    <t>LKKU</t>
  </si>
  <si>
    <t>Kunovice Airport</t>
  </si>
  <si>
    <t>UHF</t>
  </si>
  <si>
    <t>EGUA</t>
  </si>
  <si>
    <t>RAF Upper Heyford</t>
  </si>
  <si>
    <t>UIB</t>
  </si>
  <si>
    <t>SKUI</t>
  </si>
  <si>
    <t>El Caraño Airport</t>
  </si>
  <si>
    <t>UIH</t>
  </si>
  <si>
    <t>VVPC</t>
  </si>
  <si>
    <t>Phu Cat Airport</t>
  </si>
  <si>
    <t>UII</t>
  </si>
  <si>
    <t>MHUT</t>
  </si>
  <si>
    <t>Utila Airport</t>
  </si>
  <si>
    <t>UIK</t>
  </si>
  <si>
    <t>UIBS</t>
  </si>
  <si>
    <t>Ust-Ilimsk Airport</t>
  </si>
  <si>
    <t>UIL</t>
  </si>
  <si>
    <t>KUIL</t>
  </si>
  <si>
    <t>Quillayute Airport</t>
  </si>
  <si>
    <t>UIN</t>
  </si>
  <si>
    <t>KUIN</t>
  </si>
  <si>
    <t>Quincy Regional Airport (Baldwin Field)</t>
  </si>
  <si>
    <t>UIO</t>
  </si>
  <si>
    <t>SEQU</t>
  </si>
  <si>
    <t>Mariscal Sucre International Airport</t>
  </si>
  <si>
    <t>UIP</t>
  </si>
  <si>
    <t>LFRQ</t>
  </si>
  <si>
    <t>Quimper - Cornouaille Airport</t>
  </si>
  <si>
    <t>UIQ</t>
  </si>
  <si>
    <t>NVVQ</t>
  </si>
  <si>
    <t>Quion Hill Airport</t>
  </si>
  <si>
    <t>UIR</t>
  </si>
  <si>
    <t>YQDI</t>
  </si>
  <si>
    <t>Quirindi Airport</t>
  </si>
  <si>
    <t>UJE</t>
  </si>
  <si>
    <t>UJAP</t>
  </si>
  <si>
    <t>Ujae Atoll Airport</t>
  </si>
  <si>
    <t>UKA</t>
  </si>
  <si>
    <t>HKUK</t>
  </si>
  <si>
    <t>Ukunda Airstrip</t>
  </si>
  <si>
    <t>UKB</t>
  </si>
  <si>
    <t>RJBE</t>
  </si>
  <si>
    <t>Kobe Airport</t>
  </si>
  <si>
    <t>UKF</t>
  </si>
  <si>
    <t>KUKF</t>
  </si>
  <si>
    <t>Wilkes County Airport</t>
  </si>
  <si>
    <t>UKI</t>
  </si>
  <si>
    <t>KUKI</t>
  </si>
  <si>
    <t>Ukiah Municipal Airport</t>
  </si>
  <si>
    <t>UKK</t>
  </si>
  <si>
    <t>UASK</t>
  </si>
  <si>
    <t>Oskemen Airport</t>
  </si>
  <si>
    <t>UKL</t>
  </si>
  <si>
    <t>KUKL</t>
  </si>
  <si>
    <t>Coffey County Airport</t>
  </si>
  <si>
    <t>UKS</t>
  </si>
  <si>
    <t>UKFB</t>
  </si>
  <si>
    <t>Belbek Airport</t>
  </si>
  <si>
    <t>UKT</t>
  </si>
  <si>
    <t>KUKT</t>
  </si>
  <si>
    <t>Quakertown Airport</t>
  </si>
  <si>
    <t>UKX</t>
  </si>
  <si>
    <t>UITT</t>
  </si>
  <si>
    <t>Ust-Kut Airport</t>
  </si>
  <si>
    <t>ULA</t>
  </si>
  <si>
    <t>SAWJ</t>
  </si>
  <si>
    <t>Capitan D Daniel Vazquez Airport</t>
  </si>
  <si>
    <t>ULB</t>
  </si>
  <si>
    <t>NVSU</t>
  </si>
  <si>
    <t>Uléi Airport</t>
  </si>
  <si>
    <t>ULD</t>
  </si>
  <si>
    <t>FAUL</t>
  </si>
  <si>
    <t>Prince Mangosuthu Buthelezi Airport</t>
  </si>
  <si>
    <t>ULG</t>
  </si>
  <si>
    <t>ZMUL</t>
  </si>
  <si>
    <t>Ölgii Airport</t>
  </si>
  <si>
    <t>ULK</t>
  </si>
  <si>
    <t>UERL</t>
  </si>
  <si>
    <t>Lensk Airport</t>
  </si>
  <si>
    <t>ULM</t>
  </si>
  <si>
    <t>KULM</t>
  </si>
  <si>
    <t>New Ulm Municipal Airport</t>
  </si>
  <si>
    <t>ULN</t>
  </si>
  <si>
    <t>ZMUB</t>
  </si>
  <si>
    <t>Chinggis Khaan International Airport</t>
  </si>
  <si>
    <t>ULO</t>
  </si>
  <si>
    <t>ZMUG</t>
  </si>
  <si>
    <t>Ulaangom Airport</t>
  </si>
  <si>
    <t>ULP</t>
  </si>
  <si>
    <t>YQLP</t>
  </si>
  <si>
    <t>Quilpie Airport</t>
  </si>
  <si>
    <t>ULQ</t>
  </si>
  <si>
    <t>SKUL</t>
  </si>
  <si>
    <t>Farfan Airport</t>
  </si>
  <si>
    <t>ULS</t>
  </si>
  <si>
    <t>KULS</t>
  </si>
  <si>
    <t>Ulysses Airport</t>
  </si>
  <si>
    <t>ULU</t>
  </si>
  <si>
    <t>HUGU</t>
  </si>
  <si>
    <t>Gulu Airport</t>
  </si>
  <si>
    <t>ULV</t>
  </si>
  <si>
    <t>UWLL</t>
  </si>
  <si>
    <t>Ulyanovsk Baratayevka Airport</t>
  </si>
  <si>
    <t>ULY</t>
  </si>
  <si>
    <t>UWLW</t>
  </si>
  <si>
    <t>Ulyanovsk Vostochny Airport</t>
  </si>
  <si>
    <t>UMA</t>
  </si>
  <si>
    <t>MUMA</t>
  </si>
  <si>
    <t>Punta de Maisi Airport</t>
  </si>
  <si>
    <t>UME</t>
  </si>
  <si>
    <t>ESNU</t>
  </si>
  <si>
    <t>Alvik Airport</t>
  </si>
  <si>
    <t>UMI</t>
  </si>
  <si>
    <t>SPIL</t>
  </si>
  <si>
    <t>Quince Air Base</t>
  </si>
  <si>
    <t>UMM</t>
  </si>
  <si>
    <t>PAST</t>
  </si>
  <si>
    <t>Summit Airport (Alaska)</t>
  </si>
  <si>
    <t>UMP</t>
  </si>
  <si>
    <t>KUMP</t>
  </si>
  <si>
    <t>Indianapolis Metropolitan Airport</t>
  </si>
  <si>
    <t>UMR</t>
  </si>
  <si>
    <t>YPWR</t>
  </si>
  <si>
    <t>Woomera Airfield</t>
  </si>
  <si>
    <t>UMT</t>
  </si>
  <si>
    <t>PAUM</t>
  </si>
  <si>
    <t>Umiat Airport</t>
  </si>
  <si>
    <t>UMU</t>
  </si>
  <si>
    <t>SSUM</t>
  </si>
  <si>
    <t>Umuarama Airport</t>
  </si>
  <si>
    <t>UMY</t>
  </si>
  <si>
    <t>UKHS</t>
  </si>
  <si>
    <t>Sumy Airport</t>
  </si>
  <si>
    <t>UNA</t>
  </si>
  <si>
    <t>SBTC</t>
  </si>
  <si>
    <t>Hotel Transamérica Airport</t>
  </si>
  <si>
    <t>UND</t>
  </si>
  <si>
    <t>OAUZ</t>
  </si>
  <si>
    <t>Kunduz Airport</t>
  </si>
  <si>
    <t>UNE</t>
  </si>
  <si>
    <t>FXQN</t>
  </si>
  <si>
    <t>Qacha's Nek Airport</t>
  </si>
  <si>
    <t>UNG</t>
  </si>
  <si>
    <t>AYKI</t>
  </si>
  <si>
    <t>Kiunga Airport</t>
  </si>
  <si>
    <t>UNI</t>
  </si>
  <si>
    <t>TVSU</t>
  </si>
  <si>
    <t>Union Island Airport</t>
  </si>
  <si>
    <t>UNK</t>
  </si>
  <si>
    <t>PAUN</t>
  </si>
  <si>
    <t>Unalakleet Airport</t>
  </si>
  <si>
    <t>UNN</t>
  </si>
  <si>
    <t>VTSR</t>
  </si>
  <si>
    <t>Ranong Airport</t>
  </si>
  <si>
    <t>UNR</t>
  </si>
  <si>
    <t>ZMUH</t>
  </si>
  <si>
    <t>Öndörkhaan Airport</t>
  </si>
  <si>
    <t>UNT</t>
  </si>
  <si>
    <t>EGPW</t>
  </si>
  <si>
    <t>Unst Airport</t>
  </si>
  <si>
    <t>UNU</t>
  </si>
  <si>
    <t>KUNU</t>
  </si>
  <si>
    <t>Dodge County Airport</t>
  </si>
  <si>
    <t>UOL</t>
  </si>
  <si>
    <t>WAMY</t>
  </si>
  <si>
    <t>Buol Airport</t>
  </si>
  <si>
    <t>UOS</t>
  </si>
  <si>
    <t>KUOS</t>
  </si>
  <si>
    <t>UOX</t>
  </si>
  <si>
    <t>KUOX</t>
  </si>
  <si>
    <t>University-Oxford Airport</t>
  </si>
  <si>
    <t>UPB</t>
  </si>
  <si>
    <t>MUPB</t>
  </si>
  <si>
    <t>Playa Baracoa Airport</t>
  </si>
  <si>
    <t>UPG</t>
  </si>
  <si>
    <t>WAAA</t>
  </si>
  <si>
    <t>Hasanuddin International Airport</t>
  </si>
  <si>
    <t>UPL</t>
  </si>
  <si>
    <t>MRUP</t>
  </si>
  <si>
    <t>Upala Airport</t>
  </si>
  <si>
    <t>UPN</t>
  </si>
  <si>
    <t>MMPN</t>
  </si>
  <si>
    <t>Lic. y Gen. Ignacio López Rayón International Airport</t>
  </si>
  <si>
    <t>UPP</t>
  </si>
  <si>
    <t>PHUP</t>
  </si>
  <si>
    <t>Upolu Airport</t>
  </si>
  <si>
    <t>URA</t>
  </si>
  <si>
    <t>UARR</t>
  </si>
  <si>
    <t>Oral Ak Zhol Airport</t>
  </si>
  <si>
    <t>URC</t>
  </si>
  <si>
    <t>ZWWW</t>
  </si>
  <si>
    <t>Diwopu Airport</t>
  </si>
  <si>
    <t>URE</t>
  </si>
  <si>
    <t>EEKE</t>
  </si>
  <si>
    <t>Kuressaare Airport</t>
  </si>
  <si>
    <t>URG</t>
  </si>
  <si>
    <t>SBUG</t>
  </si>
  <si>
    <t>Aeroporto Internacional Rubem Berta</t>
  </si>
  <si>
    <t>URJ</t>
  </si>
  <si>
    <t>USHU</t>
  </si>
  <si>
    <t>Uray Airport</t>
  </si>
  <si>
    <t>URM</t>
  </si>
  <si>
    <t>SVUM</t>
  </si>
  <si>
    <t>Uriman Airport</t>
  </si>
  <si>
    <t>URO</t>
  </si>
  <si>
    <t>LFOP</t>
  </si>
  <si>
    <t>Rouen Airport</t>
  </si>
  <si>
    <t>URR</t>
  </si>
  <si>
    <t>SKUR</t>
  </si>
  <si>
    <t>Urrao Airport</t>
  </si>
  <si>
    <t>URS</t>
  </si>
  <si>
    <t>UUOK</t>
  </si>
  <si>
    <t>Kursk East Airport</t>
  </si>
  <si>
    <t>URT</t>
  </si>
  <si>
    <t>VTSB</t>
  </si>
  <si>
    <t>Surat Thani Airport</t>
  </si>
  <si>
    <t>URY</t>
  </si>
  <si>
    <t>OEGT</t>
  </si>
  <si>
    <t>Guriat Domestic Airport</t>
  </si>
  <si>
    <t>USE</t>
  </si>
  <si>
    <t>KUSE</t>
  </si>
  <si>
    <t>USH</t>
  </si>
  <si>
    <t>SAWH</t>
  </si>
  <si>
    <t>Ushuaia - Malvinas Argentinas International Airport</t>
  </si>
  <si>
    <t>USI</t>
  </si>
  <si>
    <t>SYMB</t>
  </si>
  <si>
    <t>Mabaruma Airport</t>
  </si>
  <si>
    <t>USK</t>
  </si>
  <si>
    <t>UUYS</t>
  </si>
  <si>
    <t>Usinsk Airport</t>
  </si>
  <si>
    <t>USL</t>
  </si>
  <si>
    <t>YUSL</t>
  </si>
  <si>
    <t>Useless Loop Airport</t>
  </si>
  <si>
    <t>USM</t>
  </si>
  <si>
    <t>VTSM</t>
  </si>
  <si>
    <t>Samui Airport</t>
  </si>
  <si>
    <t>USN</t>
  </si>
  <si>
    <t>RKPU</t>
  </si>
  <si>
    <t>Ulsan Airport</t>
  </si>
  <si>
    <t>USQ</t>
  </si>
  <si>
    <t>LTBO</t>
  </si>
  <si>
    <t>U?ak Airport</t>
  </si>
  <si>
    <t>USS</t>
  </si>
  <si>
    <t>MUSS</t>
  </si>
  <si>
    <t>Sancti Spiritus Airport</t>
  </si>
  <si>
    <t>UST</t>
  </si>
  <si>
    <t>KSGJ</t>
  </si>
  <si>
    <t>St. Augustine Airport</t>
  </si>
  <si>
    <t>USU</t>
  </si>
  <si>
    <t>RPVV</t>
  </si>
  <si>
    <t>Francisco B. Reyes Airport</t>
  </si>
  <si>
    <t>UTA</t>
  </si>
  <si>
    <t>KUTA</t>
  </si>
  <si>
    <t>Tunica Municipal Airport</t>
  </si>
  <si>
    <t>FVMU</t>
  </si>
  <si>
    <t>Mutare Airport</t>
  </si>
  <si>
    <t>UTB</t>
  </si>
  <si>
    <t>YMTB</t>
  </si>
  <si>
    <t>Muttaburra Airport</t>
  </si>
  <si>
    <t>UTE</t>
  </si>
  <si>
    <t>FABU</t>
  </si>
  <si>
    <t>Butterworth Airport</t>
  </si>
  <si>
    <t>UTG</t>
  </si>
  <si>
    <t>FXQG</t>
  </si>
  <si>
    <t>Quthing Airport</t>
  </si>
  <si>
    <t>UTH</t>
  </si>
  <si>
    <t>VTUD</t>
  </si>
  <si>
    <t>Udon Thani Airport</t>
  </si>
  <si>
    <t>UTI</t>
  </si>
  <si>
    <t>EFUT</t>
  </si>
  <si>
    <t>Utti Air Base</t>
  </si>
  <si>
    <t>UTK</t>
  </si>
  <si>
    <t>03N</t>
  </si>
  <si>
    <t>Utirik Airport</t>
  </si>
  <si>
    <t>UTN</t>
  </si>
  <si>
    <t>FAUP</t>
  </si>
  <si>
    <t>Upington Airport</t>
  </si>
  <si>
    <t>UTO</t>
  </si>
  <si>
    <t>PAIM</t>
  </si>
  <si>
    <t>Indian Mountain LRRS</t>
  </si>
  <si>
    <t>UTP</t>
  </si>
  <si>
    <t>VTBU</t>
  </si>
  <si>
    <t>U-Tapao International Airport</t>
  </si>
  <si>
    <t>UTR</t>
  </si>
  <si>
    <t>VTPU</t>
  </si>
  <si>
    <t>Uttaradit Airport</t>
  </si>
  <si>
    <t>UTS</t>
  </si>
  <si>
    <t>UUYX</t>
  </si>
  <si>
    <t>Ust-Tsylma Airport</t>
  </si>
  <si>
    <t>KUTS</t>
  </si>
  <si>
    <t>Huntsville Municipal Airport</t>
  </si>
  <si>
    <t>UTT</t>
  </si>
  <si>
    <t>FAUT</t>
  </si>
  <si>
    <t>K. D. Matanzima Airport</t>
  </si>
  <si>
    <t>UTW</t>
  </si>
  <si>
    <t>FAQT</t>
  </si>
  <si>
    <t>UUA</t>
  </si>
  <si>
    <t>UWKB</t>
  </si>
  <si>
    <t>Bugulma Airport</t>
  </si>
  <si>
    <t>UUD</t>
  </si>
  <si>
    <t>UIUU</t>
  </si>
  <si>
    <t>Ulan-Ude Airport (Mukhino)</t>
  </si>
  <si>
    <t>UUN</t>
  </si>
  <si>
    <t>ZMBU</t>
  </si>
  <si>
    <t>Baruun Urt Airport</t>
  </si>
  <si>
    <t>UUO</t>
  </si>
  <si>
    <t>PAUO</t>
  </si>
  <si>
    <t>Willow Airport</t>
  </si>
  <si>
    <t>UUS</t>
  </si>
  <si>
    <t>UHSS</t>
  </si>
  <si>
    <t>Yuzhno-Sakhalinsk Airport</t>
  </si>
  <si>
    <t>UUU</t>
  </si>
  <si>
    <t>KUUU</t>
  </si>
  <si>
    <t>Newport State Airport (Rhode Island)</t>
  </si>
  <si>
    <t>UUV</t>
  </si>
  <si>
    <t>KUUV</t>
  </si>
  <si>
    <t>Sullivan Regional Airport</t>
  </si>
  <si>
    <t>UVA</t>
  </si>
  <si>
    <t>KUVA</t>
  </si>
  <si>
    <t>Garner Field</t>
  </si>
  <si>
    <t>UVE</t>
  </si>
  <si>
    <t>NWWV</t>
  </si>
  <si>
    <t>Ouvéa Airport</t>
  </si>
  <si>
    <t>UVF</t>
  </si>
  <si>
    <t>TLPL</t>
  </si>
  <si>
    <t>Hewanorra International Airport</t>
  </si>
  <si>
    <t>UVL</t>
  </si>
  <si>
    <t>HEKG</t>
  </si>
  <si>
    <t>El Kharga Airport</t>
  </si>
  <si>
    <t>UWL</t>
  </si>
  <si>
    <t>KUWL</t>
  </si>
  <si>
    <t>New Castle-Henry County Municipal Airport</t>
  </si>
  <si>
    <t>UYF</t>
  </si>
  <si>
    <t>KUYF</t>
  </si>
  <si>
    <t>Madison County Airport</t>
  </si>
  <si>
    <t>UYL</t>
  </si>
  <si>
    <t>HSNN</t>
  </si>
  <si>
    <t>Nyala Airport</t>
  </si>
  <si>
    <t>UYN</t>
  </si>
  <si>
    <t>ZLYL</t>
  </si>
  <si>
    <t>Yulin Airport</t>
  </si>
  <si>
    <t>UYU</t>
  </si>
  <si>
    <t>SLUY</t>
  </si>
  <si>
    <t>Uyuni Airport</t>
  </si>
  <si>
    <t>UZA</t>
  </si>
  <si>
    <t>KUZA</t>
  </si>
  <si>
    <t>Rock Hill/York County Airport (Bryant Field)</t>
  </si>
  <si>
    <t>UZC</t>
  </si>
  <si>
    <t>LY88</t>
  </si>
  <si>
    <t>Ponikve Airport</t>
  </si>
  <si>
    <t>LYUZ</t>
  </si>
  <si>
    <t>U?ice-Ponikve Airport</t>
  </si>
  <si>
    <t>UZU</t>
  </si>
  <si>
    <t>SATU</t>
  </si>
  <si>
    <t>Curuzu Cuatia Airport</t>
  </si>
  <si>
    <t>VAA</t>
  </si>
  <si>
    <t>EFVA</t>
  </si>
  <si>
    <t>Vaasa Airport</t>
  </si>
  <si>
    <t>VAC</t>
  </si>
  <si>
    <t>EDWU</t>
  </si>
  <si>
    <t>Varrelbusch Airport</t>
  </si>
  <si>
    <t>VAD</t>
  </si>
  <si>
    <t>KVAD</t>
  </si>
  <si>
    <t>Moody AFB</t>
  </si>
  <si>
    <t>VAF</t>
  </si>
  <si>
    <t>LFLU</t>
  </si>
  <si>
    <t>Valence-Chabeuil Airport</t>
  </si>
  <si>
    <t>VAG</t>
  </si>
  <si>
    <t>SBVG</t>
  </si>
  <si>
    <t>Major Brigadeiro Trompowsky Airport</t>
  </si>
  <si>
    <t>VAH</t>
  </si>
  <si>
    <t>SLVG</t>
  </si>
  <si>
    <t>Capitán Av. Vidal Villagomez Toledo Airport</t>
  </si>
  <si>
    <t>VAI</t>
  </si>
  <si>
    <t>AYVN</t>
  </si>
  <si>
    <t>Vanimo Airport</t>
  </si>
  <si>
    <t>VAK</t>
  </si>
  <si>
    <t>PAVA</t>
  </si>
  <si>
    <t>Chevak Airport</t>
  </si>
  <si>
    <t>VAL</t>
  </si>
  <si>
    <t>SNVB</t>
  </si>
  <si>
    <t>Valença Airport</t>
  </si>
  <si>
    <t>VAM</t>
  </si>
  <si>
    <t>VRMV</t>
  </si>
  <si>
    <t>Villa Airport</t>
  </si>
  <si>
    <t>VAN</t>
  </si>
  <si>
    <t>LTCI</t>
  </si>
  <si>
    <t>Ferit Melen Airport</t>
  </si>
  <si>
    <t>VAO</t>
  </si>
  <si>
    <t>AGGV</t>
  </si>
  <si>
    <t>Suavanao Airport</t>
  </si>
  <si>
    <t>VAP</t>
  </si>
  <si>
    <t>SCRD</t>
  </si>
  <si>
    <t>Rodelillo Airport</t>
  </si>
  <si>
    <t>VAR</t>
  </si>
  <si>
    <t>LBWN</t>
  </si>
  <si>
    <t>Varna Airport</t>
  </si>
  <si>
    <t>VAS</t>
  </si>
  <si>
    <t>LTAR</t>
  </si>
  <si>
    <t>Sivas Airport</t>
  </si>
  <si>
    <t>VAT</t>
  </si>
  <si>
    <t>FMMY</t>
  </si>
  <si>
    <t>Vatomandry Airport</t>
  </si>
  <si>
    <t>VAU</t>
  </si>
  <si>
    <t>NFNV</t>
  </si>
  <si>
    <t>Vatukoula Airport</t>
  </si>
  <si>
    <t>VAV</t>
  </si>
  <si>
    <t>NFTV</t>
  </si>
  <si>
    <t>Vava'u International Airport</t>
  </si>
  <si>
    <t>VAW</t>
  </si>
  <si>
    <t>ENSS</t>
  </si>
  <si>
    <t>Vardø Airport, Svartnes</t>
  </si>
  <si>
    <t>VBG</t>
  </si>
  <si>
    <t>KVBG</t>
  </si>
  <si>
    <t>Vandenberg AFB</t>
  </si>
  <si>
    <t>VBS</t>
  </si>
  <si>
    <t>LIPO</t>
  </si>
  <si>
    <t>Brescia Montichiari International Airport</t>
  </si>
  <si>
    <t>VBT</t>
  </si>
  <si>
    <t>KVBT</t>
  </si>
  <si>
    <t>Bentonville Municipal Airport (Louise M. Thaden Field)</t>
  </si>
  <si>
    <t>VBV</t>
  </si>
  <si>
    <t>NFVB</t>
  </si>
  <si>
    <t>Vanua Balavu Airport</t>
  </si>
  <si>
    <t>VBW</t>
  </si>
  <si>
    <t>KVBW</t>
  </si>
  <si>
    <t>Bridgewater Air Park Airport</t>
  </si>
  <si>
    <t>VBY</t>
  </si>
  <si>
    <t>ESSV</t>
  </si>
  <si>
    <t>Visby Airport</t>
  </si>
  <si>
    <t>VCA</t>
  </si>
  <si>
    <t>VVCT</t>
  </si>
  <si>
    <t>Tra Noc International Airport</t>
  </si>
  <si>
    <t>VCB</t>
  </si>
  <si>
    <t>KVCB</t>
  </si>
  <si>
    <t>Nut Tree Airport</t>
  </si>
  <si>
    <t>VCD</t>
  </si>
  <si>
    <t>YVRD</t>
  </si>
  <si>
    <t>Victoria River Downs Airport</t>
  </si>
  <si>
    <t>VCE</t>
  </si>
  <si>
    <t>LIPZ</t>
  </si>
  <si>
    <t>Marco Polo International Airport</t>
  </si>
  <si>
    <t>VCH</t>
  </si>
  <si>
    <t>SUVO</t>
  </si>
  <si>
    <t>Vichadero Airport</t>
  </si>
  <si>
    <t>VCL</t>
  </si>
  <si>
    <t>VVCA</t>
  </si>
  <si>
    <t>Chu Lai International Airport</t>
  </si>
  <si>
    <t>VCP</t>
  </si>
  <si>
    <t>SBKP</t>
  </si>
  <si>
    <t>Viracopos-Campinas International Airport</t>
  </si>
  <si>
    <t>VCR</t>
  </si>
  <si>
    <t>SVCO</t>
  </si>
  <si>
    <t>Carora Airport</t>
  </si>
  <si>
    <t>VCS</t>
  </si>
  <si>
    <t>VVCS</t>
  </si>
  <si>
    <t>Co Ong Airport</t>
  </si>
  <si>
    <t>VCT</t>
  </si>
  <si>
    <t>KVCT</t>
  </si>
  <si>
    <t>Victoria Regional Airport</t>
  </si>
  <si>
    <t>VCV</t>
  </si>
  <si>
    <t>KVCV</t>
  </si>
  <si>
    <t>Southern California Logistics Airport</t>
  </si>
  <si>
    <t>VDA</t>
  </si>
  <si>
    <t>LLOV</t>
  </si>
  <si>
    <t>Ovda International Airport</t>
  </si>
  <si>
    <t>VDB</t>
  </si>
  <si>
    <t>ENFG</t>
  </si>
  <si>
    <t>Fagernes Airport, Leirin</t>
  </si>
  <si>
    <t>VDC</t>
  </si>
  <si>
    <t>SBQV</t>
  </si>
  <si>
    <t>Vitória da Conquista Airport</t>
  </si>
  <si>
    <t>VDE</t>
  </si>
  <si>
    <t>GCHI</t>
  </si>
  <si>
    <t>Hierro Airport</t>
  </si>
  <si>
    <t>VDI</t>
  </si>
  <si>
    <t>KVDI</t>
  </si>
  <si>
    <t>Vidalia Regional Airport</t>
  </si>
  <si>
    <t>VDM</t>
  </si>
  <si>
    <t>SAVV</t>
  </si>
  <si>
    <t>Gobernador Edgardo Castello Airport</t>
  </si>
  <si>
    <t>VDP</t>
  </si>
  <si>
    <t>EKVD</t>
  </si>
  <si>
    <t>Vamdrup Airport</t>
  </si>
  <si>
    <t>SVVP</t>
  </si>
  <si>
    <t>Valle de La Pascua Airport</t>
  </si>
  <si>
    <t>VDR</t>
  </si>
  <si>
    <t>SAOD</t>
  </si>
  <si>
    <t>Villa Dolores Airport</t>
  </si>
  <si>
    <t>VDS</t>
  </si>
  <si>
    <t>ENVD</t>
  </si>
  <si>
    <t>Vadsø Airport</t>
  </si>
  <si>
    <t>VDY</t>
  </si>
  <si>
    <t>VOJV</t>
  </si>
  <si>
    <t>Vijayanagar Aerodrome (JSW)</t>
  </si>
  <si>
    <t>VDZ</t>
  </si>
  <si>
    <t>PAVD</t>
  </si>
  <si>
    <t>Valdez Pioneer Field</t>
  </si>
  <si>
    <t>VEL</t>
  </si>
  <si>
    <t>KVEL</t>
  </si>
  <si>
    <t>Vernal Airport</t>
  </si>
  <si>
    <t>VER</t>
  </si>
  <si>
    <t>MMVR</t>
  </si>
  <si>
    <t>General Heriberto Jara International Airport</t>
  </si>
  <si>
    <t>VES</t>
  </si>
  <si>
    <t>KVES</t>
  </si>
  <si>
    <t>Darke County Airport</t>
  </si>
  <si>
    <t>VEV</t>
  </si>
  <si>
    <t>AGBA</t>
  </si>
  <si>
    <t>Barakoma Airport</t>
  </si>
  <si>
    <t>VEY</t>
  </si>
  <si>
    <t>BIVM</t>
  </si>
  <si>
    <t>Vestmannaeyjar Airport</t>
  </si>
  <si>
    <t>VFA</t>
  </si>
  <si>
    <t>FVFA</t>
  </si>
  <si>
    <t>Victoria Falls Airport</t>
  </si>
  <si>
    <t>VGA</t>
  </si>
  <si>
    <t>VOBZ</t>
  </si>
  <si>
    <t>Vijayawada Airport</t>
  </si>
  <si>
    <t>VGD</t>
  </si>
  <si>
    <t>ULWW</t>
  </si>
  <si>
    <t>Vologda Airport</t>
  </si>
  <si>
    <t>VGO</t>
  </si>
  <si>
    <t>LEVX</t>
  </si>
  <si>
    <t>Vigo-Peinador Airport</t>
  </si>
  <si>
    <t>VGT</t>
  </si>
  <si>
    <t>KVGT</t>
  </si>
  <si>
    <t>North Las Vegas Airport</t>
  </si>
  <si>
    <t>VGZ</t>
  </si>
  <si>
    <t>SKVG</t>
  </si>
  <si>
    <t>Villa Garzón Airport</t>
  </si>
  <si>
    <t>VHC</t>
  </si>
  <si>
    <t>FNSA</t>
  </si>
  <si>
    <t>Saurimo Airport</t>
  </si>
  <si>
    <t>VHM</t>
  </si>
  <si>
    <t>ESNV</t>
  </si>
  <si>
    <t>Vilhelmina Airport</t>
  </si>
  <si>
    <t>VHN</t>
  </si>
  <si>
    <t>KVHN</t>
  </si>
  <si>
    <t>Culberson County Airport</t>
  </si>
  <si>
    <t>VHY</t>
  </si>
  <si>
    <t>LFLV</t>
  </si>
  <si>
    <t>Vichy-Charmeil Airport</t>
  </si>
  <si>
    <t>VHZ</t>
  </si>
  <si>
    <t>NTUV</t>
  </si>
  <si>
    <t>Vahitahi Airport</t>
  </si>
  <si>
    <t>VIA</t>
  </si>
  <si>
    <t>SSVI</t>
  </si>
  <si>
    <t>Videira Airport</t>
  </si>
  <si>
    <t>VIC</t>
  </si>
  <si>
    <t>LIPT</t>
  </si>
  <si>
    <t>Vicenza Airport</t>
  </si>
  <si>
    <t>VID</t>
  </si>
  <si>
    <t>LBVD</t>
  </si>
  <si>
    <t>Vidin Smurdan Airfield</t>
  </si>
  <si>
    <t>VIE</t>
  </si>
  <si>
    <t>LOWW</t>
  </si>
  <si>
    <t>Vienna International Airport</t>
  </si>
  <si>
    <t>VIG</t>
  </si>
  <si>
    <t>SVVG</t>
  </si>
  <si>
    <t>Juan Pablo Perez Alfonso Airport? El Vigía, Venezuela</t>
  </si>
  <si>
    <t>VIH</t>
  </si>
  <si>
    <t>KVIH</t>
  </si>
  <si>
    <t>Rolla National Airport</t>
  </si>
  <si>
    <t>VII</t>
  </si>
  <si>
    <t>VVVH</t>
  </si>
  <si>
    <t>Vinh Airport</t>
  </si>
  <si>
    <t>VIJ</t>
  </si>
  <si>
    <t>TUPW</t>
  </si>
  <si>
    <t>Virgin Gorda Airport</t>
  </si>
  <si>
    <t>VIL</t>
  </si>
  <si>
    <t>GMMH</t>
  </si>
  <si>
    <t>Dakhla Airport</t>
  </si>
  <si>
    <t>VIN</t>
  </si>
  <si>
    <t>UKWW</t>
  </si>
  <si>
    <t>Vinnytsia/Gavyryshivka Airport</t>
  </si>
  <si>
    <t>VIQ</t>
  </si>
  <si>
    <t>WPVQ</t>
  </si>
  <si>
    <t>Viqueque Airport</t>
  </si>
  <si>
    <t>KVIQ</t>
  </si>
  <si>
    <t>Neillsville Municipal Airport</t>
  </si>
  <si>
    <t>VIR</t>
  </si>
  <si>
    <t>FAVG</t>
  </si>
  <si>
    <t>Virginia Airport</t>
  </si>
  <si>
    <t>VIS</t>
  </si>
  <si>
    <t>KVIS</t>
  </si>
  <si>
    <t>Visalia Municipal Airport</t>
  </si>
  <si>
    <t>VIT</t>
  </si>
  <si>
    <t>LEVT</t>
  </si>
  <si>
    <t>Vitoria Foronda International Airport</t>
  </si>
  <si>
    <t>VIX</t>
  </si>
  <si>
    <t>SBVT</t>
  </si>
  <si>
    <t>Goiabeiras Airport</t>
  </si>
  <si>
    <t>VIY</t>
  </si>
  <si>
    <t>LFPV</t>
  </si>
  <si>
    <t>Villacoublay-Vélizy (BA 107) Air Base</t>
  </si>
  <si>
    <t>VJB</t>
  </si>
  <si>
    <t>FQXA</t>
  </si>
  <si>
    <t>Xai-Xai Airport</t>
  </si>
  <si>
    <t>VJI</t>
  </si>
  <si>
    <t>KVJI</t>
  </si>
  <si>
    <t>Virginia Highlands Airport</t>
  </si>
  <si>
    <t>VKG</t>
  </si>
  <si>
    <t>VVRG</t>
  </si>
  <si>
    <t>Rach Gia Airport</t>
  </si>
  <si>
    <t>VKO</t>
  </si>
  <si>
    <t>UUWW</t>
  </si>
  <si>
    <t>Vnukovo International Airport</t>
  </si>
  <si>
    <t>VKS</t>
  </si>
  <si>
    <t>KVKS</t>
  </si>
  <si>
    <t>Vicksburg Municipal Airport</t>
  </si>
  <si>
    <t>VKT</t>
  </si>
  <si>
    <t>UUYW</t>
  </si>
  <si>
    <t>Vorkuta Airport</t>
  </si>
  <si>
    <t>VLA</t>
  </si>
  <si>
    <t>KVLA</t>
  </si>
  <si>
    <t>Vandalia Municipal Airport</t>
  </si>
  <si>
    <t>VLC</t>
  </si>
  <si>
    <t>LEVC</t>
  </si>
  <si>
    <t>Valencia Airport</t>
  </si>
  <si>
    <t>VLD</t>
  </si>
  <si>
    <t>KVLD</t>
  </si>
  <si>
    <t>Valdosta Regional Airport</t>
  </si>
  <si>
    <t>VLG</t>
  </si>
  <si>
    <t>SAZV</t>
  </si>
  <si>
    <t>Villa Gesell - Pinamar International Airport</t>
  </si>
  <si>
    <t>VLI</t>
  </si>
  <si>
    <t>NVVV</t>
  </si>
  <si>
    <t>Bauerfield International Airport</t>
  </si>
  <si>
    <t>VLL</t>
  </si>
  <si>
    <t>LEVD</t>
  </si>
  <si>
    <t>Valladolid Airport</t>
  </si>
  <si>
    <t>VLM</t>
  </si>
  <si>
    <t>SLVM</t>
  </si>
  <si>
    <t>Teniente Coronel Rafael Pabón Airport</t>
  </si>
  <si>
    <t>VLN</t>
  </si>
  <si>
    <t>SVVA</t>
  </si>
  <si>
    <t>Arturo Michelena International Airport</t>
  </si>
  <si>
    <t>VLP</t>
  </si>
  <si>
    <t>SWVC</t>
  </si>
  <si>
    <t>Vila Rica Airport</t>
  </si>
  <si>
    <t>VLR</t>
  </si>
  <si>
    <t>SCLL</t>
  </si>
  <si>
    <t>Vallenar Airport</t>
  </si>
  <si>
    <t>VLS</t>
  </si>
  <si>
    <t>NVSV</t>
  </si>
  <si>
    <t>Valesdir Airport</t>
  </si>
  <si>
    <t>VLU</t>
  </si>
  <si>
    <t>ULOL</t>
  </si>
  <si>
    <t>Velikiye Luki Airport</t>
  </si>
  <si>
    <t>VLV</t>
  </si>
  <si>
    <t>SVVL</t>
  </si>
  <si>
    <t>Dr. Antonio Nicolás Briceno Airport</t>
  </si>
  <si>
    <t>VME</t>
  </si>
  <si>
    <t>SAOR</t>
  </si>
  <si>
    <t>Villa Reynolds Airport</t>
  </si>
  <si>
    <t>VMR</t>
  </si>
  <si>
    <t>KVMR</t>
  </si>
  <si>
    <t>Harold Davidson Field</t>
  </si>
  <si>
    <t>VNA</t>
  </si>
  <si>
    <t>VLSV</t>
  </si>
  <si>
    <t>Saravane Airport</t>
  </si>
  <si>
    <t>VNC</t>
  </si>
  <si>
    <t>KVNC</t>
  </si>
  <si>
    <t>Venice Municipal Airport</t>
  </si>
  <si>
    <t>VNE</t>
  </si>
  <si>
    <t>LFRV</t>
  </si>
  <si>
    <t>Vannes-Meucon Airport</t>
  </si>
  <si>
    <t>VNO</t>
  </si>
  <si>
    <t>EYVI</t>
  </si>
  <si>
    <t>Vilnius International Airport</t>
  </si>
  <si>
    <t>VNR</t>
  </si>
  <si>
    <t>YVRS</t>
  </si>
  <si>
    <t>Vanrook Station Airport</t>
  </si>
  <si>
    <t>VNS</t>
  </si>
  <si>
    <t>VIBN</t>
  </si>
  <si>
    <t>Varanasi Airport</t>
  </si>
  <si>
    <t>VNT</t>
  </si>
  <si>
    <t>EVVA</t>
  </si>
  <si>
    <t>Ventspils International Airport</t>
  </si>
  <si>
    <t>VNW</t>
  </si>
  <si>
    <t>KVNW</t>
  </si>
  <si>
    <t>Van Wert County Airport</t>
  </si>
  <si>
    <t>VNX</t>
  </si>
  <si>
    <t>FQVL</t>
  </si>
  <si>
    <t>Vilankulo Airport</t>
  </si>
  <si>
    <t>VNY</t>
  </si>
  <si>
    <t>KVNY</t>
  </si>
  <si>
    <t>Van Nuys Airport</t>
  </si>
  <si>
    <t>VOG</t>
  </si>
  <si>
    <t>URWW</t>
  </si>
  <si>
    <t>Gumrak Airport</t>
  </si>
  <si>
    <t>VOH</t>
  </si>
  <si>
    <t>FMNV</t>
  </si>
  <si>
    <t>Vohimarina Airport</t>
  </si>
  <si>
    <t>VOI</t>
  </si>
  <si>
    <t>GLVA</t>
  </si>
  <si>
    <t>Voinjama Airport</t>
  </si>
  <si>
    <t>VOK</t>
  </si>
  <si>
    <t>KVOK</t>
  </si>
  <si>
    <t>Volk Field</t>
  </si>
  <si>
    <t>VOL</t>
  </si>
  <si>
    <t>LGBL</t>
  </si>
  <si>
    <t>International Airport of Central Greece</t>
  </si>
  <si>
    <t>VOT</t>
  </si>
  <si>
    <t>SDVG</t>
  </si>
  <si>
    <t>Votuporanga Airport</t>
  </si>
  <si>
    <t>VOZ</t>
  </si>
  <si>
    <t>UUOO</t>
  </si>
  <si>
    <t>Voronezh International Airport</t>
  </si>
  <si>
    <t>VPC</t>
  </si>
  <si>
    <t>KVPC</t>
  </si>
  <si>
    <t>Cartersville Airport</t>
  </si>
  <si>
    <t>VPE</t>
  </si>
  <si>
    <t>FNGI</t>
  </si>
  <si>
    <t>Ngjiva Pereira Airport</t>
  </si>
  <si>
    <t>VPN</t>
  </si>
  <si>
    <t>BIVO</t>
  </si>
  <si>
    <t>Vopnafjörður Airport</t>
  </si>
  <si>
    <t>VPS</t>
  </si>
  <si>
    <t>KVPS</t>
  </si>
  <si>
    <t>Okaloosa Regional Airport / Eglin AFB</t>
  </si>
  <si>
    <t>VPY</t>
  </si>
  <si>
    <t>FQCH</t>
  </si>
  <si>
    <t>Chimoio Airport</t>
  </si>
  <si>
    <t>VPZ</t>
  </si>
  <si>
    <t>KVPZ</t>
  </si>
  <si>
    <t>Porter County Municipal Airport</t>
  </si>
  <si>
    <t>VQS</t>
  </si>
  <si>
    <t>TJCG</t>
  </si>
  <si>
    <t>Vieques Airport</t>
  </si>
  <si>
    <t>TJVQ</t>
  </si>
  <si>
    <t>Antonio Rivera Rodriguez Airport</t>
  </si>
  <si>
    <t>VRA</t>
  </si>
  <si>
    <t>MUVR</t>
  </si>
  <si>
    <t>Juan Gualberto Gómez Airport</t>
  </si>
  <si>
    <t>VRB</t>
  </si>
  <si>
    <t>KVRB</t>
  </si>
  <si>
    <t>Vero Beach Municipal Airport</t>
  </si>
  <si>
    <t>VRC</t>
  </si>
  <si>
    <t>RPUV</t>
  </si>
  <si>
    <t>Virac Airport</t>
  </si>
  <si>
    <t>VRE</t>
  </si>
  <si>
    <t>FAVR</t>
  </si>
  <si>
    <t>Vredendal Airport</t>
  </si>
  <si>
    <t>VRK</t>
  </si>
  <si>
    <t>EFVR</t>
  </si>
  <si>
    <t>Varkaus Airport</t>
  </si>
  <si>
    <t>VRL</t>
  </si>
  <si>
    <t>LPVR</t>
  </si>
  <si>
    <t>Vila Real Airport</t>
  </si>
  <si>
    <t>VRN</t>
  </si>
  <si>
    <t>LIPX</t>
  </si>
  <si>
    <t>Verona / Villafranca Airport</t>
  </si>
  <si>
    <t>VRO</t>
  </si>
  <si>
    <t>MUKW</t>
  </si>
  <si>
    <t>Kawama Airport</t>
  </si>
  <si>
    <t>VRU</t>
  </si>
  <si>
    <t>FAVB</t>
  </si>
  <si>
    <t>Vryburg Airport</t>
  </si>
  <si>
    <t>VRY</t>
  </si>
  <si>
    <t>ENVR</t>
  </si>
  <si>
    <t>Værøy Heliport</t>
  </si>
  <si>
    <t>VSA</t>
  </si>
  <si>
    <t>MMVA</t>
  </si>
  <si>
    <t>Carlos Rovirosa Pérez International Airport</t>
  </si>
  <si>
    <t>VSE</t>
  </si>
  <si>
    <t>LPVZ</t>
  </si>
  <si>
    <t>Viseu Airport</t>
  </si>
  <si>
    <t>VSF</t>
  </si>
  <si>
    <t>KVSF</t>
  </si>
  <si>
    <t>Hartness State (Springfield) Airport</t>
  </si>
  <si>
    <t>VSG</t>
  </si>
  <si>
    <t>UKCW</t>
  </si>
  <si>
    <t>Luhansk Airport</t>
  </si>
  <si>
    <t>VSK</t>
  </si>
  <si>
    <t>KS98</t>
  </si>
  <si>
    <t>Vista Field</t>
  </si>
  <si>
    <t>VST</t>
  </si>
  <si>
    <t>ESOW</t>
  </si>
  <si>
    <t>Stockholm-Västerås Airport</t>
  </si>
  <si>
    <t>VTA</t>
  </si>
  <si>
    <t>KVTA</t>
  </si>
  <si>
    <t>Newark-Heath Airport</t>
  </si>
  <si>
    <t>VTB</t>
  </si>
  <si>
    <t>UMII</t>
  </si>
  <si>
    <t>Vitebsk East Airport</t>
  </si>
  <si>
    <t>VTE</t>
  </si>
  <si>
    <t>VLVT</t>
  </si>
  <si>
    <t>Wattay International Airport</t>
  </si>
  <si>
    <t>VTF</t>
  </si>
  <si>
    <t>NFVL</t>
  </si>
  <si>
    <t>Vatulele Airport</t>
  </si>
  <si>
    <t>VTG</t>
  </si>
  <si>
    <t>VVVT</t>
  </si>
  <si>
    <t>Vung Tau Airport</t>
  </si>
  <si>
    <t>VTI</t>
  </si>
  <si>
    <t>KVTI</t>
  </si>
  <si>
    <t>Vinton Veterans Memorial Airpark</t>
  </si>
  <si>
    <t>VTL</t>
  </si>
  <si>
    <t>LFSZ</t>
  </si>
  <si>
    <t>Vittel Champ De Course Airport</t>
  </si>
  <si>
    <t>VTN</t>
  </si>
  <si>
    <t>KVTN</t>
  </si>
  <si>
    <t>Miller Field</t>
  </si>
  <si>
    <t>VTU</t>
  </si>
  <si>
    <t>MUVT</t>
  </si>
  <si>
    <t>Hermanos Ameijeiras Airport</t>
  </si>
  <si>
    <t>VTZ</t>
  </si>
  <si>
    <t>VEVZ</t>
  </si>
  <si>
    <t>Vishakhapatnam Airport</t>
  </si>
  <si>
    <t>VUJ</t>
  </si>
  <si>
    <t>KVUJ</t>
  </si>
  <si>
    <t>Stanly County Airport</t>
  </si>
  <si>
    <t>VUO</t>
  </si>
  <si>
    <t>KVUO</t>
  </si>
  <si>
    <t>Pearson Field</t>
  </si>
  <si>
    <t>VUP</t>
  </si>
  <si>
    <t>SKVP</t>
  </si>
  <si>
    <t>Alfonso López Pumarejo Airport</t>
  </si>
  <si>
    <t>VUS</t>
  </si>
  <si>
    <t>ULWU</t>
  </si>
  <si>
    <t>Velikiy Ustyug Airport</t>
  </si>
  <si>
    <t>VVB</t>
  </si>
  <si>
    <t>FMMH</t>
  </si>
  <si>
    <t>Mahanoro Airport</t>
  </si>
  <si>
    <t>VVC</t>
  </si>
  <si>
    <t>SKVV</t>
  </si>
  <si>
    <t>Vanguardia Airport</t>
  </si>
  <si>
    <t>VVI</t>
  </si>
  <si>
    <t>SLVR</t>
  </si>
  <si>
    <t>Viru Viru International Airport</t>
  </si>
  <si>
    <t>VVK</t>
  </si>
  <si>
    <t>ESSW</t>
  </si>
  <si>
    <t>Västervik Airport</t>
  </si>
  <si>
    <t>VVO</t>
  </si>
  <si>
    <t>UHWW</t>
  </si>
  <si>
    <t>Vladivostok International Airport (Kievichi Airport)</t>
  </si>
  <si>
    <t>VVS</t>
  </si>
  <si>
    <t>KVVS</t>
  </si>
  <si>
    <t>Connellsville Airport</t>
  </si>
  <si>
    <t>VVV</t>
  </si>
  <si>
    <t>KVVV</t>
  </si>
  <si>
    <t>Ortonville Municipal Airport (Martinson Field)</t>
  </si>
  <si>
    <t>VVZ</t>
  </si>
  <si>
    <t>DAAP</t>
  </si>
  <si>
    <t>Illizi Takhamalt Airport</t>
  </si>
  <si>
    <t>VWU</t>
  </si>
  <si>
    <t>KVWU</t>
  </si>
  <si>
    <t>Waskish Municipal Airport</t>
  </si>
  <si>
    <t>VXC</t>
  </si>
  <si>
    <t>FQLC</t>
  </si>
  <si>
    <t>Lichinga Airport</t>
  </si>
  <si>
    <t>VXE</t>
  </si>
  <si>
    <t>GVSV</t>
  </si>
  <si>
    <t>Sao Pedro Airport</t>
  </si>
  <si>
    <t>VXO</t>
  </si>
  <si>
    <t>ESMX</t>
  </si>
  <si>
    <t>Växjö Airport</t>
  </si>
  <si>
    <t>VYD</t>
  </si>
  <si>
    <t>FAVY</t>
  </si>
  <si>
    <t>Vryheid Airport</t>
  </si>
  <si>
    <t>VYS</t>
  </si>
  <si>
    <t>KVYS</t>
  </si>
  <si>
    <t>Illinois Valley Regional Airport (Walter A. Duncan Field)</t>
  </si>
  <si>
    <t>WAA</t>
  </si>
  <si>
    <t>PAIW</t>
  </si>
  <si>
    <t>Wales Airport</t>
  </si>
  <si>
    <t>WAC</t>
  </si>
  <si>
    <t>HAWC</t>
  </si>
  <si>
    <t>Waca Airport</t>
  </si>
  <si>
    <t>WAF</t>
  </si>
  <si>
    <t>OPWN</t>
  </si>
  <si>
    <t>Wana Airport</t>
  </si>
  <si>
    <t>WAG</t>
  </si>
  <si>
    <t>NZWU</t>
  </si>
  <si>
    <t>Wanganui Airport</t>
  </si>
  <si>
    <t>WAI</t>
  </si>
  <si>
    <t>FMNW</t>
  </si>
  <si>
    <t>Ambalabe Airport</t>
  </si>
  <si>
    <t>WAK</t>
  </si>
  <si>
    <t>FMSZ</t>
  </si>
  <si>
    <t>Ankazoabo Airport</t>
  </si>
  <si>
    <t>WAL</t>
  </si>
  <si>
    <t>KWAL</t>
  </si>
  <si>
    <t>Wallops Flight Facility Airport</t>
  </si>
  <si>
    <t>WAM</t>
  </si>
  <si>
    <t>FMMZ</t>
  </si>
  <si>
    <t>Ambatondrazaka Airport</t>
  </si>
  <si>
    <t>WAP</t>
  </si>
  <si>
    <t>SCAP</t>
  </si>
  <si>
    <t>Alto Palena Airport</t>
  </si>
  <si>
    <t>WAQ</t>
  </si>
  <si>
    <t>FMMG</t>
  </si>
  <si>
    <t>Antsalova Airport</t>
  </si>
  <si>
    <t>WAR</t>
  </si>
  <si>
    <t>WAJR</t>
  </si>
  <si>
    <t>Waris Airport</t>
  </si>
  <si>
    <t>WAT</t>
  </si>
  <si>
    <t>EIWF</t>
  </si>
  <si>
    <t>Waterford Airport</t>
  </si>
  <si>
    <t>WAV</t>
  </si>
  <si>
    <t>YWAV</t>
  </si>
  <si>
    <t>Wave Hill Airport</t>
  </si>
  <si>
    <t>WAW</t>
  </si>
  <si>
    <t>EPWA</t>
  </si>
  <si>
    <t>Warsaw Chopin Airport</t>
  </si>
  <si>
    <t>WAX</t>
  </si>
  <si>
    <t>HLZW</t>
  </si>
  <si>
    <t>Zwara Airport</t>
  </si>
  <si>
    <t>WAY</t>
  </si>
  <si>
    <t>KWAY</t>
  </si>
  <si>
    <t>Greene County Airport</t>
  </si>
  <si>
    <t>WAZ</t>
  </si>
  <si>
    <t>YWCK</t>
  </si>
  <si>
    <t>Warwick Airport</t>
  </si>
  <si>
    <t>WBD</t>
  </si>
  <si>
    <t>FMNF</t>
  </si>
  <si>
    <t>Avaratra Airport</t>
  </si>
  <si>
    <t>WBG</t>
  </si>
  <si>
    <t>ETNS</t>
  </si>
  <si>
    <t>Schleswig Airport</t>
  </si>
  <si>
    <t>WBM</t>
  </si>
  <si>
    <t>AYWD</t>
  </si>
  <si>
    <t>Wapenamanda Airport</t>
  </si>
  <si>
    <t>WBO</t>
  </si>
  <si>
    <t>FMSB</t>
  </si>
  <si>
    <t>Antsoa Airport</t>
  </si>
  <si>
    <t>WBQ</t>
  </si>
  <si>
    <t>PAWB</t>
  </si>
  <si>
    <t>Beaver Airport</t>
  </si>
  <si>
    <t>WBU</t>
  </si>
  <si>
    <t>KBDU</t>
  </si>
  <si>
    <t>Boulder Municipal Airport</t>
  </si>
  <si>
    <t>WBW</t>
  </si>
  <si>
    <t>KWBW</t>
  </si>
  <si>
    <t>Wilkes-Barre Wyoming Valley Airport</t>
  </si>
  <si>
    <t>WCA</t>
  </si>
  <si>
    <t>SCST</t>
  </si>
  <si>
    <t>Gamboa Airport</t>
  </si>
  <si>
    <t>WCH</t>
  </si>
  <si>
    <t>SCTN</t>
  </si>
  <si>
    <t>Chaitén Airport</t>
  </si>
  <si>
    <t>WCR</t>
  </si>
  <si>
    <t>PALR</t>
  </si>
  <si>
    <t>Chandalar Lake Airport</t>
  </si>
  <si>
    <t>WDG</t>
  </si>
  <si>
    <t>KWDG</t>
  </si>
  <si>
    <t>Enid Woodring Regional Airport</t>
  </si>
  <si>
    <t>WDH</t>
  </si>
  <si>
    <t>FYWH</t>
  </si>
  <si>
    <t>Windhoek Hosea Kutako International Airport</t>
  </si>
  <si>
    <t>WDI</t>
  </si>
  <si>
    <t>YWND</t>
  </si>
  <si>
    <t>Wondai Airport</t>
  </si>
  <si>
    <t>WDR</t>
  </si>
  <si>
    <t>KWDR</t>
  </si>
  <si>
    <t>Winder-Barrow Airport</t>
  </si>
  <si>
    <t>WEA</t>
  </si>
  <si>
    <t>KWEA</t>
  </si>
  <si>
    <t>Parker County Airport</t>
  </si>
  <si>
    <t>WEF</t>
  </si>
  <si>
    <t>ZSWF</t>
  </si>
  <si>
    <t>Weifang Airport</t>
  </si>
  <si>
    <t>WEH</t>
  </si>
  <si>
    <t>ZSWH</t>
  </si>
  <si>
    <t>Weihai Airport</t>
  </si>
  <si>
    <t>WEI</t>
  </si>
  <si>
    <t>YBWP</t>
  </si>
  <si>
    <t>Weipa Airport</t>
  </si>
  <si>
    <t>WEL</t>
  </si>
  <si>
    <t>FAWM</t>
  </si>
  <si>
    <t>Welkom Airport</t>
  </si>
  <si>
    <t>WET</t>
  </si>
  <si>
    <t>WABG</t>
  </si>
  <si>
    <t>Wagethe Airport</t>
  </si>
  <si>
    <t>WEW</t>
  </si>
  <si>
    <t>YWWA</t>
  </si>
  <si>
    <t>Wee Waa Airport</t>
  </si>
  <si>
    <t>WEX</t>
  </si>
  <si>
    <t>EICD</t>
  </si>
  <si>
    <t>Castlebridge Airport</t>
  </si>
  <si>
    <t>WFI</t>
  </si>
  <si>
    <t>FMSF</t>
  </si>
  <si>
    <t>Fianarantsoa Airport</t>
  </si>
  <si>
    <t>WGA</t>
  </si>
  <si>
    <t>YSWG</t>
  </si>
  <si>
    <t>Wagga Wagga Airport</t>
  </si>
  <si>
    <t>WGB</t>
  </si>
  <si>
    <t>OPBR</t>
  </si>
  <si>
    <t>Bahawalnagar Airport</t>
  </si>
  <si>
    <t>WGC</t>
  </si>
  <si>
    <t>VOWA</t>
  </si>
  <si>
    <t>Warangal Airport</t>
  </si>
  <si>
    <t>WGE</t>
  </si>
  <si>
    <t>YWLG</t>
  </si>
  <si>
    <t>Walgett Airport</t>
  </si>
  <si>
    <t>WGP</t>
  </si>
  <si>
    <t>WADW</t>
  </si>
  <si>
    <t>Waingapu Airport</t>
  </si>
  <si>
    <t>WRRW</t>
  </si>
  <si>
    <t>WGT</t>
  </si>
  <si>
    <t>YWGT</t>
  </si>
  <si>
    <t>Wangaratta Airport</t>
  </si>
  <si>
    <t>WHF</t>
  </si>
  <si>
    <t>HSSW</t>
  </si>
  <si>
    <t>Wadi Halfa Airport</t>
  </si>
  <si>
    <t>KWHF</t>
  </si>
  <si>
    <t>WHK</t>
  </si>
  <si>
    <t>NZWK</t>
  </si>
  <si>
    <t>Whakatane Airport</t>
  </si>
  <si>
    <t>WHO</t>
  </si>
  <si>
    <t>NZFJ</t>
  </si>
  <si>
    <t>Franz Josef Aerodrome</t>
  </si>
  <si>
    <t>WHP</t>
  </si>
  <si>
    <t>KWHP</t>
  </si>
  <si>
    <t>Whiteman Airport</t>
  </si>
  <si>
    <t>WHS</t>
  </si>
  <si>
    <t>EGEH</t>
  </si>
  <si>
    <t>Whalsay Airport</t>
  </si>
  <si>
    <t>WHU</t>
  </si>
  <si>
    <t>ZSWU</t>
  </si>
  <si>
    <t>Wuhu Air Base</t>
  </si>
  <si>
    <t>WIC</t>
  </si>
  <si>
    <t>EGPC</t>
  </si>
  <si>
    <t>Wick Airport</t>
  </si>
  <si>
    <t>WIE</t>
  </si>
  <si>
    <t>ETOU</t>
  </si>
  <si>
    <t>Wiesbaden Army Airfield</t>
  </si>
  <si>
    <t>WIK</t>
  </si>
  <si>
    <t>NZKE</t>
  </si>
  <si>
    <t>Waiheke Reeve Airport</t>
  </si>
  <si>
    <t>WIL</t>
  </si>
  <si>
    <t>HKNW</t>
  </si>
  <si>
    <t>Wilson Airport</t>
  </si>
  <si>
    <t>WIN</t>
  </si>
  <si>
    <t>YWTN</t>
  </si>
  <si>
    <t>Winton Airport</t>
  </si>
  <si>
    <t>WIO</t>
  </si>
  <si>
    <t>YWCA</t>
  </si>
  <si>
    <t>Wilcannia Airport</t>
  </si>
  <si>
    <t>WIR</t>
  </si>
  <si>
    <t>NZWO</t>
  </si>
  <si>
    <t>Wairoa Airport</t>
  </si>
  <si>
    <t>WIT</t>
  </si>
  <si>
    <t>YWIT</t>
  </si>
  <si>
    <t>Wittenoom Airport</t>
  </si>
  <si>
    <t>WIX</t>
  </si>
  <si>
    <t>MMTX</t>
  </si>
  <si>
    <t>Tuxpan Airport</t>
  </si>
  <si>
    <t>WJF</t>
  </si>
  <si>
    <t>KWJF</t>
  </si>
  <si>
    <t>General William J. Fox Airfield</t>
  </si>
  <si>
    <t>WJR</t>
  </si>
  <si>
    <t>HKWJ</t>
  </si>
  <si>
    <t>Wajir Airport</t>
  </si>
  <si>
    <t>WJU</t>
  </si>
  <si>
    <t>RKNW</t>
  </si>
  <si>
    <t>Wonju Airport</t>
  </si>
  <si>
    <t>WKA</t>
  </si>
  <si>
    <t>NZWF</t>
  </si>
  <si>
    <t>Wanaka Airport</t>
  </si>
  <si>
    <t>WKB</t>
  </si>
  <si>
    <t>YWKB</t>
  </si>
  <si>
    <t>Warracknabeal Airport</t>
  </si>
  <si>
    <t>WKI</t>
  </si>
  <si>
    <t>FVWT</t>
  </si>
  <si>
    <t>Hwange Airport</t>
  </si>
  <si>
    <t>WKJ</t>
  </si>
  <si>
    <t>RJCW</t>
  </si>
  <si>
    <t>Wakkanai Airport</t>
  </si>
  <si>
    <t>WKK</t>
  </si>
  <si>
    <t>5A8</t>
  </si>
  <si>
    <t>Aleknagik / New Airport</t>
  </si>
  <si>
    <t>WKR</t>
  </si>
  <si>
    <t>MYAW</t>
  </si>
  <si>
    <t>Abaco I Walker C Airport</t>
  </si>
  <si>
    <t>WLA</t>
  </si>
  <si>
    <t>YWAL</t>
  </si>
  <si>
    <t>Wallal Airport</t>
  </si>
  <si>
    <t>WLC</t>
  </si>
  <si>
    <t>YWCH</t>
  </si>
  <si>
    <t>Walcha Airport</t>
  </si>
  <si>
    <t>WLD</t>
  </si>
  <si>
    <t>KWLD</t>
  </si>
  <si>
    <t>Strother Field</t>
  </si>
  <si>
    <t>WLG</t>
  </si>
  <si>
    <t>NZWN</t>
  </si>
  <si>
    <t>Wellington International Airport</t>
  </si>
  <si>
    <t>WLH</t>
  </si>
  <si>
    <t>NVSW</t>
  </si>
  <si>
    <t>Walaha Airport</t>
  </si>
  <si>
    <t>WLK</t>
  </si>
  <si>
    <t>PASK</t>
  </si>
  <si>
    <t>Selawik Airport</t>
  </si>
  <si>
    <t>WLO</t>
  </si>
  <si>
    <t>YWTL</t>
  </si>
  <si>
    <t>Waterloo Airport</t>
  </si>
  <si>
    <t>WLS</t>
  </si>
  <si>
    <t>NLWW</t>
  </si>
  <si>
    <t>Hihifo Airport</t>
  </si>
  <si>
    <t>WLW</t>
  </si>
  <si>
    <t>KWLW</t>
  </si>
  <si>
    <t>Willows-Glenn County Airport</t>
  </si>
  <si>
    <t>WMA</t>
  </si>
  <si>
    <t>FMNX</t>
  </si>
  <si>
    <t>Mandritsara Airport</t>
  </si>
  <si>
    <t>WMB</t>
  </si>
  <si>
    <t>YWBL</t>
  </si>
  <si>
    <t>Warrnambool Airport</t>
  </si>
  <si>
    <t>WMC</t>
  </si>
  <si>
    <t>KWMC</t>
  </si>
  <si>
    <t>Winnemucca Municipal Airport</t>
  </si>
  <si>
    <t>WMD</t>
  </si>
  <si>
    <t>FMSC</t>
  </si>
  <si>
    <t>Mandabe Airport</t>
  </si>
  <si>
    <t>WME</t>
  </si>
  <si>
    <t>YMNE</t>
  </si>
  <si>
    <t>Mount Keith Airport</t>
  </si>
  <si>
    <t>WML</t>
  </si>
  <si>
    <t>FMMC</t>
  </si>
  <si>
    <t>Malaimbandy Airport</t>
  </si>
  <si>
    <t>WMN</t>
  </si>
  <si>
    <t>FMNR</t>
  </si>
  <si>
    <t>Maroantsetra Airport</t>
  </si>
  <si>
    <t>WMP</t>
  </si>
  <si>
    <t>FMNP</t>
  </si>
  <si>
    <t>Mampikony Airport</t>
  </si>
  <si>
    <t>WMR</t>
  </si>
  <si>
    <t>FMNC</t>
  </si>
  <si>
    <t>Mananara Nord Airport</t>
  </si>
  <si>
    <t>WMX</t>
  </si>
  <si>
    <t>WAJW</t>
  </si>
  <si>
    <t>Wamena Airport</t>
  </si>
  <si>
    <t>WNA</t>
  </si>
  <si>
    <t>PANA</t>
  </si>
  <si>
    <t>Napakiak Airport</t>
  </si>
  <si>
    <t>WND</t>
  </si>
  <si>
    <t>YWDA</t>
  </si>
  <si>
    <t>Windarra Airport</t>
  </si>
  <si>
    <t>WNN</t>
  </si>
  <si>
    <t>CKL3</t>
  </si>
  <si>
    <t>Wunnumin Lake Airport</t>
  </si>
  <si>
    <t>WNP</t>
  </si>
  <si>
    <t>RPUN</t>
  </si>
  <si>
    <t>Naga Airport</t>
  </si>
  <si>
    <t>WNR</t>
  </si>
  <si>
    <t>YWDH</t>
  </si>
  <si>
    <t>Windorah Airport</t>
  </si>
  <si>
    <t>WNS</t>
  </si>
  <si>
    <t>OPNH</t>
  </si>
  <si>
    <t>Nawabshah Airport</t>
  </si>
  <si>
    <t>WNZ</t>
  </si>
  <si>
    <t>ZSWZ</t>
  </si>
  <si>
    <t>Wenzhou Yongqiang Airport</t>
  </si>
  <si>
    <t>WOE</t>
  </si>
  <si>
    <t>WOL</t>
  </si>
  <si>
    <t>YWOL</t>
  </si>
  <si>
    <t>Illawarra Regional Airport</t>
  </si>
  <si>
    <t>WOT</t>
  </si>
  <si>
    <t>RCWA</t>
  </si>
  <si>
    <t>Wang-an Airport</t>
  </si>
  <si>
    <t>WPA</t>
  </si>
  <si>
    <t>SCAS</t>
  </si>
  <si>
    <t>Cabo 1Â° Juan Román Airport</t>
  </si>
  <si>
    <t>WPB</t>
  </si>
  <si>
    <t>FMNG</t>
  </si>
  <si>
    <t>Port Bergé Airport</t>
  </si>
  <si>
    <t>WPK</t>
  </si>
  <si>
    <t>YWMP</t>
  </si>
  <si>
    <t>Wrotham Park Airport</t>
  </si>
  <si>
    <t>WPR</t>
  </si>
  <si>
    <t>SCFM</t>
  </si>
  <si>
    <t>Capitan Fuentes Martinez Airport Airport</t>
  </si>
  <si>
    <t>WPU</t>
  </si>
  <si>
    <t>SCGZ</t>
  </si>
  <si>
    <t>Guardiamarina Zañartu Airport</t>
  </si>
  <si>
    <t>WRB</t>
  </si>
  <si>
    <t>KWRB</t>
  </si>
  <si>
    <t>Robins AFB</t>
  </si>
  <si>
    <t>WRE</t>
  </si>
  <si>
    <t>NZWR</t>
  </si>
  <si>
    <t>Whangarei Airport</t>
  </si>
  <si>
    <t>WRG</t>
  </si>
  <si>
    <t>PAWG</t>
  </si>
  <si>
    <t>Wrangell Airport</t>
  </si>
  <si>
    <t>WRI</t>
  </si>
  <si>
    <t>KWRI</t>
  </si>
  <si>
    <t>McGuire Air Force Base</t>
  </si>
  <si>
    <t>WRL</t>
  </si>
  <si>
    <t>KWRL</t>
  </si>
  <si>
    <t>Worland Municipal Airport</t>
  </si>
  <si>
    <t>WRO</t>
  </si>
  <si>
    <t>EPWR</t>
  </si>
  <si>
    <t>Copernicus Airport Wroc?aw</t>
  </si>
  <si>
    <t>WRW</t>
  </si>
  <si>
    <t>YWWG</t>
  </si>
  <si>
    <t>Warrawagine Airport</t>
  </si>
  <si>
    <t>WRY</t>
  </si>
  <si>
    <t>EGEW</t>
  </si>
  <si>
    <t>Westray Airport</t>
  </si>
  <si>
    <t>WRZ</t>
  </si>
  <si>
    <t>VCCW</t>
  </si>
  <si>
    <t>Weerawila International Airport (New airport)</t>
  </si>
  <si>
    <t>WSD</t>
  </si>
  <si>
    <t>KWSD</t>
  </si>
  <si>
    <t>Condron AAF</t>
  </si>
  <si>
    <t>WSG</t>
  </si>
  <si>
    <t>KAFJ</t>
  </si>
  <si>
    <t>Washington County Airport</t>
  </si>
  <si>
    <t>WSP</t>
  </si>
  <si>
    <t>MNWP</t>
  </si>
  <si>
    <t>Waspam Airport</t>
  </si>
  <si>
    <t>WSR</t>
  </si>
  <si>
    <t>WASW</t>
  </si>
  <si>
    <t>Wasior Airport</t>
  </si>
  <si>
    <t>WST</t>
  </si>
  <si>
    <t>KWST</t>
  </si>
  <si>
    <t>Westerly State Airport</t>
  </si>
  <si>
    <t>WSZ</t>
  </si>
  <si>
    <t>NZWS</t>
  </si>
  <si>
    <t>Westport Airport</t>
  </si>
  <si>
    <t>WTA</t>
  </si>
  <si>
    <t>FMMU</t>
  </si>
  <si>
    <t>Tambohorano Airport</t>
  </si>
  <si>
    <t>WTD</t>
  </si>
  <si>
    <t>MYGW</t>
  </si>
  <si>
    <t>West End Airport</t>
  </si>
  <si>
    <t>WTK</t>
  </si>
  <si>
    <t>PAWN</t>
  </si>
  <si>
    <t>Noatak Airport</t>
  </si>
  <si>
    <t>WTN</t>
  </si>
  <si>
    <t>EGXW</t>
  </si>
  <si>
    <t>RAF Waddington</t>
  </si>
  <si>
    <t>WTR</t>
  </si>
  <si>
    <t>KE24</t>
  </si>
  <si>
    <t>Whiteriver Airport</t>
  </si>
  <si>
    <t>WTS</t>
  </si>
  <si>
    <t>Tsiroanomandidy Airport</t>
  </si>
  <si>
    <t>FMMX</t>
  </si>
  <si>
    <t>WTZ</t>
  </si>
  <si>
    <t>NZWT</t>
  </si>
  <si>
    <t>Whitianga Airport</t>
  </si>
  <si>
    <t>WUD</t>
  </si>
  <si>
    <t>YWUD</t>
  </si>
  <si>
    <t>Wudinna Airport</t>
  </si>
  <si>
    <t>WUH</t>
  </si>
  <si>
    <t>ZHHH</t>
  </si>
  <si>
    <t>Tianhe Airport</t>
  </si>
  <si>
    <t>WUN</t>
  </si>
  <si>
    <t>YWLU</t>
  </si>
  <si>
    <t>Wiluna Airport</t>
  </si>
  <si>
    <t>WUS</t>
  </si>
  <si>
    <t>ZSWY</t>
  </si>
  <si>
    <t>Nanping Wuyishan Airport</t>
  </si>
  <si>
    <t>WUU</t>
  </si>
  <si>
    <t>HSWW</t>
  </si>
  <si>
    <t>Wau Airport</t>
  </si>
  <si>
    <t>WUX</t>
  </si>
  <si>
    <t>ZSWX</t>
  </si>
  <si>
    <t>Sunan Shuofang International Airport</t>
  </si>
  <si>
    <t>WUZ</t>
  </si>
  <si>
    <t>ZGWZ</t>
  </si>
  <si>
    <t>Wuzhou Changzhoudao Airport</t>
  </si>
  <si>
    <t>WVB</t>
  </si>
  <si>
    <t>FYWB</t>
  </si>
  <si>
    <t>Walvis Bay Airport</t>
  </si>
  <si>
    <t>WVI</t>
  </si>
  <si>
    <t>KWVI</t>
  </si>
  <si>
    <t>Watsonville Municipal Airport</t>
  </si>
  <si>
    <t>WVK</t>
  </si>
  <si>
    <t>FMSK</t>
  </si>
  <si>
    <t>Manakara Airport</t>
  </si>
  <si>
    <t>WVL</t>
  </si>
  <si>
    <t>KWVL</t>
  </si>
  <si>
    <t>Waterville Robert LaFleur Airport</t>
  </si>
  <si>
    <t>WVN</t>
  </si>
  <si>
    <t>EDWI</t>
  </si>
  <si>
    <t>Wilhelmshaven-Mariensiel Airport</t>
  </si>
  <si>
    <t>WWD</t>
  </si>
  <si>
    <t>KWWD</t>
  </si>
  <si>
    <t>Cape May Airport</t>
  </si>
  <si>
    <t>WWI</t>
  </si>
  <si>
    <t>YWWI</t>
  </si>
  <si>
    <t>Woodie Woodie Airport</t>
  </si>
  <si>
    <t>WWK</t>
  </si>
  <si>
    <t>AYWK</t>
  </si>
  <si>
    <t>Wewak International Airport</t>
  </si>
  <si>
    <t>WWR</t>
  </si>
  <si>
    <t>KWWR</t>
  </si>
  <si>
    <t>West Woodward Airport</t>
  </si>
  <si>
    <t>WWY</t>
  </si>
  <si>
    <t>YWWL</t>
  </si>
  <si>
    <t>West Wyalong Airport</t>
  </si>
  <si>
    <t>WXF</t>
  </si>
  <si>
    <t>EGVT</t>
  </si>
  <si>
    <t>Wethersfield Airport</t>
  </si>
  <si>
    <t>WXN</t>
  </si>
  <si>
    <t>ZUWX</t>
  </si>
  <si>
    <t>Wanxian Airport</t>
  </si>
  <si>
    <t>WYA</t>
  </si>
  <si>
    <t>YWHA</t>
  </si>
  <si>
    <t>Whyalla Airport</t>
  </si>
  <si>
    <t>WYN</t>
  </si>
  <si>
    <t>YWYM</t>
  </si>
  <si>
    <t>Wyndham Airport</t>
  </si>
  <si>
    <t>WYS</t>
  </si>
  <si>
    <t>KWYS</t>
  </si>
  <si>
    <t>Yellowstone Airport</t>
  </si>
  <si>
    <t>XAB</t>
  </si>
  <si>
    <t>LFOI</t>
  </si>
  <si>
    <t>Abbeville - Buigny-Saint-Maclou Aerodrome</t>
  </si>
  <si>
    <t>XAC</t>
  </si>
  <si>
    <t>LFCH</t>
  </si>
  <si>
    <t>La Teste-de-Buch Airport</t>
  </si>
  <si>
    <t>XAN</t>
  </si>
  <si>
    <t>LFOF</t>
  </si>
  <si>
    <t>Alençon Valframbert Airport</t>
  </si>
  <si>
    <t>XAP</t>
  </si>
  <si>
    <t>SBCH</t>
  </si>
  <si>
    <t>Chapecó Airport</t>
  </si>
  <si>
    <t>XAR</t>
  </si>
  <si>
    <t>DFOY</t>
  </si>
  <si>
    <t>Aribinda Airport</t>
  </si>
  <si>
    <t>XAS</t>
  </si>
  <si>
    <t>LFMS</t>
  </si>
  <si>
    <t>Alès-Deaux Airport</t>
  </si>
  <si>
    <t>XAU</t>
  </si>
  <si>
    <t>SOOS</t>
  </si>
  <si>
    <t>Saúl Airport</t>
  </si>
  <si>
    <t>XBE</t>
  </si>
  <si>
    <t>CNE3</t>
  </si>
  <si>
    <t>Bearskin Lake Airport</t>
  </si>
  <si>
    <t>XBG</t>
  </si>
  <si>
    <t>DFEB</t>
  </si>
  <si>
    <t>Bogande Airport</t>
  </si>
  <si>
    <t>XBJ</t>
  </si>
  <si>
    <t>OIMB</t>
  </si>
  <si>
    <t>Birjand Airport</t>
  </si>
  <si>
    <t>XBK</t>
  </si>
  <si>
    <t>LFHS</t>
  </si>
  <si>
    <t>Bourg - Ceyzériat Airport</t>
  </si>
  <si>
    <t>XBO</t>
  </si>
  <si>
    <t>DFEA</t>
  </si>
  <si>
    <t>Boulsa Airport</t>
  </si>
  <si>
    <t>XBQ</t>
  </si>
  <si>
    <t>LFOQ</t>
  </si>
  <si>
    <t>Blois-Le Breuil Airport</t>
  </si>
  <si>
    <t>XBV</t>
  </si>
  <si>
    <t>LFGF</t>
  </si>
  <si>
    <t>Beaune-Challanges Airport</t>
  </si>
  <si>
    <t>XCB</t>
  </si>
  <si>
    <t>LFQI</t>
  </si>
  <si>
    <t>Cambrai-Épinoy (BA 103) Air Base</t>
  </si>
  <si>
    <t>XCH</t>
  </si>
  <si>
    <t>YPXM</t>
  </si>
  <si>
    <t>Christmas Island Airport</t>
  </si>
  <si>
    <t>XCO</t>
  </si>
  <si>
    <t>YOLA</t>
  </si>
  <si>
    <t>Colac Airport</t>
  </si>
  <si>
    <t>XCP</t>
  </si>
  <si>
    <t>LFAD</t>
  </si>
  <si>
    <t>Compiègne Margny Airport</t>
  </si>
  <si>
    <t>XCR</t>
  </si>
  <si>
    <t>LFOK</t>
  </si>
  <si>
    <t>Châlons-Vatry Air Base</t>
  </si>
  <si>
    <t>XCX</t>
  </si>
  <si>
    <t>LFCA</t>
  </si>
  <si>
    <t>Châtellerault Airport</t>
  </si>
  <si>
    <t>XCZ</t>
  </si>
  <si>
    <t>LFQV</t>
  </si>
  <si>
    <t>Charleville-Mézières Airport</t>
  </si>
  <si>
    <t>XDA</t>
  </si>
  <si>
    <t>LFBY</t>
  </si>
  <si>
    <t>Seyresse Airport</t>
  </si>
  <si>
    <t>XDE</t>
  </si>
  <si>
    <t>DFOU</t>
  </si>
  <si>
    <t>Diebougou Airport</t>
  </si>
  <si>
    <t>XDJ</t>
  </si>
  <si>
    <t>DFCJ</t>
  </si>
  <si>
    <t>Djibo Airport</t>
  </si>
  <si>
    <t>XDK</t>
  </si>
  <si>
    <t>LFAK</t>
  </si>
  <si>
    <t>Dunkerque les Moeres Airport</t>
  </si>
  <si>
    <t>XEP</t>
  </si>
  <si>
    <t>LFSW</t>
  </si>
  <si>
    <t>Plivot Airport</t>
  </si>
  <si>
    <t>XFN</t>
  </si>
  <si>
    <t>ZHXF</t>
  </si>
  <si>
    <t>Xiangfan Airport</t>
  </si>
  <si>
    <t>XFW</t>
  </si>
  <si>
    <t>EDHI</t>
  </si>
  <si>
    <t>Hamburg Finkenwerder Airport</t>
  </si>
  <si>
    <t>XGA</t>
  </si>
  <si>
    <t>DFOG</t>
  </si>
  <si>
    <t>Gaoua Airport</t>
  </si>
  <si>
    <t>XGG</t>
  </si>
  <si>
    <t>DFEG</t>
  </si>
  <si>
    <t>Gorom-Gorom Airport</t>
  </si>
  <si>
    <t>XGN</t>
  </si>
  <si>
    <t>FNXA</t>
  </si>
  <si>
    <t>Xangongo Airport</t>
  </si>
  <si>
    <t>XGR</t>
  </si>
  <si>
    <t>CYLU</t>
  </si>
  <si>
    <t>Kangiqsualujjuaq (Georges River) Airport</t>
  </si>
  <si>
    <t>XGT</t>
  </si>
  <si>
    <t>LFCE</t>
  </si>
  <si>
    <t>Guéret St Laurent Airport</t>
  </si>
  <si>
    <t>XHE</t>
  </si>
  <si>
    <t>LFTH</t>
  </si>
  <si>
    <t>Toulon-Hyères Airport</t>
  </si>
  <si>
    <t>XIC</t>
  </si>
  <si>
    <t>ZUXC</t>
  </si>
  <si>
    <t>Xichang Qingshan Airport</t>
  </si>
  <si>
    <t>XIL</t>
  </si>
  <si>
    <t>ZBXH</t>
  </si>
  <si>
    <t>Xilinhot Airport</t>
  </si>
  <si>
    <t>XIN</t>
  </si>
  <si>
    <t>ZGXN</t>
  </si>
  <si>
    <t>Xingning Airport</t>
  </si>
  <si>
    <t>XIY</t>
  </si>
  <si>
    <t>ZLXY</t>
  </si>
  <si>
    <t>Xi'an Xianyang International Airport</t>
  </si>
  <si>
    <t>XJM</t>
  </si>
  <si>
    <t>OPMA</t>
  </si>
  <si>
    <t>Mangla Airport</t>
  </si>
  <si>
    <t>XKA</t>
  </si>
  <si>
    <t>DFEL</t>
  </si>
  <si>
    <t>Kantchari Airport</t>
  </si>
  <si>
    <t>XKH</t>
  </si>
  <si>
    <t>VLXK</t>
  </si>
  <si>
    <t>Xieng Khouang Airport</t>
  </si>
  <si>
    <t>XKS</t>
  </si>
  <si>
    <t>CYAQ</t>
  </si>
  <si>
    <t>Kasabonika Airport</t>
  </si>
  <si>
    <t>XKY</t>
  </si>
  <si>
    <t>DFCA</t>
  </si>
  <si>
    <t>Kaya Airport</t>
  </si>
  <si>
    <t>XLN</t>
  </si>
  <si>
    <t>LFAF</t>
  </si>
  <si>
    <t>Laon - Chambry Airport</t>
  </si>
  <si>
    <t>XLR</t>
  </si>
  <si>
    <t>LFDI</t>
  </si>
  <si>
    <t>Libourne-Artigues-de-Lussac Airport</t>
  </si>
  <si>
    <t>XLS</t>
  </si>
  <si>
    <t>GOSS</t>
  </si>
  <si>
    <t>Saint Louis Airport</t>
  </si>
  <si>
    <t>XLU</t>
  </si>
  <si>
    <t>DFCL</t>
  </si>
  <si>
    <t>Leo Airport</t>
  </si>
  <si>
    <t>XLW</t>
  </si>
  <si>
    <t>EDWD</t>
  </si>
  <si>
    <t>Lemwerder Airport</t>
  </si>
  <si>
    <t>XMC</t>
  </si>
  <si>
    <t>YMCO</t>
  </si>
  <si>
    <t>Mallacoota Airport</t>
  </si>
  <si>
    <t>XMD</t>
  </si>
  <si>
    <t>KMDS</t>
  </si>
  <si>
    <t>XME</t>
  </si>
  <si>
    <t>LFQJ</t>
  </si>
  <si>
    <t>Maubeuge-Élesmes Airport</t>
  </si>
  <si>
    <t>XMF</t>
  </si>
  <si>
    <t>LFSM</t>
  </si>
  <si>
    <t>Montbéliard-Courcelles Airport</t>
  </si>
  <si>
    <t>XMG</t>
  </si>
  <si>
    <t>VNMN</t>
  </si>
  <si>
    <t>Mahendranagar Airport</t>
  </si>
  <si>
    <t>XMH</t>
  </si>
  <si>
    <t>NTGI</t>
  </si>
  <si>
    <t>Manihi Airport</t>
  </si>
  <si>
    <t>XMI</t>
  </si>
  <si>
    <t>HTMI</t>
  </si>
  <si>
    <t>Masasi Airport</t>
  </si>
  <si>
    <t>XMJ</t>
  </si>
  <si>
    <t>LFBM</t>
  </si>
  <si>
    <t>Mont-de-Marsan (BA 118) Air Base</t>
  </si>
  <si>
    <t>XMK</t>
  </si>
  <si>
    <t>LFLQ</t>
  </si>
  <si>
    <t>Montélimar - Ancéne Airport</t>
  </si>
  <si>
    <t>XML</t>
  </si>
  <si>
    <t>YMIN</t>
  </si>
  <si>
    <t>Minlaton Airport</t>
  </si>
  <si>
    <t>XMN</t>
  </si>
  <si>
    <t>ZSAM</t>
  </si>
  <si>
    <t>Xiamen Gaoqi International Airport</t>
  </si>
  <si>
    <t>XMS</t>
  </si>
  <si>
    <t>SEMC</t>
  </si>
  <si>
    <t>Macas Airport</t>
  </si>
  <si>
    <t>XMU</t>
  </si>
  <si>
    <t>LFHY</t>
  </si>
  <si>
    <t>Montbeugny Airport</t>
  </si>
  <si>
    <t>XMW</t>
  </si>
  <si>
    <t>LFDB</t>
  </si>
  <si>
    <t>Montauban Airport</t>
  </si>
  <si>
    <t>XMY</t>
  </si>
  <si>
    <t>YYMI</t>
  </si>
  <si>
    <t>Yam Island Airport</t>
  </si>
  <si>
    <t>XNA</t>
  </si>
  <si>
    <t>KXNA</t>
  </si>
  <si>
    <t>Northwest Arkansas Regional Airport</t>
  </si>
  <si>
    <t>XNN</t>
  </si>
  <si>
    <t>ZLXN</t>
  </si>
  <si>
    <t>Xining Caojiabu Airport</t>
  </si>
  <si>
    <t>XNU</t>
  </si>
  <si>
    <t>DFON</t>
  </si>
  <si>
    <t>Nouna Airport</t>
  </si>
  <si>
    <t>XOG</t>
  </si>
  <si>
    <t>LFMO</t>
  </si>
  <si>
    <t>Orange-Caritat Air Base</t>
  </si>
  <si>
    <t>XPA</t>
  </si>
  <si>
    <t>DFEP</t>
  </si>
  <si>
    <t>Pama Airport</t>
  </si>
  <si>
    <t>XPK</t>
  </si>
  <si>
    <t>CZFG</t>
  </si>
  <si>
    <t>Pukatawagan Airport</t>
  </si>
  <si>
    <t>XPL</t>
  </si>
  <si>
    <t>MHSC</t>
  </si>
  <si>
    <t>Coronel Enrique Soto Cano Air Base</t>
  </si>
  <si>
    <t>XQP</t>
  </si>
  <si>
    <t>MRQP</t>
  </si>
  <si>
    <t>Quepos Managua Airport</t>
  </si>
  <si>
    <t>XRY</t>
  </si>
  <si>
    <t>LEJR</t>
  </si>
  <si>
    <t>Jerez Airport</t>
  </si>
  <si>
    <t>XSC</t>
  </si>
  <si>
    <t>MBSC</t>
  </si>
  <si>
    <t>South Caicos Airport</t>
  </si>
  <si>
    <t>XSD</t>
  </si>
  <si>
    <t>KTNX</t>
  </si>
  <si>
    <t>Tonopah Test Range Airport</t>
  </si>
  <si>
    <t>XSE</t>
  </si>
  <si>
    <t>DFES</t>
  </si>
  <si>
    <t>Sebba Airport</t>
  </si>
  <si>
    <t>XSJ</t>
  </si>
  <si>
    <t>LFAG</t>
  </si>
  <si>
    <t>Péronne-Saint-Quentin Airport</t>
  </si>
  <si>
    <t>XSL</t>
  </si>
  <si>
    <t>LFDS</t>
  </si>
  <si>
    <t>Sarlat Domme Airport</t>
  </si>
  <si>
    <t>XSP</t>
  </si>
  <si>
    <t>WSSL</t>
  </si>
  <si>
    <t>Seletar Airport</t>
  </si>
  <si>
    <t>XSU</t>
  </si>
  <si>
    <t>LFOD</t>
  </si>
  <si>
    <t>Saumur-Saint-Florent Airport</t>
  </si>
  <si>
    <t>XTA</t>
  </si>
  <si>
    <t>KXTA</t>
  </si>
  <si>
    <t>Area 51</t>
  </si>
  <si>
    <t>XTB</t>
  </si>
  <si>
    <t>LFDT</t>
  </si>
  <si>
    <t>Tarbes Laloubère Airport</t>
  </si>
  <si>
    <t>XTG</t>
  </si>
  <si>
    <t>YTGM</t>
  </si>
  <si>
    <t>Thargomindah Airport</t>
  </si>
  <si>
    <t>XTL</t>
  </si>
  <si>
    <t>CYBQ</t>
  </si>
  <si>
    <t>Tadoule Lake Airport</t>
  </si>
  <si>
    <t>XTO</t>
  </si>
  <si>
    <t>YTAM</t>
  </si>
  <si>
    <t>Taroom Airport</t>
  </si>
  <si>
    <t>XTR</t>
  </si>
  <si>
    <t>YTAA</t>
  </si>
  <si>
    <t>Tara Airport</t>
  </si>
  <si>
    <t>XUZ</t>
  </si>
  <si>
    <t>ZSXZ</t>
  </si>
  <si>
    <t>Xuzhou Guanyin Airport</t>
  </si>
  <si>
    <t>XVN</t>
  </si>
  <si>
    <t>LFGW</t>
  </si>
  <si>
    <t>Verdun-Le Rozelier Airport</t>
  </si>
  <si>
    <t>XVO</t>
  </si>
  <si>
    <t>LFQW</t>
  </si>
  <si>
    <t>Vesoul-Frotey Airport</t>
  </si>
  <si>
    <t>XVS</t>
  </si>
  <si>
    <t>LFAV</t>
  </si>
  <si>
    <t>Valenciennes-Denain Airport</t>
  </si>
  <si>
    <t>XWP</t>
  </si>
  <si>
    <t>ESFA</t>
  </si>
  <si>
    <t>Hässleholm Bokeberg Airport</t>
  </si>
  <si>
    <t>XXB</t>
  </si>
  <si>
    <t>EGCD</t>
  </si>
  <si>
    <t>Manchester Woodford Airport</t>
  </si>
  <si>
    <t>XXN</t>
  </si>
  <si>
    <t>OERY</t>
  </si>
  <si>
    <t>Riyadh Air Base</t>
  </si>
  <si>
    <t>XYE</t>
  </si>
  <si>
    <t>VYYE</t>
  </si>
  <si>
    <t>Ye Airport</t>
  </si>
  <si>
    <t>XYT</t>
  </si>
  <si>
    <t>LFIO</t>
  </si>
  <si>
    <t>Montaudran Airport</t>
  </si>
  <si>
    <t>XZA</t>
  </si>
  <si>
    <t>DFEZ</t>
  </si>
  <si>
    <t>Zabre Airport</t>
  </si>
  <si>
    <t>YAA</t>
  </si>
  <si>
    <t>CAJ4</t>
  </si>
  <si>
    <t>Anahim Lake Airport</t>
  </si>
  <si>
    <t>YAC</t>
  </si>
  <si>
    <t>CYAC</t>
  </si>
  <si>
    <t>Cat Lake Airport</t>
  </si>
  <si>
    <t>YAG</t>
  </si>
  <si>
    <t>CYAG</t>
  </si>
  <si>
    <t>Fort Frances Municipal Airport</t>
  </si>
  <si>
    <t>YAH</t>
  </si>
  <si>
    <t>CYAH</t>
  </si>
  <si>
    <t>La Grande-4 Airport</t>
  </si>
  <si>
    <t>YAI</t>
  </si>
  <si>
    <t>SCCH</t>
  </si>
  <si>
    <t>General Bernardo O'Higgins Airport</t>
  </si>
  <si>
    <t>YAK</t>
  </si>
  <si>
    <t>PAYA</t>
  </si>
  <si>
    <t>Yakutat Airport</t>
  </si>
  <si>
    <t>YAL</t>
  </si>
  <si>
    <t>CYAL</t>
  </si>
  <si>
    <t>Alert Bay Airport</t>
  </si>
  <si>
    <t>YAM</t>
  </si>
  <si>
    <t>CYAM</t>
  </si>
  <si>
    <t>Sault Ste. Marie Airport</t>
  </si>
  <si>
    <t>YAN</t>
  </si>
  <si>
    <t>FZIR</t>
  </si>
  <si>
    <t>Yangambi Airport</t>
  </si>
  <si>
    <t>YAO</t>
  </si>
  <si>
    <t>FKKY</t>
  </si>
  <si>
    <t>Yaoundé Airport</t>
  </si>
  <si>
    <t>YAP</t>
  </si>
  <si>
    <t>PTYA</t>
  </si>
  <si>
    <t>Yap International Airport</t>
  </si>
  <si>
    <t>YAS</t>
  </si>
  <si>
    <t>NFSW</t>
  </si>
  <si>
    <t>Yasawa Island Airport</t>
  </si>
  <si>
    <t>YAT</t>
  </si>
  <si>
    <t>CYAT</t>
  </si>
  <si>
    <t>Attawapiskat Airport</t>
  </si>
  <si>
    <t>YAU</t>
  </si>
  <si>
    <t>CTP9</t>
  </si>
  <si>
    <t>Donaldson Airport</t>
  </si>
  <si>
    <t>CYAU</t>
  </si>
  <si>
    <t>Liverpool Airport/South Shore Regional</t>
  </si>
  <si>
    <t>YAV</t>
  </si>
  <si>
    <t>CYAV</t>
  </si>
  <si>
    <t>Winnipeg/St. Andrews Airport</t>
  </si>
  <si>
    <t>YAW</t>
  </si>
  <si>
    <t>CYAW</t>
  </si>
  <si>
    <t>Halifax/Shearwater Airport</t>
  </si>
  <si>
    <t>YAX</t>
  </si>
  <si>
    <t>CKB6</t>
  </si>
  <si>
    <t>Wapekeka Airport</t>
  </si>
  <si>
    <t>CYAX</t>
  </si>
  <si>
    <t>Lac Du Bonnet Airport</t>
  </si>
  <si>
    <t>YAY</t>
  </si>
  <si>
    <t>CYAY</t>
  </si>
  <si>
    <t>St. Anthony Airport</t>
  </si>
  <si>
    <t>YAZ</t>
  </si>
  <si>
    <t>CYAZ</t>
  </si>
  <si>
    <t>Tofino Airport</t>
  </si>
  <si>
    <t>YBB</t>
  </si>
  <si>
    <t>CYBB</t>
  </si>
  <si>
    <t>Kugaaruk Airport</t>
  </si>
  <si>
    <t>YBC</t>
  </si>
  <si>
    <t>CYBC</t>
  </si>
  <si>
    <t>Baie-Comeau Airport</t>
  </si>
  <si>
    <t>YBE</t>
  </si>
  <si>
    <t>CYBE</t>
  </si>
  <si>
    <t>Uranium City Airport</t>
  </si>
  <si>
    <t>YBG</t>
  </si>
  <si>
    <t>CYBG</t>
  </si>
  <si>
    <t>Bagotville Airport</t>
  </si>
  <si>
    <t>YBK</t>
  </si>
  <si>
    <t>CYBK</t>
  </si>
  <si>
    <t>Baker Lake Airport</t>
  </si>
  <si>
    <t>YBL</t>
  </si>
  <si>
    <t>CYBL</t>
  </si>
  <si>
    <t>Campbell River Airport</t>
  </si>
  <si>
    <t>YBP</t>
  </si>
  <si>
    <t>ZUYB</t>
  </si>
  <si>
    <t>Yibin Airport</t>
  </si>
  <si>
    <t>YBR</t>
  </si>
  <si>
    <t>CYBR</t>
  </si>
  <si>
    <t>Brandon Municipal Airport</t>
  </si>
  <si>
    <t>YBT</t>
  </si>
  <si>
    <t>CYBT</t>
  </si>
  <si>
    <t>Brochet Airport</t>
  </si>
  <si>
    <t>YBV</t>
  </si>
  <si>
    <t>CYBV</t>
  </si>
  <si>
    <t>Berens River Airport</t>
  </si>
  <si>
    <t>YBX</t>
  </si>
  <si>
    <t>CYBX</t>
  </si>
  <si>
    <t>Lourdes-de-Blanc-Sablon Airport</t>
  </si>
  <si>
    <t>YBY</t>
  </si>
  <si>
    <t>CYBF</t>
  </si>
  <si>
    <t>Bonnyville Airport</t>
  </si>
  <si>
    <t>YCA</t>
  </si>
  <si>
    <t>CAH3</t>
  </si>
  <si>
    <t>Courtenay Airpark</t>
  </si>
  <si>
    <t>YCB</t>
  </si>
  <si>
    <t>CYCB</t>
  </si>
  <si>
    <t>Cambridge Bay Airport</t>
  </si>
  <si>
    <t>YCC</t>
  </si>
  <si>
    <t>CYCC</t>
  </si>
  <si>
    <t>Cornwall Regional Airport</t>
  </si>
  <si>
    <t>YCD</t>
  </si>
  <si>
    <t>CYCD</t>
  </si>
  <si>
    <t>Nanaimo Airport</t>
  </si>
  <si>
    <t>YCE</t>
  </si>
  <si>
    <t>CYCE</t>
  </si>
  <si>
    <t>Centralia/Huron Airpark</t>
  </si>
  <si>
    <t>YCG</t>
  </si>
  <si>
    <t>CYCG</t>
  </si>
  <si>
    <t>Castlegar Airport</t>
  </si>
  <si>
    <t>YCH</t>
  </si>
  <si>
    <t>CYCH</t>
  </si>
  <si>
    <t>Miramichi Airport</t>
  </si>
  <si>
    <t>YCK</t>
  </si>
  <si>
    <t>CEB3</t>
  </si>
  <si>
    <t>Colville Lake Airport</t>
  </si>
  <si>
    <t>YCL</t>
  </si>
  <si>
    <t>CYCL</t>
  </si>
  <si>
    <t>Charlo Airport</t>
  </si>
  <si>
    <t>YCM</t>
  </si>
  <si>
    <t>CYSN</t>
  </si>
  <si>
    <t>Niagara District Airport</t>
  </si>
  <si>
    <t>YCN</t>
  </si>
  <si>
    <t>CYCN</t>
  </si>
  <si>
    <t>St. Catharines/Niagara District Airport</t>
  </si>
  <si>
    <t>YCO</t>
  </si>
  <si>
    <t>CYCO</t>
  </si>
  <si>
    <t>Kugluktuk Airport</t>
  </si>
  <si>
    <t>YCQ</t>
  </si>
  <si>
    <t>CYCQ</t>
  </si>
  <si>
    <t>Chetwynd Airport</t>
  </si>
  <si>
    <t>YCR</t>
  </si>
  <si>
    <t>CYCR</t>
  </si>
  <si>
    <t>Cross Lake (Charlie Sinclair Memorial) Airport</t>
  </si>
  <si>
    <t>YCS</t>
  </si>
  <si>
    <t>CYCS</t>
  </si>
  <si>
    <t>Chesterfield Inlet Airport</t>
  </si>
  <si>
    <t>YCU</t>
  </si>
  <si>
    <t>ZBYC</t>
  </si>
  <si>
    <t>Yuncheng Guangong Airport</t>
  </si>
  <si>
    <t>YCY</t>
  </si>
  <si>
    <t>CYCY</t>
  </si>
  <si>
    <t>Clyde River Airport</t>
  </si>
  <si>
    <t>YCZ</t>
  </si>
  <si>
    <t>CYCZ</t>
  </si>
  <si>
    <t>Fairmont Hot Springs Airport</t>
  </si>
  <si>
    <t>YDA</t>
  </si>
  <si>
    <t>CYDA</t>
  </si>
  <si>
    <t>Dawson City Airport</t>
  </si>
  <si>
    <t>YDB</t>
  </si>
  <si>
    <t>CYDB</t>
  </si>
  <si>
    <t>Burwash Airport</t>
  </si>
  <si>
    <t>YDF</t>
  </si>
  <si>
    <t>CYDF</t>
  </si>
  <si>
    <t>Deer Lake Airport</t>
  </si>
  <si>
    <t>YDG</t>
  </si>
  <si>
    <t>CYID</t>
  </si>
  <si>
    <t>Digby / Annapolis Regional Airport</t>
  </si>
  <si>
    <t>YDM</t>
  </si>
  <si>
    <t>CYDM</t>
  </si>
  <si>
    <t>Ross River Airport</t>
  </si>
  <si>
    <t>YDN</t>
  </si>
  <si>
    <t>CYDN</t>
  </si>
  <si>
    <t>Dauphin (Lt. Col W.G. (Billy) Barker VC Airport)</t>
  </si>
  <si>
    <t>YDO</t>
  </si>
  <si>
    <t>CYDO</t>
  </si>
  <si>
    <t>Dolbeau-St-Félicien Airport</t>
  </si>
  <si>
    <t>YDP</t>
  </si>
  <si>
    <t>CYDP</t>
  </si>
  <si>
    <t>Nain Airport</t>
  </si>
  <si>
    <t>YDQ</t>
  </si>
  <si>
    <t>CYDQ</t>
  </si>
  <si>
    <t>Dawson Creek Airport</t>
  </si>
  <si>
    <t>YDT</t>
  </si>
  <si>
    <t>CZBA</t>
  </si>
  <si>
    <t>Burlington Executive</t>
  </si>
  <si>
    <t>CZBB</t>
  </si>
  <si>
    <t>Boundary Bay Airport</t>
  </si>
  <si>
    <t>YDW</t>
  </si>
  <si>
    <t>CKV4</t>
  </si>
  <si>
    <t>Obre Lake/North of Sixty Airport</t>
  </si>
  <si>
    <t>YEB</t>
  </si>
  <si>
    <t>CPF2</t>
  </si>
  <si>
    <t>Bar River Airport</t>
  </si>
  <si>
    <t>YEC</t>
  </si>
  <si>
    <t>RKTY</t>
  </si>
  <si>
    <t>Yecheon Airport</t>
  </si>
  <si>
    <t>YEE</t>
  </si>
  <si>
    <t>CYEE</t>
  </si>
  <si>
    <t>Midland/Huronia Airport</t>
  </si>
  <si>
    <t>YEG</t>
  </si>
  <si>
    <t>CYEG</t>
  </si>
  <si>
    <t>Edmonton International Airport</t>
  </si>
  <si>
    <t>YEH</t>
  </si>
  <si>
    <t>OIBP</t>
  </si>
  <si>
    <t>Persian Gulf International Airport</t>
  </si>
  <si>
    <t>YEI</t>
  </si>
  <si>
    <t>LTBR</t>
  </si>
  <si>
    <t>Bursa Yenisehir Airport</t>
  </si>
  <si>
    <t>YEK</t>
  </si>
  <si>
    <t>CYEK</t>
  </si>
  <si>
    <t>Arviat Airport</t>
  </si>
  <si>
    <t>YEL</t>
  </si>
  <si>
    <t>CYEL</t>
  </si>
  <si>
    <t>Elliot Lake Municipal Airport</t>
  </si>
  <si>
    <t>YEM</t>
  </si>
  <si>
    <t>CYEM</t>
  </si>
  <si>
    <t>Manitowaning/Manitoulin East Municipal Airport</t>
  </si>
  <si>
    <t>YEN</t>
  </si>
  <si>
    <t>CYEN</t>
  </si>
  <si>
    <t>Estevan Airport</t>
  </si>
  <si>
    <t>YEO</t>
  </si>
  <si>
    <t>EGDY</t>
  </si>
  <si>
    <t>RNAS Yeovilton</t>
  </si>
  <si>
    <t>YER</t>
  </si>
  <si>
    <t>CYER</t>
  </si>
  <si>
    <t>Fort Severn Airport</t>
  </si>
  <si>
    <t>YET</t>
  </si>
  <si>
    <t>CYET</t>
  </si>
  <si>
    <t>Edson Airport</t>
  </si>
  <si>
    <t>YEU</t>
  </si>
  <si>
    <t>CYEU</t>
  </si>
  <si>
    <t>YEV</t>
  </si>
  <si>
    <t>CYEV</t>
  </si>
  <si>
    <t>Inuvik (Mike Zubko) Airport</t>
  </si>
  <si>
    <t>YEY</t>
  </si>
  <si>
    <t>CYEY</t>
  </si>
  <si>
    <t>Amos/Magny Airport</t>
  </si>
  <si>
    <t>YFA</t>
  </si>
  <si>
    <t>CYFA</t>
  </si>
  <si>
    <t>Fort Albany Airport</t>
  </si>
  <si>
    <t>YFB</t>
  </si>
  <si>
    <t>CYFB</t>
  </si>
  <si>
    <t>Iqaluit Airport</t>
  </si>
  <si>
    <t>YFC</t>
  </si>
  <si>
    <t>CYFC</t>
  </si>
  <si>
    <t>Fredericton Airport</t>
  </si>
  <si>
    <t>YFE</t>
  </si>
  <si>
    <t>CYFE</t>
  </si>
  <si>
    <t>Forestville Airport</t>
  </si>
  <si>
    <t>YFH</t>
  </si>
  <si>
    <t>CYFH</t>
  </si>
  <si>
    <t>Fort Hope Airport</t>
  </si>
  <si>
    <t>YFI</t>
  </si>
  <si>
    <t>CFG6</t>
  </si>
  <si>
    <t>Fort Mackay / Firebag</t>
  </si>
  <si>
    <t>YFO</t>
  </si>
  <si>
    <t>CYFO</t>
  </si>
  <si>
    <t>Flin Flon Airport</t>
  </si>
  <si>
    <t>YFR</t>
  </si>
  <si>
    <t>CYFR</t>
  </si>
  <si>
    <t>Fort Resolution Airport</t>
  </si>
  <si>
    <t>YFS</t>
  </si>
  <si>
    <t>CYFS</t>
  </si>
  <si>
    <t>Fort Simpson Airport</t>
  </si>
  <si>
    <t>YFX</t>
  </si>
  <si>
    <t>CCK4</t>
  </si>
  <si>
    <t>St. Lewis (Fox Harbour) Airport</t>
  </si>
  <si>
    <t>YGB</t>
  </si>
  <si>
    <t>CYGB</t>
  </si>
  <si>
    <t>Texada/Gillies Bay Airport</t>
  </si>
  <si>
    <t>YGD</t>
  </si>
  <si>
    <t>CYGD</t>
  </si>
  <si>
    <t>Goderich Airport</t>
  </si>
  <si>
    <t>YGH</t>
  </si>
  <si>
    <t>CYGH</t>
  </si>
  <si>
    <t>Fort Good Hope Airport</t>
  </si>
  <si>
    <t>YGJ</t>
  </si>
  <si>
    <t>RJOH</t>
  </si>
  <si>
    <t>Miho-Yonago Airport</t>
  </si>
  <si>
    <t>YGK</t>
  </si>
  <si>
    <t>CYGK</t>
  </si>
  <si>
    <t>Kingston Airport</t>
  </si>
  <si>
    <t>YGL</t>
  </si>
  <si>
    <t>CYGL</t>
  </si>
  <si>
    <t>La Grande Rivière Airport</t>
  </si>
  <si>
    <t>YGM</t>
  </si>
  <si>
    <t>CYGM</t>
  </si>
  <si>
    <t>Gimli Industrial Park Airport</t>
  </si>
  <si>
    <t>YGO</t>
  </si>
  <si>
    <t>CYGO</t>
  </si>
  <si>
    <t>Gods Lake Narrows Airport</t>
  </si>
  <si>
    <t>YGP</t>
  </si>
  <si>
    <t>CYGP</t>
  </si>
  <si>
    <t>Gaspé Airport</t>
  </si>
  <si>
    <t>YGQ</t>
  </si>
  <si>
    <t>CYGQ</t>
  </si>
  <si>
    <t>Geraldton (Greenstone Regional) Airport</t>
  </si>
  <si>
    <t>YGR</t>
  </si>
  <si>
    <t>CYGR</t>
  </si>
  <si>
    <t>Îles-de-la-Madeleine Airport</t>
  </si>
  <si>
    <t>YGT</t>
  </si>
  <si>
    <t>CYGT</t>
  </si>
  <si>
    <t>Igloolik Airport</t>
  </si>
  <si>
    <t>YGV</t>
  </si>
  <si>
    <t>CYGV</t>
  </si>
  <si>
    <t>Havre St-Pierre Airport</t>
  </si>
  <si>
    <t>YGW</t>
  </si>
  <si>
    <t>CYGW</t>
  </si>
  <si>
    <t>Kuujjuarapik Airport</t>
  </si>
  <si>
    <t>YGX</t>
  </si>
  <si>
    <t>CYGX</t>
  </si>
  <si>
    <t>Gillam Airport</t>
  </si>
  <si>
    <t>YGZ</t>
  </si>
  <si>
    <t>CYGZ</t>
  </si>
  <si>
    <t>Grise Fiord Airport</t>
  </si>
  <si>
    <t>YHA</t>
  </si>
  <si>
    <t>CCP4</t>
  </si>
  <si>
    <t>Port Hope Simpson Airport</t>
  </si>
  <si>
    <t>YHD</t>
  </si>
  <si>
    <t>CYHD</t>
  </si>
  <si>
    <t>Dryden Regional Airport</t>
  </si>
  <si>
    <t>YHE</t>
  </si>
  <si>
    <t>CYHE</t>
  </si>
  <si>
    <t>Hope Airport</t>
  </si>
  <si>
    <t>YHF</t>
  </si>
  <si>
    <t>CYHF</t>
  </si>
  <si>
    <t>Hearst (René Fontaine) Municipal Airport</t>
  </si>
  <si>
    <t>YHI</t>
  </si>
  <si>
    <t>CYHI</t>
  </si>
  <si>
    <t>Ulukhaktok/Holman Airport</t>
  </si>
  <si>
    <t>YHK</t>
  </si>
  <si>
    <t>CYHK</t>
  </si>
  <si>
    <t>Gjoa Haven Airport</t>
  </si>
  <si>
    <t>YHM</t>
  </si>
  <si>
    <t>CYHM</t>
  </si>
  <si>
    <t>YHN</t>
  </si>
  <si>
    <t>CYHN</t>
  </si>
  <si>
    <t>Hornepayne Municipal Airport</t>
  </si>
  <si>
    <t>YHO</t>
  </si>
  <si>
    <t>CYHO</t>
  </si>
  <si>
    <t>Hopedale Airport</t>
  </si>
  <si>
    <t>YHP</t>
  </si>
  <si>
    <t>CPV7</t>
  </si>
  <si>
    <t>Poplar Hill Airport</t>
  </si>
  <si>
    <t>CYHP</t>
  </si>
  <si>
    <t>YHR</t>
  </si>
  <si>
    <t>CYHR</t>
  </si>
  <si>
    <t>Chevery Airport</t>
  </si>
  <si>
    <t>YHT</t>
  </si>
  <si>
    <t>CYHT</t>
  </si>
  <si>
    <t>Haines Junction Airport</t>
  </si>
  <si>
    <t>YHU</t>
  </si>
  <si>
    <t>CYHU</t>
  </si>
  <si>
    <t>Montréal/St-Hubert Airport</t>
  </si>
  <si>
    <t>YHY</t>
  </si>
  <si>
    <t>CYHY</t>
  </si>
  <si>
    <t>Hay River Airport</t>
  </si>
  <si>
    <t>YHZ</t>
  </si>
  <si>
    <t>CYHZ</t>
  </si>
  <si>
    <t>Halifax Stanfield International Airport</t>
  </si>
  <si>
    <t>YIB</t>
  </si>
  <si>
    <t>CYIB</t>
  </si>
  <si>
    <t>Atikokan Municipal Airport</t>
  </si>
  <si>
    <t>YIF</t>
  </si>
  <si>
    <t>CYIF</t>
  </si>
  <si>
    <t>Saint-Augustin Airport</t>
  </si>
  <si>
    <t>YIH</t>
  </si>
  <si>
    <t>ZHYC</t>
  </si>
  <si>
    <t>Yichang Airport</t>
  </si>
  <si>
    <t>YIK</t>
  </si>
  <si>
    <t>CYIK</t>
  </si>
  <si>
    <t>Ivujivik Airport</t>
  </si>
  <si>
    <t>YIN</t>
  </si>
  <si>
    <t>ZWYN</t>
  </si>
  <si>
    <t>Yining Airport</t>
  </si>
  <si>
    <t>YIO</t>
  </si>
  <si>
    <t>CYIO</t>
  </si>
  <si>
    <t>Pond Inlet Airport</t>
  </si>
  <si>
    <t>YIP</t>
  </si>
  <si>
    <t>KYIP</t>
  </si>
  <si>
    <t>Willow Run Airport</t>
  </si>
  <si>
    <t>YIV</t>
  </si>
  <si>
    <t>CYIV</t>
  </si>
  <si>
    <t>Island Lake Airport</t>
  </si>
  <si>
    <t>YIW</t>
  </si>
  <si>
    <t>ZSYW</t>
  </si>
  <si>
    <t>Yiwu Airport</t>
  </si>
  <si>
    <t>YJF</t>
  </si>
  <si>
    <t>CYJF</t>
  </si>
  <si>
    <t>Fort Liard Airport</t>
  </si>
  <si>
    <t>YJN</t>
  </si>
  <si>
    <t>CYJN</t>
  </si>
  <si>
    <t>St-Jean Airport</t>
  </si>
  <si>
    <t>YJT</t>
  </si>
  <si>
    <t>CYJT</t>
  </si>
  <si>
    <t>Stephenville Airport</t>
  </si>
  <si>
    <t>YKA</t>
  </si>
  <si>
    <t>CYKA</t>
  </si>
  <si>
    <t>Kamloops Airport</t>
  </si>
  <si>
    <t>YKF</t>
  </si>
  <si>
    <t>CYKF</t>
  </si>
  <si>
    <t>Kitchener/Waterloo Regional Airport</t>
  </si>
  <si>
    <t>YKG</t>
  </si>
  <si>
    <t>CYAS</t>
  </si>
  <si>
    <t>Kangirsuk Airport</t>
  </si>
  <si>
    <t>YKJ</t>
  </si>
  <si>
    <t>CYKJ</t>
  </si>
  <si>
    <t>Key Lake Airport</t>
  </si>
  <si>
    <t>YKL</t>
  </si>
  <si>
    <t>CYKL</t>
  </si>
  <si>
    <t>Schefferville Airport</t>
  </si>
  <si>
    <t>YKM</t>
  </si>
  <si>
    <t>KYKM</t>
  </si>
  <si>
    <t>Yakima Air Terminal (McAllister Field)</t>
  </si>
  <si>
    <t>YKN</t>
  </si>
  <si>
    <t>KYKN</t>
  </si>
  <si>
    <t>Chan Gurney Municipal Airport</t>
  </si>
  <si>
    <t>YKQ</t>
  </si>
  <si>
    <t>CYKQ</t>
  </si>
  <si>
    <t>Waskaganish Airport</t>
  </si>
  <si>
    <t>YKS</t>
  </si>
  <si>
    <t>UEEE</t>
  </si>
  <si>
    <t>Yakutsk Airport</t>
  </si>
  <si>
    <t>YKU</t>
  </si>
  <si>
    <t>CSU2</t>
  </si>
  <si>
    <t>Chisasibi Airport</t>
  </si>
  <si>
    <t>YKX</t>
  </si>
  <si>
    <t>CYKX</t>
  </si>
  <si>
    <t>Kirkland Lake Airport</t>
  </si>
  <si>
    <t>YKY</t>
  </si>
  <si>
    <t>CYKY</t>
  </si>
  <si>
    <t>Kindersley Airport</t>
  </si>
  <si>
    <t>YKZ</t>
  </si>
  <si>
    <t>CYKZ</t>
  </si>
  <si>
    <t>Toronto/Buttonville Municipal Airport</t>
  </si>
  <si>
    <t>YLC</t>
  </si>
  <si>
    <t>CYLC</t>
  </si>
  <si>
    <t>Kimmirut Airport</t>
  </si>
  <si>
    <t>YLD</t>
  </si>
  <si>
    <t>CYLD</t>
  </si>
  <si>
    <t>Chapleau Airport</t>
  </si>
  <si>
    <t>YLE</t>
  </si>
  <si>
    <t>CEM3</t>
  </si>
  <si>
    <t>WhatÃ¬ Airport</t>
  </si>
  <si>
    <t>YLG</t>
  </si>
  <si>
    <t>YYAL</t>
  </si>
  <si>
    <t>Yalgoo Airport</t>
  </si>
  <si>
    <t>YLH</t>
  </si>
  <si>
    <t>CYLH</t>
  </si>
  <si>
    <t>Lansdowne House Airport</t>
  </si>
  <si>
    <t>YLI</t>
  </si>
  <si>
    <t>EFYL</t>
  </si>
  <si>
    <t>Ylivieska Airport</t>
  </si>
  <si>
    <t>YLJ</t>
  </si>
  <si>
    <t>CYLJ</t>
  </si>
  <si>
    <t>Meadow Lake Airport</t>
  </si>
  <si>
    <t>YLL</t>
  </si>
  <si>
    <t>CYLL</t>
  </si>
  <si>
    <t>Lloydminster Airport</t>
  </si>
  <si>
    <t>YLR</t>
  </si>
  <si>
    <t>CYLR</t>
  </si>
  <si>
    <t>Leaf Rapids Airport</t>
  </si>
  <si>
    <t>YLT</t>
  </si>
  <si>
    <t>CYLT</t>
  </si>
  <si>
    <t>Alert Airport</t>
  </si>
  <si>
    <t>YLW</t>
  </si>
  <si>
    <t>CYLW</t>
  </si>
  <si>
    <t>Kelowna Airport</t>
  </si>
  <si>
    <t>YMA</t>
  </si>
  <si>
    <t>CYMA</t>
  </si>
  <si>
    <t>Mayo Airport</t>
  </si>
  <si>
    <t>YME</t>
  </si>
  <si>
    <t>CYME</t>
  </si>
  <si>
    <t>Matane Airport</t>
  </si>
  <si>
    <t>YMG</t>
  </si>
  <si>
    <t>CYMG</t>
  </si>
  <si>
    <t>Manitouwadge Airport</t>
  </si>
  <si>
    <t>YMH</t>
  </si>
  <si>
    <t>CYMH</t>
  </si>
  <si>
    <t>Mary's Harbour Airport</t>
  </si>
  <si>
    <t>YMJ</t>
  </si>
  <si>
    <t>CYMJ</t>
  </si>
  <si>
    <t>Moose Jaw Air Vice Marshal C. M. McEwen Airport</t>
  </si>
  <si>
    <t>YMK</t>
  </si>
  <si>
    <t>USDK</t>
  </si>
  <si>
    <t>Mys Kamenny Airport</t>
  </si>
  <si>
    <t>YML</t>
  </si>
  <si>
    <t>CYML</t>
  </si>
  <si>
    <t>Charlevoix Airport</t>
  </si>
  <si>
    <t>YMM</t>
  </si>
  <si>
    <t>CYMM</t>
  </si>
  <si>
    <t>Fort McMurray Airport</t>
  </si>
  <si>
    <t>YMN</t>
  </si>
  <si>
    <t>CYFT</t>
  </si>
  <si>
    <t>Makkovik Airport</t>
  </si>
  <si>
    <t>YMO</t>
  </si>
  <si>
    <t>CYMO</t>
  </si>
  <si>
    <t>Moosonee Airport</t>
  </si>
  <si>
    <t>YMS</t>
  </si>
  <si>
    <t>SPMS</t>
  </si>
  <si>
    <t>Moises Benzaquen Rengifo Airport</t>
  </si>
  <si>
    <t>YMT</t>
  </si>
  <si>
    <t>CYMT</t>
  </si>
  <si>
    <t>Chibougamau/Chapais Airport</t>
  </si>
  <si>
    <t>YMX</t>
  </si>
  <si>
    <t>CYMX</t>
  </si>
  <si>
    <t>Montréal-Mirabel International Airport</t>
  </si>
  <si>
    <t>YNA</t>
  </si>
  <si>
    <t>CYNA</t>
  </si>
  <si>
    <t>Natashquan Airport</t>
  </si>
  <si>
    <t>YNB</t>
  </si>
  <si>
    <t>OEYN</t>
  </si>
  <si>
    <t>Yenbo Airport</t>
  </si>
  <si>
    <t>YNC</t>
  </si>
  <si>
    <t>CYNC</t>
  </si>
  <si>
    <t>Wemindji Airport</t>
  </si>
  <si>
    <t>YND</t>
  </si>
  <si>
    <t>CYND</t>
  </si>
  <si>
    <t>Ottawa / Gatineau Airport</t>
  </si>
  <si>
    <t>YNE</t>
  </si>
  <si>
    <t>CYNE</t>
  </si>
  <si>
    <t>Norway House Airport</t>
  </si>
  <si>
    <t>YNG</t>
  </si>
  <si>
    <t>KYNG</t>
  </si>
  <si>
    <t>Youngstown-Warren Regional Airport</t>
  </si>
  <si>
    <t>YNJ</t>
  </si>
  <si>
    <t>ZYYJ</t>
  </si>
  <si>
    <t>Yanji Chaoyangchuan Airport</t>
  </si>
  <si>
    <t>YNL</t>
  </si>
  <si>
    <t>CYNL</t>
  </si>
  <si>
    <t>Points North Landing Airport</t>
  </si>
  <si>
    <t>YNM</t>
  </si>
  <si>
    <t>CYNM</t>
  </si>
  <si>
    <t>Matagami Airport</t>
  </si>
  <si>
    <t>YNN</t>
  </si>
  <si>
    <t>CYNN</t>
  </si>
  <si>
    <t>Nejanilini Lake Airport</t>
  </si>
  <si>
    <t>YNO</t>
  </si>
  <si>
    <t>CKQ3</t>
  </si>
  <si>
    <t>North Spirit Lake Airport</t>
  </si>
  <si>
    <t>YNS</t>
  </si>
  <si>
    <t>CYHH</t>
  </si>
  <si>
    <t>Nemiscau Airport</t>
  </si>
  <si>
    <t>YNT</t>
  </si>
  <si>
    <t>ZSYT</t>
  </si>
  <si>
    <t>Yantai Laishan International Airport</t>
  </si>
  <si>
    <t>YNX</t>
  </si>
  <si>
    <t>CSK6</t>
  </si>
  <si>
    <t>Snap Lake Airport</t>
  </si>
  <si>
    <t>YNY</t>
  </si>
  <si>
    <t>RKNY</t>
  </si>
  <si>
    <t>Yangyang International Airport</t>
  </si>
  <si>
    <t>YNZ</t>
  </si>
  <si>
    <t>ZSYN</t>
  </si>
  <si>
    <t>Yancheng Airport</t>
  </si>
  <si>
    <t>YOA</t>
  </si>
  <si>
    <t>CYOA</t>
  </si>
  <si>
    <t>Ekati Airport</t>
  </si>
  <si>
    <t>YOC</t>
  </si>
  <si>
    <t>CYOC</t>
  </si>
  <si>
    <t>Old Crow Airport</t>
  </si>
  <si>
    <t>YOD</t>
  </si>
  <si>
    <t>CYOD</t>
  </si>
  <si>
    <t>Cold Lake Airport</t>
  </si>
  <si>
    <t>YOG</t>
  </si>
  <si>
    <t>CNT3</t>
  </si>
  <si>
    <t>Ogoki Post Airport</t>
  </si>
  <si>
    <t>YOH</t>
  </si>
  <si>
    <t>CYOH</t>
  </si>
  <si>
    <t>Oxford House Airport</t>
  </si>
  <si>
    <t>YOJ</t>
  </si>
  <si>
    <t>CYOJ</t>
  </si>
  <si>
    <t>High Level Airport</t>
  </si>
  <si>
    <t>YOL</t>
  </si>
  <si>
    <t>DNYO</t>
  </si>
  <si>
    <t>Yola Airport</t>
  </si>
  <si>
    <t>YON</t>
  </si>
  <si>
    <t>VQTY</t>
  </si>
  <si>
    <t>Yongphulla Airport</t>
  </si>
  <si>
    <t>YOO</t>
  </si>
  <si>
    <t>CYOO</t>
  </si>
  <si>
    <t>Oshawa Airport</t>
  </si>
  <si>
    <t>YOP</t>
  </si>
  <si>
    <t>CYOP</t>
  </si>
  <si>
    <t>Rainbow Lake Airport</t>
  </si>
  <si>
    <t>YOS</t>
  </si>
  <si>
    <t>CYOS</t>
  </si>
  <si>
    <t>Owen Sound/Billy Bishop Regional Airport</t>
  </si>
  <si>
    <t>YOT</t>
  </si>
  <si>
    <t>LLYT</t>
  </si>
  <si>
    <t>Yotvata Airfield</t>
  </si>
  <si>
    <t>YOW</t>
  </si>
  <si>
    <t>CYOW</t>
  </si>
  <si>
    <t>Ottawa/Macdonald-Cartier International Airport</t>
  </si>
  <si>
    <t>YPA</t>
  </si>
  <si>
    <t>CYPA</t>
  </si>
  <si>
    <t>Prince Albert (Glass Field) Airport</t>
  </si>
  <si>
    <t>YPC</t>
  </si>
  <si>
    <t>CYPC</t>
  </si>
  <si>
    <t>Paulatuk Airport</t>
  </si>
  <si>
    <t>YPE</t>
  </si>
  <si>
    <t>CYPE</t>
  </si>
  <si>
    <t>Peace River Airport</t>
  </si>
  <si>
    <t>YPG</t>
  </si>
  <si>
    <t>CYPG</t>
  </si>
  <si>
    <t>Portage La Prairie/Southport Airport</t>
  </si>
  <si>
    <t>YPH</t>
  </si>
  <si>
    <t>CYPH</t>
  </si>
  <si>
    <t>Inukjuak Airport</t>
  </si>
  <si>
    <t>YPJ</t>
  </si>
  <si>
    <t>CYLA</t>
  </si>
  <si>
    <t>Aupaluk Airport</t>
  </si>
  <si>
    <t>YPL</t>
  </si>
  <si>
    <t>CYPL</t>
  </si>
  <si>
    <t>Pickle Lake Airport</t>
  </si>
  <si>
    <t>YPM</t>
  </si>
  <si>
    <t>CYPM</t>
  </si>
  <si>
    <t>Pikangikum Airport</t>
  </si>
  <si>
    <t>YPN</t>
  </si>
  <si>
    <t>CYPN</t>
  </si>
  <si>
    <t>Port-Menier Airport</t>
  </si>
  <si>
    <t>YPO</t>
  </si>
  <si>
    <t>CYPO</t>
  </si>
  <si>
    <t>Peawanuck Airport</t>
  </si>
  <si>
    <t>YPQ</t>
  </si>
  <si>
    <t>CYPQ</t>
  </si>
  <si>
    <t>Peterborough Airport</t>
  </si>
  <si>
    <t>YPR</t>
  </si>
  <si>
    <t>CYPR</t>
  </si>
  <si>
    <t>Prince Rupert Airport</t>
  </si>
  <si>
    <t>YPS</t>
  </si>
  <si>
    <t>CYPD</t>
  </si>
  <si>
    <t>Port Hawkesbury Airport</t>
  </si>
  <si>
    <t>YPW</t>
  </si>
  <si>
    <t>CYPW</t>
  </si>
  <si>
    <t>Powell River Airport</t>
  </si>
  <si>
    <t>YPX</t>
  </si>
  <si>
    <t>CYPX</t>
  </si>
  <si>
    <t>Puvirnituq Airport</t>
  </si>
  <si>
    <t>YPY</t>
  </si>
  <si>
    <t>CYPY</t>
  </si>
  <si>
    <t>Fort Chipewyan Airport</t>
  </si>
  <si>
    <t>YQA</t>
  </si>
  <si>
    <t>CYQA</t>
  </si>
  <si>
    <t>Muskoka Airport</t>
  </si>
  <si>
    <t>YQB</t>
  </si>
  <si>
    <t>CYQB</t>
  </si>
  <si>
    <t>Québec/Jean Lesage International Airport</t>
  </si>
  <si>
    <t>YQC</t>
  </si>
  <si>
    <t>CYHA</t>
  </si>
  <si>
    <t>Quaqtaq Airport</t>
  </si>
  <si>
    <t>YQD</t>
  </si>
  <si>
    <t>CYQD</t>
  </si>
  <si>
    <t>The Pas Airport</t>
  </si>
  <si>
    <t>YQF</t>
  </si>
  <si>
    <t>CYQF</t>
  </si>
  <si>
    <t>Red Deer Regional Airport</t>
  </si>
  <si>
    <t>YQG</t>
  </si>
  <si>
    <t>CYQG</t>
  </si>
  <si>
    <t>Windsor Airport</t>
  </si>
  <si>
    <t>YQH</t>
  </si>
  <si>
    <t>CYQH</t>
  </si>
  <si>
    <t>Watson Lake Airport</t>
  </si>
  <si>
    <t>YQI</t>
  </si>
  <si>
    <t>CYQI</t>
  </si>
  <si>
    <t>Yarmouth Airport</t>
  </si>
  <si>
    <t>YQK</t>
  </si>
  <si>
    <t>CYQK</t>
  </si>
  <si>
    <t>Kenora Airport</t>
  </si>
  <si>
    <t>YQL</t>
  </si>
  <si>
    <t>CYQL</t>
  </si>
  <si>
    <t>Lethbridge County Airport</t>
  </si>
  <si>
    <t>YQM</t>
  </si>
  <si>
    <t>CYQM</t>
  </si>
  <si>
    <t>Greater Moncton International Airport</t>
  </si>
  <si>
    <t>YQN</t>
  </si>
  <si>
    <t>CYQN</t>
  </si>
  <si>
    <t>Nakina Airport</t>
  </si>
  <si>
    <t>YQQ</t>
  </si>
  <si>
    <t>CYQQ</t>
  </si>
  <si>
    <t>Comox Airport</t>
  </si>
  <si>
    <t>YQR</t>
  </si>
  <si>
    <t>CYQR</t>
  </si>
  <si>
    <t>Regina International Airport</t>
  </si>
  <si>
    <t>YQS</t>
  </si>
  <si>
    <t>CYQS</t>
  </si>
  <si>
    <t>St. Thomas Municipal Airport</t>
  </si>
  <si>
    <t>YQT</t>
  </si>
  <si>
    <t>CYQT</t>
  </si>
  <si>
    <t>Thunder Bay Airport</t>
  </si>
  <si>
    <t>YQU</t>
  </si>
  <si>
    <t>CYQU</t>
  </si>
  <si>
    <t>Grande Prairie Airport</t>
  </si>
  <si>
    <t>YQV</t>
  </si>
  <si>
    <t>CYQV</t>
  </si>
  <si>
    <t>Yorkton Municipal Airport</t>
  </si>
  <si>
    <t>YQW</t>
  </si>
  <si>
    <t>CYQW</t>
  </si>
  <si>
    <t>North Battleford (Cameron McIntosh) Airport</t>
  </si>
  <si>
    <t>YQX</t>
  </si>
  <si>
    <t>CYQX</t>
  </si>
  <si>
    <t>Gander International Airport</t>
  </si>
  <si>
    <t>YQY</t>
  </si>
  <si>
    <t>CYQY</t>
  </si>
  <si>
    <t>Sydney Airport (Nova Scotia)</t>
  </si>
  <si>
    <t>YQZ</t>
  </si>
  <si>
    <t>CYQZ</t>
  </si>
  <si>
    <t>Quesnel Airport</t>
  </si>
  <si>
    <t>YRA</t>
  </si>
  <si>
    <t>CYRA</t>
  </si>
  <si>
    <t>Gamètì/Rae Lakes Airport</t>
  </si>
  <si>
    <t>YRB</t>
  </si>
  <si>
    <t>CYRB</t>
  </si>
  <si>
    <t>Resolute Bay Airport</t>
  </si>
  <si>
    <t>YRC</t>
  </si>
  <si>
    <t>CYRC</t>
  </si>
  <si>
    <t>Chicoutimi/St-Honore Airport</t>
  </si>
  <si>
    <t>YRF</t>
  </si>
  <si>
    <t>CYCA</t>
  </si>
  <si>
    <t>Cartwright Airport</t>
  </si>
  <si>
    <t>YRG</t>
  </si>
  <si>
    <t>CCZ2</t>
  </si>
  <si>
    <t>Rigolet Airport</t>
  </si>
  <si>
    <t>YRI</t>
  </si>
  <si>
    <t>CYRI</t>
  </si>
  <si>
    <t>Rivière-du-Loup Airport</t>
  </si>
  <si>
    <t>YRJ</t>
  </si>
  <si>
    <t>CYRJ</t>
  </si>
  <si>
    <t>Roberval Airport</t>
  </si>
  <si>
    <t>YRL</t>
  </si>
  <si>
    <t>CYRL</t>
  </si>
  <si>
    <t>Red Lake Airport</t>
  </si>
  <si>
    <t>YRO</t>
  </si>
  <si>
    <t>CYRO</t>
  </si>
  <si>
    <t>Ottawa/Rockcliffe Airport</t>
  </si>
  <si>
    <t>YRP</t>
  </si>
  <si>
    <t>CYRP</t>
  </si>
  <si>
    <t>Ottawa/Carp Airport</t>
  </si>
  <si>
    <t>YRQ</t>
  </si>
  <si>
    <t>CYRQ</t>
  </si>
  <si>
    <t>Trois-Rivières Airport</t>
  </si>
  <si>
    <t>YRS</t>
  </si>
  <si>
    <t>CYRS</t>
  </si>
  <si>
    <t>Red Sucker Lake Airport</t>
  </si>
  <si>
    <t>YRT</t>
  </si>
  <si>
    <t>CYRT</t>
  </si>
  <si>
    <t>Rankin Inlet Airport</t>
  </si>
  <si>
    <t>YRV</t>
  </si>
  <si>
    <t>CYRV</t>
  </si>
  <si>
    <t>Revelstoke Airport</t>
  </si>
  <si>
    <t>YSB</t>
  </si>
  <si>
    <t>CYSB</t>
  </si>
  <si>
    <t>Sudbury Airport</t>
  </si>
  <si>
    <t>YSC</t>
  </si>
  <si>
    <t>CYSC</t>
  </si>
  <si>
    <t>Sherbrooke Airport</t>
  </si>
  <si>
    <t>YSF</t>
  </si>
  <si>
    <t>CYSF</t>
  </si>
  <si>
    <t>Stony Rapids Airport</t>
  </si>
  <si>
    <t>YSG</t>
  </si>
  <si>
    <t>CYLK</t>
  </si>
  <si>
    <t>Lutselk'e Airport</t>
  </si>
  <si>
    <t>YSH</t>
  </si>
  <si>
    <t>CYSH</t>
  </si>
  <si>
    <t>Smiths Falls-Montague Airport</t>
  </si>
  <si>
    <t>YSJ</t>
  </si>
  <si>
    <t>CYSJ</t>
  </si>
  <si>
    <t>Saint John Airport</t>
  </si>
  <si>
    <t>YSK</t>
  </si>
  <si>
    <t>CYSK</t>
  </si>
  <si>
    <t>Sanikiluaq Airport</t>
  </si>
  <si>
    <t>YSL</t>
  </si>
  <si>
    <t>CYSL</t>
  </si>
  <si>
    <t>St. Leonard Airport</t>
  </si>
  <si>
    <t>YSM</t>
  </si>
  <si>
    <t>CYSM</t>
  </si>
  <si>
    <t>Fort Smith Airport</t>
  </si>
  <si>
    <t>YSN</t>
  </si>
  <si>
    <t>CZAM</t>
  </si>
  <si>
    <t>Salmon Arm Airport</t>
  </si>
  <si>
    <t>YSP</t>
  </si>
  <si>
    <t>CYSP</t>
  </si>
  <si>
    <t>Marathon Airport</t>
  </si>
  <si>
    <t>YSR</t>
  </si>
  <si>
    <t>CYSR</t>
  </si>
  <si>
    <t>Nanisivik Airport</t>
  </si>
  <si>
    <t>YST</t>
  </si>
  <si>
    <t>CYST</t>
  </si>
  <si>
    <t>St. Theresa Point Airport</t>
  </si>
  <si>
    <t>YSU</t>
  </si>
  <si>
    <t>CYSU</t>
  </si>
  <si>
    <t>Summerside Airport</t>
  </si>
  <si>
    <t>YSY</t>
  </si>
  <si>
    <t>CYSY</t>
  </si>
  <si>
    <t>Sachs Harbour Airport</t>
  </si>
  <si>
    <t>YTA</t>
  </si>
  <si>
    <t>CYTA</t>
  </si>
  <si>
    <t>Pembroke Airport</t>
  </si>
  <si>
    <t>YTD</t>
  </si>
  <si>
    <t>CZLQ</t>
  </si>
  <si>
    <t>Thicket Portage Airport</t>
  </si>
  <si>
    <t>YTE</t>
  </si>
  <si>
    <t>CYTE</t>
  </si>
  <si>
    <t>Cape Dorset Airport</t>
  </si>
  <si>
    <t>YTF</t>
  </si>
  <si>
    <t>CYTF</t>
  </si>
  <si>
    <t>Alma Airport</t>
  </si>
  <si>
    <t>YTH</t>
  </si>
  <si>
    <t>CYTH</t>
  </si>
  <si>
    <t>Thompson Airport</t>
  </si>
  <si>
    <t>YTJ</t>
  </si>
  <si>
    <t>CYTJ</t>
  </si>
  <si>
    <t>Terrace Bay Airport</t>
  </si>
  <si>
    <t>YTL</t>
  </si>
  <si>
    <t>CYTL</t>
  </si>
  <si>
    <t>Big Trout Lake Airport</t>
  </si>
  <si>
    <t>YTM</t>
  </si>
  <si>
    <t>CYFJ</t>
  </si>
  <si>
    <t>Rivière Rouge/Mont-Tremblant International Inc Airport</t>
  </si>
  <si>
    <t>YTQ</t>
  </si>
  <si>
    <t>CYTQ</t>
  </si>
  <si>
    <t>Tasiujaq Airport</t>
  </si>
  <si>
    <t>YTR</t>
  </si>
  <si>
    <t>CYTR</t>
  </si>
  <si>
    <t>Trenton Airport</t>
  </si>
  <si>
    <t>YTS</t>
  </si>
  <si>
    <t>CYTS</t>
  </si>
  <si>
    <t>Timmins Airport</t>
  </si>
  <si>
    <t>YTZ</t>
  </si>
  <si>
    <t>CYTZ</t>
  </si>
  <si>
    <t>Toronto/City Centre Airport</t>
  </si>
  <si>
    <t>YUB</t>
  </si>
  <si>
    <t>CYUB</t>
  </si>
  <si>
    <t>Tuktoyaktuk Airport</t>
  </si>
  <si>
    <t>YUD</t>
  </si>
  <si>
    <t>CYMU</t>
  </si>
  <si>
    <t>Umiujaq Airport</t>
  </si>
  <si>
    <t>YUE</t>
  </si>
  <si>
    <t>YYND</t>
  </si>
  <si>
    <t>Yuendumu Airport</t>
  </si>
  <si>
    <t>YUL</t>
  </si>
  <si>
    <t>CYUL</t>
  </si>
  <si>
    <t>Montréal-Pierre Elliott Trudeau International Airport</t>
  </si>
  <si>
    <t>YUM</t>
  </si>
  <si>
    <t>KNYL</t>
  </si>
  <si>
    <t>Yuma MCAS/Yuma International Airport</t>
  </si>
  <si>
    <t>KYUM</t>
  </si>
  <si>
    <t>Yuma International Airport / MCAS Yuma</t>
  </si>
  <si>
    <t>YUS</t>
  </si>
  <si>
    <t>ZYLS</t>
  </si>
  <si>
    <t>Yushu Batang Airport</t>
  </si>
  <si>
    <t>YUT</t>
  </si>
  <si>
    <t>CYUT</t>
  </si>
  <si>
    <t>Repulse Bay Airport</t>
  </si>
  <si>
    <t>YUX</t>
  </si>
  <si>
    <t>CYUX</t>
  </si>
  <si>
    <t>Hall Beach Airport</t>
  </si>
  <si>
    <t>YUY</t>
  </si>
  <si>
    <t>CYUY</t>
  </si>
  <si>
    <t>Rouyn-Noranda Airport</t>
  </si>
  <si>
    <t>YVA</t>
  </si>
  <si>
    <t>FMCN</t>
  </si>
  <si>
    <t>Iconi Airport</t>
  </si>
  <si>
    <t>YVB</t>
  </si>
  <si>
    <t>CYVB</t>
  </si>
  <si>
    <t>Bonaventure Airport</t>
  </si>
  <si>
    <t>YVC</t>
  </si>
  <si>
    <t>CYVC</t>
  </si>
  <si>
    <t>La Ronge (Barber Field) Airport</t>
  </si>
  <si>
    <t>YVD</t>
  </si>
  <si>
    <t>CYVD</t>
  </si>
  <si>
    <t>Virden/R.J. (Bob) Andrew Field Regional Aerodrome</t>
  </si>
  <si>
    <t>YVE</t>
  </si>
  <si>
    <t>CYVK</t>
  </si>
  <si>
    <t>Vernon Airport</t>
  </si>
  <si>
    <t>YVG</t>
  </si>
  <si>
    <t>CYVG</t>
  </si>
  <si>
    <t>Vermilion Airport</t>
  </si>
  <si>
    <t>YVM</t>
  </si>
  <si>
    <t>CYVM</t>
  </si>
  <si>
    <t>Qikiqtarjuaq Airport</t>
  </si>
  <si>
    <t>YVO</t>
  </si>
  <si>
    <t>CYVO</t>
  </si>
  <si>
    <t>Val-d'Or Airport</t>
  </si>
  <si>
    <t>YVP</t>
  </si>
  <si>
    <t>CYVP</t>
  </si>
  <si>
    <t>Kuujjuaq Airport</t>
  </si>
  <si>
    <t>YVQ</t>
  </si>
  <si>
    <t>CYVQ</t>
  </si>
  <si>
    <t>Norman Wells Airport</t>
  </si>
  <si>
    <t>YVR</t>
  </si>
  <si>
    <t>CYVR</t>
  </si>
  <si>
    <t>Vancouver International Airport</t>
  </si>
  <si>
    <t>YVT</t>
  </si>
  <si>
    <t>CYVT</t>
  </si>
  <si>
    <t>Buffalo Narrows Airport</t>
  </si>
  <si>
    <t>YVV</t>
  </si>
  <si>
    <t>CYVV</t>
  </si>
  <si>
    <t>Wiarton Airport</t>
  </si>
  <si>
    <t>YVZ</t>
  </si>
  <si>
    <t>CYVZ</t>
  </si>
  <si>
    <t>YWA</t>
  </si>
  <si>
    <t>CYWA</t>
  </si>
  <si>
    <t>Petawawa Airport</t>
  </si>
  <si>
    <t>YWG</t>
  </si>
  <si>
    <t>CYWG</t>
  </si>
  <si>
    <t>Winnipeg James Armstrong Richardson International Airport</t>
  </si>
  <si>
    <t>YWH</t>
  </si>
  <si>
    <t>CYWH</t>
  </si>
  <si>
    <t>Victoria Inner Harbour Airport</t>
  </si>
  <si>
    <t>YWJ</t>
  </si>
  <si>
    <t>CYWJ</t>
  </si>
  <si>
    <t>Deline Airport</t>
  </si>
  <si>
    <t>YWK</t>
  </si>
  <si>
    <t>CYWK</t>
  </si>
  <si>
    <t>Wabush Airport</t>
  </si>
  <si>
    <t>YWL</t>
  </si>
  <si>
    <t>CYWL</t>
  </si>
  <si>
    <t>Williams Lake Airport</t>
  </si>
  <si>
    <t>YWM</t>
  </si>
  <si>
    <t>CCA6</t>
  </si>
  <si>
    <t>Williams Harbour Airport</t>
  </si>
  <si>
    <t>YWP</t>
  </si>
  <si>
    <t>CYWP</t>
  </si>
  <si>
    <t>Webequie Airport</t>
  </si>
  <si>
    <t>YWV</t>
  </si>
  <si>
    <t>CYWV</t>
  </si>
  <si>
    <t>YWY</t>
  </si>
  <si>
    <t>CYWY</t>
  </si>
  <si>
    <t>Wrigley Airport</t>
  </si>
  <si>
    <t>YXC</t>
  </si>
  <si>
    <t>CYXC</t>
  </si>
  <si>
    <t>Cranbrook/Canadian Rockies International Airport</t>
  </si>
  <si>
    <t>YXD</t>
  </si>
  <si>
    <t>CYXD</t>
  </si>
  <si>
    <t>Edmonton City Centre (Blatchford Field) Airport</t>
  </si>
  <si>
    <t>YXE</t>
  </si>
  <si>
    <t>CYXE</t>
  </si>
  <si>
    <t>Saskatoon/John G. Diefenbaker International Airport</t>
  </si>
  <si>
    <t>YXH</t>
  </si>
  <si>
    <t>CYXH</t>
  </si>
  <si>
    <t>Medicine Hat Airport</t>
  </si>
  <si>
    <t>YXJ</t>
  </si>
  <si>
    <t>CYXJ</t>
  </si>
  <si>
    <t>Fort St. John Airport</t>
  </si>
  <si>
    <t>YXK</t>
  </si>
  <si>
    <t>CYXK</t>
  </si>
  <si>
    <t>Rimouski Airport</t>
  </si>
  <si>
    <t>YXL</t>
  </si>
  <si>
    <t>CYXL</t>
  </si>
  <si>
    <t>Sioux Lookout Airport</t>
  </si>
  <si>
    <t>YXN</t>
  </si>
  <si>
    <t>CYXN</t>
  </si>
  <si>
    <t>Whale Cove Airport</t>
  </si>
  <si>
    <t>YXP</t>
  </si>
  <si>
    <t>CYXP</t>
  </si>
  <si>
    <t>Pangnirtung Airport</t>
  </si>
  <si>
    <t>YXQ</t>
  </si>
  <si>
    <t>CYXQ</t>
  </si>
  <si>
    <t>Beaver Creek Airport</t>
  </si>
  <si>
    <t>YXR</t>
  </si>
  <si>
    <t>CYXR</t>
  </si>
  <si>
    <t>Earlton (Timiskaming Regional) Airport</t>
  </si>
  <si>
    <t>YXS</t>
  </si>
  <si>
    <t>CYXS</t>
  </si>
  <si>
    <t>Prince George Airport</t>
  </si>
  <si>
    <t>YXT</t>
  </si>
  <si>
    <t>CYXT</t>
  </si>
  <si>
    <t>Terrace Airport</t>
  </si>
  <si>
    <t>YXU</t>
  </si>
  <si>
    <t>CYXU</t>
  </si>
  <si>
    <t>London International Airport</t>
  </si>
  <si>
    <t>YXX</t>
  </si>
  <si>
    <t>CYXX</t>
  </si>
  <si>
    <t>Abbotsford Airport</t>
  </si>
  <si>
    <t>YXY</t>
  </si>
  <si>
    <t>CYXY</t>
  </si>
  <si>
    <t>Whitehorse International Airport</t>
  </si>
  <si>
    <t>YXZ</t>
  </si>
  <si>
    <t>CYXZ</t>
  </si>
  <si>
    <t>Wawa Airport</t>
  </si>
  <si>
    <t>YYB</t>
  </si>
  <si>
    <t>CYYB</t>
  </si>
  <si>
    <t>North Bay/Jack Garland Airport</t>
  </si>
  <si>
    <t>YYC</t>
  </si>
  <si>
    <t>CYYC</t>
  </si>
  <si>
    <t>Calgary International Airport</t>
  </si>
  <si>
    <t>YYD</t>
  </si>
  <si>
    <t>CYYD</t>
  </si>
  <si>
    <t>Smithers Airport</t>
  </si>
  <si>
    <t>YYE</t>
  </si>
  <si>
    <t>CYYE</t>
  </si>
  <si>
    <t>Fort Nelson Airport</t>
  </si>
  <si>
    <t>YYF</t>
  </si>
  <si>
    <t>CYYF</t>
  </si>
  <si>
    <t>Penticton Airport</t>
  </si>
  <si>
    <t>YYG</t>
  </si>
  <si>
    <t>CYYG</t>
  </si>
  <si>
    <t>Charlottetown Airport</t>
  </si>
  <si>
    <t>YYH</t>
  </si>
  <si>
    <t>CYYH</t>
  </si>
  <si>
    <t>Taloyoak Airport</t>
  </si>
  <si>
    <t>YYJ</t>
  </si>
  <si>
    <t>CYYJ</t>
  </si>
  <si>
    <t>Victoria International Airport</t>
  </si>
  <si>
    <t>YYL</t>
  </si>
  <si>
    <t>CYYL</t>
  </si>
  <si>
    <t>Lynn Lake Airport</t>
  </si>
  <si>
    <t>YYN</t>
  </si>
  <si>
    <t>CYYN</t>
  </si>
  <si>
    <t>Swift Current Airport</t>
  </si>
  <si>
    <t>YYQ</t>
  </si>
  <si>
    <t>CYYQ</t>
  </si>
  <si>
    <t>Churchill Airport</t>
  </si>
  <si>
    <t>YYR</t>
  </si>
  <si>
    <t>CYYR</t>
  </si>
  <si>
    <t>Goose Bay Airport</t>
  </si>
  <si>
    <t>YYT</t>
  </si>
  <si>
    <t>CYYT</t>
  </si>
  <si>
    <t>St. John's International Airport</t>
  </si>
  <si>
    <t>YYU</t>
  </si>
  <si>
    <t>CYYU</t>
  </si>
  <si>
    <t>Kapuskasing Airport</t>
  </si>
  <si>
    <t>YYW</t>
  </si>
  <si>
    <t>CYYW</t>
  </si>
  <si>
    <t>Armstrong Airport</t>
  </si>
  <si>
    <t>YYY</t>
  </si>
  <si>
    <t>CYYY</t>
  </si>
  <si>
    <t>Mont-Joli Airport</t>
  </si>
  <si>
    <t>YYZ</t>
  </si>
  <si>
    <t>CYYZ</t>
  </si>
  <si>
    <t>Toronto Pearson International Airport</t>
  </si>
  <si>
    <t>YZD</t>
  </si>
  <si>
    <t>CYZD</t>
  </si>
  <si>
    <t>Toronto/Downsview Airport</t>
  </si>
  <si>
    <t>YZE</t>
  </si>
  <si>
    <t>CYZE</t>
  </si>
  <si>
    <t>Gore Bay-Manitoulin Airport</t>
  </si>
  <si>
    <t>YZF</t>
  </si>
  <si>
    <t>CYZF</t>
  </si>
  <si>
    <t>Yellowknife Airport</t>
  </si>
  <si>
    <t>YZG</t>
  </si>
  <si>
    <t>CYZG</t>
  </si>
  <si>
    <t>Salluit Airport</t>
  </si>
  <si>
    <t>YZH</t>
  </si>
  <si>
    <t>CYZH</t>
  </si>
  <si>
    <t>Slave Lake Airport</t>
  </si>
  <si>
    <t>YZP</t>
  </si>
  <si>
    <t>CYZP</t>
  </si>
  <si>
    <t>Sandspit Airport</t>
  </si>
  <si>
    <t>YZR</t>
  </si>
  <si>
    <t>CYZR</t>
  </si>
  <si>
    <t>Sarnia (Chris Hadfield) Airport</t>
  </si>
  <si>
    <t>YZS</t>
  </si>
  <si>
    <t>CYZS</t>
  </si>
  <si>
    <t>Coral Harbour Airport</t>
  </si>
  <si>
    <t>YZT</t>
  </si>
  <si>
    <t>CYZT</t>
  </si>
  <si>
    <t>Port Hardy Airport</t>
  </si>
  <si>
    <t>YZU</t>
  </si>
  <si>
    <t>CYZU</t>
  </si>
  <si>
    <t>Whitecourt Airport</t>
  </si>
  <si>
    <t>YZV</t>
  </si>
  <si>
    <t>CYZV</t>
  </si>
  <si>
    <t>Sept-Îles Airport</t>
  </si>
  <si>
    <t>YZW</t>
  </si>
  <si>
    <t>CYZW</t>
  </si>
  <si>
    <t>Teslin Airport</t>
  </si>
  <si>
    <t>YZX</t>
  </si>
  <si>
    <t>CYZX</t>
  </si>
  <si>
    <t>Greenwood Airport</t>
  </si>
  <si>
    <t>YZY</t>
  </si>
  <si>
    <t>CYZY</t>
  </si>
  <si>
    <t>Mackenzie Airport</t>
  </si>
  <si>
    <t>YZZ</t>
  </si>
  <si>
    <t>CAD4</t>
  </si>
  <si>
    <t>Trail Airport</t>
  </si>
  <si>
    <t>ZAC</t>
  </si>
  <si>
    <t>CZAC</t>
  </si>
  <si>
    <t>York Landing Airport</t>
  </si>
  <si>
    <t>ZAD</t>
  </si>
  <si>
    <t>LDZD</t>
  </si>
  <si>
    <t>Zadar Airport</t>
  </si>
  <si>
    <t>ZAG</t>
  </si>
  <si>
    <t>LDZA</t>
  </si>
  <si>
    <t>Zagreb Airport</t>
  </si>
  <si>
    <t>ZAH</t>
  </si>
  <si>
    <t>OIZH</t>
  </si>
  <si>
    <t>Zahedan International Airport</t>
  </si>
  <si>
    <t>ZAJ</t>
  </si>
  <si>
    <t>OAZJ</t>
  </si>
  <si>
    <t>Zaranj Airport</t>
  </si>
  <si>
    <t>ZAL</t>
  </si>
  <si>
    <t>SCVD</t>
  </si>
  <si>
    <t>Pichoy Airport</t>
  </si>
  <si>
    <t>SCVL</t>
  </si>
  <si>
    <t>ZAM</t>
  </si>
  <si>
    <t>RPMZ</t>
  </si>
  <si>
    <t>Zamboanga International Airport</t>
  </si>
  <si>
    <t>ZAO</t>
  </si>
  <si>
    <t>LFCC</t>
  </si>
  <si>
    <t>Cahors-Lalbenque Airport</t>
  </si>
  <si>
    <t>ZAR</t>
  </si>
  <si>
    <t>DNZA</t>
  </si>
  <si>
    <t>Zaria Airport</t>
  </si>
  <si>
    <t>ZAT</t>
  </si>
  <si>
    <t>ZPZT</t>
  </si>
  <si>
    <t>Zhaotong Airport</t>
  </si>
  <si>
    <t>ZAZ</t>
  </si>
  <si>
    <t>LEZG</t>
  </si>
  <si>
    <t>Zaragoza Airport</t>
  </si>
  <si>
    <t>ZBD</t>
  </si>
  <si>
    <t>CZBD</t>
  </si>
  <si>
    <t>Ilford Airport</t>
  </si>
  <si>
    <t>ZBE</t>
  </si>
  <si>
    <t>LKZA</t>
  </si>
  <si>
    <t>Zabreh Ostrava Airport</t>
  </si>
  <si>
    <t>ZBF</t>
  </si>
  <si>
    <t>CZBF</t>
  </si>
  <si>
    <t>ZBM</t>
  </si>
  <si>
    <t>CZBM</t>
  </si>
  <si>
    <t>Bromont Airport</t>
  </si>
  <si>
    <t>ZBO</t>
  </si>
  <si>
    <t>YBWN</t>
  </si>
  <si>
    <t>Bowen Airport</t>
  </si>
  <si>
    <t>ZBR</t>
  </si>
  <si>
    <t>OIZC</t>
  </si>
  <si>
    <t>Konarak Airport</t>
  </si>
  <si>
    <t>ZBY</t>
  </si>
  <si>
    <t>VLSB</t>
  </si>
  <si>
    <t>Sayaboury Airport</t>
  </si>
  <si>
    <t>ZCD</t>
  </si>
  <si>
    <t>ETEJ</t>
  </si>
  <si>
    <t>Bamberg-Breitenau Airport</t>
  </si>
  <si>
    <t>ZCL</t>
  </si>
  <si>
    <t>MMZC</t>
  </si>
  <si>
    <t>General Leobardo C. Ruiz International Airport</t>
  </si>
  <si>
    <t>ZCN</t>
  </si>
  <si>
    <t>ETHC</t>
  </si>
  <si>
    <t>Celle Airport</t>
  </si>
  <si>
    <t>ZCO</t>
  </si>
  <si>
    <t>SCTC</t>
  </si>
  <si>
    <t>Maquehue Airport</t>
  </si>
  <si>
    <t>ZEC</t>
  </si>
  <si>
    <t>FASC</t>
  </si>
  <si>
    <t>Secunda Airport</t>
  </si>
  <si>
    <t>ZEE</t>
  </si>
  <si>
    <t>CZEE</t>
  </si>
  <si>
    <t>Kelsey Airport</t>
  </si>
  <si>
    <t>ZEF</t>
  </si>
  <si>
    <t>KZEF</t>
  </si>
  <si>
    <t>Elkin Municipal Airport</t>
  </si>
  <si>
    <t>ZEM</t>
  </si>
  <si>
    <t>CZEM</t>
  </si>
  <si>
    <t>Eastmain River Airport</t>
  </si>
  <si>
    <t>ZER</t>
  </si>
  <si>
    <t>VEZO</t>
  </si>
  <si>
    <t>Zero Airport</t>
  </si>
  <si>
    <t>KZER</t>
  </si>
  <si>
    <t>Schuylkill County Airport (Joe Zerbey Field)</t>
  </si>
  <si>
    <t>ZFA</t>
  </si>
  <si>
    <t>CZFA</t>
  </si>
  <si>
    <t>Faro Airport</t>
  </si>
  <si>
    <t>ZFD</t>
  </si>
  <si>
    <t>CZFD</t>
  </si>
  <si>
    <t>Fond-du-Lac Airport</t>
  </si>
  <si>
    <t>ZFG</t>
  </si>
  <si>
    <t>ZFM</t>
  </si>
  <si>
    <t>CZFM</t>
  </si>
  <si>
    <t>Fort McPherson Airport</t>
  </si>
  <si>
    <t>ZFN</t>
  </si>
  <si>
    <t>CZFN</t>
  </si>
  <si>
    <t>Tulita Airport</t>
  </si>
  <si>
    <t>ZGC</t>
  </si>
  <si>
    <t>ZLLL</t>
  </si>
  <si>
    <t>Lanzhou Zhongchuan Airport</t>
  </si>
  <si>
    <t>ZGF</t>
  </si>
  <si>
    <t>CZGF</t>
  </si>
  <si>
    <t>Grand Forks Airport</t>
  </si>
  <si>
    <t>ZGI</t>
  </si>
  <si>
    <t>CZGI</t>
  </si>
  <si>
    <t>Gods River Airport</t>
  </si>
  <si>
    <t>ZGL</t>
  </si>
  <si>
    <t>YSGW</t>
  </si>
  <si>
    <t>South Galway Airport</t>
  </si>
  <si>
    <t>ZGM</t>
  </si>
  <si>
    <t>FLNA</t>
  </si>
  <si>
    <t>Ngoma Airport</t>
  </si>
  <si>
    <t>ZGR</t>
  </si>
  <si>
    <t>CZGR</t>
  </si>
  <si>
    <t>Little Grand Rapids Airport</t>
  </si>
  <si>
    <t>ZGU</t>
  </si>
  <si>
    <t>NVSQ</t>
  </si>
  <si>
    <t>Gaua Island Airport</t>
  </si>
  <si>
    <t>ZHA</t>
  </si>
  <si>
    <t>ZGZJ</t>
  </si>
  <si>
    <t>Zhanjiang Airport</t>
  </si>
  <si>
    <t>ZHI</t>
  </si>
  <si>
    <t>LSZG</t>
  </si>
  <si>
    <t>Grenchen Airport</t>
  </si>
  <si>
    <t>ZHM</t>
  </si>
  <si>
    <t>VGSH</t>
  </si>
  <si>
    <t>Shamshernagar Airport</t>
  </si>
  <si>
    <t>ZHP</t>
  </si>
  <si>
    <t>CZHP</t>
  </si>
  <si>
    <t>High Prairie</t>
  </si>
  <si>
    <t>ZHV</t>
  </si>
  <si>
    <t>LSGC</t>
  </si>
  <si>
    <t>Les Eplatures Airport</t>
  </si>
  <si>
    <t>ZIA</t>
  </si>
  <si>
    <t>UUBW</t>
  </si>
  <si>
    <t>Zhukovsky International Airport</t>
  </si>
  <si>
    <t>ZIC</t>
  </si>
  <si>
    <t>SCTO</t>
  </si>
  <si>
    <t>Victoria Airport</t>
  </si>
  <si>
    <t>ZIG</t>
  </si>
  <si>
    <t>GOGG</t>
  </si>
  <si>
    <t>Ziguinchor Airport</t>
  </si>
  <si>
    <t>ZIH</t>
  </si>
  <si>
    <t>MMZH</t>
  </si>
  <si>
    <t>Ixtapa-Zihuatanejo International Airport</t>
  </si>
  <si>
    <t>ZIN</t>
  </si>
  <si>
    <t>LSMI</t>
  </si>
  <si>
    <t>Interlaken Air Base</t>
  </si>
  <si>
    <t>ZJG</t>
  </si>
  <si>
    <t>CZJG</t>
  </si>
  <si>
    <t>Jenpeg Airport</t>
  </si>
  <si>
    <t>ZJI</t>
  </si>
  <si>
    <t>LSZL</t>
  </si>
  <si>
    <t>Locarno Airport</t>
  </si>
  <si>
    <t>ZJN</t>
  </si>
  <si>
    <t>CZJN</t>
  </si>
  <si>
    <t>Swan River Airport</t>
  </si>
  <si>
    <t>ZKB</t>
  </si>
  <si>
    <t>FLKY</t>
  </si>
  <si>
    <t>Kasaba Bay Airport</t>
  </si>
  <si>
    <t>ZKE</t>
  </si>
  <si>
    <t>CZKE</t>
  </si>
  <si>
    <t>Kashechewan Airport</t>
  </si>
  <si>
    <t>ZKM</t>
  </si>
  <si>
    <t>FOOS</t>
  </si>
  <si>
    <t>Sette Cama Airport</t>
  </si>
  <si>
    <t>ZKP</t>
  </si>
  <si>
    <t>FLKE</t>
  </si>
  <si>
    <t>Kasompe Airport</t>
  </si>
  <si>
    <t>ZLO</t>
  </si>
  <si>
    <t>MMZO</t>
  </si>
  <si>
    <t>Playa de Oro International Airport</t>
  </si>
  <si>
    <t>ZLR</t>
  </si>
  <si>
    <t>SCLN</t>
  </si>
  <si>
    <t>Municipal de Linares Airport</t>
  </si>
  <si>
    <t>ZLT</t>
  </si>
  <si>
    <t>CTU5</t>
  </si>
  <si>
    <t>La Tabatière Airport</t>
  </si>
  <si>
    <t>ZMG</t>
  </si>
  <si>
    <t>EDBM</t>
  </si>
  <si>
    <t>Magdeburg Airport</t>
  </si>
  <si>
    <t>ZMM</t>
  </si>
  <si>
    <t>MMZM</t>
  </si>
  <si>
    <t>Zamora Airport</t>
  </si>
  <si>
    <t>ZMT</t>
  </si>
  <si>
    <t>CZMT</t>
  </si>
  <si>
    <t>Masset Airport</t>
  </si>
  <si>
    <t>ZND</t>
  </si>
  <si>
    <t>DRZR</t>
  </si>
  <si>
    <t>Zinder Airport</t>
  </si>
  <si>
    <t>ZNE</t>
  </si>
  <si>
    <t>YNWN</t>
  </si>
  <si>
    <t>Newman Airport</t>
  </si>
  <si>
    <t>ZNF</t>
  </si>
  <si>
    <t>ETID</t>
  </si>
  <si>
    <t>Hanau Army Air Field</t>
  </si>
  <si>
    <t>ZNG</t>
  </si>
  <si>
    <t>CZNG</t>
  </si>
  <si>
    <t>Poplar River Airport</t>
  </si>
  <si>
    <t>ZNZ</t>
  </si>
  <si>
    <t>HTZA</t>
  </si>
  <si>
    <t>Zanzibar Airport</t>
  </si>
  <si>
    <t>ZOS</t>
  </si>
  <si>
    <t>SCJO</t>
  </si>
  <si>
    <t>Canal Bajo Carlos Hott Siebert Airport</t>
  </si>
  <si>
    <t>ZOW</t>
  </si>
  <si>
    <t>EDWN</t>
  </si>
  <si>
    <t>Nordhorn-Lingen Airport</t>
  </si>
  <si>
    <t>ZPB</t>
  </si>
  <si>
    <t>CZPB</t>
  </si>
  <si>
    <t>Sachigo Lake Airport</t>
  </si>
  <si>
    <t>ZPC</t>
  </si>
  <si>
    <t>SCPC</t>
  </si>
  <si>
    <t>Pucón Airport</t>
  </si>
  <si>
    <t>ZPH</t>
  </si>
  <si>
    <t>KZPH</t>
  </si>
  <si>
    <t>Zephyrhills Municipal Airport</t>
  </si>
  <si>
    <t>ZPQ</t>
  </si>
  <si>
    <t>ETHE</t>
  </si>
  <si>
    <t>Rheine Air Base</t>
  </si>
  <si>
    <t>ZQL</t>
  </si>
  <si>
    <t>EDTD</t>
  </si>
  <si>
    <t>Donaueschingen-Villingen Airport</t>
  </si>
  <si>
    <t>ZQN</t>
  </si>
  <si>
    <t>NZQN</t>
  </si>
  <si>
    <t>ZQV</t>
  </si>
  <si>
    <t>EDFV</t>
  </si>
  <si>
    <t>Worms Airport</t>
  </si>
  <si>
    <t>ZQW</t>
  </si>
  <si>
    <t>EDRZ</t>
  </si>
  <si>
    <t>Zweibrücken Airport</t>
  </si>
  <si>
    <t>ZRH</t>
  </si>
  <si>
    <t>LSZH</t>
  </si>
  <si>
    <t>Zurich Airport</t>
  </si>
  <si>
    <t>ZRI</t>
  </si>
  <si>
    <t>WABO</t>
  </si>
  <si>
    <t>Serui Airport</t>
  </si>
  <si>
    <t>ZRJ</t>
  </si>
  <si>
    <t>CZRJ</t>
  </si>
  <si>
    <t>Round Lake (Weagamow Lake) Airport</t>
  </si>
  <si>
    <t>ZRM</t>
  </si>
  <si>
    <t>WAJI</t>
  </si>
  <si>
    <t>Sarmi Airport</t>
  </si>
  <si>
    <t>ZSA</t>
  </si>
  <si>
    <t>MYSM</t>
  </si>
  <si>
    <t>San Salvador Airport</t>
  </si>
  <si>
    <t>ZSE</t>
  </si>
  <si>
    <t>FMEP</t>
  </si>
  <si>
    <t>Pierrefonds Airport</t>
  </si>
  <si>
    <t>ZSJ</t>
  </si>
  <si>
    <t>CZSJ</t>
  </si>
  <si>
    <t>Sandy Lake Airport</t>
  </si>
  <si>
    <t>ZSN</t>
  </si>
  <si>
    <t>CZSN</t>
  </si>
  <si>
    <t>South Indian Lake Airport</t>
  </si>
  <si>
    <t>ZSS</t>
  </si>
  <si>
    <t>DISS</t>
  </si>
  <si>
    <t>Sassandra Airport</t>
  </si>
  <si>
    <t>ZST</t>
  </si>
  <si>
    <t>CZST</t>
  </si>
  <si>
    <t>Stewart Airport</t>
  </si>
  <si>
    <t>ZTA</t>
  </si>
  <si>
    <t>NTGY</t>
  </si>
  <si>
    <t>Tureira Airport</t>
  </si>
  <si>
    <t>ZTB</t>
  </si>
  <si>
    <t>CTB6</t>
  </si>
  <si>
    <t>Tête-à-la-Baleine Airport</t>
  </si>
  <si>
    <t>ZTH</t>
  </si>
  <si>
    <t>LGZA</t>
  </si>
  <si>
    <t>Zakynthos International Airport, "Dionysios Solomos"</t>
  </si>
  <si>
    <t>ZTM</t>
  </si>
  <si>
    <t>CZTM</t>
  </si>
  <si>
    <t>Shamattawa Airport</t>
  </si>
  <si>
    <t>ZTU</t>
  </si>
  <si>
    <t>UBBY</t>
  </si>
  <si>
    <t>Zaqatala International Airport</t>
  </si>
  <si>
    <t>ZUC</t>
  </si>
  <si>
    <t>CZUC</t>
  </si>
  <si>
    <t>Ignace Municipal Airport</t>
  </si>
  <si>
    <t>ZUD</t>
  </si>
  <si>
    <t>SCAC</t>
  </si>
  <si>
    <t>Pupelde Airport</t>
  </si>
  <si>
    <t>ZUH</t>
  </si>
  <si>
    <t>ZGSD</t>
  </si>
  <si>
    <t>Zhuhai Airport</t>
  </si>
  <si>
    <t>ZUL</t>
  </si>
  <si>
    <t>OEZL</t>
  </si>
  <si>
    <t>Zilfi Airport</t>
  </si>
  <si>
    <t>ZUM</t>
  </si>
  <si>
    <t>CZUM</t>
  </si>
  <si>
    <t>Churchill Falls Airport</t>
  </si>
  <si>
    <t>ZUN</t>
  </si>
  <si>
    <t>KZUN</t>
  </si>
  <si>
    <t>Black Rock Airport</t>
  </si>
  <si>
    <t>ZVA</t>
  </si>
  <si>
    <t>FMMN</t>
  </si>
  <si>
    <t>Miandrivazo Airport</t>
  </si>
  <si>
    <t>ZVK</t>
  </si>
  <si>
    <t>VLSK</t>
  </si>
  <si>
    <t>Savannakhet Airport</t>
  </si>
  <si>
    <t>ZWA</t>
  </si>
  <si>
    <t>FMND</t>
  </si>
  <si>
    <t>Andapa Airport</t>
  </si>
  <si>
    <t>ZWH</t>
  </si>
  <si>
    <t>CZWH</t>
  </si>
  <si>
    <t>Lac Brochet Airport</t>
  </si>
  <si>
    <t>ZWL</t>
  </si>
  <si>
    <t>CZWL</t>
  </si>
  <si>
    <t>Wollaston Lake Airport</t>
  </si>
  <si>
    <t>ZYI</t>
  </si>
  <si>
    <t>ZUZY</t>
  </si>
  <si>
    <t>Zunyi Airport</t>
  </si>
  <si>
    <t>ZYL</t>
  </si>
  <si>
    <t>VGSY</t>
  </si>
  <si>
    <t>Osmany International Airport</t>
  </si>
  <si>
    <t>ZZO</t>
  </si>
  <si>
    <t>UHSO</t>
  </si>
  <si>
    <t>Zonalnoye Airport</t>
  </si>
  <si>
    <t>ZZU</t>
  </si>
  <si>
    <t>FWUU</t>
  </si>
  <si>
    <t>Mzuzu Airport</t>
  </si>
  <si>
    <t>ZZV</t>
  </si>
  <si>
    <t>KZZV</t>
  </si>
  <si>
    <t>Zanesville Municipal Airport</t>
  </si>
  <si>
    <t>None</t>
  </si>
  <si>
    <t>Side Non-Corner</t>
  </si>
  <si>
    <t>Side Corner</t>
  </si>
  <si>
    <t>Fwd/Aft Non-Corner</t>
  </si>
  <si>
    <t>Fwd/Aft Corner</t>
  </si>
  <si>
    <t>None,Side Non-Corner,Side Corner,Fwd/Aft Non-Corner,Fwd/Aft Non-Corner</t>
  </si>
  <si>
    <t>TIEDOWN</t>
  </si>
  <si>
    <t>WITHOUT TIE DOWN</t>
  </si>
  <si>
    <t>LD-1</t>
  </si>
  <si>
    <t>LD-2</t>
  </si>
  <si>
    <t>LD-3</t>
  </si>
  <si>
    <t>LD-4</t>
  </si>
  <si>
    <t>LD-8</t>
  </si>
  <si>
    <t>CAPTAIN</t>
  </si>
  <si>
    <t>Load Master</t>
  </si>
  <si>
    <t>DATE</t>
  </si>
  <si>
    <t>AIRPORT</t>
  </si>
  <si>
    <t>Specification</t>
  </si>
  <si>
    <t>Origin</t>
  </si>
  <si>
    <t>Destination</t>
  </si>
  <si>
    <t>Lav Fluids</t>
  </si>
  <si>
    <t>Aircraft REG</t>
  </si>
  <si>
    <t>Taxi Fuel</t>
  </si>
  <si>
    <t>G1 Galley Consumables</t>
  </si>
  <si>
    <t>Take-off Fuel</t>
  </si>
  <si>
    <t>FAK</t>
  </si>
  <si>
    <t>Observer</t>
  </si>
  <si>
    <t>Trip Fuel</t>
  </si>
  <si>
    <t>Flight Number</t>
  </si>
  <si>
    <t>Total fuel</t>
  </si>
  <si>
    <t>DANGEROUS GOODS?</t>
  </si>
  <si>
    <t>RTOW</t>
  </si>
  <si>
    <t>SPECIAL LOAD?</t>
  </si>
  <si>
    <t>LIVE ANIMALS?</t>
  </si>
  <si>
    <t>Position</t>
  </si>
  <si>
    <t>Pallet Number</t>
  </si>
  <si>
    <t>Special Load instructions</t>
  </si>
  <si>
    <t>Mass (Kgs)</t>
  </si>
  <si>
    <t>Missing Constrains</t>
  </si>
  <si>
    <t>Max Mass (Kgs)</t>
  </si>
  <si>
    <t>Lateral Imbalance</t>
  </si>
  <si>
    <t xml:space="preserve">FLOATER A PALLETS </t>
  </si>
  <si>
    <t xml:space="preserve">FLOATER A Weights (Kgs) </t>
  </si>
  <si>
    <t>FLOATER B PALLETS</t>
  </si>
  <si>
    <t>FLOATER B Weights (Kgs)</t>
  </si>
  <si>
    <t>*TO USE FLOATERS DON’T USE CONFIGURATION A</t>
  </si>
  <si>
    <t>LOWER DECK</t>
  </si>
  <si>
    <t>FWD CARGO HOLD</t>
  </si>
  <si>
    <t>ALF CARGO HOLD</t>
  </si>
  <si>
    <t>HOLD</t>
  </si>
  <si>
    <t>Bulk</t>
  </si>
  <si>
    <t>ULD Type</t>
  </si>
  <si>
    <t>Mass (KG)</t>
  </si>
  <si>
    <t>Max Mass (KG)</t>
  </si>
  <si>
    <t>HOLD 11L</t>
  </si>
  <si>
    <t>HOLD 12L</t>
  </si>
  <si>
    <t>HOLD 13L</t>
  </si>
  <si>
    <t>HOLD 21L</t>
  </si>
  <si>
    <t>HOLD 22L</t>
  </si>
  <si>
    <t>HOLD 23L</t>
  </si>
  <si>
    <t>HOLD 31L</t>
  </si>
  <si>
    <t>HOLD 32L</t>
  </si>
  <si>
    <t>HOLD 33L</t>
  </si>
  <si>
    <t>HOLD 41L</t>
  </si>
  <si>
    <t>HOLD 42L</t>
  </si>
  <si>
    <t>Captain</t>
  </si>
  <si>
    <t>E.I.C. (Equipment in Compartment)</t>
  </si>
  <si>
    <t>Maximum weights for:</t>
  </si>
  <si>
    <t>ZERO FUEL</t>
  </si>
  <si>
    <t>TAKE-OFF</t>
  </si>
  <si>
    <t>LANDING</t>
  </si>
  <si>
    <t>The weight of all pallets, loadspreaders, nets and any other equipment carried on the aircraft but not included in the Dry Operating Weight and Index, must be included in the overall weight per compartment.</t>
  </si>
  <si>
    <t>Take-off fuel</t>
  </si>
  <si>
    <t>Trip fuel</t>
  </si>
  <si>
    <t>Allowed weight for take-off</t>
  </si>
  <si>
    <t>a</t>
  </si>
  <si>
    <t>b</t>
  </si>
  <si>
    <t>c</t>
  </si>
  <si>
    <t>(lowest of a, b or c.)</t>
  </si>
  <si>
    <t>Basic Empty Weight</t>
  </si>
  <si>
    <t>=</t>
  </si>
  <si>
    <t>Operating Weight</t>
  </si>
  <si>
    <t>Lav Fluid</t>
  </si>
  <si>
    <t>ALLOWED TRAFFIC LOAD</t>
  </si>
  <si>
    <t>Total Traffic Load</t>
  </si>
  <si>
    <t>UNDERLOAD BEFORE L.M.C.'s</t>
  </si>
  <si>
    <t>DRY OPERATING WEIGHT</t>
  </si>
  <si>
    <t>OPERATING WEIGHT</t>
  </si>
  <si>
    <t>Bay no</t>
  </si>
  <si>
    <t>R&amp;L</t>
  </si>
  <si>
    <t>Actual</t>
  </si>
  <si>
    <t>HOLD 11</t>
  </si>
  <si>
    <t>HOLD 12</t>
  </si>
  <si>
    <t>HOLD 13</t>
  </si>
  <si>
    <t>HOLD 21</t>
  </si>
  <si>
    <t>HOLD 22</t>
  </si>
  <si>
    <t>HOLD 23</t>
  </si>
  <si>
    <t>FWD</t>
  </si>
  <si>
    <t>HOLD 31</t>
  </si>
  <si>
    <t>HOLD 32</t>
  </si>
  <si>
    <t>HOLD 33</t>
  </si>
  <si>
    <t>HOLD 41</t>
  </si>
  <si>
    <t>HOLD 42</t>
  </si>
  <si>
    <t>TOTAL</t>
  </si>
  <si>
    <t>RIGHT</t>
  </si>
  <si>
    <t>LEFT</t>
  </si>
  <si>
    <t>Total Lower Deck</t>
  </si>
  <si>
    <t xml:space="preserve">                  LMC   </t>
  </si>
  <si>
    <t>Allowed Traffic Load</t>
  </si>
  <si>
    <t>Dry Operating Weight</t>
  </si>
  <si>
    <t xml:space="preserve">      +                  
LMC</t>
  </si>
  <si>
    <t xml:space="preserve">      =                     
LMC</t>
  </si>
  <si>
    <t>Underload before L.M.C.'s</t>
  </si>
  <si>
    <t xml:space="preserve">      +                    
 LMC</t>
  </si>
  <si>
    <t>LAST MINUTE CHANGES</t>
  </si>
  <si>
    <t>Dest</t>
  </si>
  <si>
    <t>±</t>
  </si>
  <si>
    <t>Weight</t>
  </si>
  <si>
    <t xml:space="preserve">      =  
LMC</t>
  </si>
  <si>
    <t xml:space="preserve">      -                    
 LMC</t>
  </si>
  <si>
    <t xml:space="preserve">      =                    
 LMC</t>
  </si>
  <si>
    <t>L.M.C. Total</t>
  </si>
  <si>
    <t>Take off Fuel</t>
  </si>
  <si>
    <t>Landing Fuel</t>
  </si>
  <si>
    <t>SIGN</t>
  </si>
  <si>
    <t>Name</t>
  </si>
  <si>
    <t>Sign</t>
  </si>
  <si>
    <t>WEIGHT [Lbs]</t>
  </si>
  <si>
    <t>TAKE OFF</t>
  </si>
  <si>
    <t>FUEL</t>
  </si>
  <si>
    <t>FLAP</t>
  </si>
  <si>
    <t>Take off fuel</t>
  </si>
  <si>
    <t>Landing fuel</t>
  </si>
  <si>
    <t>STAB.</t>
  </si>
  <si>
    <t>Total Traffic Load Index</t>
  </si>
  <si>
    <t>DESIGNATION</t>
  </si>
  <si>
    <t>SIGNATURE</t>
  </si>
  <si>
    <t>Arm -IN</t>
  </si>
  <si>
    <t>LW</t>
  </si>
  <si>
    <t>% Mac</t>
  </si>
  <si>
    <t>Basic empty Weight</t>
  </si>
  <si>
    <t>Aircraft weight</t>
  </si>
  <si>
    <t>5Y-SVR</t>
  </si>
  <si>
    <t>A2L</t>
  </si>
  <si>
    <t>A3L</t>
  </si>
  <si>
    <t>A4L</t>
  </si>
  <si>
    <t>A5L</t>
  </si>
  <si>
    <t>A6L</t>
  </si>
  <si>
    <t>A7L</t>
  </si>
  <si>
    <t>A8L</t>
  </si>
  <si>
    <t>A9L</t>
  </si>
  <si>
    <t>A10L</t>
  </si>
  <si>
    <t>A11L</t>
  </si>
  <si>
    <t>A12L</t>
  </si>
  <si>
    <t>Weight (Lbs)</t>
  </si>
  <si>
    <t>Zone Max Mass (Lbs)</t>
  </si>
  <si>
    <t>Zone Mass (Lbs)</t>
  </si>
  <si>
    <t>Mass (Lbs)</t>
  </si>
  <si>
    <t xml:space="preserve">FLOATER A Weights (Lbs) </t>
  </si>
  <si>
    <t>FLOATER B Weights (Lbs)</t>
  </si>
  <si>
    <t>Lbs</t>
  </si>
  <si>
    <t>HOLD 14 R</t>
  </si>
  <si>
    <t xml:space="preserve">HOLD 34R </t>
  </si>
  <si>
    <t xml:space="preserve">HOLD 41R </t>
  </si>
  <si>
    <t>HOLD 14L</t>
  </si>
  <si>
    <t>HOLD 24L</t>
  </si>
  <si>
    <t>HOLD 43L</t>
  </si>
  <si>
    <t>HOLD 14</t>
  </si>
  <si>
    <t>HOLD 24</t>
  </si>
  <si>
    <t>HOLD 34</t>
  </si>
  <si>
    <t>HOLD 43</t>
  </si>
  <si>
    <t>P6</t>
  </si>
  <si>
    <t>SN-24146</t>
  </si>
  <si>
    <t>All weights in Pounds unless stated otherwise.</t>
  </si>
  <si>
    <t>TTL</t>
  </si>
  <si>
    <t>%MAC=ARM-913.2/237.5</t>
  </si>
  <si>
    <t>Weight Kgs</t>
  </si>
  <si>
    <t>MaxTOW</t>
  </si>
  <si>
    <t>FERRY LIM</t>
  </si>
  <si>
    <t>LD</t>
  </si>
  <si>
    <t>B.A.</t>
  </si>
  <si>
    <t>LD_AB</t>
  </si>
  <si>
    <t>LD_CD</t>
  </si>
  <si>
    <t>LD_EF</t>
  </si>
  <si>
    <t>CLIM</t>
  </si>
  <si>
    <t>Non FERRY LIM</t>
  </si>
  <si>
    <t>CLIM_AB</t>
  </si>
  <si>
    <t>CLIM_CD</t>
  </si>
  <si>
    <t>MaxTAXI</t>
  </si>
  <si>
    <t>CLIM_EF</t>
  </si>
  <si>
    <t>CLIM_GH</t>
  </si>
  <si>
    <t>MaxZFW</t>
  </si>
  <si>
    <t>MaxZFW_Non_Ferry</t>
  </si>
  <si>
    <t>MaxLW</t>
  </si>
  <si>
    <t>MaxZFW_Ferry</t>
  </si>
  <si>
    <t>MAX. 309,000</t>
  </si>
  <si>
    <t>MAX. 326,000</t>
  </si>
  <si>
    <t>LAV</t>
  </si>
  <si>
    <t>GALLEY</t>
  </si>
  <si>
    <t>B 767-338 F SN- 24146                                                                                                                        Balance Chart</t>
  </si>
  <si>
    <t>(Lbs-IN)</t>
  </si>
  <si>
    <t>I hereby certify the load distribution to be in accordance with the B767-338 F Weight and Balance Manual and that the Maximum Certified Weights of the aircraft have not been exceeded.</t>
  </si>
  <si>
    <t>Kgs</t>
  </si>
  <si>
    <t>Litres</t>
  </si>
  <si>
    <t>index</t>
  </si>
  <si>
    <t>FORWARD</t>
  </si>
  <si>
    <t>P5</t>
  </si>
  <si>
    <t>FIRST OFFICER</t>
  </si>
  <si>
    <t>DOI=[MASS(Lbs)*(ba-972.6)/200000]+75</t>
  </si>
  <si>
    <t>DOI=[MASS(Kgs)*(ba-972.60)/90704]+75</t>
  </si>
  <si>
    <t>Weights (Lbs)</t>
  </si>
  <si>
    <t>HOLD 34L</t>
  </si>
  <si>
    <t>TOTAL TRAFFIC LOAD INDEX</t>
  </si>
  <si>
    <t>Operational Items</t>
  </si>
  <si>
    <t xml:space="preserve">5 ,15  and 20 </t>
  </si>
  <si>
    <t>LATERAL IMBALANCE (MAIN DECK)</t>
  </si>
  <si>
    <t>Total Main Deck</t>
  </si>
  <si>
    <t xml:space="preserve">Total Traffic Load </t>
  </si>
  <si>
    <t>Δ   =</t>
  </si>
  <si>
    <t xml:space="preserve">LATERAL IMBALANCE </t>
  </si>
  <si>
    <t>TOTAL LATERAL IMBALANCE</t>
  </si>
  <si>
    <t>Total Gross Weight (Kgs)</t>
  </si>
  <si>
    <t>Total Net Weight (Kgs)</t>
  </si>
  <si>
    <t>C.G</t>
  </si>
  <si>
    <t>HOLD 11P6</t>
  </si>
  <si>
    <t>HOLD 13P6</t>
  </si>
  <si>
    <t>HOLD 21P6</t>
  </si>
  <si>
    <t>HOLD 23P6</t>
  </si>
  <si>
    <t>A</t>
  </si>
  <si>
    <t>PAJ 0083 8V</t>
  </si>
  <si>
    <t>B767-300</t>
  </si>
  <si>
    <t>B767-338 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</si>
</sst>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dd\-mmm\-yyyy"/>
    <numFmt numFmtId="165" formatCode="#,##0.0"/>
    <numFmt numFmtId="166" formatCode="0.0%"/>
    <numFmt numFmtId="167" formatCode="#,##0_ ;\-#,##0\ "/>
    <numFmt numFmtId="168" formatCode="0.0"/>
    <numFmt numFmtId="169" formatCode="0.00000000"/>
    <numFmt numFmtId="170" formatCode="&quot;RTOW &quot;#"/>
    <numFmt numFmtId="171" formatCode="#,##0.000"/>
  </numFmts>
  <fonts count="4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sz val="18"/>
      <color theme="1"/>
      <name val="Calibri"/>
      <family val="2"/>
      <scheme val="minor"/>
    </font>
    <font>
      <sz val="8"/>
      <color theme="1"/>
      <name val="Calibri"/>
      <family val="2"/>
      <scheme val="minor"/>
    </font>
    <font>
      <sz val="9"/>
      <color theme="1"/>
      <name val="Calibri"/>
      <family val="2"/>
      <scheme val="minor"/>
    </font>
    <font>
      <b/>
      <sz val="10"/>
      <color theme="1"/>
      <name val="Calibri"/>
      <family val="2"/>
      <scheme val="minor"/>
    </font>
    <font>
      <sz val="10"/>
      <color theme="1"/>
      <name val="Calibri"/>
      <family val="2"/>
      <scheme val="minor"/>
    </font>
    <font>
      <b/>
      <sz val="8"/>
      <color theme="1"/>
      <name val="Calibri"/>
      <family val="2"/>
      <scheme val="minor"/>
    </font>
    <font>
      <sz val="8"/>
      <color theme="0"/>
      <name val="Calibri"/>
      <family val="2"/>
      <scheme val="minor"/>
    </font>
    <font>
      <b/>
      <sz val="20"/>
      <name val="Calibri"/>
      <family val="2"/>
    </font>
    <font>
      <b/>
      <sz val="12"/>
      <name val="Calibri"/>
      <family val="2"/>
    </font>
    <font>
      <b/>
      <sz val="11"/>
      <name val="Calibri"/>
      <family val="2"/>
    </font>
    <font>
      <sz val="11"/>
      <color theme="3" tint="-0.499984740745262"/>
      <name val="Calibri"/>
      <family val="2"/>
      <scheme val="minor"/>
    </font>
    <font>
      <sz val="12.5"/>
      <color rgb="FF000000"/>
      <name val="Calibri"/>
      <family val="2"/>
      <scheme val="minor"/>
    </font>
    <font>
      <b/>
      <sz val="26"/>
      <color rgb="FF000000"/>
      <name val="Calibri"/>
      <family val="2"/>
    </font>
    <font>
      <b/>
      <sz val="14"/>
      <color theme="1"/>
      <name val="Calibri"/>
      <family val="2"/>
      <scheme val="minor"/>
    </font>
    <font>
      <b/>
      <sz val="16"/>
      <color theme="8"/>
      <name val="Calibri"/>
      <family val="2"/>
      <scheme val="minor"/>
    </font>
    <font>
      <sz val="14"/>
      <color rgb="FFFF0000"/>
      <name val="Calibri"/>
      <family val="2"/>
      <scheme val="minor"/>
    </font>
    <font>
      <sz val="14"/>
      <color theme="2"/>
      <name val="Calibri"/>
      <family val="2"/>
      <scheme val="minor"/>
    </font>
    <font>
      <sz val="14"/>
      <color theme="0" tint="-0.14999847407452621"/>
      <name val="Calibri"/>
      <family val="2"/>
      <scheme val="minor"/>
    </font>
    <font>
      <sz val="22"/>
      <color rgb="FFFF0000"/>
      <name val="Calibri"/>
      <family val="2"/>
      <scheme val="minor"/>
    </font>
    <font>
      <b/>
      <sz val="16"/>
      <color theme="0"/>
      <name val="Calibri"/>
      <family val="2"/>
      <scheme val="minor"/>
    </font>
    <font>
      <b/>
      <sz val="14"/>
      <name val="Calibri"/>
      <family val="2"/>
      <scheme val="minor"/>
    </font>
    <font>
      <b/>
      <sz val="18"/>
      <color theme="1"/>
      <name val="Calibri"/>
      <family val="2"/>
      <scheme val="minor"/>
    </font>
    <font>
      <b/>
      <sz val="16"/>
      <color rgb="FF00B0F0"/>
      <name val="Calibri"/>
      <family val="2"/>
      <scheme val="minor"/>
    </font>
    <font>
      <b/>
      <sz val="14"/>
      <color rgb="FFFF0000"/>
      <name val="Calibri"/>
      <family val="2"/>
      <scheme val="minor"/>
    </font>
    <font>
      <b/>
      <sz val="14"/>
      <color theme="0"/>
      <name val="Calibri"/>
      <family val="2"/>
      <scheme val="minor"/>
    </font>
    <font>
      <sz val="16"/>
      <color theme="1"/>
      <name val="Calibri"/>
      <family val="2"/>
      <scheme val="minor"/>
    </font>
    <font>
      <b/>
      <sz val="16"/>
      <color rgb="FFFF0000"/>
      <name val="Calibri"/>
      <family val="2"/>
      <scheme val="minor"/>
    </font>
    <font>
      <b/>
      <sz val="16"/>
      <color theme="1"/>
      <name val="Calibri"/>
      <family val="2"/>
      <scheme val="minor"/>
    </font>
    <font>
      <u/>
      <sz val="11"/>
      <color theme="1"/>
      <name val="Calibri"/>
      <family val="2"/>
      <scheme val="minor"/>
    </font>
    <font>
      <sz val="11"/>
      <color theme="1" tint="4.9989318521683403E-2"/>
      <name val="Calibri"/>
      <family val="2"/>
      <scheme val="minor"/>
    </font>
    <font>
      <b/>
      <sz val="11"/>
      <color theme="1"/>
      <name val="Times New Roman"/>
      <family val="1"/>
    </font>
    <font>
      <sz val="11"/>
      <color theme="1"/>
      <name val="Times New Roman"/>
      <family val="1"/>
    </font>
    <font>
      <b/>
      <sz val="12"/>
      <color theme="1"/>
      <name val="Calibri"/>
      <family val="2"/>
      <scheme val="minor"/>
    </font>
    <font>
      <b/>
      <sz val="8"/>
      <color theme="1"/>
      <name val="Times New Roman"/>
      <family val="1"/>
    </font>
    <font>
      <sz val="18"/>
      <color theme="1"/>
      <name val="Calibri"/>
      <family val="2"/>
    </font>
    <font>
      <b/>
      <sz val="12"/>
      <color theme="1"/>
      <name val="Times New Roman"/>
      <family val="1"/>
    </font>
    <font>
      <sz val="11"/>
      <color theme="1"/>
      <name val="Calibri"/>
      <family val="2"/>
    </font>
    <font>
      <b/>
      <sz val="13"/>
      <color theme="1"/>
      <name val="Times New Roman"/>
      <family val="1"/>
    </font>
    <font>
      <sz val="13"/>
      <color theme="1"/>
      <name val="Times New Roman"/>
      <family val="1"/>
    </font>
    <font>
      <b/>
      <sz val="14"/>
      <color theme="1"/>
      <name val="Times New Roman"/>
      <family val="1"/>
    </font>
    <font>
      <b/>
      <sz val="10"/>
      <color theme="1"/>
      <name val="Times New Roman"/>
      <family val="1"/>
    </font>
    <font>
      <b/>
      <sz val="9"/>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1" tint="0.499984740745262"/>
        <bgColor indexed="64"/>
      </patternFill>
    </fill>
    <fill>
      <patternFill patternType="solid">
        <fgColor rgb="FFFFC000"/>
        <bgColor indexed="64"/>
      </patternFill>
    </fill>
    <fill>
      <patternFill patternType="solid">
        <fgColor theme="0"/>
        <bgColor indexed="64"/>
      </patternFill>
    </fill>
    <fill>
      <patternFill patternType="solid">
        <fgColor rgb="FFFF5B5B"/>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2"/>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139D3E"/>
        <bgColor indexed="64"/>
      </patternFill>
    </fill>
    <fill>
      <patternFill patternType="solid">
        <fgColor theme="8" tint="-0.249977111117893"/>
        <bgColor indexed="64"/>
      </patternFill>
    </fill>
    <fill>
      <patternFill patternType="solid">
        <fgColor theme="1"/>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6" tint="0.79998168889431442"/>
        <bgColor indexed="64"/>
      </patternFill>
    </fill>
  </fills>
  <borders count="1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diagonalUp="1" diagonalDown="1">
      <left style="medium">
        <color indexed="64"/>
      </left>
      <right style="thin">
        <color indexed="64"/>
      </right>
      <top style="medium">
        <color indexed="64"/>
      </top>
      <bottom style="thin">
        <color indexed="64"/>
      </bottom>
      <diagonal style="thin">
        <color auto="1"/>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diagonalUp="1" diagonalDown="1">
      <left style="thin">
        <color indexed="64"/>
      </left>
      <right style="medium">
        <color indexed="64"/>
      </right>
      <top style="thin">
        <color indexed="64"/>
      </top>
      <bottom style="thin">
        <color indexed="64"/>
      </bottom>
      <diagonal style="thin">
        <color auto="1"/>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medium">
        <color indexed="64"/>
      </top>
      <bottom/>
      <diagonal/>
    </border>
    <border>
      <left/>
      <right/>
      <top style="thin">
        <color indexed="64"/>
      </top>
      <bottom style="thin">
        <color indexed="64"/>
      </bottom>
      <diagonal/>
    </border>
    <border diagonalUp="1" diagonalDown="1">
      <left style="medium">
        <color indexed="64"/>
      </left>
      <right style="thin">
        <color indexed="64"/>
      </right>
      <top style="medium">
        <color indexed="64"/>
      </top>
      <bottom style="medium">
        <color indexed="64"/>
      </bottom>
      <diagonal style="thin">
        <color auto="1"/>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diagonalDown="1">
      <left style="medium">
        <color indexed="64"/>
      </left>
      <right style="medium">
        <color indexed="64"/>
      </right>
      <top style="medium">
        <color indexed="64"/>
      </top>
      <bottom style="medium">
        <color indexed="64"/>
      </bottom>
      <diagonal style="thin">
        <color indexed="64"/>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rgb="FF000000"/>
      </left>
      <right style="medium">
        <color rgb="FF000000"/>
      </right>
      <top style="medium">
        <color rgb="FF000000"/>
      </top>
      <bottom style="medium">
        <color rgb="FF000000"/>
      </bottom>
      <diagonal/>
    </border>
    <border>
      <left/>
      <right style="medium">
        <color indexed="64"/>
      </right>
      <top/>
      <bottom style="thin">
        <color indexed="64"/>
      </bottom>
      <diagonal/>
    </border>
    <border>
      <left style="thick">
        <color theme="1"/>
      </left>
      <right/>
      <top style="thick">
        <color theme="1"/>
      </top>
      <bottom style="thin">
        <color theme="1"/>
      </bottom>
      <diagonal/>
    </border>
    <border>
      <left/>
      <right style="thin">
        <color theme="1"/>
      </right>
      <top style="thick">
        <color theme="1"/>
      </top>
      <bottom style="thin">
        <color theme="1"/>
      </bottom>
      <diagonal/>
    </border>
    <border>
      <left style="thin">
        <color theme="1"/>
      </left>
      <right style="thick">
        <color theme="1"/>
      </right>
      <top style="thick">
        <color theme="1"/>
      </top>
      <bottom style="thin">
        <color theme="1"/>
      </bottom>
      <diagonal/>
    </border>
    <border>
      <left style="medium">
        <color indexed="64"/>
      </left>
      <right style="thick">
        <color theme="1"/>
      </right>
      <top style="medium">
        <color indexed="64"/>
      </top>
      <bottom style="medium">
        <color indexed="64"/>
      </bottom>
      <diagonal/>
    </border>
    <border>
      <left style="thick">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ck">
        <color theme="1"/>
      </right>
      <top style="thin">
        <color theme="1"/>
      </top>
      <bottom style="thin">
        <color theme="1"/>
      </bottom>
      <diagonal/>
    </border>
    <border>
      <left style="thin">
        <color indexed="64"/>
      </left>
      <right style="thick">
        <color theme="1"/>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style="thick">
        <color theme="1"/>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bottom/>
      <diagonal/>
    </border>
    <border>
      <left style="thin">
        <color indexed="64"/>
      </left>
      <right/>
      <top/>
      <bottom style="thin">
        <color indexed="64"/>
      </bottom>
      <diagonal/>
    </border>
    <border>
      <left/>
      <right style="thin">
        <color indexed="64"/>
      </right>
      <top style="thin">
        <color indexed="64"/>
      </top>
      <bottom/>
      <diagonal/>
    </border>
    <border>
      <left style="thick">
        <color theme="1"/>
      </left>
      <right/>
      <top style="thin">
        <color theme="1"/>
      </top>
      <bottom/>
      <diagonal/>
    </border>
    <border>
      <left/>
      <right style="thin">
        <color theme="1"/>
      </right>
      <top style="thin">
        <color theme="1"/>
      </top>
      <bottom/>
      <diagonal/>
    </border>
    <border>
      <left style="thick">
        <color theme="1"/>
      </left>
      <right/>
      <top/>
      <bottom style="thin">
        <color theme="1"/>
      </bottom>
      <diagonal/>
    </border>
    <border>
      <left/>
      <right style="thin">
        <color theme="1"/>
      </right>
      <top/>
      <bottom style="thin">
        <color theme="1"/>
      </bottom>
      <diagonal/>
    </border>
    <border>
      <left style="thin">
        <color theme="1"/>
      </left>
      <right style="thick">
        <color theme="1"/>
      </right>
      <top style="thin">
        <color theme="1"/>
      </top>
      <bottom/>
      <diagonal/>
    </border>
    <border>
      <left style="thin">
        <color theme="1"/>
      </left>
      <right style="thick">
        <color theme="1"/>
      </right>
      <top/>
      <bottom style="thin">
        <color theme="1"/>
      </bottom>
      <diagonal/>
    </border>
    <border>
      <left style="thick">
        <color theme="1"/>
      </left>
      <right/>
      <top/>
      <bottom style="thick">
        <color theme="1"/>
      </bottom>
      <diagonal/>
    </border>
    <border>
      <left/>
      <right style="thin">
        <color theme="1"/>
      </right>
      <top/>
      <bottom style="thick">
        <color theme="1"/>
      </bottom>
      <diagonal/>
    </border>
    <border>
      <left style="thin">
        <color theme="1"/>
      </left>
      <right style="thick">
        <color theme="1"/>
      </right>
      <top/>
      <bottom style="thick">
        <color theme="1"/>
      </bottom>
      <diagonal/>
    </border>
    <border>
      <left/>
      <right/>
      <top style="thick">
        <color auto="1"/>
      </top>
      <bottom/>
      <diagonal/>
    </border>
    <border>
      <left/>
      <right style="thick">
        <color auto="1"/>
      </right>
      <top style="thick">
        <color auto="1"/>
      </top>
      <bottom style="medium">
        <color indexed="64"/>
      </bottom>
      <diagonal/>
    </border>
    <border>
      <left style="thin">
        <color indexed="64"/>
      </left>
      <right style="thick">
        <color theme="1"/>
      </right>
      <top style="thin">
        <color indexed="64"/>
      </top>
      <bottom/>
      <diagonal/>
    </border>
    <border>
      <left style="medium">
        <color indexed="64"/>
      </left>
      <right style="medium">
        <color rgb="FF00B050"/>
      </right>
      <top style="medium">
        <color indexed="64"/>
      </top>
      <bottom style="medium">
        <color indexed="64"/>
      </bottom>
      <diagonal/>
    </border>
    <border>
      <left/>
      <right style="medium">
        <color rgb="FF00B050"/>
      </right>
      <top style="medium">
        <color indexed="64"/>
      </top>
      <bottom style="medium">
        <color indexed="64"/>
      </bottom>
      <diagonal/>
    </border>
    <border>
      <left style="medium">
        <color indexed="64"/>
      </left>
      <right style="medium">
        <color rgb="FF00B050"/>
      </right>
      <top style="thin">
        <color indexed="64"/>
      </top>
      <bottom style="thin">
        <color indexed="64"/>
      </bottom>
      <diagonal/>
    </border>
    <border>
      <left/>
      <right style="medium">
        <color rgb="FF00B050"/>
      </right>
      <top style="thin">
        <color indexed="64"/>
      </top>
      <bottom style="thin">
        <color indexed="64"/>
      </bottom>
      <diagonal/>
    </border>
    <border>
      <left style="medium">
        <color indexed="64"/>
      </left>
      <right style="medium">
        <color rgb="FF00B050"/>
      </right>
      <top style="thin">
        <color indexed="64"/>
      </top>
      <bottom style="medium">
        <color indexed="64"/>
      </bottom>
      <diagonal/>
    </border>
    <border>
      <left/>
      <right style="medium">
        <color rgb="FF00B050"/>
      </right>
      <top/>
      <bottom/>
      <diagonal/>
    </border>
    <border>
      <left/>
      <right style="thick">
        <color auto="1"/>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31">
    <xf numFmtId="0" fontId="0" fillId="0" borderId="0" xfId="0"/>
    <xf numFmtId="165" fontId="0" fillId="0" borderId="15" xfId="0" applyNumberFormat="1" applyBorder="1"/>
    <xf numFmtId="0" fontId="0" fillId="4" borderId="0" xfId="0" applyFill="1"/>
    <xf numFmtId="167" fontId="0" fillId="0" borderId="0" xfId="1" applyNumberFormat="1" applyFont="1"/>
    <xf numFmtId="2" fontId="0" fillId="0" borderId="0" xfId="0" applyNumberFormat="1"/>
    <xf numFmtId="3" fontId="0" fillId="0" borderId="0" xfId="0" applyNumberFormat="1"/>
    <xf numFmtId="4" fontId="0" fillId="0" borderId="0" xfId="0" applyNumberFormat="1"/>
    <xf numFmtId="0" fontId="3" fillId="0" borderId="0" xfId="0" applyFont="1"/>
    <xf numFmtId="165" fontId="0" fillId="0" borderId="0" xfId="0" applyNumberFormat="1"/>
    <xf numFmtId="9" fontId="0" fillId="0" borderId="0" xfId="0" applyNumberFormat="1"/>
    <xf numFmtId="166" fontId="0" fillId="0" borderId="0" xfId="0" applyNumberFormat="1"/>
    <xf numFmtId="0" fontId="8" fillId="0" borderId="8" xfId="0" applyFont="1" applyBorder="1" applyAlignment="1" applyProtection="1">
      <alignment horizontal="center" vertical="center" wrapText="1"/>
      <protection hidden="1"/>
    </xf>
    <xf numFmtId="0" fontId="8" fillId="0" borderId="0" xfId="0" applyFont="1" applyAlignment="1" applyProtection="1">
      <alignment horizontal="center" vertical="center" wrapText="1"/>
      <protection hidden="1"/>
    </xf>
    <xf numFmtId="0" fontId="8" fillId="0" borderId="0" xfId="0" applyFont="1" applyProtection="1">
      <protection hidden="1"/>
    </xf>
    <xf numFmtId="0" fontId="8" fillId="0" borderId="40" xfId="0" applyFont="1" applyBorder="1" applyAlignment="1" applyProtection="1">
      <alignment vertical="center"/>
      <protection hidden="1"/>
    </xf>
    <xf numFmtId="0" fontId="8" fillId="0" borderId="39" xfId="0" applyFont="1" applyBorder="1" applyAlignment="1" applyProtection="1">
      <alignment vertical="center"/>
      <protection hidden="1"/>
    </xf>
    <xf numFmtId="0" fontId="8" fillId="0" borderId="41" xfId="0" applyFont="1" applyBorder="1" applyAlignment="1" applyProtection="1">
      <alignment horizontal="center" vertical="center" wrapText="1"/>
      <protection hidden="1"/>
    </xf>
    <xf numFmtId="0" fontId="10" fillId="0" borderId="42" xfId="0" applyFont="1" applyBorder="1" applyAlignment="1" applyProtection="1">
      <alignment vertical="center" wrapText="1"/>
      <protection hidden="1"/>
    </xf>
    <xf numFmtId="168" fontId="8" fillId="0" borderId="13" xfId="0" applyNumberFormat="1" applyFont="1" applyBorder="1" applyProtection="1">
      <protection hidden="1"/>
    </xf>
    <xf numFmtId="0" fontId="10" fillId="0" borderId="31" xfId="0" applyFont="1" applyBorder="1" applyProtection="1">
      <protection hidden="1"/>
    </xf>
    <xf numFmtId="168" fontId="8" fillId="0" borderId="15" xfId="0" applyNumberFormat="1" applyFont="1" applyBorder="1" applyProtection="1">
      <protection hidden="1"/>
    </xf>
    <xf numFmtId="0" fontId="8" fillId="0" borderId="41" xfId="0" applyFont="1" applyBorder="1" applyProtection="1">
      <protection hidden="1"/>
    </xf>
    <xf numFmtId="0" fontId="10" fillId="0" borderId="45" xfId="0" applyFont="1" applyBorder="1" applyAlignment="1" applyProtection="1">
      <alignment vertical="center"/>
      <protection hidden="1"/>
    </xf>
    <xf numFmtId="168" fontId="8" fillId="0" borderId="5" xfId="0" applyNumberFormat="1" applyFont="1" applyBorder="1" applyProtection="1">
      <protection hidden="1"/>
    </xf>
    <xf numFmtId="0" fontId="0" fillId="0" borderId="0" xfId="0" applyProtection="1">
      <protection hidden="1"/>
    </xf>
    <xf numFmtId="0" fontId="12" fillId="0" borderId="9" xfId="0" applyFont="1" applyBorder="1" applyAlignment="1" applyProtection="1">
      <alignment vertical="center" wrapText="1"/>
      <protection hidden="1"/>
    </xf>
    <xf numFmtId="1" fontId="12" fillId="0" borderId="39" xfId="0" applyNumberFormat="1" applyFont="1" applyBorder="1" applyAlignment="1" applyProtection="1">
      <alignment horizontal="center" vertical="center"/>
      <protection hidden="1"/>
    </xf>
    <xf numFmtId="0" fontId="8" fillId="0" borderId="12" xfId="0" applyFont="1" applyBorder="1" applyProtection="1">
      <protection hidden="1"/>
    </xf>
    <xf numFmtId="169" fontId="8" fillId="0" borderId="0" xfId="0" applyNumberFormat="1" applyFont="1" applyProtection="1">
      <protection hidden="1"/>
    </xf>
    <xf numFmtId="0" fontId="4" fillId="5" borderId="0" xfId="0" applyFont="1" applyFill="1" applyProtection="1">
      <protection hidden="1"/>
    </xf>
    <xf numFmtId="0" fontId="0" fillId="5" borderId="0" xfId="0" applyFill="1"/>
    <xf numFmtId="0" fontId="8" fillId="0" borderId="17" xfId="0" applyFont="1" applyBorder="1" applyProtection="1">
      <protection hidden="1"/>
    </xf>
    <xf numFmtId="0" fontId="8" fillId="0" borderId="18" xfId="0" applyFont="1" applyBorder="1" applyProtection="1">
      <protection hidden="1"/>
    </xf>
    <xf numFmtId="0" fontId="8" fillId="0" borderId="24" xfId="0" applyFont="1" applyBorder="1" applyProtection="1">
      <protection hidden="1"/>
    </xf>
    <xf numFmtId="168" fontId="0" fillId="0" borderId="0" xfId="0" applyNumberFormat="1"/>
    <xf numFmtId="0" fontId="0" fillId="0" borderId="47" xfId="0" applyBorder="1" applyAlignment="1">
      <alignment horizontal="left" vertical="center" wrapText="1"/>
    </xf>
    <xf numFmtId="9" fontId="3" fillId="0" borderId="48" xfId="0" applyNumberFormat="1" applyFont="1" applyBorder="1" applyAlignment="1">
      <alignment vertical="center"/>
    </xf>
    <xf numFmtId="9" fontId="3" fillId="0" borderId="40" xfId="0" applyNumberFormat="1" applyFont="1" applyBorder="1" applyAlignment="1">
      <alignment vertical="center"/>
    </xf>
    <xf numFmtId="9" fontId="3" fillId="0" borderId="39" xfId="0" applyNumberFormat="1" applyFont="1" applyBorder="1" applyAlignment="1">
      <alignment vertical="center"/>
    </xf>
    <xf numFmtId="3" fontId="3" fillId="0" borderId="49" xfId="0" applyNumberFormat="1" applyFont="1" applyBorder="1"/>
    <xf numFmtId="165" fontId="0" fillId="0" borderId="50" xfId="0" applyNumberFormat="1" applyBorder="1"/>
    <xf numFmtId="165" fontId="0" fillId="0" borderId="13" xfId="0" applyNumberFormat="1" applyBorder="1"/>
    <xf numFmtId="165" fontId="0" fillId="0" borderId="44" xfId="0" applyNumberFormat="1" applyBorder="1"/>
    <xf numFmtId="3" fontId="3" fillId="0" borderId="31" xfId="0" applyNumberFormat="1" applyFont="1" applyBorder="1"/>
    <xf numFmtId="165" fontId="0" fillId="0" borderId="51" xfId="0" applyNumberFormat="1" applyBorder="1"/>
    <xf numFmtId="165" fontId="0" fillId="0" borderId="16" xfId="0" applyNumberFormat="1" applyBorder="1"/>
    <xf numFmtId="9" fontId="0" fillId="0" borderId="0" xfId="2" applyFont="1"/>
    <xf numFmtId="165" fontId="0" fillId="6" borderId="15" xfId="0" applyNumberFormat="1" applyFill="1" applyBorder="1"/>
    <xf numFmtId="165" fontId="0" fillId="7" borderId="51" xfId="0" applyNumberFormat="1" applyFill="1" applyBorder="1"/>
    <xf numFmtId="165" fontId="0" fillId="7" borderId="15" xfId="0" applyNumberFormat="1" applyFill="1" applyBorder="1"/>
    <xf numFmtId="3" fontId="3" fillId="0" borderId="45" xfId="0" applyNumberFormat="1" applyFont="1" applyBorder="1"/>
    <xf numFmtId="165" fontId="0" fillId="7" borderId="46" xfId="0" applyNumberFormat="1" applyFill="1" applyBorder="1"/>
    <xf numFmtId="165" fontId="0" fillId="7" borderId="5" xfId="0" applyNumberFormat="1" applyFill="1" applyBorder="1"/>
    <xf numFmtId="165" fontId="0" fillId="0" borderId="5" xfId="0" applyNumberFormat="1" applyBorder="1"/>
    <xf numFmtId="165" fontId="0" fillId="0" borderId="6" xfId="0" applyNumberFormat="1" applyBorder="1"/>
    <xf numFmtId="0" fontId="14" fillId="0" borderId="53" xfId="0" applyFont="1" applyBorder="1" applyAlignment="1">
      <alignment horizontal="left" vertical="top" wrapText="1"/>
    </xf>
    <xf numFmtId="0" fontId="15" fillId="0" borderId="15" xfId="0" applyFont="1" applyBorder="1" applyAlignment="1">
      <alignment horizontal="center" vertical="center"/>
    </xf>
    <xf numFmtId="0" fontId="5" fillId="0" borderId="0" xfId="0" applyFont="1" applyAlignment="1">
      <alignment vertical="center"/>
    </xf>
    <xf numFmtId="9" fontId="16" fillId="0" borderId="15" xfId="2" applyFont="1" applyBorder="1" applyAlignment="1">
      <alignment horizontal="center" vertical="top"/>
    </xf>
    <xf numFmtId="0" fontId="2" fillId="8" borderId="0" xfId="0" applyFont="1" applyFill="1"/>
    <xf numFmtId="0" fontId="17" fillId="0" borderId="0" xfId="0" applyFont="1"/>
    <xf numFmtId="1" fontId="0" fillId="0" borderId="0" xfId="0" applyNumberFormat="1"/>
    <xf numFmtId="0" fontId="0" fillId="0" borderId="54" xfId="0" applyBorder="1"/>
    <xf numFmtId="0" fontId="6" fillId="9" borderId="0" xfId="0" applyFont="1" applyFill="1"/>
    <xf numFmtId="0" fontId="20" fillId="0" borderId="42" xfId="0" applyFont="1" applyBorder="1"/>
    <xf numFmtId="49" fontId="6" fillId="0" borderId="43" xfId="0" applyNumberFormat="1" applyFont="1" applyBorder="1" applyProtection="1">
      <protection locked="0"/>
    </xf>
    <xf numFmtId="0" fontId="20" fillId="9" borderId="0" xfId="0" applyFont="1" applyFill="1" applyAlignment="1">
      <alignment horizontal="left"/>
    </xf>
    <xf numFmtId="167" fontId="20" fillId="9" borderId="0" xfId="1" applyNumberFormat="1" applyFont="1" applyFill="1" applyBorder="1" applyAlignment="1">
      <alignment horizontal="left"/>
    </xf>
    <xf numFmtId="0" fontId="20" fillId="0" borderId="49" xfId="0" applyFont="1" applyBorder="1"/>
    <xf numFmtId="49" fontId="6" fillId="0" borderId="55" xfId="0" applyNumberFormat="1" applyFont="1" applyBorder="1" applyProtection="1">
      <protection locked="0"/>
    </xf>
    <xf numFmtId="0" fontId="20" fillId="0" borderId="31" xfId="0" applyFont="1" applyBorder="1"/>
    <xf numFmtId="164" fontId="6" fillId="0" borderId="30" xfId="0" applyNumberFormat="1" applyFont="1" applyBorder="1" applyProtection="1">
      <protection locked="0"/>
    </xf>
    <xf numFmtId="0" fontId="21" fillId="9" borderId="33" xfId="0" applyFont="1" applyFill="1" applyBorder="1" applyAlignment="1">
      <alignment horizontal="center"/>
    </xf>
    <xf numFmtId="0" fontId="3" fillId="0" borderId="58" xfId="0" applyFont="1" applyBorder="1"/>
    <xf numFmtId="3" fontId="3" fillId="0" borderId="59" xfId="0" applyNumberFormat="1" applyFont="1" applyBorder="1" applyAlignment="1">
      <alignment horizontal="center"/>
    </xf>
    <xf numFmtId="0" fontId="6" fillId="0" borderId="30" xfId="0" applyFont="1" applyBorder="1" applyProtection="1">
      <protection locked="0"/>
    </xf>
    <xf numFmtId="0" fontId="20" fillId="0" borderId="42" xfId="0" applyFont="1" applyBorder="1" applyAlignment="1">
      <alignment horizontal="right"/>
    </xf>
    <xf numFmtId="3" fontId="0" fillId="0" borderId="62" xfId="0" applyNumberFormat="1" applyBorder="1" applyAlignment="1" applyProtection="1">
      <alignment horizontal="left"/>
      <protection locked="0"/>
    </xf>
    <xf numFmtId="3" fontId="0" fillId="0" borderId="63" xfId="0" applyNumberFormat="1" applyBorder="1" applyAlignment="1" applyProtection="1">
      <alignment horizontal="left"/>
      <protection hidden="1"/>
    </xf>
    <xf numFmtId="0" fontId="20" fillId="0" borderId="45" xfId="0" applyFont="1" applyBorder="1" applyAlignment="1">
      <alignment horizontal="right"/>
    </xf>
    <xf numFmtId="3" fontId="0" fillId="0" borderId="65" xfId="0" applyNumberFormat="1" applyBorder="1" applyAlignment="1" applyProtection="1">
      <alignment horizontal="left"/>
      <protection hidden="1"/>
    </xf>
    <xf numFmtId="0" fontId="22" fillId="9" borderId="0" xfId="0" applyFont="1" applyFill="1" applyProtection="1">
      <protection hidden="1"/>
    </xf>
    <xf numFmtId="0" fontId="6" fillId="9" borderId="0" xfId="0" applyFont="1" applyFill="1" applyProtection="1">
      <protection hidden="1"/>
    </xf>
    <xf numFmtId="0" fontId="6" fillId="0" borderId="30" xfId="0" applyFont="1" applyBorder="1" applyAlignment="1" applyProtection="1">
      <alignment horizontal="center" vertical="center"/>
      <protection locked="0"/>
    </xf>
    <xf numFmtId="3" fontId="0" fillId="0" borderId="62" xfId="0" applyNumberFormat="1" applyBorder="1" applyAlignment="1" applyProtection="1">
      <alignment horizontal="left"/>
      <protection hidden="1"/>
    </xf>
    <xf numFmtId="0" fontId="24" fillId="9" borderId="0" xfId="0" applyFont="1" applyFill="1"/>
    <xf numFmtId="0" fontId="20" fillId="0" borderId="45" xfId="0" applyFont="1" applyBorder="1"/>
    <xf numFmtId="0" fontId="6" fillId="0" borderId="66" xfId="0" applyFont="1" applyBorder="1" applyProtection="1">
      <protection locked="0"/>
    </xf>
    <xf numFmtId="0" fontId="28" fillId="4" borderId="9" xfId="0" applyFont="1" applyFill="1" applyBorder="1" applyAlignment="1">
      <alignment horizontal="center"/>
    </xf>
    <xf numFmtId="0" fontId="20" fillId="0" borderId="9" xfId="0" applyFont="1" applyBorder="1"/>
    <xf numFmtId="0" fontId="29" fillId="0" borderId="33" xfId="0" applyFont="1" applyBorder="1" applyAlignment="1" applyProtection="1">
      <alignment horizontal="center"/>
      <protection locked="0"/>
    </xf>
    <xf numFmtId="0" fontId="20" fillId="0" borderId="33" xfId="0" applyFont="1" applyBorder="1" applyAlignment="1" applyProtection="1">
      <alignment horizontal="center"/>
      <protection hidden="1"/>
    </xf>
    <xf numFmtId="0" fontId="6" fillId="0" borderId="67" xfId="0" applyFont="1" applyBorder="1"/>
    <xf numFmtId="0" fontId="6" fillId="0" borderId="49" xfId="0" applyFont="1" applyBorder="1" applyProtection="1">
      <protection locked="0"/>
    </xf>
    <xf numFmtId="0" fontId="6" fillId="0" borderId="29" xfId="0" applyFont="1" applyBorder="1"/>
    <xf numFmtId="0" fontId="6" fillId="0" borderId="31" xfId="0" applyFont="1" applyBorder="1" applyProtection="1">
      <protection locked="0"/>
    </xf>
    <xf numFmtId="0" fontId="6" fillId="0" borderId="34" xfId="0" applyFont="1" applyBorder="1"/>
    <xf numFmtId="0" fontId="6" fillId="0" borderId="68" xfId="0" applyFont="1" applyBorder="1" applyProtection="1">
      <protection locked="0"/>
    </xf>
    <xf numFmtId="0" fontId="6" fillId="0" borderId="55" xfId="0" applyFont="1" applyBorder="1" applyProtection="1">
      <protection locked="0"/>
    </xf>
    <xf numFmtId="0" fontId="6" fillId="0" borderId="52" xfId="0" applyFont="1" applyBorder="1" applyProtection="1">
      <protection locked="0"/>
    </xf>
    <xf numFmtId="0" fontId="6" fillId="9" borderId="41" xfId="0" applyFont="1" applyFill="1" applyBorder="1"/>
    <xf numFmtId="0" fontId="6" fillId="0" borderId="37" xfId="0" applyFont="1" applyBorder="1" applyProtection="1">
      <protection locked="0"/>
    </xf>
    <xf numFmtId="0" fontId="6" fillId="12" borderId="33" xfId="0" applyFont="1" applyFill="1" applyBorder="1"/>
    <xf numFmtId="0" fontId="6" fillId="13" borderId="33" xfId="0" applyFont="1" applyFill="1" applyBorder="1"/>
    <xf numFmtId="0" fontId="6" fillId="13" borderId="69" xfId="0" applyFont="1" applyFill="1" applyBorder="1"/>
    <xf numFmtId="3" fontId="6" fillId="0" borderId="33" xfId="0" applyNumberFormat="1" applyFont="1" applyBorder="1" applyProtection="1">
      <protection hidden="1"/>
    </xf>
    <xf numFmtId="3" fontId="20" fillId="0" borderId="33" xfId="0" applyNumberFormat="1" applyFont="1" applyBorder="1" applyProtection="1">
      <protection hidden="1"/>
    </xf>
    <xf numFmtId="0" fontId="20" fillId="0" borderId="33" xfId="0" applyFont="1" applyBorder="1"/>
    <xf numFmtId="0" fontId="31" fillId="15" borderId="33" xfId="0" applyFont="1" applyFill="1" applyBorder="1" applyAlignment="1">
      <alignment horizontal="center"/>
    </xf>
    <xf numFmtId="0" fontId="31" fillId="15" borderId="11" xfId="0" applyFont="1" applyFill="1" applyBorder="1" applyAlignment="1">
      <alignment horizontal="center"/>
    </xf>
    <xf numFmtId="0" fontId="31" fillId="15" borderId="25" xfId="0" applyFont="1" applyFill="1" applyBorder="1" applyAlignment="1">
      <alignment horizontal="center"/>
    </xf>
    <xf numFmtId="0" fontId="6" fillId="0" borderId="31" xfId="0" applyFont="1" applyBorder="1"/>
    <xf numFmtId="0" fontId="6" fillId="0" borderId="14" xfId="0" applyFont="1" applyBorder="1" applyProtection="1">
      <protection locked="0"/>
    </xf>
    <xf numFmtId="0" fontId="6" fillId="3" borderId="31" xfId="0" applyFont="1" applyFill="1" applyBorder="1" applyProtection="1">
      <protection hidden="1"/>
    </xf>
    <xf numFmtId="0" fontId="6" fillId="0" borderId="45" xfId="0" applyFont="1" applyBorder="1"/>
    <xf numFmtId="3" fontId="20" fillId="0" borderId="4" xfId="0" applyNumberFormat="1" applyFont="1" applyBorder="1" applyProtection="1">
      <protection hidden="1"/>
    </xf>
    <xf numFmtId="3" fontId="20" fillId="0" borderId="45" xfId="0" applyNumberFormat="1" applyFont="1" applyBorder="1" applyProtection="1">
      <protection hidden="1"/>
    </xf>
    <xf numFmtId="0" fontId="31" fillId="15" borderId="12" xfId="0" applyFont="1" applyFill="1" applyBorder="1" applyAlignment="1">
      <alignment horizontal="center"/>
    </xf>
    <xf numFmtId="0" fontId="31" fillId="15" borderId="70" xfId="0" applyFont="1" applyFill="1" applyBorder="1" applyAlignment="1">
      <alignment horizontal="center"/>
    </xf>
    <xf numFmtId="0" fontId="31" fillId="15" borderId="41" xfId="0" applyFont="1" applyFill="1" applyBorder="1" applyAlignment="1">
      <alignment horizontal="center"/>
    </xf>
    <xf numFmtId="3" fontId="6" fillId="0" borderId="4" xfId="0" applyNumberFormat="1" applyFont="1" applyBorder="1" applyProtection="1">
      <protection hidden="1"/>
    </xf>
    <xf numFmtId="3" fontId="6" fillId="9" borderId="0" xfId="0" applyNumberFormat="1" applyFont="1" applyFill="1" applyProtection="1">
      <protection hidden="1"/>
    </xf>
    <xf numFmtId="0" fontId="32" fillId="9" borderId="0" xfId="0" applyFont="1" applyFill="1" applyAlignment="1" applyProtection="1">
      <alignment horizontal="left"/>
      <protection hidden="1"/>
    </xf>
    <xf numFmtId="0" fontId="32" fillId="9" borderId="0" xfId="0" applyFont="1" applyFill="1" applyProtection="1">
      <protection hidden="1"/>
    </xf>
    <xf numFmtId="3" fontId="34" fillId="9" borderId="0" xfId="0" applyNumberFormat="1" applyFont="1" applyFill="1" applyAlignment="1" applyProtection="1">
      <alignment horizontal="left"/>
      <protection hidden="1"/>
    </xf>
    <xf numFmtId="3" fontId="32" fillId="9" borderId="0" xfId="0" applyNumberFormat="1" applyFont="1" applyFill="1" applyAlignment="1" applyProtection="1">
      <alignment horizontal="left"/>
      <protection hidden="1"/>
    </xf>
    <xf numFmtId="0" fontId="33" fillId="9" borderId="0" xfId="0" applyFont="1" applyFill="1" applyProtection="1">
      <protection hidden="1"/>
    </xf>
    <xf numFmtId="3" fontId="32" fillId="9" borderId="0" xfId="0" applyNumberFormat="1" applyFont="1" applyFill="1" applyProtection="1">
      <protection hidden="1"/>
    </xf>
    <xf numFmtId="0" fontId="8" fillId="7" borderId="0" xfId="0" applyFont="1" applyFill="1"/>
    <xf numFmtId="0" fontId="8" fillId="7" borderId="0" xfId="0" applyFont="1" applyFill="1" applyProtection="1">
      <protection locked="0"/>
    </xf>
    <xf numFmtId="0" fontId="3" fillId="0" borderId="71" xfId="0" applyFont="1" applyBorder="1" applyAlignment="1" applyProtection="1">
      <alignment vertical="top"/>
      <protection hidden="1"/>
    </xf>
    <xf numFmtId="0" fontId="3" fillId="0" borderId="72" xfId="0" applyFont="1" applyBorder="1" applyAlignment="1" applyProtection="1">
      <alignment vertical="top"/>
      <protection hidden="1"/>
    </xf>
    <xf numFmtId="0" fontId="3" fillId="0" borderId="73" xfId="0" applyFont="1" applyBorder="1" applyAlignment="1" applyProtection="1">
      <alignment vertical="top"/>
      <protection hidden="1"/>
    </xf>
    <xf numFmtId="0" fontId="3" fillId="0" borderId="74" xfId="0" applyFont="1" applyBorder="1" applyAlignment="1" applyProtection="1">
      <alignment vertical="top"/>
      <protection hidden="1"/>
    </xf>
    <xf numFmtId="0" fontId="8" fillId="7" borderId="0" xfId="0" applyFont="1" applyFill="1" applyAlignment="1">
      <alignment vertical="top"/>
    </xf>
    <xf numFmtId="0" fontId="0" fillId="0" borderId="75" xfId="0" applyBorder="1" applyAlignment="1" applyProtection="1">
      <alignment horizontal="center" vertical="center"/>
      <protection hidden="1"/>
    </xf>
    <xf numFmtId="0" fontId="0" fillId="0" borderId="22" xfId="0" applyBorder="1" applyAlignment="1" applyProtection="1">
      <alignment horizontal="center" vertical="center"/>
      <protection hidden="1"/>
    </xf>
    <xf numFmtId="0" fontId="0" fillId="0" borderId="64" xfId="0" applyBorder="1" applyAlignment="1" applyProtection="1">
      <alignment vertical="center"/>
      <protection hidden="1"/>
    </xf>
    <xf numFmtId="0" fontId="0" fillId="0" borderId="76" xfId="0" applyBorder="1" applyAlignment="1" applyProtection="1">
      <alignment vertical="center"/>
      <protection hidden="1"/>
    </xf>
    <xf numFmtId="0" fontId="8" fillId="7" borderId="0" xfId="0" applyFont="1" applyFill="1" applyAlignment="1" applyProtection="1">
      <alignment vertical="top"/>
      <protection locked="0"/>
    </xf>
    <xf numFmtId="0" fontId="0" fillId="0" borderId="41" xfId="0" applyBorder="1" applyAlignment="1" applyProtection="1">
      <alignment vertical="center"/>
      <protection hidden="1"/>
    </xf>
    <xf numFmtId="0" fontId="0" fillId="0" borderId="26" xfId="0" applyBorder="1" applyAlignment="1" applyProtection="1">
      <alignment vertical="top"/>
      <protection hidden="1"/>
    </xf>
    <xf numFmtId="3" fontId="0" fillId="0" borderId="43" xfId="0" applyNumberFormat="1" applyBorder="1" applyAlignment="1" applyProtection="1">
      <alignment horizontal="left" vertical="center" indent="1"/>
      <protection hidden="1"/>
    </xf>
    <xf numFmtId="0" fontId="0" fillId="0" borderId="0" xfId="0" applyAlignment="1" applyProtection="1">
      <alignment vertical="center"/>
      <protection hidden="1"/>
    </xf>
    <xf numFmtId="0" fontId="0" fillId="0" borderId="2" xfId="0" applyBorder="1" applyAlignment="1" applyProtection="1">
      <alignment horizontal="right" vertical="center"/>
      <protection hidden="1"/>
    </xf>
    <xf numFmtId="0" fontId="36" fillId="0" borderId="15" xfId="0" applyFont="1" applyBorder="1" applyAlignment="1" applyProtection="1">
      <alignment horizontal="right" vertical="center"/>
      <protection hidden="1"/>
    </xf>
    <xf numFmtId="0" fontId="0" fillId="0" borderId="15" xfId="0" applyBorder="1" applyAlignment="1" applyProtection="1">
      <alignment horizontal="right" vertical="center"/>
      <protection hidden="1"/>
    </xf>
    <xf numFmtId="0" fontId="0" fillId="0" borderId="37" xfId="0" applyBorder="1" applyAlignment="1" applyProtection="1">
      <alignment horizontal="right" vertical="center"/>
      <protection hidden="1"/>
    </xf>
    <xf numFmtId="0" fontId="3" fillId="0" borderId="18" xfId="0" applyFont="1" applyBorder="1" applyAlignment="1" applyProtection="1">
      <alignment vertical="center"/>
      <protection hidden="1"/>
    </xf>
    <xf numFmtId="0" fontId="0" fillId="0" borderId="76" xfId="0" applyBorder="1" applyAlignment="1" applyProtection="1">
      <alignment horizontal="right" vertical="center"/>
      <protection hidden="1"/>
    </xf>
    <xf numFmtId="0" fontId="8" fillId="5" borderId="7" xfId="0" applyFont="1" applyFill="1" applyBorder="1" applyProtection="1">
      <protection locked="0" hidden="1"/>
    </xf>
    <xf numFmtId="0" fontId="8" fillId="5" borderId="8" xfId="0" applyFont="1" applyFill="1" applyBorder="1" applyProtection="1">
      <protection locked="0" hidden="1"/>
    </xf>
    <xf numFmtId="0" fontId="3" fillId="5" borderId="8" xfId="0" applyFont="1" applyFill="1" applyBorder="1" applyAlignment="1" applyProtection="1">
      <alignment vertical="center"/>
      <protection hidden="1"/>
    </xf>
    <xf numFmtId="0" fontId="3" fillId="5" borderId="36" xfId="0" applyFont="1" applyFill="1" applyBorder="1" applyAlignment="1" applyProtection="1">
      <alignment vertical="center"/>
      <protection hidden="1"/>
    </xf>
    <xf numFmtId="0" fontId="8" fillId="5" borderId="12" xfId="0" applyFont="1" applyFill="1" applyBorder="1" applyProtection="1">
      <protection locked="0" hidden="1"/>
    </xf>
    <xf numFmtId="0" fontId="8" fillId="5" borderId="0" xfId="0" applyFont="1" applyFill="1" applyProtection="1">
      <protection locked="0" hidden="1"/>
    </xf>
    <xf numFmtId="0" fontId="3" fillId="5" borderId="0" xfId="0" applyFont="1" applyFill="1" applyAlignment="1" applyProtection="1">
      <alignment horizontal="center" vertical="center"/>
      <protection hidden="1"/>
    </xf>
    <xf numFmtId="0" fontId="2" fillId="5" borderId="0" xfId="0" applyFont="1" applyFill="1" applyAlignment="1" applyProtection="1">
      <alignment vertical="center" wrapText="1"/>
      <protection hidden="1"/>
    </xf>
    <xf numFmtId="0" fontId="3" fillId="5" borderId="0" xfId="0" applyFont="1" applyFill="1" applyAlignment="1" applyProtection="1">
      <alignment vertical="center" wrapText="1"/>
      <protection hidden="1"/>
    </xf>
    <xf numFmtId="0" fontId="3" fillId="5" borderId="41" xfId="0" applyFont="1" applyFill="1" applyBorder="1" applyAlignment="1" applyProtection="1">
      <alignment vertical="center" wrapText="1"/>
      <protection hidden="1"/>
    </xf>
    <xf numFmtId="0" fontId="0" fillId="0" borderId="82" xfId="0" applyBorder="1" applyAlignment="1" applyProtection="1">
      <alignment horizontal="right" vertical="center"/>
      <protection hidden="1"/>
    </xf>
    <xf numFmtId="0" fontId="8" fillId="5" borderId="0" xfId="0" applyFont="1" applyFill="1" applyProtection="1">
      <protection locked="0"/>
    </xf>
    <xf numFmtId="3" fontId="3" fillId="5" borderId="0" xfId="0" applyNumberFormat="1" applyFont="1" applyFill="1" applyAlignment="1" applyProtection="1">
      <alignment horizontal="center" vertical="center"/>
      <protection hidden="1"/>
    </xf>
    <xf numFmtId="0" fontId="3" fillId="5" borderId="1" xfId="0" applyFont="1" applyFill="1" applyBorder="1" applyAlignment="1" applyProtection="1">
      <alignment horizontal="center" vertical="center"/>
      <protection hidden="1"/>
    </xf>
    <xf numFmtId="3" fontId="12" fillId="5" borderId="70" xfId="0" applyNumberFormat="1" applyFont="1" applyFill="1" applyBorder="1" applyProtection="1">
      <protection locked="0"/>
    </xf>
    <xf numFmtId="0" fontId="3" fillId="0" borderId="19" xfId="0" applyFont="1" applyBorder="1" applyAlignment="1" applyProtection="1">
      <alignment vertical="center"/>
      <protection hidden="1"/>
    </xf>
    <xf numFmtId="0" fontId="3" fillId="0" borderId="20" xfId="0" applyFont="1" applyBorder="1" applyAlignment="1" applyProtection="1">
      <alignment vertical="center"/>
      <protection hidden="1"/>
    </xf>
    <xf numFmtId="0" fontId="3" fillId="5" borderId="4" xfId="0" applyFont="1" applyFill="1" applyBorder="1" applyAlignment="1" applyProtection="1">
      <alignment horizontal="center" vertical="center"/>
      <protection hidden="1"/>
    </xf>
    <xf numFmtId="0" fontId="3" fillId="5" borderId="5" xfId="0" applyFont="1" applyFill="1" applyBorder="1" applyAlignment="1" applyProtection="1">
      <alignment vertical="center"/>
      <protection hidden="1"/>
    </xf>
    <xf numFmtId="2" fontId="3" fillId="5" borderId="5" xfId="0" applyNumberFormat="1" applyFont="1" applyFill="1" applyBorder="1" applyAlignment="1" applyProtection="1">
      <alignment vertical="center"/>
      <protection hidden="1"/>
    </xf>
    <xf numFmtId="3" fontId="3" fillId="5" borderId="6" xfId="0" applyNumberFormat="1" applyFont="1" applyFill="1" applyBorder="1" applyAlignment="1" applyProtection="1">
      <alignment vertical="center"/>
      <protection hidden="1"/>
    </xf>
    <xf numFmtId="3" fontId="3" fillId="0" borderId="1" xfId="0" applyNumberFormat="1" applyFont="1" applyBorder="1" applyAlignment="1" applyProtection="1">
      <alignment vertical="center"/>
      <protection hidden="1"/>
    </xf>
    <xf numFmtId="3" fontId="0" fillId="0" borderId="2" xfId="0" applyNumberFormat="1" applyBorder="1" applyAlignment="1" applyProtection="1">
      <alignment vertical="center"/>
      <protection hidden="1"/>
    </xf>
    <xf numFmtId="3" fontId="3" fillId="0" borderId="2" xfId="0" applyNumberFormat="1" applyFont="1" applyBorder="1" applyAlignment="1" applyProtection="1">
      <alignment vertical="center"/>
      <protection hidden="1"/>
    </xf>
    <xf numFmtId="3" fontId="0" fillId="0" borderId="3" xfId="0" applyNumberFormat="1" applyBorder="1" applyAlignment="1" applyProtection="1">
      <alignment horizontal="center" vertical="center"/>
      <protection hidden="1"/>
    </xf>
    <xf numFmtId="0" fontId="3" fillId="5" borderId="1" xfId="0" applyFont="1" applyFill="1" applyBorder="1" applyAlignment="1" applyProtection="1">
      <alignment vertical="center"/>
      <protection hidden="1"/>
    </xf>
    <xf numFmtId="3" fontId="38" fillId="5" borderId="2" xfId="0" applyNumberFormat="1" applyFont="1" applyFill="1" applyBorder="1" applyAlignment="1" applyProtection="1">
      <alignment vertical="center"/>
      <protection hidden="1"/>
    </xf>
    <xf numFmtId="0" fontId="8" fillId="5" borderId="14" xfId="0" applyFont="1" applyFill="1" applyBorder="1" applyProtection="1">
      <protection hidden="1"/>
    </xf>
    <xf numFmtId="0" fontId="8" fillId="5" borderId="16" xfId="0" applyFont="1" applyFill="1" applyBorder="1" applyProtection="1">
      <protection hidden="1"/>
    </xf>
    <xf numFmtId="0" fontId="3" fillId="5" borderId="14" xfId="0" applyFont="1" applyFill="1" applyBorder="1" applyAlignment="1" applyProtection="1">
      <alignment vertical="center"/>
      <protection hidden="1"/>
    </xf>
    <xf numFmtId="3" fontId="37" fillId="5" borderId="15" xfId="0" applyNumberFormat="1" applyFont="1" applyFill="1" applyBorder="1" applyAlignment="1" applyProtection="1">
      <alignment horizontal="center" vertical="center"/>
      <protection hidden="1"/>
    </xf>
    <xf numFmtId="3" fontId="38" fillId="5" borderId="15" xfId="0" applyNumberFormat="1" applyFont="1" applyFill="1" applyBorder="1" applyAlignment="1" applyProtection="1">
      <alignment vertical="center"/>
      <protection hidden="1"/>
    </xf>
    <xf numFmtId="3" fontId="38" fillId="5" borderId="5" xfId="0" applyNumberFormat="1" applyFont="1" applyFill="1" applyBorder="1" applyAlignment="1" applyProtection="1">
      <alignment vertical="center"/>
      <protection hidden="1"/>
    </xf>
    <xf numFmtId="0" fontId="12" fillId="5" borderId="84" xfId="0" applyFont="1" applyFill="1" applyBorder="1" applyAlignment="1" applyProtection="1">
      <alignment horizontal="center"/>
      <protection locked="0"/>
    </xf>
    <xf numFmtId="0" fontId="3" fillId="5" borderId="86" xfId="0" applyFont="1" applyFill="1" applyBorder="1" applyAlignment="1" applyProtection="1">
      <alignment vertical="center"/>
      <protection hidden="1"/>
    </xf>
    <xf numFmtId="1" fontId="0" fillId="5" borderId="44" xfId="0" applyNumberFormat="1" applyFill="1" applyBorder="1" applyAlignment="1" applyProtection="1">
      <alignment vertical="center"/>
      <protection hidden="1"/>
    </xf>
    <xf numFmtId="0" fontId="8" fillId="0" borderId="0" xfId="0" applyFont="1" applyProtection="1">
      <protection locked="0"/>
    </xf>
    <xf numFmtId="0" fontId="8" fillId="0" borderId="88" xfId="0" applyFont="1" applyBorder="1" applyProtection="1">
      <protection hidden="1"/>
    </xf>
    <xf numFmtId="0" fontId="8" fillId="0" borderId="4" xfId="0" applyFont="1" applyBorder="1" applyProtection="1">
      <protection hidden="1"/>
    </xf>
    <xf numFmtId="0" fontId="8" fillId="0" borderId="6" xfId="0" applyFont="1" applyBorder="1" applyProtection="1">
      <protection hidden="1"/>
    </xf>
    <xf numFmtId="0" fontId="8" fillId="0" borderId="24" xfId="0" applyFont="1" applyBorder="1" applyProtection="1">
      <protection locked="0"/>
    </xf>
    <xf numFmtId="0" fontId="3" fillId="5" borderId="4" xfId="0" applyFont="1" applyFill="1" applyBorder="1" applyAlignment="1" applyProtection="1">
      <alignment vertical="center"/>
      <protection hidden="1"/>
    </xf>
    <xf numFmtId="0" fontId="39" fillId="0" borderId="24" xfId="0" applyFont="1" applyBorder="1"/>
    <xf numFmtId="0" fontId="3" fillId="5" borderId="84" xfId="0" applyFont="1" applyFill="1" applyBorder="1" applyAlignment="1" applyProtection="1">
      <alignment horizontal="center" vertical="center"/>
      <protection hidden="1"/>
    </xf>
    <xf numFmtId="0" fontId="8" fillId="0" borderId="0" xfId="0" applyFont="1" applyProtection="1">
      <protection locked="0" hidden="1"/>
    </xf>
    <xf numFmtId="0" fontId="8" fillId="0" borderId="41" xfId="0" applyFont="1" applyBorder="1" applyProtection="1">
      <protection locked="0"/>
    </xf>
    <xf numFmtId="3" fontId="37" fillId="5" borderId="0" xfId="0" applyNumberFormat="1" applyFont="1" applyFill="1" applyAlignment="1" applyProtection="1">
      <alignment horizontal="center" vertical="center"/>
      <protection hidden="1"/>
    </xf>
    <xf numFmtId="3" fontId="0" fillId="5" borderId="18" xfId="0" applyNumberFormat="1" applyFill="1" applyBorder="1" applyAlignment="1" applyProtection="1">
      <alignment horizontal="center" vertical="center"/>
      <protection hidden="1"/>
    </xf>
    <xf numFmtId="0" fontId="20" fillId="0" borderId="12" xfId="0" applyFont="1" applyBorder="1" applyAlignment="1" applyProtection="1">
      <alignment vertical="center"/>
      <protection hidden="1"/>
    </xf>
    <xf numFmtId="0" fontId="3" fillId="0" borderId="0" xfId="0" applyFont="1" applyProtection="1">
      <protection locked="0" hidden="1"/>
    </xf>
    <xf numFmtId="0" fontId="3" fillId="0" borderId="12" xfId="0" applyFont="1" applyBorder="1" applyAlignment="1" applyProtection="1">
      <alignment vertical="center"/>
      <protection hidden="1"/>
    </xf>
    <xf numFmtId="3" fontId="0" fillId="0" borderId="12" xfId="0" applyNumberFormat="1" applyBorder="1" applyAlignment="1" applyProtection="1">
      <alignment vertical="center"/>
      <protection hidden="1"/>
    </xf>
    <xf numFmtId="0" fontId="3" fillId="0" borderId="0" xfId="0" applyFont="1" applyAlignment="1" applyProtection="1">
      <alignment vertical="center"/>
      <protection hidden="1"/>
    </xf>
    <xf numFmtId="3" fontId="0" fillId="0" borderId="0" xfId="0" applyNumberFormat="1" applyAlignment="1" applyProtection="1">
      <alignment vertical="center"/>
      <protection hidden="1"/>
    </xf>
    <xf numFmtId="3" fontId="0" fillId="0" borderId="0" xfId="0" applyNumberFormat="1" applyProtection="1">
      <protection hidden="1"/>
    </xf>
    <xf numFmtId="2" fontId="0" fillId="0" borderId="0" xfId="0" applyNumberFormat="1" applyAlignment="1" applyProtection="1">
      <alignment vertical="center"/>
      <protection hidden="1"/>
    </xf>
    <xf numFmtId="2" fontId="0" fillId="0" borderId="41" xfId="0" applyNumberFormat="1" applyBorder="1" applyAlignment="1" applyProtection="1">
      <alignment vertical="center"/>
      <protection hidden="1"/>
    </xf>
    <xf numFmtId="0" fontId="2" fillId="0" borderId="0" xfId="0" applyFont="1" applyAlignment="1" applyProtection="1">
      <alignment vertical="center"/>
      <protection hidden="1"/>
    </xf>
    <xf numFmtId="3" fontId="8" fillId="7" borderId="0" xfId="0" applyNumberFormat="1" applyFont="1" applyFill="1" applyProtection="1">
      <protection locked="0"/>
    </xf>
    <xf numFmtId="0" fontId="0" fillId="0" borderId="0" xfId="1" applyNumberFormat="1" applyFont="1" applyFill="1" applyBorder="1" applyAlignment="1" applyProtection="1">
      <alignment vertical="center"/>
      <protection hidden="1"/>
    </xf>
    <xf numFmtId="3" fontId="0" fillId="0" borderId="0" xfId="1" applyNumberFormat="1" applyFont="1" applyFill="1" applyBorder="1" applyProtection="1">
      <protection hidden="1"/>
    </xf>
    <xf numFmtId="3" fontId="0" fillId="0" borderId="0" xfId="1" applyNumberFormat="1" applyFont="1" applyFill="1" applyBorder="1" applyAlignment="1" applyProtection="1">
      <alignment vertical="center"/>
      <protection hidden="1"/>
    </xf>
    <xf numFmtId="0" fontId="8" fillId="0" borderId="52" xfId="0" applyFont="1" applyBorder="1" applyProtection="1">
      <protection locked="0" hidden="1"/>
    </xf>
    <xf numFmtId="0" fontId="8" fillId="0" borderId="55" xfId="0" applyFont="1" applyBorder="1" applyProtection="1">
      <protection locked="0" hidden="1"/>
    </xf>
    <xf numFmtId="3" fontId="0" fillId="0" borderId="17" xfId="0" applyNumberFormat="1" applyBorder="1" applyAlignment="1" applyProtection="1">
      <alignment vertical="center"/>
      <protection hidden="1"/>
    </xf>
    <xf numFmtId="0" fontId="8" fillId="0" borderId="11" xfId="0" applyFont="1" applyBorder="1" applyProtection="1">
      <protection locked="0" hidden="1"/>
    </xf>
    <xf numFmtId="0" fontId="28" fillId="16" borderId="7" xfId="0" applyFont="1" applyFill="1" applyBorder="1" applyProtection="1">
      <protection hidden="1"/>
    </xf>
    <xf numFmtId="0" fontId="0" fillId="0" borderId="12" xfId="0" applyBorder="1" applyAlignment="1" applyProtection="1">
      <alignment vertical="top" wrapText="1"/>
      <protection hidden="1"/>
    </xf>
    <xf numFmtId="0" fontId="0" fillId="0" borderId="0" xfId="0" applyAlignment="1" applyProtection="1">
      <alignment vertical="top" wrapText="1"/>
      <protection hidden="1"/>
    </xf>
    <xf numFmtId="0" fontId="28" fillId="16" borderId="67" xfId="0" applyFont="1" applyFill="1" applyBorder="1" applyProtection="1">
      <protection hidden="1"/>
    </xf>
    <xf numFmtId="0" fontId="28" fillId="5" borderId="35" xfId="0" applyFont="1" applyFill="1" applyBorder="1" applyAlignment="1" applyProtection="1">
      <alignment vertical="center"/>
      <protection hidden="1"/>
    </xf>
    <xf numFmtId="0" fontId="28" fillId="5" borderId="21" xfId="0" applyFont="1" applyFill="1" applyBorder="1" applyAlignment="1" applyProtection="1">
      <alignment vertical="center"/>
      <protection hidden="1"/>
    </xf>
    <xf numFmtId="0" fontId="28" fillId="5" borderId="18" xfId="0" applyFont="1" applyFill="1" applyBorder="1" applyAlignment="1" applyProtection="1">
      <alignment vertical="center"/>
      <protection hidden="1"/>
    </xf>
    <xf numFmtId="0" fontId="28" fillId="5" borderId="24" xfId="0" applyFont="1" applyFill="1" applyBorder="1" applyAlignment="1" applyProtection="1">
      <alignment vertical="center"/>
      <protection hidden="1"/>
    </xf>
    <xf numFmtId="0" fontId="8" fillId="9" borderId="0" xfId="0" applyFont="1" applyFill="1"/>
    <xf numFmtId="0" fontId="0" fillId="9" borderId="0" xfId="0" applyFill="1"/>
    <xf numFmtId="0" fontId="8" fillId="0" borderId="71" xfId="0" applyFont="1" applyBorder="1" applyAlignment="1" applyProtection="1">
      <alignment vertical="top" wrapText="1"/>
      <protection hidden="1"/>
    </xf>
    <xf numFmtId="0" fontId="8" fillId="0" borderId="72" xfId="0" applyFont="1" applyBorder="1" applyAlignment="1" applyProtection="1">
      <alignment vertical="top"/>
      <protection hidden="1"/>
    </xf>
    <xf numFmtId="0" fontId="8" fillId="0" borderId="73" xfId="0" applyFont="1" applyBorder="1" applyAlignment="1" applyProtection="1">
      <alignment vertical="top"/>
      <protection hidden="1"/>
    </xf>
    <xf numFmtId="0" fontId="8" fillId="0" borderId="17" xfId="0" applyFont="1" applyBorder="1" applyAlignment="1" applyProtection="1">
      <alignment horizontal="center" vertical="center"/>
      <protection hidden="1"/>
    </xf>
    <xf numFmtId="0" fontId="8" fillId="0" borderId="23" xfId="0" applyFont="1" applyBorder="1" applyAlignment="1" applyProtection="1">
      <alignment horizontal="center" vertical="center"/>
      <protection hidden="1"/>
    </xf>
    <xf numFmtId="0" fontId="8" fillId="0" borderId="22" xfId="0" applyFont="1" applyBorder="1" applyAlignment="1" applyProtection="1">
      <alignment horizontal="center" vertical="center"/>
      <protection hidden="1"/>
    </xf>
    <xf numFmtId="164" fontId="8" fillId="0" borderId="64" xfId="0" applyNumberFormat="1" applyFont="1" applyBorder="1" applyAlignment="1" applyProtection="1">
      <alignment horizontal="center" vertical="center"/>
      <protection hidden="1"/>
    </xf>
    <xf numFmtId="0" fontId="8" fillId="0" borderId="33" xfId="0" applyFont="1" applyBorder="1" applyProtection="1">
      <protection hidden="1"/>
    </xf>
    <xf numFmtId="0" fontId="8" fillId="0" borderId="25" xfId="0" applyFont="1" applyBorder="1" applyAlignment="1" applyProtection="1">
      <alignment horizontal="center"/>
      <protection hidden="1"/>
    </xf>
    <xf numFmtId="3" fontId="8" fillId="0" borderId="26" xfId="0" applyNumberFormat="1" applyFont="1" applyBorder="1" applyProtection="1">
      <protection hidden="1"/>
    </xf>
    <xf numFmtId="1" fontId="8" fillId="0" borderId="28" xfId="0" applyNumberFormat="1" applyFont="1" applyBorder="1" applyProtection="1">
      <protection hidden="1"/>
    </xf>
    <xf numFmtId="165" fontId="8" fillId="0" borderId="3" xfId="0" applyNumberFormat="1" applyFont="1" applyBorder="1" applyAlignment="1" applyProtection="1">
      <alignment horizontal="center"/>
      <protection hidden="1"/>
    </xf>
    <xf numFmtId="165" fontId="8" fillId="0" borderId="14" xfId="0" applyNumberFormat="1" applyFont="1" applyBorder="1" applyAlignment="1" applyProtection="1">
      <alignment horizontal="center"/>
      <protection hidden="1"/>
    </xf>
    <xf numFmtId="1" fontId="8" fillId="0" borderId="32" xfId="0" applyNumberFormat="1" applyFont="1" applyBorder="1" applyProtection="1">
      <protection hidden="1"/>
    </xf>
    <xf numFmtId="3" fontId="8" fillId="0" borderId="34" xfId="0" applyNumberFormat="1" applyFont="1" applyBorder="1" applyProtection="1">
      <protection hidden="1"/>
    </xf>
    <xf numFmtId="1" fontId="8" fillId="0" borderId="32" xfId="0" applyNumberFormat="1" applyFont="1" applyBorder="1" applyAlignment="1" applyProtection="1">
      <alignment horizontal="center"/>
      <protection hidden="1"/>
    </xf>
    <xf numFmtId="3" fontId="8" fillId="0" borderId="29" xfId="0" applyNumberFormat="1" applyFont="1" applyBorder="1" applyProtection="1">
      <protection hidden="1"/>
    </xf>
    <xf numFmtId="0" fontId="8" fillId="5" borderId="0" xfId="0" applyFont="1" applyFill="1" applyProtection="1">
      <protection hidden="1"/>
    </xf>
    <xf numFmtId="0" fontId="12" fillId="11" borderId="71" xfId="0" applyFont="1" applyFill="1" applyBorder="1" applyProtection="1">
      <protection hidden="1"/>
    </xf>
    <xf numFmtId="0" fontId="12" fillId="11" borderId="72" xfId="0" applyFont="1" applyFill="1" applyBorder="1" applyProtection="1">
      <protection hidden="1"/>
    </xf>
    <xf numFmtId="0" fontId="12" fillId="11" borderId="73" xfId="0" applyFont="1" applyFill="1" applyBorder="1" applyProtection="1">
      <protection hidden="1"/>
    </xf>
    <xf numFmtId="0" fontId="44" fillId="0" borderId="26" xfId="0" applyFont="1" applyBorder="1" applyAlignment="1" applyProtection="1">
      <alignment vertical="center"/>
      <protection hidden="1"/>
    </xf>
    <xf numFmtId="0" fontId="8" fillId="0" borderId="14" xfId="0" applyFont="1" applyBorder="1" applyProtection="1">
      <protection hidden="1"/>
    </xf>
    <xf numFmtId="3" fontId="8" fillId="0" borderId="15" xfId="0" applyNumberFormat="1" applyFont="1" applyBorder="1" applyAlignment="1" applyProtection="1">
      <alignment horizontal="center"/>
      <protection hidden="1"/>
    </xf>
    <xf numFmtId="2" fontId="8" fillId="0" borderId="16" xfId="0" applyNumberFormat="1" applyFont="1" applyBorder="1" applyAlignment="1" applyProtection="1">
      <alignment horizontal="center"/>
      <protection hidden="1"/>
    </xf>
    <xf numFmtId="0" fontId="37" fillId="0" borderId="29" xfId="0" applyFont="1" applyBorder="1" applyAlignment="1" applyProtection="1">
      <alignment vertical="center"/>
      <protection hidden="1"/>
    </xf>
    <xf numFmtId="3" fontId="8" fillId="0" borderId="5" xfId="0" applyNumberFormat="1" applyFont="1" applyBorder="1" applyAlignment="1" applyProtection="1">
      <alignment horizontal="center"/>
      <protection hidden="1"/>
    </xf>
    <xf numFmtId="2" fontId="8" fillId="0" borderId="6" xfId="0" applyNumberFormat="1" applyFont="1" applyBorder="1" applyAlignment="1" applyProtection="1">
      <alignment horizontal="center"/>
      <protection hidden="1"/>
    </xf>
    <xf numFmtId="0" fontId="44" fillId="17" borderId="77" xfId="0" applyFont="1" applyFill="1" applyBorder="1" applyAlignment="1" applyProtection="1">
      <alignment vertical="center"/>
      <protection hidden="1"/>
    </xf>
    <xf numFmtId="1" fontId="8" fillId="0" borderId="38" xfId="0" applyNumberFormat="1" applyFont="1" applyBorder="1" applyProtection="1">
      <protection hidden="1"/>
    </xf>
    <xf numFmtId="165" fontId="8" fillId="0" borderId="39" xfId="0" applyNumberFormat="1" applyFont="1" applyBorder="1" applyAlignment="1" applyProtection="1">
      <alignment horizontal="center"/>
      <protection hidden="1"/>
    </xf>
    <xf numFmtId="0" fontId="13" fillId="5" borderId="0" xfId="0" applyFont="1" applyFill="1" applyAlignment="1" applyProtection="1">
      <alignment vertical="center" wrapText="1"/>
      <protection hidden="1"/>
    </xf>
    <xf numFmtId="3" fontId="13" fillId="5" borderId="0" xfId="0" applyNumberFormat="1" applyFont="1" applyFill="1" applyAlignment="1" applyProtection="1">
      <alignment horizontal="center" vertical="center" wrapText="1"/>
      <protection hidden="1"/>
    </xf>
    <xf numFmtId="0" fontId="0" fillId="5" borderId="0" xfId="0" applyFill="1" applyProtection="1">
      <protection hidden="1"/>
    </xf>
    <xf numFmtId="0" fontId="13" fillId="5" borderId="0" xfId="0" applyFont="1" applyFill="1" applyProtection="1">
      <protection hidden="1"/>
    </xf>
    <xf numFmtId="10" fontId="0" fillId="9" borderId="0" xfId="0" applyNumberFormat="1" applyFill="1"/>
    <xf numFmtId="0" fontId="8" fillId="5" borderId="12" xfId="0" applyFont="1" applyFill="1" applyBorder="1" applyProtection="1">
      <protection hidden="1"/>
    </xf>
    <xf numFmtId="0" fontId="13" fillId="5" borderId="0" xfId="0" applyFont="1" applyFill="1" applyAlignment="1" applyProtection="1">
      <alignment vertical="center"/>
      <protection hidden="1"/>
    </xf>
    <xf numFmtId="0" fontId="8" fillId="5" borderId="41" xfId="0" applyFont="1" applyFill="1" applyBorder="1" applyProtection="1">
      <protection hidden="1"/>
    </xf>
    <xf numFmtId="9" fontId="0" fillId="9" borderId="0" xfId="0" applyNumberFormat="1" applyFill="1"/>
    <xf numFmtId="0" fontId="0" fillId="5" borderId="41" xfId="0" applyFill="1" applyBorder="1" applyProtection="1">
      <protection hidden="1"/>
    </xf>
    <xf numFmtId="0" fontId="8" fillId="5" borderId="0" xfId="0" applyFont="1" applyFill="1" applyAlignment="1" applyProtection="1">
      <alignment vertical="center" wrapText="1"/>
      <protection hidden="1"/>
    </xf>
    <xf numFmtId="0" fontId="44" fillId="5" borderId="0" xfId="0" applyFont="1" applyFill="1" applyAlignment="1" applyProtection="1">
      <alignment vertical="center"/>
      <protection hidden="1"/>
    </xf>
    <xf numFmtId="2" fontId="45" fillId="5" borderId="0" xfId="0" applyNumberFormat="1" applyFont="1" applyFill="1" applyAlignment="1" applyProtection="1">
      <alignment horizontal="center" vertical="center"/>
      <protection hidden="1"/>
    </xf>
    <xf numFmtId="0" fontId="0" fillId="0" borderId="41" xfId="0" applyBorder="1" applyProtection="1">
      <protection hidden="1"/>
    </xf>
    <xf numFmtId="0" fontId="8" fillId="0" borderId="0" xfId="0" applyFont="1" applyAlignment="1" applyProtection="1">
      <alignment horizontal="right"/>
      <protection hidden="1"/>
    </xf>
    <xf numFmtId="0" fontId="8" fillId="0" borderId="0" xfId="0" applyFont="1" applyAlignment="1" applyProtection="1">
      <alignment horizontal="center"/>
      <protection hidden="1"/>
    </xf>
    <xf numFmtId="0" fontId="8" fillId="0" borderId="12" xfId="0" applyFont="1" applyBorder="1" applyAlignment="1" applyProtection="1">
      <alignment horizontal="right"/>
      <protection hidden="1"/>
    </xf>
    <xf numFmtId="0" fontId="8" fillId="0" borderId="17" xfId="0" applyFont="1" applyBorder="1" applyAlignment="1" applyProtection="1">
      <alignment vertical="center"/>
      <protection hidden="1"/>
    </xf>
    <xf numFmtId="0" fontId="8" fillId="0" borderId="18" xfId="0" applyFont="1" applyBorder="1" applyAlignment="1" applyProtection="1">
      <alignment vertical="center"/>
      <protection hidden="1"/>
    </xf>
    <xf numFmtId="0" fontId="8" fillId="9" borderId="0" xfId="0" applyFont="1" applyFill="1" applyAlignment="1">
      <alignment horizontal="center" vertical="center"/>
    </xf>
    <xf numFmtId="0" fontId="8" fillId="9" borderId="0" xfId="0" applyFont="1" applyFill="1" applyAlignment="1">
      <alignment horizontal="center"/>
    </xf>
    <xf numFmtId="3" fontId="39" fillId="0" borderId="0" xfId="0" applyNumberFormat="1" applyFont="1"/>
    <xf numFmtId="0" fontId="39" fillId="0" borderId="0" xfId="0" applyFont="1"/>
    <xf numFmtId="171" fontId="39" fillId="0" borderId="0" xfId="0" applyNumberFormat="1" applyFont="1"/>
    <xf numFmtId="10" fontId="39" fillId="0" borderId="1" xfId="0" applyNumberFormat="1" applyFont="1" applyBorder="1"/>
    <xf numFmtId="3" fontId="39" fillId="0" borderId="2" xfId="0" applyNumberFormat="1" applyFont="1" applyBorder="1"/>
    <xf numFmtId="168" fontId="39" fillId="0" borderId="2" xfId="0" applyNumberFormat="1" applyFont="1" applyBorder="1"/>
    <xf numFmtId="2" fontId="39" fillId="0" borderId="3" xfId="0" applyNumberFormat="1" applyFont="1" applyBorder="1"/>
    <xf numFmtId="10" fontId="39" fillId="0" borderId="14" xfId="0" applyNumberFormat="1" applyFont="1" applyBorder="1"/>
    <xf numFmtId="3" fontId="39" fillId="0" borderId="15" xfId="0" applyNumberFormat="1" applyFont="1" applyBorder="1"/>
    <xf numFmtId="168" fontId="39" fillId="0" borderId="15" xfId="0" applyNumberFormat="1" applyFont="1" applyBorder="1"/>
    <xf numFmtId="10" fontId="39" fillId="0" borderId="4" xfId="0" applyNumberFormat="1" applyFont="1" applyBorder="1"/>
    <xf numFmtId="3" fontId="39" fillId="0" borderId="5" xfId="0" applyNumberFormat="1" applyFont="1" applyBorder="1"/>
    <xf numFmtId="168" fontId="39" fillId="0" borderId="5" xfId="0" applyNumberFormat="1" applyFont="1" applyBorder="1"/>
    <xf numFmtId="0" fontId="39" fillId="0" borderId="1" xfId="0" applyFont="1" applyBorder="1"/>
    <xf numFmtId="4" fontId="39" fillId="0" borderId="2" xfId="0" applyNumberFormat="1" applyFont="1" applyBorder="1"/>
    <xf numFmtId="0" fontId="39" fillId="0" borderId="4" xfId="0" applyFont="1" applyBorder="1"/>
    <xf numFmtId="4" fontId="39" fillId="0" borderId="5" xfId="0" applyNumberFormat="1" applyFont="1" applyBorder="1"/>
    <xf numFmtId="0" fontId="30" fillId="9" borderId="12" xfId="0" applyFont="1" applyFill="1" applyBorder="1" applyAlignment="1" applyProtection="1">
      <alignment horizontal="center" vertical="center"/>
      <protection hidden="1"/>
    </xf>
    <xf numFmtId="0" fontId="3" fillId="0" borderId="2" xfId="0" applyFont="1" applyBorder="1" applyAlignment="1" applyProtection="1">
      <alignment horizontal="center" vertical="center"/>
      <protection hidden="1"/>
    </xf>
    <xf numFmtId="0" fontId="3" fillId="0" borderId="79" xfId="0" applyFont="1" applyBorder="1" applyAlignment="1" applyProtection="1">
      <alignment horizontal="center" vertical="center"/>
      <protection hidden="1"/>
    </xf>
    <xf numFmtId="0" fontId="3" fillId="0" borderId="2" xfId="0" applyFont="1" applyBorder="1" applyAlignment="1" applyProtection="1">
      <alignment vertical="center"/>
      <protection hidden="1"/>
    </xf>
    <xf numFmtId="0" fontId="0" fillId="0" borderId="0" xfId="0" applyAlignment="1">
      <alignment horizontal="center"/>
    </xf>
    <xf numFmtId="0" fontId="6" fillId="3" borderId="34" xfId="0" applyFont="1" applyFill="1" applyBorder="1"/>
    <xf numFmtId="3" fontId="6" fillId="3" borderId="45" xfId="0" applyNumberFormat="1" applyFont="1" applyFill="1" applyBorder="1"/>
    <xf numFmtId="3" fontId="6" fillId="3" borderId="45" xfId="0" applyNumberFormat="1" applyFont="1" applyFill="1" applyBorder="1" applyProtection="1">
      <protection hidden="1"/>
    </xf>
    <xf numFmtId="0" fontId="6" fillId="3" borderId="34" xfId="0" applyFont="1" applyFill="1" applyBorder="1" applyProtection="1">
      <protection hidden="1"/>
    </xf>
    <xf numFmtId="0" fontId="6" fillId="9" borderId="24" xfId="0" applyFont="1" applyFill="1" applyBorder="1"/>
    <xf numFmtId="0" fontId="20" fillId="9" borderId="24" xfId="0" applyFont="1" applyFill="1" applyBorder="1" applyAlignment="1">
      <alignment horizontal="center" vertical="center"/>
    </xf>
    <xf numFmtId="0" fontId="3" fillId="5" borderId="0" xfId="0" applyFont="1" applyFill="1" applyAlignment="1" applyProtection="1">
      <alignment vertical="center"/>
      <protection hidden="1"/>
    </xf>
    <xf numFmtId="2" fontId="8" fillId="5" borderId="0" xfId="0" applyNumberFormat="1" applyFont="1" applyFill="1" applyProtection="1">
      <protection hidden="1"/>
    </xf>
    <xf numFmtId="3" fontId="0" fillId="5" borderId="0" xfId="0" applyNumberFormat="1" applyFill="1" applyAlignment="1" applyProtection="1">
      <alignment horizontal="center" vertical="center"/>
      <protection hidden="1"/>
    </xf>
    <xf numFmtId="2" fontId="8" fillId="0" borderId="0" xfId="0" applyNumberFormat="1" applyFont="1" applyProtection="1">
      <protection hidden="1"/>
    </xf>
    <xf numFmtId="2" fontId="39" fillId="0" borderId="0" xfId="0" applyNumberFormat="1" applyFont="1" applyProtection="1">
      <protection hidden="1"/>
    </xf>
    <xf numFmtId="0" fontId="12" fillId="5" borderId="14" xfId="0" applyFont="1" applyFill="1" applyBorder="1" applyAlignment="1" applyProtection="1">
      <alignment horizontal="center"/>
      <protection locked="0"/>
    </xf>
    <xf numFmtId="0" fontId="12" fillId="5" borderId="16" xfId="0" applyFont="1" applyFill="1" applyBorder="1" applyAlignment="1" applyProtection="1">
      <alignment horizontal="center" vertical="center"/>
      <protection locked="0"/>
    </xf>
    <xf numFmtId="0" fontId="42" fillId="0" borderId="10" xfId="0" applyFont="1" applyBorder="1" applyAlignment="1" applyProtection="1">
      <alignment vertical="center"/>
      <protection hidden="1"/>
    </xf>
    <xf numFmtId="0" fontId="42" fillId="0" borderId="11" xfId="0" applyFont="1" applyBorder="1" applyAlignment="1" applyProtection="1">
      <alignment vertical="center"/>
      <protection hidden="1"/>
    </xf>
    <xf numFmtId="3" fontId="0" fillId="5" borderId="3" xfId="0" applyNumberFormat="1" applyFill="1" applyBorder="1" applyAlignment="1" applyProtection="1">
      <alignment vertical="center"/>
      <protection hidden="1"/>
    </xf>
    <xf numFmtId="3" fontId="0" fillId="5" borderId="16" xfId="0" applyNumberFormat="1" applyFill="1" applyBorder="1" applyAlignment="1" applyProtection="1">
      <alignment vertical="center"/>
      <protection hidden="1"/>
    </xf>
    <xf numFmtId="3" fontId="0" fillId="5" borderId="6" xfId="0" applyNumberFormat="1" applyFill="1" applyBorder="1" applyAlignment="1" applyProtection="1">
      <alignment vertical="center"/>
      <protection hidden="1"/>
    </xf>
    <xf numFmtId="3" fontId="0" fillId="5" borderId="2" xfId="0" applyNumberFormat="1" applyFill="1" applyBorder="1" applyAlignment="1" applyProtection="1">
      <alignment vertical="center"/>
      <protection hidden="1"/>
    </xf>
    <xf numFmtId="3" fontId="0" fillId="5" borderId="15" xfId="0" applyNumberFormat="1" applyFill="1" applyBorder="1" applyAlignment="1" applyProtection="1">
      <alignment vertical="center"/>
      <protection hidden="1"/>
    </xf>
    <xf numFmtId="3" fontId="0" fillId="5" borderId="5" xfId="0" applyNumberFormat="1" applyFill="1" applyBorder="1" applyAlignment="1" applyProtection="1">
      <alignment vertical="center"/>
      <protection hidden="1"/>
    </xf>
    <xf numFmtId="0" fontId="30" fillId="9" borderId="12" xfId="0" applyFont="1" applyFill="1" applyBorder="1" applyAlignment="1" applyProtection="1">
      <alignment vertical="center"/>
      <protection hidden="1"/>
    </xf>
    <xf numFmtId="0" fontId="30" fillId="9" borderId="70" xfId="0" applyFont="1" applyFill="1" applyBorder="1" applyAlignment="1" applyProtection="1">
      <alignment vertical="center"/>
      <protection hidden="1"/>
    </xf>
    <xf numFmtId="3" fontId="8" fillId="0" borderId="41" xfId="0" applyNumberFormat="1" applyFont="1" applyBorder="1"/>
    <xf numFmtId="2" fontId="8" fillId="0" borderId="0" xfId="0" applyNumberFormat="1" applyFont="1"/>
    <xf numFmtId="165" fontId="0" fillId="0" borderId="0" xfId="0" applyNumberFormat="1" applyAlignment="1">
      <alignment horizontal="right"/>
    </xf>
    <xf numFmtId="0" fontId="0" fillId="0" borderId="0" xfId="0" applyAlignment="1">
      <alignment horizontal="left"/>
    </xf>
    <xf numFmtId="0" fontId="0" fillId="0" borderId="0" xfId="0" applyAlignment="1">
      <alignment horizontal="right"/>
    </xf>
    <xf numFmtId="166" fontId="0" fillId="19" borderId="0" xfId="0" applyNumberFormat="1" applyFill="1"/>
    <xf numFmtId="0" fontId="9" fillId="0" borderId="0" xfId="0" applyFont="1" applyAlignment="1" applyProtection="1">
      <alignment horizontal="center" vertical="center"/>
      <protection hidden="1"/>
    </xf>
    <xf numFmtId="0" fontId="8" fillId="0" borderId="0" xfId="0" applyFont="1" applyAlignment="1" applyProtection="1">
      <alignment vertical="center"/>
      <protection hidden="1"/>
    </xf>
    <xf numFmtId="168" fontId="8" fillId="0" borderId="0" xfId="0" applyNumberFormat="1" applyFont="1" applyProtection="1">
      <protection hidden="1"/>
    </xf>
    <xf numFmtId="10" fontId="8" fillId="0" borderId="0" xfId="0" quotePrefix="1" applyNumberFormat="1" applyFont="1" applyProtection="1">
      <protection hidden="1"/>
    </xf>
    <xf numFmtId="3" fontId="10" fillId="0" borderId="0" xfId="0" applyNumberFormat="1" applyFont="1" applyAlignment="1" applyProtection="1">
      <alignment horizontal="center" vertical="center" wrapText="1"/>
      <protection hidden="1"/>
    </xf>
    <xf numFmtId="3" fontId="6" fillId="3" borderId="68" xfId="0" applyNumberFormat="1" applyFont="1" applyFill="1" applyBorder="1" applyProtection="1">
      <protection hidden="1"/>
    </xf>
    <xf numFmtId="4" fontId="39" fillId="4" borderId="2" xfId="2" applyNumberFormat="1" applyFont="1" applyFill="1" applyBorder="1"/>
    <xf numFmtId="2" fontId="39" fillId="0" borderId="6" xfId="0" applyNumberFormat="1" applyFont="1" applyBorder="1"/>
    <xf numFmtId="0" fontId="6" fillId="18" borderId="12" xfId="0" applyFont="1" applyFill="1" applyBorder="1"/>
    <xf numFmtId="0" fontId="6" fillId="18" borderId="0" xfId="0" applyFont="1" applyFill="1"/>
    <xf numFmtId="0" fontId="6" fillId="18" borderId="41" xfId="0" applyFont="1" applyFill="1" applyBorder="1"/>
    <xf numFmtId="0" fontId="6" fillId="18" borderId="0" xfId="0" applyFont="1" applyFill="1" applyProtection="1">
      <protection hidden="1"/>
    </xf>
    <xf numFmtId="0" fontId="6" fillId="18" borderId="41" xfId="0" applyFont="1" applyFill="1" applyBorder="1" applyProtection="1">
      <protection hidden="1"/>
    </xf>
    <xf numFmtId="3" fontId="6" fillId="18" borderId="0" xfId="0" applyNumberFormat="1" applyFont="1" applyFill="1" applyProtection="1">
      <protection hidden="1"/>
    </xf>
    <xf numFmtId="3" fontId="6" fillId="18" borderId="41" xfId="0" applyNumberFormat="1" applyFont="1" applyFill="1" applyBorder="1" applyProtection="1">
      <protection hidden="1"/>
    </xf>
    <xf numFmtId="0" fontId="6" fillId="0" borderId="34" xfId="0" applyFont="1" applyBorder="1" applyProtection="1">
      <protection locked="0"/>
    </xf>
    <xf numFmtId="0" fontId="6" fillId="18" borderId="12" xfId="0" applyFont="1" applyFill="1" applyBorder="1" applyProtection="1">
      <protection hidden="1"/>
    </xf>
    <xf numFmtId="3" fontId="6" fillId="18" borderId="12" xfId="0" applyNumberFormat="1" applyFont="1" applyFill="1" applyBorder="1" applyProtection="1">
      <protection hidden="1"/>
    </xf>
    <xf numFmtId="3" fontId="6" fillId="3" borderId="34" xfId="0" applyNumberFormat="1" applyFont="1" applyFill="1" applyBorder="1" applyProtection="1">
      <protection hidden="1"/>
    </xf>
    <xf numFmtId="10" fontId="39" fillId="0" borderId="3" xfId="2" applyNumberFormat="1" applyFont="1" applyBorder="1"/>
    <xf numFmtId="10" fontId="8" fillId="0" borderId="44" xfId="2" quotePrefix="1" applyNumberFormat="1" applyFont="1" applyBorder="1" applyProtection="1">
      <protection hidden="1"/>
    </xf>
    <xf numFmtId="10" fontId="8" fillId="0" borderId="64" xfId="2" quotePrefix="1" applyNumberFormat="1" applyFont="1" applyBorder="1" applyProtection="1">
      <protection hidden="1"/>
    </xf>
    <xf numFmtId="0" fontId="12" fillId="0" borderId="105" xfId="0" applyFont="1" applyBorder="1" applyProtection="1">
      <protection locked="0"/>
    </xf>
    <xf numFmtId="0" fontId="8" fillId="0" borderId="84" xfId="0" applyFont="1" applyBorder="1" applyProtection="1">
      <protection locked="0"/>
    </xf>
    <xf numFmtId="0" fontId="12" fillId="0" borderId="106" xfId="0" applyFont="1" applyBorder="1" applyProtection="1">
      <protection locked="0"/>
    </xf>
    <xf numFmtId="0" fontId="20" fillId="0" borderId="49" xfId="0" applyFont="1" applyBorder="1" applyProtection="1">
      <protection locked="0"/>
    </xf>
    <xf numFmtId="3" fontId="8" fillId="0" borderId="31" xfId="0" applyNumberFormat="1" applyFont="1" applyBorder="1" applyProtection="1">
      <protection hidden="1"/>
    </xf>
    <xf numFmtId="3" fontId="0" fillId="0" borderId="107" xfId="0" applyNumberFormat="1" applyBorder="1" applyAlignment="1" applyProtection="1">
      <alignment horizontal="left"/>
      <protection hidden="1"/>
    </xf>
    <xf numFmtId="3" fontId="0" fillId="9" borderId="8" xfId="0" applyNumberFormat="1" applyFill="1" applyBorder="1" applyAlignment="1" applyProtection="1">
      <alignment horizontal="left"/>
      <protection hidden="1"/>
    </xf>
    <xf numFmtId="0" fontId="6" fillId="0" borderId="51" xfId="0" applyFont="1" applyBorder="1" applyProtection="1">
      <protection locked="0"/>
    </xf>
    <xf numFmtId="3" fontId="6" fillId="0" borderId="46" xfId="0" applyNumberFormat="1" applyFont="1" applyBorder="1" applyProtection="1">
      <protection hidden="1"/>
    </xf>
    <xf numFmtId="3" fontId="20" fillId="0" borderId="46" xfId="0" applyNumberFormat="1" applyFont="1" applyBorder="1" applyProtection="1">
      <protection hidden="1"/>
    </xf>
    <xf numFmtId="3" fontId="20" fillId="0" borderId="11" xfId="0" applyNumberFormat="1" applyFont="1" applyBorder="1" applyProtection="1">
      <protection hidden="1"/>
    </xf>
    <xf numFmtId="1" fontId="8" fillId="5" borderId="0" xfId="0" applyNumberFormat="1" applyFont="1" applyFill="1" applyAlignment="1" applyProtection="1">
      <alignment horizontal="center"/>
      <protection hidden="1"/>
    </xf>
    <xf numFmtId="0" fontId="8" fillId="5" borderId="0" xfId="0" applyFont="1" applyFill="1" applyAlignment="1" applyProtection="1">
      <alignment horizontal="right"/>
      <protection hidden="1"/>
    </xf>
    <xf numFmtId="0" fontId="8" fillId="5" borderId="0" xfId="0" applyFont="1" applyFill="1" applyAlignment="1" applyProtection="1">
      <alignment horizontal="center"/>
      <protection hidden="1"/>
    </xf>
    <xf numFmtId="0" fontId="8" fillId="5" borderId="12" xfId="0" applyFont="1" applyFill="1" applyBorder="1" applyAlignment="1" applyProtection="1">
      <alignment horizontal="right"/>
      <protection hidden="1"/>
    </xf>
    <xf numFmtId="3" fontId="0" fillId="0" borderId="2" xfId="0" applyNumberFormat="1" applyBorder="1" applyAlignment="1" applyProtection="1">
      <alignment horizontal="right" vertical="center"/>
      <protection hidden="1"/>
    </xf>
    <xf numFmtId="0" fontId="3" fillId="0" borderId="0" xfId="0" applyFont="1" applyAlignment="1">
      <alignment horizontal="center" vertical="center" wrapText="1"/>
    </xf>
    <xf numFmtId="0" fontId="8" fillId="0" borderId="34" xfId="0" applyFont="1" applyBorder="1" applyAlignment="1" applyProtection="1">
      <alignment horizontal="left"/>
      <protection hidden="1"/>
    </xf>
    <xf numFmtId="0" fontId="8" fillId="0" borderId="35" xfId="0" applyFont="1" applyBorder="1" applyAlignment="1" applyProtection="1">
      <alignment horizontal="left"/>
      <protection hidden="1"/>
    </xf>
    <xf numFmtId="0" fontId="23" fillId="9" borderId="0" xfId="0" applyFont="1" applyFill="1" applyProtection="1">
      <protection hidden="1"/>
    </xf>
    <xf numFmtId="0" fontId="26" fillId="10" borderId="9" xfId="0" applyFont="1" applyFill="1" applyBorder="1" applyAlignment="1" applyProtection="1">
      <alignment horizontal="center"/>
      <protection hidden="1"/>
    </xf>
    <xf numFmtId="3" fontId="26" fillId="10" borderId="11" xfId="0" applyNumberFormat="1" applyFont="1" applyFill="1" applyBorder="1" applyAlignment="1" applyProtection="1">
      <alignment horizontal="center"/>
      <protection hidden="1"/>
    </xf>
    <xf numFmtId="3" fontId="6" fillId="0" borderId="46" xfId="0" applyNumberFormat="1" applyFont="1" applyBorder="1" applyProtection="1">
      <protection locked="0"/>
    </xf>
    <xf numFmtId="3" fontId="6" fillId="0" borderId="4" xfId="0" applyNumberFormat="1" applyFont="1" applyBorder="1" applyProtection="1">
      <protection locked="0"/>
    </xf>
    <xf numFmtId="0" fontId="6" fillId="0" borderId="3" xfId="0" applyFont="1" applyBorder="1" applyAlignment="1" applyProtection="1">
      <alignment vertical="center"/>
      <protection locked="0"/>
    </xf>
    <xf numFmtId="0" fontId="6" fillId="0" borderId="16" xfId="0" applyFont="1" applyBorder="1" applyAlignment="1" applyProtection="1">
      <alignment vertical="center"/>
      <protection locked="0"/>
    </xf>
    <xf numFmtId="0" fontId="6" fillId="0" borderId="6" xfId="0" applyFont="1" applyBorder="1" applyAlignment="1" applyProtection="1">
      <alignment vertical="center"/>
      <protection locked="0"/>
    </xf>
    <xf numFmtId="0" fontId="23" fillId="9" borderId="0" xfId="0" applyFont="1" applyFill="1" applyProtection="1">
      <protection locked="0"/>
    </xf>
    <xf numFmtId="0" fontId="41" fillId="5" borderId="33" xfId="0" applyFont="1" applyFill="1" applyBorder="1" applyAlignment="1" applyProtection="1">
      <alignment horizontal="center"/>
      <protection locked="0" hidden="1"/>
    </xf>
    <xf numFmtId="0" fontId="12" fillId="5" borderId="25" xfId="0" applyFont="1" applyFill="1" applyBorder="1" applyAlignment="1" applyProtection="1">
      <alignment vertical="center"/>
      <protection locked="0"/>
    </xf>
    <xf numFmtId="0" fontId="12" fillId="5" borderId="69" xfId="0" applyFont="1" applyFill="1" applyBorder="1" applyAlignment="1" applyProtection="1">
      <alignment vertical="center"/>
      <protection locked="0"/>
    </xf>
    <xf numFmtId="0" fontId="32" fillId="5" borderId="33" xfId="0" applyFont="1" applyFill="1" applyBorder="1" applyProtection="1">
      <protection locked="0"/>
    </xf>
    <xf numFmtId="0" fontId="8" fillId="7" borderId="11" xfId="0" applyFont="1" applyFill="1" applyBorder="1" applyProtection="1">
      <protection locked="0"/>
    </xf>
    <xf numFmtId="3" fontId="6" fillId="0" borderId="45" xfId="0" applyNumberFormat="1" applyFont="1" applyBorder="1" applyProtection="1">
      <protection hidden="1"/>
    </xf>
    <xf numFmtId="0" fontId="31" fillId="15" borderId="108" xfId="0" applyFont="1" applyFill="1" applyBorder="1" applyAlignment="1">
      <alignment horizontal="center"/>
    </xf>
    <xf numFmtId="0" fontId="6" fillId="0" borderId="110" xfId="0" applyFont="1" applyBorder="1" applyProtection="1">
      <protection locked="0"/>
    </xf>
    <xf numFmtId="0" fontId="6" fillId="0" borderId="111" xfId="0" applyFont="1" applyBorder="1" applyProtection="1">
      <protection locked="0"/>
    </xf>
    <xf numFmtId="3" fontId="20" fillId="0" borderId="112" xfId="0" applyNumberFormat="1" applyFont="1" applyBorder="1" applyProtection="1">
      <protection hidden="1"/>
    </xf>
    <xf numFmtId="0" fontId="31" fillId="15" borderId="113" xfId="0" applyFont="1" applyFill="1" applyBorder="1" applyAlignment="1">
      <alignment horizontal="center"/>
    </xf>
    <xf numFmtId="3" fontId="6" fillId="0" borderId="112" xfId="0" applyNumberFormat="1" applyFont="1" applyBorder="1" applyProtection="1">
      <protection hidden="1"/>
    </xf>
    <xf numFmtId="3" fontId="20" fillId="0" borderId="108" xfId="0" applyNumberFormat="1" applyFont="1" applyBorder="1" applyProtection="1">
      <protection hidden="1"/>
    </xf>
    <xf numFmtId="3" fontId="0" fillId="0" borderId="0" xfId="0" applyNumberFormat="1" applyAlignment="1">
      <alignment vertical="center" wrapText="1"/>
    </xf>
    <xf numFmtId="3" fontId="3" fillId="0" borderId="0" xfId="0" applyNumberFormat="1" applyFont="1" applyAlignment="1">
      <alignment vertical="center" wrapText="1"/>
    </xf>
    <xf numFmtId="165" fontId="3" fillId="5" borderId="16" xfId="0" applyNumberFormat="1" applyFont="1" applyFill="1" applyBorder="1" applyAlignment="1" applyProtection="1">
      <alignment horizontal="center" vertical="center"/>
      <protection hidden="1"/>
    </xf>
    <xf numFmtId="1" fontId="0" fillId="5" borderId="16" xfId="0" applyNumberFormat="1" applyFill="1" applyBorder="1" applyAlignment="1" applyProtection="1">
      <alignment vertical="center"/>
      <protection hidden="1"/>
    </xf>
    <xf numFmtId="0" fontId="20" fillId="9" borderId="1" xfId="0" applyFont="1" applyFill="1" applyBorder="1" applyProtection="1">
      <protection hidden="1"/>
    </xf>
    <xf numFmtId="0" fontId="20" fillId="9" borderId="3" xfId="0" applyFont="1" applyFill="1" applyBorder="1" applyProtection="1">
      <protection hidden="1"/>
    </xf>
    <xf numFmtId="0" fontId="22" fillId="18" borderId="0" xfId="0" applyFont="1" applyFill="1" applyProtection="1">
      <protection hidden="1"/>
    </xf>
    <xf numFmtId="0" fontId="8" fillId="16" borderId="29" xfId="0" applyFont="1" applyFill="1" applyBorder="1" applyProtection="1">
      <protection locked="0"/>
    </xf>
    <xf numFmtId="0" fontId="8" fillId="16" borderId="30" xfId="0" applyFont="1" applyFill="1" applyBorder="1" applyProtection="1">
      <protection locked="0"/>
    </xf>
    <xf numFmtId="165" fontId="12" fillId="0" borderId="39" xfId="0" applyNumberFormat="1" applyFont="1" applyBorder="1" applyAlignment="1" applyProtection="1">
      <alignment horizontal="center" vertical="center"/>
      <protection hidden="1"/>
    </xf>
    <xf numFmtId="0" fontId="6" fillId="0" borderId="49" xfId="0" applyFont="1" applyBorder="1" applyAlignment="1" applyProtection="1">
      <alignment horizontal="center" vertical="center"/>
      <protection locked="0"/>
    </xf>
    <xf numFmtId="0" fontId="6" fillId="0" borderId="31" xfId="0" applyFont="1" applyBorder="1" applyAlignment="1" applyProtection="1">
      <alignment horizontal="center" vertical="center"/>
      <protection locked="0"/>
    </xf>
    <xf numFmtId="3" fontId="6" fillId="13" borderId="9" xfId="0" applyNumberFormat="1" applyFont="1" applyFill="1" applyBorder="1" applyAlignment="1" applyProtection="1">
      <alignment horizontal="center"/>
      <protection locked="0"/>
    </xf>
    <xf numFmtId="3" fontId="6" fillId="13" borderId="11" xfId="0" applyNumberFormat="1" applyFont="1" applyFill="1" applyBorder="1" applyAlignment="1" applyProtection="1">
      <alignment horizontal="center"/>
      <protection locked="0"/>
    </xf>
    <xf numFmtId="3" fontId="6" fillId="12" borderId="9" xfId="0" applyNumberFormat="1" applyFont="1" applyFill="1" applyBorder="1" applyAlignment="1" applyProtection="1">
      <alignment horizontal="center"/>
      <protection locked="0"/>
    </xf>
    <xf numFmtId="3" fontId="6" fillId="12" borderId="11" xfId="0" applyNumberFormat="1" applyFont="1" applyFill="1" applyBorder="1" applyAlignment="1" applyProtection="1">
      <alignment horizontal="center"/>
      <protection locked="0"/>
    </xf>
    <xf numFmtId="0" fontId="28" fillId="4" borderId="9" xfId="0" applyFont="1" applyFill="1" applyBorder="1" applyAlignment="1" applyProtection="1">
      <alignment horizontal="center"/>
      <protection hidden="1"/>
    </xf>
    <xf numFmtId="0" fontId="28" fillId="4" borderId="10" xfId="0" applyFont="1" applyFill="1" applyBorder="1" applyAlignment="1" applyProtection="1">
      <alignment horizontal="center"/>
      <protection hidden="1"/>
    </xf>
    <xf numFmtId="0" fontId="28" fillId="4" borderId="11" xfId="0" applyFont="1" applyFill="1" applyBorder="1" applyAlignment="1" applyProtection="1">
      <alignment horizontal="center"/>
      <protection hidden="1"/>
    </xf>
    <xf numFmtId="3" fontId="6" fillId="12" borderId="9" xfId="0" applyNumberFormat="1" applyFont="1" applyFill="1" applyBorder="1" applyAlignment="1" applyProtection="1">
      <alignment horizontal="center"/>
      <protection hidden="1"/>
    </xf>
    <xf numFmtId="3" fontId="6" fillId="12" borderId="11" xfId="0" applyNumberFormat="1" applyFont="1" applyFill="1" applyBorder="1" applyAlignment="1" applyProtection="1">
      <alignment horizontal="center"/>
      <protection hidden="1"/>
    </xf>
    <xf numFmtId="0" fontId="33" fillId="9" borderId="0" xfId="0" applyFont="1" applyFill="1" applyAlignment="1" applyProtection="1">
      <alignment horizontal="left"/>
      <protection hidden="1"/>
    </xf>
    <xf numFmtId="3" fontId="6" fillId="13" borderId="9" xfId="0" applyNumberFormat="1" applyFont="1" applyFill="1" applyBorder="1" applyAlignment="1" applyProtection="1">
      <alignment horizontal="center"/>
      <protection hidden="1"/>
    </xf>
    <xf numFmtId="3" fontId="6" fillId="13" borderId="11" xfId="0" applyNumberFormat="1" applyFont="1" applyFill="1" applyBorder="1" applyAlignment="1" applyProtection="1">
      <alignment horizontal="center"/>
      <protection hidden="1"/>
    </xf>
    <xf numFmtId="0" fontId="31" fillId="15" borderId="25" xfId="0" applyFont="1" applyFill="1" applyBorder="1" applyAlignment="1">
      <alignment horizontal="center"/>
    </xf>
    <xf numFmtId="0" fontId="31" fillId="15" borderId="49" xfId="0" applyFont="1" applyFill="1" applyBorder="1" applyAlignment="1">
      <alignment horizontal="center"/>
    </xf>
    <xf numFmtId="0" fontId="22" fillId="9" borderId="8" xfId="0" applyFont="1" applyFill="1" applyBorder="1" applyAlignment="1">
      <alignment horizontal="center" vertical="center"/>
    </xf>
    <xf numFmtId="0" fontId="22" fillId="9" borderId="0" xfId="0" applyFont="1" applyFill="1" applyAlignment="1">
      <alignment horizontal="center" vertical="center"/>
    </xf>
    <xf numFmtId="0" fontId="28" fillId="14" borderId="9" xfId="0" applyFont="1" applyFill="1" applyBorder="1" applyAlignment="1">
      <alignment horizontal="center"/>
    </xf>
    <xf numFmtId="0" fontId="28" fillId="14" borderId="10" xfId="0" applyFont="1" applyFill="1" applyBorder="1" applyAlignment="1">
      <alignment horizontal="center"/>
    </xf>
    <xf numFmtId="0" fontId="28" fillId="14" borderId="109" xfId="0" applyFont="1" applyFill="1" applyBorder="1" applyAlignment="1">
      <alignment horizontal="center"/>
    </xf>
    <xf numFmtId="3" fontId="20" fillId="9" borderId="12" xfId="0" applyNumberFormat="1" applyFont="1" applyFill="1" applyBorder="1" applyAlignment="1" applyProtection="1">
      <alignment horizontal="center" vertical="center"/>
      <protection hidden="1"/>
    </xf>
    <xf numFmtId="0" fontId="33" fillId="9" borderId="0" xfId="0" applyFont="1" applyFill="1" applyAlignment="1" applyProtection="1">
      <alignment horizontal="center"/>
      <protection hidden="1"/>
    </xf>
    <xf numFmtId="0" fontId="28" fillId="4" borderId="9" xfId="0" applyFont="1" applyFill="1" applyBorder="1" applyAlignment="1">
      <alignment horizontal="center"/>
    </xf>
    <xf numFmtId="0" fontId="28" fillId="4" borderId="10" xfId="0" applyFont="1" applyFill="1" applyBorder="1" applyAlignment="1">
      <alignment horizontal="center"/>
    </xf>
    <xf numFmtId="0" fontId="28" fillId="4" borderId="11" xfId="0" applyFont="1" applyFill="1" applyBorder="1" applyAlignment="1">
      <alignment horizontal="center"/>
    </xf>
    <xf numFmtId="0" fontId="28" fillId="14" borderId="11" xfId="0" applyFont="1" applyFill="1" applyBorder="1" applyAlignment="1">
      <alignment horizontal="center"/>
    </xf>
    <xf numFmtId="0" fontId="20" fillId="9" borderId="36" xfId="0" applyFont="1" applyFill="1" applyBorder="1" applyAlignment="1">
      <alignment horizontal="center" vertical="center"/>
    </xf>
    <xf numFmtId="0" fontId="20" fillId="9" borderId="41" xfId="0" applyFont="1" applyFill="1" applyBorder="1" applyAlignment="1">
      <alignment horizontal="center" vertical="center"/>
    </xf>
    <xf numFmtId="0" fontId="6" fillId="9" borderId="0" xfId="0" applyFont="1" applyFill="1" applyAlignment="1">
      <alignment horizontal="center"/>
    </xf>
    <xf numFmtId="0" fontId="20" fillId="9" borderId="0" xfId="0" applyFont="1" applyFill="1" applyAlignment="1">
      <alignment horizontal="left"/>
    </xf>
    <xf numFmtId="0" fontId="3" fillId="0" borderId="56" xfId="0" applyFont="1" applyBorder="1" applyAlignment="1">
      <alignment horizontal="center"/>
    </xf>
    <xf numFmtId="0" fontId="3" fillId="0" borderId="57" xfId="0" applyFont="1" applyBorder="1" applyAlignment="1">
      <alignment horizontal="center"/>
    </xf>
    <xf numFmtId="0" fontId="20" fillId="0" borderId="9" xfId="0" applyFont="1" applyBorder="1" applyAlignment="1" applyProtection="1">
      <alignment horizontal="center"/>
      <protection hidden="1"/>
    </xf>
    <xf numFmtId="0" fontId="20" fillId="0" borderId="10" xfId="0" applyFont="1" applyBorder="1" applyAlignment="1" applyProtection="1">
      <alignment horizontal="center"/>
      <protection hidden="1"/>
    </xf>
    <xf numFmtId="0" fontId="20" fillId="0" borderId="11" xfId="0" applyFont="1" applyBorder="1" applyAlignment="1" applyProtection="1">
      <alignment horizontal="center"/>
      <protection hidden="1"/>
    </xf>
    <xf numFmtId="0" fontId="3" fillId="0" borderId="60" xfId="0" applyFont="1" applyBorder="1" applyAlignment="1">
      <alignment horizontal="center"/>
    </xf>
    <xf numFmtId="0" fontId="3" fillId="0" borderId="61" xfId="0" applyFont="1" applyBorder="1" applyAlignment="1">
      <alignment horizontal="center"/>
    </xf>
    <xf numFmtId="0" fontId="27" fillId="0" borderId="9" xfId="0" applyFont="1" applyBorder="1" applyAlignment="1" applyProtection="1">
      <alignment horizontal="center"/>
      <protection hidden="1"/>
    </xf>
    <xf numFmtId="0" fontId="27" fillId="0" borderId="10" xfId="0" applyFont="1" applyBorder="1" applyAlignment="1" applyProtection="1">
      <alignment horizontal="center"/>
      <protection hidden="1"/>
    </xf>
    <xf numFmtId="0" fontId="27" fillId="0" borderId="11" xfId="0" applyFont="1" applyBorder="1" applyAlignment="1" applyProtection="1">
      <alignment horizontal="center"/>
      <protection hidden="1"/>
    </xf>
    <xf numFmtId="0" fontId="32" fillId="9" borderId="0" xfId="0" applyFont="1" applyFill="1" applyAlignment="1" applyProtection="1">
      <alignment horizontal="center"/>
      <protection hidden="1"/>
    </xf>
    <xf numFmtId="0" fontId="6" fillId="18" borderId="25" xfId="0" applyFont="1" applyFill="1" applyBorder="1" applyAlignment="1" applyProtection="1">
      <alignment horizontal="center"/>
      <protection hidden="1"/>
    </xf>
    <xf numFmtId="0" fontId="6" fillId="18" borderId="70" xfId="0" applyFont="1" applyFill="1" applyBorder="1" applyAlignment="1" applyProtection="1">
      <alignment horizontal="center"/>
      <protection hidden="1"/>
    </xf>
    <xf numFmtId="0" fontId="25" fillId="9" borderId="0" xfId="0" applyFont="1" applyFill="1" applyAlignment="1">
      <alignment horizontal="center"/>
    </xf>
    <xf numFmtId="0" fontId="25" fillId="9" borderId="18" xfId="0" applyFont="1" applyFill="1" applyBorder="1" applyAlignment="1">
      <alignment horizontal="center"/>
    </xf>
    <xf numFmtId="0" fontId="3" fillId="0" borderId="96" xfId="0" applyFont="1" applyBorder="1" applyAlignment="1">
      <alignment horizontal="center" vertical="center"/>
    </xf>
    <xf numFmtId="0" fontId="3" fillId="0" borderId="97"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3" fontId="3" fillId="0" borderId="100" xfId="0" applyNumberFormat="1" applyFont="1" applyBorder="1" applyAlignment="1" applyProtection="1">
      <alignment horizontal="left" vertical="center"/>
      <protection locked="0"/>
    </xf>
    <xf numFmtId="3" fontId="3" fillId="0" borderId="104" xfId="0" applyNumberFormat="1" applyFont="1" applyBorder="1" applyAlignment="1" applyProtection="1">
      <alignment horizontal="left" vertical="center"/>
      <protection locked="0"/>
    </xf>
    <xf numFmtId="0" fontId="6" fillId="5" borderId="8" xfId="0" applyFont="1" applyFill="1" applyBorder="1" applyAlignment="1" applyProtection="1">
      <alignment horizontal="center"/>
      <protection hidden="1"/>
    </xf>
    <xf numFmtId="0" fontId="6" fillId="5" borderId="36" xfId="0" applyFont="1" applyFill="1" applyBorder="1" applyAlignment="1" applyProtection="1">
      <alignment horizontal="center"/>
      <protection hidden="1"/>
    </xf>
    <xf numFmtId="0" fontId="20" fillId="5" borderId="0" xfId="0" applyFont="1" applyFill="1" applyAlignment="1" applyProtection="1">
      <alignment horizontal="center"/>
      <protection hidden="1"/>
    </xf>
    <xf numFmtId="0" fontId="20" fillId="5" borderId="41" xfId="0" applyFont="1" applyFill="1" applyBorder="1" applyAlignment="1" applyProtection="1">
      <alignment horizontal="center"/>
      <protection hidden="1"/>
    </xf>
    <xf numFmtId="0" fontId="6" fillId="5" borderId="12" xfId="0" applyFont="1" applyFill="1" applyBorder="1" applyAlignment="1" applyProtection="1">
      <alignment horizontal="center"/>
      <protection hidden="1"/>
    </xf>
    <xf numFmtId="0" fontId="6" fillId="5" borderId="114" xfId="0" applyFont="1" applyFill="1" applyBorder="1" applyAlignment="1" applyProtection="1">
      <alignment horizontal="center"/>
      <protection hidden="1"/>
    </xf>
    <xf numFmtId="3" fontId="20" fillId="5" borderId="12" xfId="0" applyNumberFormat="1" applyFont="1" applyFill="1" applyBorder="1" applyAlignment="1" applyProtection="1">
      <alignment horizontal="center" vertical="center"/>
      <protection hidden="1"/>
    </xf>
    <xf numFmtId="3" fontId="20" fillId="5" borderId="114" xfId="0" applyNumberFormat="1" applyFont="1" applyFill="1" applyBorder="1" applyAlignment="1" applyProtection="1">
      <alignment horizontal="center" vertical="center"/>
      <protection hidden="1"/>
    </xf>
    <xf numFmtId="3" fontId="20" fillId="9" borderId="85" xfId="0" applyNumberFormat="1" applyFont="1" applyFill="1" applyBorder="1" applyAlignment="1" applyProtection="1">
      <alignment horizontal="center" vertical="center"/>
      <protection hidden="1"/>
    </xf>
    <xf numFmtId="3" fontId="20" fillId="9" borderId="75" xfId="0" applyNumberFormat="1" applyFont="1" applyFill="1" applyBorder="1" applyAlignment="1" applyProtection="1">
      <alignment horizontal="center" vertical="center"/>
      <protection hidden="1"/>
    </xf>
    <xf numFmtId="3" fontId="20" fillId="9" borderId="88" xfId="0" applyNumberFormat="1" applyFont="1" applyFill="1" applyBorder="1" applyAlignment="1" applyProtection="1">
      <alignment horizontal="center" vertical="center"/>
      <protection locked="0"/>
    </xf>
    <xf numFmtId="3" fontId="20" fillId="9" borderId="64" xfId="0" applyNumberFormat="1" applyFont="1" applyFill="1" applyBorder="1" applyAlignment="1" applyProtection="1">
      <alignment horizontal="center" vertical="center"/>
      <protection locked="0"/>
    </xf>
    <xf numFmtId="0" fontId="6" fillId="9" borderId="8" xfId="0" applyFont="1" applyFill="1" applyBorder="1" applyAlignment="1">
      <alignment horizontal="center" vertical="center"/>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85" xfId="0" applyFont="1" applyBorder="1" applyAlignment="1">
      <alignment horizontal="center" vertical="center"/>
    </xf>
    <xf numFmtId="0" fontId="6" fillId="0" borderId="19" xfId="0" applyFont="1" applyBorder="1" applyAlignment="1">
      <alignment horizontal="center" vertical="center"/>
    </xf>
    <xf numFmtId="0" fontId="3" fillId="0" borderId="98" xfId="0" applyFont="1" applyBorder="1" applyAlignment="1">
      <alignment horizontal="center" vertical="center"/>
    </xf>
    <xf numFmtId="0" fontId="3" fillId="0" borderId="99" xfId="0" applyFont="1" applyBorder="1" applyAlignment="1">
      <alignment horizontal="center" vertical="center"/>
    </xf>
    <xf numFmtId="3" fontId="20" fillId="0" borderId="100" xfId="0" applyNumberFormat="1" applyFont="1" applyBorder="1" applyAlignment="1" applyProtection="1">
      <alignment horizontal="left" vertical="center"/>
      <protection locked="0"/>
    </xf>
    <xf numFmtId="3" fontId="20" fillId="0" borderId="101" xfId="0" applyNumberFormat="1" applyFont="1" applyBorder="1" applyAlignment="1" applyProtection="1">
      <alignment horizontal="left" vertical="center"/>
      <protection locked="0"/>
    </xf>
    <xf numFmtId="0" fontId="6" fillId="0" borderId="4" xfId="0" applyFont="1" applyBorder="1" applyAlignment="1">
      <alignment horizontal="center" vertical="center"/>
    </xf>
    <xf numFmtId="0" fontId="6" fillId="0" borderId="5" xfId="0" applyFont="1" applyBorder="1" applyAlignment="1">
      <alignment horizontal="center" vertical="center"/>
    </xf>
    <xf numFmtId="3" fontId="37" fillId="5" borderId="87" xfId="0" applyNumberFormat="1" applyFont="1" applyFill="1" applyBorder="1" applyAlignment="1" applyProtection="1">
      <alignment horizontal="center" vertical="center"/>
      <protection hidden="1"/>
    </xf>
    <xf numFmtId="3" fontId="37" fillId="5" borderId="11" xfId="0" applyNumberFormat="1" applyFont="1" applyFill="1" applyBorder="1" applyAlignment="1" applyProtection="1">
      <alignment horizontal="center" vertical="center"/>
      <protection hidden="1"/>
    </xf>
    <xf numFmtId="3" fontId="37" fillId="5" borderId="48" xfId="0" applyNumberFormat="1" applyFont="1" applyFill="1" applyBorder="1" applyAlignment="1" applyProtection="1">
      <alignment horizontal="center" vertical="center"/>
      <protection hidden="1"/>
    </xf>
    <xf numFmtId="1" fontId="8" fillId="0" borderId="0" xfId="0" applyNumberFormat="1" applyFont="1" applyAlignment="1" applyProtection="1">
      <alignment horizontal="center"/>
      <protection hidden="1"/>
    </xf>
    <xf numFmtId="0" fontId="3" fillId="0" borderId="105" xfId="0" applyFont="1" applyBorder="1" applyAlignment="1" applyProtection="1">
      <alignment horizontal="center" vertical="center"/>
      <protection hidden="1"/>
    </xf>
    <xf numFmtId="3" fontId="0" fillId="0" borderId="84" xfId="0" applyNumberFormat="1" applyBorder="1" applyAlignment="1" applyProtection="1">
      <alignment horizontal="center" vertical="center"/>
      <protection hidden="1"/>
    </xf>
    <xf numFmtId="3" fontId="0" fillId="0" borderId="40" xfId="0" applyNumberFormat="1" applyBorder="1" applyAlignment="1" applyProtection="1">
      <alignment horizontal="center" vertical="center"/>
      <protection hidden="1"/>
    </xf>
    <xf numFmtId="0" fontId="8" fillId="5" borderId="33" xfId="0" applyFont="1" applyFill="1" applyBorder="1" applyAlignment="1" applyProtection="1">
      <alignment horizontal="center"/>
      <protection locked="0" hidden="1"/>
    </xf>
    <xf numFmtId="0" fontId="0" fillId="5" borderId="33" xfId="0" applyFill="1" applyBorder="1" applyAlignment="1" applyProtection="1">
      <alignment horizontal="center" vertical="center"/>
      <protection hidden="1"/>
    </xf>
    <xf numFmtId="168" fontId="12" fillId="0" borderId="40" xfId="0" applyNumberFormat="1" applyFont="1" applyBorder="1" applyAlignment="1" applyProtection="1">
      <alignment horizontal="center" vertical="center"/>
      <protection hidden="1"/>
    </xf>
    <xf numFmtId="168" fontId="12" fillId="0" borderId="39" xfId="0" applyNumberFormat="1" applyFont="1" applyBorder="1" applyAlignment="1" applyProtection="1">
      <alignment horizontal="center" vertical="center"/>
      <protection hidden="1"/>
    </xf>
    <xf numFmtId="3" fontId="8" fillId="5" borderId="33" xfId="0" applyNumberFormat="1" applyFont="1" applyFill="1" applyBorder="1" applyAlignment="1" applyProtection="1">
      <alignment horizontal="center"/>
      <protection locked="0"/>
    </xf>
    <xf numFmtId="3" fontId="48" fillId="5" borderId="9" xfId="0" applyNumberFormat="1" applyFont="1" applyFill="1" applyBorder="1" applyAlignment="1">
      <alignment horizontal="center"/>
    </xf>
    <xf numFmtId="0" fontId="48" fillId="5" borderId="11" xfId="0" applyFont="1" applyFill="1" applyBorder="1" applyAlignment="1">
      <alignment horizontal="center"/>
    </xf>
    <xf numFmtId="3" fontId="3" fillId="5" borderId="71" xfId="0" applyNumberFormat="1" applyFont="1" applyFill="1" applyBorder="1" applyAlignment="1" applyProtection="1">
      <alignment horizontal="center" vertical="center"/>
      <protection hidden="1"/>
    </xf>
    <xf numFmtId="3" fontId="3" fillId="5" borderId="72" xfId="0" applyNumberFormat="1" applyFont="1" applyFill="1" applyBorder="1" applyAlignment="1" applyProtection="1">
      <alignment horizontal="center" vertical="center"/>
      <protection hidden="1"/>
    </xf>
    <xf numFmtId="3" fontId="3" fillId="5" borderId="75" xfId="0" applyNumberFormat="1" applyFont="1" applyFill="1" applyBorder="1" applyAlignment="1" applyProtection="1">
      <alignment horizontal="center" vertical="center"/>
      <protection hidden="1"/>
    </xf>
    <xf numFmtId="3" fontId="3" fillId="5" borderId="22" xfId="0" applyNumberFormat="1" applyFont="1" applyFill="1" applyBorder="1" applyAlignment="1" applyProtection="1">
      <alignment horizontal="center" vertical="center"/>
      <protection hidden="1"/>
    </xf>
    <xf numFmtId="1" fontId="34" fillId="0" borderId="72" xfId="0" applyNumberFormat="1" applyFont="1" applyBorder="1" applyAlignment="1" applyProtection="1">
      <alignment horizontal="center" vertical="center"/>
      <protection hidden="1"/>
    </xf>
    <xf numFmtId="1" fontId="34" fillId="0" borderId="73" xfId="0" applyNumberFormat="1" applyFont="1" applyBorder="1" applyAlignment="1" applyProtection="1">
      <alignment horizontal="center" vertical="center"/>
      <protection hidden="1"/>
    </xf>
    <xf numFmtId="1" fontId="34" fillId="0" borderId="22" xfId="0" applyNumberFormat="1" applyFont="1" applyBorder="1" applyAlignment="1" applyProtection="1">
      <alignment horizontal="center" vertical="center"/>
      <protection hidden="1"/>
    </xf>
    <xf numFmtId="1" fontId="34" fillId="0" borderId="64" xfId="0" applyNumberFormat="1" applyFont="1" applyBorder="1" applyAlignment="1" applyProtection="1">
      <alignment horizontal="center" vertical="center"/>
      <protection hidden="1"/>
    </xf>
    <xf numFmtId="3" fontId="8" fillId="7" borderId="23" xfId="0" applyNumberFormat="1" applyFont="1" applyFill="1" applyBorder="1" applyAlignment="1" applyProtection="1">
      <alignment horizontal="center"/>
      <protection hidden="1"/>
    </xf>
    <xf numFmtId="0" fontId="8" fillId="7" borderId="76" xfId="0" applyFont="1" applyFill="1" applyBorder="1" applyAlignment="1" applyProtection="1">
      <alignment horizontal="center"/>
      <protection hidden="1"/>
    </xf>
    <xf numFmtId="0" fontId="8" fillId="7" borderId="24" xfId="0" applyFont="1" applyFill="1" applyBorder="1" applyAlignment="1" applyProtection="1">
      <alignment horizontal="center"/>
      <protection hidden="1"/>
    </xf>
    <xf numFmtId="1" fontId="8" fillId="7" borderId="87" xfId="0" applyNumberFormat="1" applyFont="1" applyFill="1" applyBorder="1" applyAlignment="1" applyProtection="1">
      <alignment horizontal="center"/>
      <protection hidden="1"/>
    </xf>
    <xf numFmtId="0" fontId="8" fillId="7" borderId="11" xfId="0" applyFont="1" applyFill="1" applyBorder="1" applyAlignment="1" applyProtection="1">
      <alignment horizontal="center"/>
      <protection hidden="1"/>
    </xf>
    <xf numFmtId="3" fontId="3" fillId="5" borderId="33" xfId="0" applyNumberFormat="1" applyFont="1" applyFill="1" applyBorder="1" applyAlignment="1" applyProtection="1">
      <alignment horizontal="center" vertical="center"/>
      <protection hidden="1"/>
    </xf>
    <xf numFmtId="3" fontId="3" fillId="5" borderId="10" xfId="0" applyNumberFormat="1" applyFont="1" applyFill="1" applyBorder="1" applyAlignment="1" applyProtection="1">
      <alignment horizontal="center" vertical="center"/>
      <protection hidden="1"/>
    </xf>
    <xf numFmtId="3" fontId="3" fillId="5" borderId="11" xfId="0" applyNumberFormat="1" applyFont="1" applyFill="1" applyBorder="1" applyAlignment="1" applyProtection="1">
      <alignment horizontal="center" vertical="center"/>
      <protection hidden="1"/>
    </xf>
    <xf numFmtId="0" fontId="40" fillId="5" borderId="33" xfId="0" applyFont="1" applyFill="1" applyBorder="1" applyAlignment="1" applyProtection="1">
      <alignment horizontal="center"/>
      <protection locked="0" hidden="1"/>
    </xf>
    <xf numFmtId="3" fontId="37" fillId="5" borderId="10" xfId="0" applyNumberFormat="1" applyFont="1" applyFill="1" applyBorder="1" applyAlignment="1" applyProtection="1">
      <alignment horizontal="center" vertical="center"/>
      <protection hidden="1"/>
    </xf>
    <xf numFmtId="3" fontId="37" fillId="0" borderId="0" xfId="0" applyNumberFormat="1" applyFont="1" applyAlignment="1" applyProtection="1">
      <alignment horizontal="center" vertical="center"/>
      <protection hidden="1"/>
    </xf>
    <xf numFmtId="165" fontId="3" fillId="0" borderId="14" xfId="0" applyNumberFormat="1" applyFont="1" applyBorder="1" applyAlignment="1" applyProtection="1">
      <alignment horizontal="center" vertical="center"/>
      <protection hidden="1"/>
    </xf>
    <xf numFmtId="165" fontId="3" fillId="0" borderId="16" xfId="0" applyNumberFormat="1" applyFont="1" applyBorder="1" applyAlignment="1" applyProtection="1">
      <alignment horizontal="center" vertical="center"/>
      <protection hidden="1"/>
    </xf>
    <xf numFmtId="3" fontId="3" fillId="0" borderId="14" xfId="0" applyNumberFormat="1" applyFont="1" applyBorder="1" applyAlignment="1" applyProtection="1">
      <alignment horizontal="center" vertical="center"/>
      <protection hidden="1"/>
    </xf>
    <xf numFmtId="0" fontId="3" fillId="0" borderId="15" xfId="0" applyFont="1" applyBorder="1" applyAlignment="1" applyProtection="1">
      <alignment horizontal="center" vertical="center"/>
      <protection hidden="1"/>
    </xf>
    <xf numFmtId="0" fontId="7" fillId="9" borderId="1" xfId="0" applyFont="1" applyFill="1" applyBorder="1" applyAlignment="1" applyProtection="1">
      <alignment horizontal="center" wrapText="1"/>
      <protection hidden="1"/>
    </xf>
    <xf numFmtId="0" fontId="7" fillId="9" borderId="2" xfId="0" applyFont="1" applyFill="1" applyBorder="1" applyAlignment="1" applyProtection="1">
      <alignment horizontal="center" wrapText="1"/>
      <protection hidden="1"/>
    </xf>
    <xf numFmtId="0" fontId="7" fillId="9" borderId="3" xfId="0" applyFont="1" applyFill="1" applyBorder="1" applyAlignment="1" applyProtection="1">
      <alignment horizontal="center" wrapText="1"/>
      <protection hidden="1"/>
    </xf>
    <xf numFmtId="0" fontId="28" fillId="0" borderId="68" xfId="0" applyFont="1" applyBorder="1" applyAlignment="1" applyProtection="1">
      <alignment horizontal="center"/>
      <protection hidden="1"/>
    </xf>
    <xf numFmtId="0" fontId="28" fillId="0" borderId="49" xfId="0" applyFont="1" applyBorder="1" applyAlignment="1" applyProtection="1">
      <alignment horizontal="center"/>
      <protection hidden="1"/>
    </xf>
    <xf numFmtId="0" fontId="28" fillId="0" borderId="35" xfId="0" applyFont="1" applyBorder="1" applyAlignment="1" applyProtection="1">
      <alignment horizontal="center"/>
      <protection hidden="1"/>
    </xf>
    <xf numFmtId="0" fontId="28" fillId="0" borderId="95" xfId="0" applyFont="1" applyBorder="1" applyAlignment="1" applyProtection="1">
      <alignment horizontal="center"/>
      <protection hidden="1"/>
    </xf>
    <xf numFmtId="0" fontId="28" fillId="0" borderId="52" xfId="0" applyFont="1" applyBorder="1" applyAlignment="1" applyProtection="1">
      <alignment horizontal="center"/>
      <protection hidden="1"/>
    </xf>
    <xf numFmtId="0" fontId="28" fillId="0" borderId="50" xfId="0" applyFont="1" applyBorder="1" applyAlignment="1" applyProtection="1">
      <alignment horizontal="center"/>
      <protection hidden="1"/>
    </xf>
    <xf numFmtId="0" fontId="28" fillId="0" borderId="20" xfId="0" applyFont="1" applyBorder="1" applyAlignment="1" applyProtection="1">
      <alignment horizontal="center"/>
      <protection hidden="1"/>
    </xf>
    <xf numFmtId="0" fontId="28" fillId="0" borderId="21" xfId="0" applyFont="1" applyBorder="1" applyAlignment="1" applyProtection="1">
      <alignment horizontal="center"/>
      <protection hidden="1"/>
    </xf>
    <xf numFmtId="0" fontId="28" fillId="0" borderId="94" xfId="0" applyFont="1" applyBorder="1" applyAlignment="1" applyProtection="1">
      <alignment horizontal="center"/>
      <protection hidden="1"/>
    </xf>
    <xf numFmtId="0" fontId="28" fillId="0" borderId="55" xfId="0" applyFont="1" applyBorder="1" applyAlignment="1" applyProtection="1">
      <alignment horizontal="center"/>
      <protection hidden="1"/>
    </xf>
    <xf numFmtId="0" fontId="28" fillId="0" borderId="14" xfId="0" applyFont="1" applyBorder="1" applyAlignment="1" applyProtection="1">
      <alignment horizontal="center" vertical="center" wrapText="1"/>
      <protection hidden="1"/>
    </xf>
    <xf numFmtId="0" fontId="28" fillId="0" borderId="15" xfId="0" applyFont="1" applyBorder="1" applyAlignment="1" applyProtection="1">
      <alignment horizontal="center" vertical="center" wrapText="1"/>
      <protection hidden="1"/>
    </xf>
    <xf numFmtId="0" fontId="28" fillId="0" borderId="4" xfId="0" applyFont="1" applyBorder="1" applyAlignment="1" applyProtection="1">
      <alignment horizontal="center" vertical="center" wrapText="1"/>
      <protection hidden="1"/>
    </xf>
    <xf numFmtId="0" fontId="28" fillId="0" borderId="5" xfId="0" applyFont="1" applyBorder="1" applyAlignment="1" applyProtection="1">
      <alignment horizontal="center" vertical="center" wrapText="1"/>
      <protection hidden="1"/>
    </xf>
    <xf numFmtId="0" fontId="7" fillId="5" borderId="20" xfId="0" applyFont="1" applyFill="1" applyBorder="1" applyAlignment="1" applyProtection="1">
      <alignment horizontal="center" wrapText="1"/>
      <protection hidden="1"/>
    </xf>
    <xf numFmtId="0" fontId="7" fillId="5" borderId="35" xfId="0" applyFont="1" applyFill="1" applyBorder="1" applyAlignment="1" applyProtection="1">
      <alignment horizontal="center" wrapText="1"/>
      <protection hidden="1"/>
    </xf>
    <xf numFmtId="0" fontId="7" fillId="5" borderId="21" xfId="0" applyFont="1" applyFill="1" applyBorder="1" applyAlignment="1" applyProtection="1">
      <alignment horizontal="center" wrapText="1"/>
      <protection hidden="1"/>
    </xf>
    <xf numFmtId="0" fontId="7" fillId="5" borderId="92" xfId="0" applyFont="1" applyFill="1" applyBorder="1" applyAlignment="1" applyProtection="1">
      <alignment horizontal="center" wrapText="1"/>
      <protection hidden="1"/>
    </xf>
    <xf numFmtId="0" fontId="7" fillId="5" borderId="0" xfId="0" applyFont="1" applyFill="1" applyAlignment="1" applyProtection="1">
      <alignment horizontal="center" wrapText="1"/>
      <protection hidden="1"/>
    </xf>
    <xf numFmtId="0" fontId="7" fillId="5" borderId="41" xfId="0" applyFont="1" applyFill="1" applyBorder="1" applyAlignment="1" applyProtection="1">
      <alignment horizontal="center" wrapText="1"/>
      <protection hidden="1"/>
    </xf>
    <xf numFmtId="0" fontId="7" fillId="5" borderId="23" xfId="0" applyFont="1" applyFill="1" applyBorder="1" applyAlignment="1" applyProtection="1">
      <alignment horizontal="center" wrapText="1"/>
      <protection hidden="1"/>
    </xf>
    <xf numFmtId="0" fontId="7" fillId="5" borderId="18" xfId="0" applyFont="1" applyFill="1" applyBorder="1" applyAlignment="1" applyProtection="1">
      <alignment horizontal="center" wrapText="1"/>
      <protection hidden="1"/>
    </xf>
    <xf numFmtId="0" fontId="7" fillId="5" borderId="24" xfId="0" applyFont="1" applyFill="1" applyBorder="1" applyAlignment="1" applyProtection="1">
      <alignment horizontal="center" wrapText="1"/>
      <protection hidden="1"/>
    </xf>
    <xf numFmtId="0" fontId="28" fillId="0" borderId="68" xfId="0" applyFont="1" applyBorder="1" applyAlignment="1" applyProtection="1">
      <alignment horizontal="center" vertical="center"/>
      <protection hidden="1"/>
    </xf>
    <xf numFmtId="0" fontId="28" fillId="0" borderId="69" xfId="0" applyFont="1" applyBorder="1" applyAlignment="1" applyProtection="1">
      <alignment horizontal="center" vertical="center"/>
      <protection hidden="1"/>
    </xf>
    <xf numFmtId="0" fontId="28" fillId="5" borderId="35" xfId="0" applyFont="1" applyFill="1" applyBorder="1" applyAlignment="1" applyProtection="1">
      <alignment horizontal="center" vertical="center"/>
      <protection hidden="1"/>
    </xf>
    <xf numFmtId="0" fontId="28" fillId="5" borderId="21" xfId="0" applyFont="1" applyFill="1" applyBorder="1" applyAlignment="1" applyProtection="1">
      <alignment horizontal="center" vertical="center"/>
      <protection hidden="1"/>
    </xf>
    <xf numFmtId="0" fontId="28" fillId="5" borderId="18" xfId="0" applyFont="1" applyFill="1" applyBorder="1" applyAlignment="1" applyProtection="1">
      <alignment horizontal="center" vertical="center"/>
      <protection hidden="1"/>
    </xf>
    <xf numFmtId="0" fontId="28" fillId="5" borderId="24" xfId="0" applyFont="1" applyFill="1" applyBorder="1" applyAlignment="1" applyProtection="1">
      <alignment horizontal="center" vertical="center"/>
      <protection hidden="1"/>
    </xf>
    <xf numFmtId="0" fontId="6" fillId="0" borderId="7" xfId="0" applyFont="1" applyBorder="1" applyAlignment="1" applyProtection="1">
      <alignment vertical="top" wrapText="1"/>
      <protection hidden="1"/>
    </xf>
    <xf numFmtId="0" fontId="6" fillId="0" borderId="8" xfId="0" applyFont="1" applyBorder="1" applyAlignment="1" applyProtection="1">
      <alignment vertical="top" wrapText="1"/>
      <protection hidden="1"/>
    </xf>
    <xf numFmtId="0" fontId="6" fillId="0" borderId="12" xfId="0" applyFont="1" applyBorder="1" applyAlignment="1" applyProtection="1">
      <alignment vertical="top" wrapText="1"/>
      <protection hidden="1"/>
    </xf>
    <xf numFmtId="0" fontId="6" fillId="0" borderId="0" xfId="0" applyFont="1" applyAlignment="1" applyProtection="1">
      <alignment vertical="top" wrapText="1"/>
      <protection hidden="1"/>
    </xf>
    <xf numFmtId="0" fontId="6" fillId="0" borderId="84" xfId="0" applyFont="1" applyBorder="1" applyAlignment="1" applyProtection="1">
      <alignment horizontal="left" vertical="center"/>
      <protection hidden="1"/>
    </xf>
    <xf numFmtId="0" fontId="6" fillId="0" borderId="40" xfId="0" applyFont="1" applyBorder="1" applyAlignment="1" applyProtection="1">
      <alignment horizontal="left" vertical="center"/>
      <protection hidden="1"/>
    </xf>
    <xf numFmtId="0" fontId="6" fillId="0" borderId="40" xfId="0" applyFont="1" applyBorder="1" applyAlignment="1" applyProtection="1">
      <alignment horizontal="center" vertical="center"/>
      <protection hidden="1"/>
    </xf>
    <xf numFmtId="0" fontId="6" fillId="0" borderId="39" xfId="0" applyFont="1" applyBorder="1" applyAlignment="1" applyProtection="1">
      <alignment horizontal="center" vertical="center"/>
      <protection hidden="1"/>
    </xf>
    <xf numFmtId="0" fontId="6" fillId="0" borderId="75" xfId="0" applyFont="1" applyBorder="1" applyAlignment="1" applyProtection="1">
      <alignment horizontal="left" vertical="center"/>
      <protection hidden="1"/>
    </xf>
    <xf numFmtId="0" fontId="6" fillId="0" borderId="22" xfId="0" applyFont="1" applyBorder="1" applyAlignment="1" applyProtection="1">
      <alignment horizontal="left" vertical="center"/>
      <protection hidden="1"/>
    </xf>
    <xf numFmtId="0" fontId="6" fillId="0" borderId="22" xfId="0" applyFont="1" applyBorder="1" applyAlignment="1" applyProtection="1">
      <alignment horizontal="center" vertical="center"/>
      <protection hidden="1"/>
    </xf>
    <xf numFmtId="0" fontId="6" fillId="0" borderId="64" xfId="0" applyFont="1" applyBorder="1" applyAlignment="1" applyProtection="1">
      <alignment horizontal="center" vertical="center"/>
      <protection hidden="1"/>
    </xf>
    <xf numFmtId="0" fontId="28" fillId="9" borderId="8" xfId="0" applyFont="1" applyFill="1" applyBorder="1" applyAlignment="1" applyProtection="1">
      <alignment horizontal="center"/>
      <protection hidden="1"/>
    </xf>
    <xf numFmtId="0" fontId="28" fillId="9" borderId="74" xfId="0" applyFont="1" applyFill="1" applyBorder="1" applyAlignment="1" applyProtection="1">
      <alignment horizontal="center"/>
      <protection hidden="1"/>
    </xf>
    <xf numFmtId="0" fontId="28" fillId="9" borderId="52" xfId="0" applyFont="1" applyFill="1" applyBorder="1" applyAlignment="1" applyProtection="1">
      <alignment horizontal="center"/>
      <protection hidden="1"/>
    </xf>
    <xf numFmtId="0" fontId="28" fillId="9" borderId="50" xfId="0" applyFont="1" applyFill="1" applyBorder="1" applyAlignment="1" applyProtection="1">
      <alignment horizontal="center"/>
      <protection hidden="1"/>
    </xf>
    <xf numFmtId="14" fontId="28" fillId="9" borderId="80" xfId="0" applyNumberFormat="1" applyFont="1" applyFill="1" applyBorder="1" applyAlignment="1" applyProtection="1">
      <alignment horizontal="center"/>
      <protection hidden="1"/>
    </xf>
    <xf numFmtId="0" fontId="28" fillId="9" borderId="36" xfId="0" applyFont="1" applyFill="1" applyBorder="1" applyAlignment="1" applyProtection="1">
      <alignment horizontal="center"/>
      <protection hidden="1"/>
    </xf>
    <xf numFmtId="0" fontId="28" fillId="9" borderId="94" xfId="0" applyFont="1" applyFill="1" applyBorder="1" applyAlignment="1" applyProtection="1">
      <alignment horizontal="center"/>
      <protection hidden="1"/>
    </xf>
    <xf numFmtId="0" fontId="28" fillId="9" borderId="55" xfId="0" applyFont="1" applyFill="1" applyBorder="1" applyAlignment="1" applyProtection="1">
      <alignment horizontal="center"/>
      <protection hidden="1"/>
    </xf>
    <xf numFmtId="0" fontId="0" fillId="0" borderId="72" xfId="0" applyBorder="1" applyAlignment="1" applyProtection="1">
      <alignment horizontal="center" vertical="center"/>
      <protection hidden="1"/>
    </xf>
    <xf numFmtId="0" fontId="0" fillId="0" borderId="91" xfId="0" applyBorder="1" applyAlignment="1" applyProtection="1">
      <alignment horizontal="center" vertical="center"/>
      <protection hidden="1"/>
    </xf>
    <xf numFmtId="0" fontId="0" fillId="0" borderId="22" xfId="0" applyBorder="1" applyAlignment="1" applyProtection="1">
      <alignment horizontal="center" vertical="center"/>
      <protection hidden="1"/>
    </xf>
    <xf numFmtId="0" fontId="0" fillId="0" borderId="80" xfId="0" applyBorder="1" applyAlignment="1" applyProtection="1">
      <alignment horizontal="center" vertical="center"/>
      <protection hidden="1"/>
    </xf>
    <xf numFmtId="0" fontId="0" fillId="0" borderId="92" xfId="0" applyBorder="1" applyAlignment="1" applyProtection="1">
      <alignment horizontal="center" vertical="center"/>
      <protection hidden="1"/>
    </xf>
    <xf numFmtId="0" fontId="0" fillId="0" borderId="93" xfId="0" applyBorder="1" applyAlignment="1" applyProtection="1">
      <alignment horizontal="center" vertical="center"/>
      <protection hidden="1"/>
    </xf>
    <xf numFmtId="0" fontId="0" fillId="0" borderId="64" xfId="0" applyBorder="1" applyAlignment="1" applyProtection="1">
      <alignment horizontal="center" vertical="center"/>
      <protection hidden="1"/>
    </xf>
    <xf numFmtId="0" fontId="0" fillId="0" borderId="34" xfId="0" applyBorder="1" applyAlignment="1" applyProtection="1">
      <alignment horizontal="center" vertical="center"/>
      <protection hidden="1"/>
    </xf>
    <xf numFmtId="0" fontId="0" fillId="0" borderId="21" xfId="0" applyBorder="1" applyAlignment="1" applyProtection="1">
      <alignment horizontal="center" vertical="center"/>
      <protection hidden="1"/>
    </xf>
    <xf numFmtId="0" fontId="0" fillId="0" borderId="17" xfId="0" applyBorder="1" applyAlignment="1" applyProtection="1">
      <alignment horizontal="center" vertical="center"/>
      <protection hidden="1"/>
    </xf>
    <xf numFmtId="0" fontId="0" fillId="0" borderId="24" xfId="0" applyBorder="1" applyAlignment="1" applyProtection="1">
      <alignment horizontal="center" vertical="center"/>
      <protection hidden="1"/>
    </xf>
    <xf numFmtId="3" fontId="0" fillId="0" borderId="68" xfId="0" applyNumberFormat="1" applyBorder="1" applyAlignment="1" applyProtection="1">
      <alignment horizontal="center" vertical="center"/>
      <protection hidden="1"/>
    </xf>
    <xf numFmtId="3" fontId="0" fillId="0" borderId="69" xfId="0" applyNumberFormat="1" applyBorder="1" applyAlignment="1" applyProtection="1">
      <alignment horizontal="center" vertical="center"/>
      <protection hidden="1"/>
    </xf>
    <xf numFmtId="168" fontId="0" fillId="0" borderId="68" xfId="0" applyNumberFormat="1" applyBorder="1" applyAlignment="1" applyProtection="1">
      <alignment horizontal="center" vertical="center"/>
      <protection hidden="1"/>
    </xf>
    <xf numFmtId="168" fontId="0" fillId="0" borderId="69" xfId="0" applyNumberFormat="1" applyBorder="1" applyAlignment="1" applyProtection="1">
      <alignment horizontal="center" vertical="center"/>
      <protection hidden="1"/>
    </xf>
    <xf numFmtId="0" fontId="3" fillId="0" borderId="12" xfId="0" applyFont="1" applyBorder="1" applyAlignment="1" applyProtection="1">
      <alignment horizontal="center" vertical="center"/>
      <protection hidden="1"/>
    </xf>
    <xf numFmtId="0" fontId="3" fillId="0" borderId="0" xfId="0" applyFont="1" applyAlignment="1" applyProtection="1">
      <alignment horizontal="center" vertical="center"/>
      <protection hidden="1"/>
    </xf>
    <xf numFmtId="0" fontId="3" fillId="0" borderId="17" xfId="0" applyFont="1" applyBorder="1" applyAlignment="1" applyProtection="1">
      <alignment horizontal="center" vertical="center"/>
      <protection hidden="1"/>
    </xf>
    <xf numFmtId="0" fontId="3" fillId="0" borderId="18" xfId="0" applyFont="1" applyBorder="1" applyAlignment="1" applyProtection="1">
      <alignment horizontal="center" vertical="center"/>
      <protection hidden="1"/>
    </xf>
    <xf numFmtId="3" fontId="0" fillId="0" borderId="29" xfId="0" applyNumberFormat="1" applyBorder="1" applyAlignment="1" applyProtection="1">
      <alignment horizontal="center" vertical="center"/>
      <protection hidden="1"/>
    </xf>
    <xf numFmtId="3" fontId="0" fillId="0" borderId="30" xfId="0" applyNumberFormat="1" applyBorder="1" applyAlignment="1" applyProtection="1">
      <alignment horizontal="center" vertical="center"/>
      <protection hidden="1"/>
    </xf>
    <xf numFmtId="3" fontId="0" fillId="0" borderId="77" xfId="0" applyNumberFormat="1" applyBorder="1" applyAlignment="1" applyProtection="1">
      <alignment horizontal="center" vertical="center"/>
      <protection hidden="1"/>
    </xf>
    <xf numFmtId="3" fontId="0" fillId="0" borderId="66" xfId="0" applyNumberFormat="1" applyBorder="1" applyAlignment="1" applyProtection="1">
      <alignment horizontal="center" vertical="center"/>
      <protection hidden="1"/>
    </xf>
    <xf numFmtId="0" fontId="0" fillId="0" borderId="7" xfId="0" applyBorder="1" applyAlignment="1" applyProtection="1">
      <alignment horizontal="center" vertical="center"/>
      <protection hidden="1"/>
    </xf>
    <xf numFmtId="0" fontId="0" fillId="0" borderId="36" xfId="0" applyBorder="1" applyAlignment="1" applyProtection="1">
      <alignment horizontal="center" vertical="center"/>
      <protection hidden="1"/>
    </xf>
    <xf numFmtId="3" fontId="0" fillId="0" borderId="25" xfId="0" applyNumberFormat="1" applyBorder="1" applyAlignment="1" applyProtection="1">
      <alignment horizontal="center" vertical="center"/>
      <protection hidden="1"/>
    </xf>
    <xf numFmtId="168" fontId="0" fillId="0" borderId="25" xfId="0" applyNumberFormat="1" applyBorder="1" applyAlignment="1" applyProtection="1">
      <alignment horizontal="center" vertical="center"/>
      <protection hidden="1"/>
    </xf>
    <xf numFmtId="0" fontId="0" fillId="0" borderId="7" xfId="0" applyBorder="1" applyAlignment="1" applyProtection="1">
      <alignment vertical="center"/>
      <protection hidden="1"/>
    </xf>
    <xf numFmtId="0" fontId="0" fillId="0" borderId="8" xfId="0" applyBorder="1" applyAlignment="1" applyProtection="1">
      <alignment vertical="center"/>
      <protection hidden="1"/>
    </xf>
    <xf numFmtId="0" fontId="0" fillId="0" borderId="12" xfId="0" applyBorder="1" applyAlignment="1" applyProtection="1">
      <alignment vertical="center"/>
      <protection hidden="1"/>
    </xf>
    <xf numFmtId="0" fontId="0" fillId="0" borderId="0" xfId="0" applyAlignment="1" applyProtection="1">
      <alignment vertical="center"/>
      <protection hidden="1"/>
    </xf>
    <xf numFmtId="0" fontId="0" fillId="0" borderId="36" xfId="0" quotePrefix="1" applyBorder="1" applyAlignment="1" applyProtection="1">
      <alignment horizontal="right" vertical="center" wrapText="1"/>
      <protection hidden="1"/>
    </xf>
    <xf numFmtId="0" fontId="0" fillId="0" borderId="41" xfId="0" quotePrefix="1" applyBorder="1" applyAlignment="1" applyProtection="1">
      <alignment horizontal="right" vertical="center" wrapText="1"/>
      <protection hidden="1"/>
    </xf>
    <xf numFmtId="0" fontId="0" fillId="0" borderId="24" xfId="0" quotePrefix="1" applyBorder="1" applyAlignment="1" applyProtection="1">
      <alignment horizontal="right" vertical="center" wrapText="1"/>
      <protection hidden="1"/>
    </xf>
    <xf numFmtId="3" fontId="0" fillId="0" borderId="67" xfId="0" applyNumberFormat="1" applyBorder="1" applyAlignment="1" applyProtection="1">
      <alignment horizontal="center" vertical="center"/>
      <protection hidden="1"/>
    </xf>
    <xf numFmtId="3" fontId="0" fillId="0" borderId="55" xfId="0" applyNumberFormat="1" applyBorder="1" applyAlignment="1" applyProtection="1">
      <alignment horizontal="center" vertical="center"/>
      <protection hidden="1"/>
    </xf>
    <xf numFmtId="0" fontId="0" fillId="0" borderId="71" xfId="0" applyBorder="1" applyAlignment="1" applyProtection="1">
      <alignment horizontal="center" vertical="center"/>
      <protection hidden="1"/>
    </xf>
    <xf numFmtId="0" fontId="0" fillId="0" borderId="90" xfId="0" applyBorder="1" applyAlignment="1" applyProtection="1">
      <alignment horizontal="center" vertical="center"/>
      <protection hidden="1"/>
    </xf>
    <xf numFmtId="0" fontId="0" fillId="0" borderId="75" xfId="0" applyBorder="1" applyAlignment="1" applyProtection="1">
      <alignment horizontal="center" vertical="center"/>
      <protection hidden="1"/>
    </xf>
    <xf numFmtId="0" fontId="0" fillId="0" borderId="72" xfId="0" applyBorder="1" applyAlignment="1" applyProtection="1">
      <alignment horizontal="center" vertical="center" wrapText="1"/>
      <protection hidden="1"/>
    </xf>
    <xf numFmtId="0" fontId="0" fillId="0" borderId="91" xfId="0" applyBorder="1" applyAlignment="1" applyProtection="1">
      <alignment horizontal="center" vertical="center" wrapText="1"/>
      <protection hidden="1"/>
    </xf>
    <xf numFmtId="0" fontId="0" fillId="0" borderId="22" xfId="0" applyBorder="1" applyAlignment="1" applyProtection="1">
      <alignment horizontal="center" vertical="center" wrapText="1"/>
      <protection hidden="1"/>
    </xf>
    <xf numFmtId="0" fontId="0" fillId="0" borderId="14" xfId="0"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81" xfId="0" applyBorder="1" applyAlignment="1" applyProtection="1">
      <alignment horizontal="center" vertical="center"/>
      <protection hidden="1"/>
    </xf>
    <xf numFmtId="0" fontId="0" fillId="0" borderId="89" xfId="0" applyBorder="1" applyAlignment="1" applyProtection="1">
      <alignment horizontal="center" vertical="center"/>
      <protection hidden="1"/>
    </xf>
    <xf numFmtId="2" fontId="0" fillId="0" borderId="0" xfId="0" applyNumberFormat="1" applyAlignment="1" applyProtection="1">
      <alignment horizontal="center" vertical="center"/>
      <protection hidden="1"/>
    </xf>
    <xf numFmtId="2" fontId="0" fillId="0" borderId="41" xfId="0" applyNumberFormat="1" applyBorder="1" applyAlignment="1" applyProtection="1">
      <alignment horizontal="center" vertical="center"/>
      <protection hidden="1"/>
    </xf>
    <xf numFmtId="0" fontId="0" fillId="0" borderId="17" xfId="0" applyBorder="1" applyAlignment="1" applyProtection="1">
      <alignment vertical="center"/>
      <protection hidden="1"/>
    </xf>
    <xf numFmtId="0" fontId="0" fillId="0" borderId="18" xfId="0" applyBorder="1" applyAlignment="1" applyProtection="1">
      <alignment vertical="center"/>
      <protection hidden="1"/>
    </xf>
    <xf numFmtId="3" fontId="0" fillId="0" borderId="26" xfId="0" applyNumberFormat="1" applyBorder="1" applyAlignment="1" applyProtection="1">
      <alignment horizontal="center" vertical="center"/>
      <protection hidden="1"/>
    </xf>
    <xf numFmtId="3" fontId="0" fillId="0" borderId="43" xfId="0" applyNumberFormat="1" applyBorder="1" applyAlignment="1" applyProtection="1">
      <alignment horizontal="center" vertical="center"/>
      <protection hidden="1"/>
    </xf>
    <xf numFmtId="0" fontId="43" fillId="0" borderId="15" xfId="0" quotePrefix="1" applyFont="1" applyBorder="1" applyAlignment="1" applyProtection="1">
      <alignment horizontal="center" vertical="center"/>
      <protection hidden="1"/>
    </xf>
    <xf numFmtId="170" fontId="3" fillId="0" borderId="12" xfId="0" applyNumberFormat="1" applyFont="1" applyBorder="1" applyAlignment="1" applyProtection="1">
      <alignment horizontal="center" vertical="center"/>
      <protection hidden="1"/>
    </xf>
    <xf numFmtId="170" fontId="3" fillId="0" borderId="0" xfId="0" applyNumberFormat="1" applyFont="1" applyAlignment="1" applyProtection="1">
      <alignment horizontal="center" vertical="center"/>
      <protection hidden="1"/>
    </xf>
    <xf numFmtId="170" fontId="3" fillId="0" borderId="17" xfId="0" applyNumberFormat="1" applyFont="1" applyBorder="1" applyAlignment="1" applyProtection="1">
      <alignment horizontal="center" vertical="center"/>
      <protection hidden="1"/>
    </xf>
    <xf numFmtId="170" fontId="3" fillId="0" borderId="18" xfId="0" applyNumberFormat="1" applyFont="1" applyBorder="1" applyAlignment="1" applyProtection="1">
      <alignment horizontal="center" vertical="center"/>
      <protection hidden="1"/>
    </xf>
    <xf numFmtId="3" fontId="0" fillId="0" borderId="34" xfId="0" applyNumberFormat="1" applyBorder="1" applyAlignment="1" applyProtection="1">
      <alignment horizontal="center" vertical="center"/>
      <protection hidden="1"/>
    </xf>
    <xf numFmtId="3" fontId="0" fillId="0" borderId="21" xfId="0" applyNumberFormat="1" applyBorder="1" applyAlignment="1" applyProtection="1">
      <alignment horizontal="center" vertical="center"/>
      <protection hidden="1"/>
    </xf>
    <xf numFmtId="0" fontId="3" fillId="0" borderId="8" xfId="0" applyFont="1" applyBorder="1" applyAlignment="1" applyProtection="1">
      <alignment vertical="center"/>
      <protection hidden="1"/>
    </xf>
    <xf numFmtId="0" fontId="3" fillId="0" borderId="0" xfId="0" applyFont="1" applyAlignment="1" applyProtection="1">
      <alignment vertical="center"/>
      <protection hidden="1"/>
    </xf>
    <xf numFmtId="0" fontId="0" fillId="0" borderId="1"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79" xfId="0" applyBorder="1" applyAlignment="1" applyProtection="1">
      <alignment horizontal="center" vertical="center"/>
      <protection hidden="1"/>
    </xf>
    <xf numFmtId="0" fontId="0" fillId="0" borderId="14" xfId="0" applyBorder="1" applyAlignment="1" applyProtection="1">
      <alignment horizontal="center" vertical="center" wrapText="1"/>
      <protection hidden="1"/>
    </xf>
    <xf numFmtId="0" fontId="0" fillId="0" borderId="15" xfId="0" applyBorder="1" applyAlignment="1" applyProtection="1">
      <alignment horizontal="center" vertical="center" wrapText="1"/>
      <protection hidden="1"/>
    </xf>
    <xf numFmtId="0" fontId="0" fillId="0" borderId="43" xfId="0" quotePrefix="1" applyBorder="1" applyAlignment="1" applyProtection="1">
      <alignment horizontal="right" vertical="center" wrapText="1"/>
      <protection hidden="1"/>
    </xf>
    <xf numFmtId="0" fontId="0" fillId="0" borderId="30" xfId="0" quotePrefix="1" applyBorder="1" applyAlignment="1" applyProtection="1">
      <alignment horizontal="right" vertical="center" wrapText="1"/>
      <protection hidden="1"/>
    </xf>
    <xf numFmtId="0" fontId="0" fillId="0" borderId="66" xfId="0" quotePrefix="1" applyBorder="1" applyAlignment="1" applyProtection="1">
      <alignment horizontal="right" vertical="center" wrapText="1"/>
      <protection hidden="1"/>
    </xf>
    <xf numFmtId="0" fontId="0" fillId="0" borderId="7" xfId="0" applyBorder="1" applyAlignment="1" applyProtection="1">
      <alignment vertical="center" wrapText="1"/>
      <protection hidden="1"/>
    </xf>
    <xf numFmtId="0" fontId="0" fillId="0" borderId="8" xfId="0" applyBorder="1" applyAlignment="1" applyProtection="1">
      <alignment vertical="center" wrapText="1"/>
      <protection hidden="1"/>
    </xf>
    <xf numFmtId="0" fontId="0" fillId="0" borderId="12" xfId="0" applyBorder="1" applyAlignment="1" applyProtection="1">
      <alignment vertical="center" wrapText="1"/>
      <protection hidden="1"/>
    </xf>
    <xf numFmtId="0" fontId="0" fillId="0" borderId="0" xfId="0" applyAlignment="1" applyProtection="1">
      <alignment vertical="center" wrapText="1"/>
      <protection hidden="1"/>
    </xf>
    <xf numFmtId="0" fontId="0" fillId="0" borderId="17" xfId="0" applyBorder="1" applyAlignment="1" applyProtection="1">
      <alignment vertical="center" wrapText="1"/>
      <protection hidden="1"/>
    </xf>
    <xf numFmtId="0" fontId="0" fillId="0" borderId="18" xfId="0" applyBorder="1" applyAlignment="1" applyProtection="1">
      <alignment vertical="center" wrapText="1"/>
      <protection hidden="1"/>
    </xf>
    <xf numFmtId="0" fontId="0" fillId="0" borderId="36" xfId="0" applyBorder="1" applyAlignment="1" applyProtection="1">
      <alignment vertical="center"/>
      <protection hidden="1"/>
    </xf>
    <xf numFmtId="0" fontId="0" fillId="0" borderId="41" xfId="0" applyBorder="1" applyAlignment="1" applyProtection="1">
      <alignment vertical="center"/>
      <protection hidden="1"/>
    </xf>
    <xf numFmtId="0" fontId="0" fillId="0" borderId="24" xfId="0" applyBorder="1" applyAlignment="1" applyProtection="1">
      <alignment vertical="center"/>
      <protection hidden="1"/>
    </xf>
    <xf numFmtId="3" fontId="0" fillId="0" borderId="27" xfId="0" applyNumberFormat="1" applyBorder="1" applyAlignment="1" applyProtection="1">
      <alignment horizontal="center" vertical="center"/>
      <protection hidden="1"/>
    </xf>
    <xf numFmtId="3" fontId="0" fillId="0" borderId="37" xfId="0" applyNumberFormat="1" applyBorder="1" applyAlignment="1" applyProtection="1">
      <alignment horizontal="center" vertical="center"/>
      <protection hidden="1"/>
    </xf>
    <xf numFmtId="3" fontId="0" fillId="0" borderId="78" xfId="0" applyNumberFormat="1" applyBorder="1" applyAlignment="1" applyProtection="1">
      <alignment horizontal="center" vertical="center"/>
      <protection hidden="1"/>
    </xf>
    <xf numFmtId="0" fontId="3" fillId="0" borderId="7" xfId="0" applyFont="1" applyBorder="1" applyAlignment="1" applyProtection="1">
      <alignment vertical="center"/>
      <protection hidden="1"/>
    </xf>
    <xf numFmtId="0" fontId="3" fillId="0" borderId="12" xfId="0" applyFont="1" applyBorder="1" applyAlignment="1" applyProtection="1">
      <alignment vertical="center"/>
      <protection hidden="1"/>
    </xf>
    <xf numFmtId="0" fontId="3" fillId="0" borderId="17" xfId="0" applyFont="1" applyBorder="1" applyAlignment="1" applyProtection="1">
      <alignment vertical="center"/>
      <protection hidden="1"/>
    </xf>
    <xf numFmtId="0" fontId="3" fillId="0" borderId="18" xfId="0" applyFont="1" applyBorder="1" applyAlignment="1" applyProtection="1">
      <alignment vertical="center"/>
      <protection hidden="1"/>
    </xf>
    <xf numFmtId="43" fontId="42" fillId="5" borderId="0" xfId="1" applyFont="1" applyFill="1" applyBorder="1" applyAlignment="1">
      <alignment horizontal="center" vertical="center"/>
    </xf>
    <xf numFmtId="0" fontId="0" fillId="0" borderId="36" xfId="0" applyBorder="1" applyAlignment="1" applyProtection="1">
      <alignment horizontal="left"/>
      <protection hidden="1"/>
    </xf>
    <xf numFmtId="0" fontId="0" fillId="0" borderId="24" xfId="0" applyBorder="1" applyAlignment="1" applyProtection="1">
      <alignment horizontal="left"/>
      <protection hidden="1"/>
    </xf>
    <xf numFmtId="0" fontId="0" fillId="0" borderId="9" xfId="0" applyBorder="1" applyAlignment="1" applyProtection="1">
      <alignment vertical="center" wrapText="1"/>
      <protection hidden="1"/>
    </xf>
    <xf numFmtId="0" fontId="0" fillId="0" borderId="10" xfId="0" applyBorder="1" applyAlignment="1" applyProtection="1">
      <alignment vertical="center" wrapText="1"/>
      <protection hidden="1"/>
    </xf>
    <xf numFmtId="0" fontId="0" fillId="0" borderId="11" xfId="0" applyBorder="1" applyAlignment="1" applyProtection="1">
      <alignment vertical="center"/>
      <protection hidden="1"/>
    </xf>
    <xf numFmtId="0" fontId="12" fillId="5" borderId="9" xfId="0" applyFont="1" applyFill="1" applyBorder="1" applyAlignment="1" applyProtection="1">
      <alignment horizontal="center"/>
      <protection locked="0" hidden="1"/>
    </xf>
    <xf numFmtId="0" fontId="12" fillId="5" borderId="10" xfId="0" applyFont="1" applyFill="1" applyBorder="1" applyAlignment="1" applyProtection="1">
      <alignment horizontal="center"/>
      <protection locked="0" hidden="1"/>
    </xf>
    <xf numFmtId="3" fontId="3" fillId="5" borderId="9" xfId="0" applyNumberFormat="1" applyFont="1" applyFill="1" applyBorder="1" applyAlignment="1" applyProtection="1">
      <alignment horizontal="center"/>
      <protection hidden="1"/>
    </xf>
    <xf numFmtId="3" fontId="3" fillId="5" borderId="10" xfId="0" applyNumberFormat="1" applyFont="1" applyFill="1" applyBorder="1" applyAlignment="1" applyProtection="1">
      <alignment horizontal="center"/>
      <protection hidden="1"/>
    </xf>
    <xf numFmtId="3" fontId="3" fillId="5" borderId="11" xfId="0" applyNumberFormat="1" applyFont="1" applyFill="1" applyBorder="1" applyAlignment="1" applyProtection="1">
      <alignment horizontal="center"/>
      <protection hidden="1"/>
    </xf>
    <xf numFmtId="3" fontId="3" fillId="5" borderId="9" xfId="0" applyNumberFormat="1" applyFont="1" applyFill="1" applyBorder="1" applyAlignment="1" applyProtection="1">
      <alignment horizontal="center" vertical="center"/>
      <protection hidden="1"/>
    </xf>
    <xf numFmtId="0" fontId="12" fillId="7" borderId="9" xfId="0" applyFont="1" applyFill="1" applyBorder="1" applyAlignment="1" applyProtection="1">
      <alignment horizontal="center" vertical="center"/>
      <protection locked="0"/>
    </xf>
    <xf numFmtId="0" fontId="12" fillId="7" borderId="10" xfId="0" applyFont="1" applyFill="1" applyBorder="1" applyAlignment="1" applyProtection="1">
      <alignment horizontal="center" vertical="center"/>
      <protection locked="0"/>
    </xf>
    <xf numFmtId="0" fontId="12" fillId="5" borderId="1" xfId="0" applyFont="1" applyFill="1" applyBorder="1" applyAlignment="1" applyProtection="1">
      <alignment horizontal="center" vertical="center"/>
      <protection locked="0"/>
    </xf>
    <xf numFmtId="0" fontId="12" fillId="5" borderId="85" xfId="0" applyFont="1" applyFill="1" applyBorder="1" applyAlignment="1" applyProtection="1">
      <alignment horizontal="center" vertical="center"/>
      <protection locked="0"/>
    </xf>
    <xf numFmtId="0" fontId="3" fillId="0" borderId="79" xfId="0" applyFont="1" applyBorder="1" applyAlignment="1" applyProtection="1">
      <alignment horizontal="center" vertical="center"/>
      <protection hidden="1"/>
    </xf>
    <xf numFmtId="0" fontId="3" fillId="0" borderId="83" xfId="0" applyFont="1" applyBorder="1" applyAlignment="1" applyProtection="1">
      <alignment horizontal="center" vertical="center"/>
      <protection hidden="1"/>
    </xf>
    <xf numFmtId="0" fontId="3" fillId="5" borderId="79" xfId="0" applyFont="1" applyFill="1" applyBorder="1" applyAlignment="1" applyProtection="1">
      <alignment horizontal="center" vertical="center"/>
      <protection hidden="1"/>
    </xf>
    <xf numFmtId="0" fontId="3" fillId="5" borderId="43" xfId="0" applyFont="1" applyFill="1" applyBorder="1" applyAlignment="1" applyProtection="1">
      <alignment horizontal="center" vertical="center"/>
      <protection hidden="1"/>
    </xf>
    <xf numFmtId="3" fontId="0" fillId="0" borderId="80" xfId="0" applyNumberFormat="1" applyBorder="1" applyAlignment="1" applyProtection="1">
      <alignment horizontal="center" vertical="center"/>
      <protection hidden="1"/>
    </xf>
    <xf numFmtId="3" fontId="0" fillId="0" borderId="36" xfId="0" applyNumberForma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0" fontId="3" fillId="0" borderId="10" xfId="0" applyFont="1" applyBorder="1" applyAlignment="1" applyProtection="1">
      <alignment horizontal="center" vertical="center"/>
      <protection hidden="1"/>
    </xf>
    <xf numFmtId="0" fontId="3" fillId="0" borderId="11" xfId="0" applyFont="1" applyBorder="1" applyAlignment="1" applyProtection="1">
      <alignment horizontal="center" vertical="center"/>
      <protection hidden="1"/>
    </xf>
    <xf numFmtId="3" fontId="12" fillId="5" borderId="1" xfId="0" applyNumberFormat="1" applyFont="1" applyFill="1" applyBorder="1" applyAlignment="1" applyProtection="1">
      <alignment horizontal="center"/>
      <protection locked="0"/>
    </xf>
    <xf numFmtId="3" fontId="12" fillId="5" borderId="3" xfId="0" applyNumberFormat="1" applyFont="1" applyFill="1" applyBorder="1" applyAlignment="1" applyProtection="1">
      <alignment horizontal="center"/>
      <protection locked="0"/>
    </xf>
    <xf numFmtId="0" fontId="0" fillId="0" borderId="74" xfId="0" applyBorder="1" applyAlignment="1" applyProtection="1">
      <alignment horizontal="center" vertical="center"/>
      <protection hidden="1"/>
    </xf>
    <xf numFmtId="0" fontId="0" fillId="0" borderId="76" xfId="0" applyBorder="1" applyAlignment="1" applyProtection="1">
      <alignment horizontal="center" vertical="center"/>
      <protection hidden="1"/>
    </xf>
    <xf numFmtId="3" fontId="0" fillId="0" borderId="23" xfId="0" applyNumberFormat="1" applyBorder="1" applyAlignment="1" applyProtection="1">
      <alignment horizontal="center" vertical="center"/>
      <protection hidden="1"/>
    </xf>
    <xf numFmtId="3" fontId="0" fillId="0" borderId="24" xfId="0" applyNumberFormat="1" applyBorder="1" applyAlignment="1" applyProtection="1">
      <alignment horizontal="center" vertical="center"/>
      <protection hidden="1"/>
    </xf>
    <xf numFmtId="0" fontId="3" fillId="5" borderId="0" xfId="0" applyFont="1" applyFill="1" applyAlignment="1" applyProtection="1">
      <alignment horizontal="center" vertical="center"/>
      <protection hidden="1"/>
    </xf>
    <xf numFmtId="0" fontId="3" fillId="5" borderId="1" xfId="0" applyFont="1" applyFill="1" applyBorder="1" applyAlignment="1" applyProtection="1">
      <alignment horizontal="center" vertical="center"/>
      <protection hidden="1"/>
    </xf>
    <xf numFmtId="0" fontId="3" fillId="5" borderId="2" xfId="0" applyFont="1" applyFill="1" applyBorder="1" applyAlignment="1" applyProtection="1">
      <alignment horizontal="center" vertical="center"/>
      <protection hidden="1"/>
    </xf>
    <xf numFmtId="0" fontId="3" fillId="5" borderId="3" xfId="0" applyFont="1" applyFill="1" applyBorder="1" applyAlignment="1" applyProtection="1">
      <alignment horizontal="center" vertical="center"/>
      <protection hidden="1"/>
    </xf>
    <xf numFmtId="0" fontId="3" fillId="0" borderId="14"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0" fontId="3" fillId="0" borderId="51" xfId="0" applyFont="1" applyBorder="1" applyAlignment="1" applyProtection="1">
      <alignment horizontal="center" vertical="center"/>
      <protection hidden="1"/>
    </xf>
    <xf numFmtId="3" fontId="0" fillId="0" borderId="35" xfId="0" applyNumberFormat="1" applyBorder="1" applyAlignment="1" applyProtection="1">
      <alignment horizontal="center" vertical="center"/>
      <protection hidden="1"/>
    </xf>
    <xf numFmtId="0" fontId="0" fillId="0" borderId="14" xfId="0" applyBorder="1" applyAlignment="1" applyProtection="1">
      <alignment vertical="center"/>
      <protection hidden="1"/>
    </xf>
    <xf numFmtId="0" fontId="0" fillId="0" borderId="15" xfId="0" applyBorder="1" applyAlignment="1" applyProtection="1">
      <alignment vertical="center"/>
      <protection hidden="1"/>
    </xf>
    <xf numFmtId="3" fontId="0" fillId="0" borderId="81" xfId="0" applyNumberFormat="1" applyBorder="1" applyAlignment="1" applyProtection="1">
      <alignment horizontal="center" vertical="center"/>
      <protection hidden="1"/>
    </xf>
    <xf numFmtId="3" fontId="0" fillId="0" borderId="15" xfId="0" applyNumberFormat="1" applyBorder="1" applyAlignment="1" applyProtection="1">
      <alignment horizontal="center" vertical="center"/>
      <protection hidden="1"/>
    </xf>
    <xf numFmtId="3" fontId="0" fillId="0" borderId="16" xfId="0" applyNumberFormat="1" applyBorder="1" applyAlignment="1" applyProtection="1">
      <alignment horizontal="center" vertical="center"/>
      <protection hidden="1"/>
    </xf>
    <xf numFmtId="0" fontId="0" fillId="0" borderId="9" xfId="0" applyBorder="1" applyAlignment="1" applyProtection="1">
      <alignment vertical="center"/>
      <protection hidden="1"/>
    </xf>
    <xf numFmtId="0" fontId="0" fillId="0" borderId="10" xfId="0" applyBorder="1" applyAlignment="1" applyProtection="1">
      <alignment vertical="center"/>
      <protection hidden="1"/>
    </xf>
    <xf numFmtId="3" fontId="0" fillId="0" borderId="52" xfId="0" applyNumberFormat="1" applyBorder="1" applyAlignment="1" applyProtection="1">
      <alignment horizontal="center" vertical="center"/>
      <protection hidden="1"/>
    </xf>
    <xf numFmtId="3" fontId="0" fillId="0" borderId="29" xfId="0" applyNumberFormat="1" applyBorder="1" applyAlignment="1" applyProtection="1">
      <alignment vertical="center"/>
      <protection hidden="1"/>
    </xf>
    <xf numFmtId="3" fontId="0" fillId="0" borderId="37" xfId="0" applyNumberFormat="1" applyBorder="1" applyAlignment="1" applyProtection="1">
      <alignment vertical="center"/>
      <protection hidden="1"/>
    </xf>
    <xf numFmtId="3" fontId="0" fillId="0" borderId="30" xfId="0" applyNumberFormat="1" applyBorder="1" applyAlignment="1" applyProtection="1">
      <alignment vertical="center"/>
      <protection hidden="1"/>
    </xf>
    <xf numFmtId="3" fontId="0" fillId="0" borderId="14" xfId="0" applyNumberFormat="1" applyBorder="1" applyAlignment="1" applyProtection="1">
      <alignment horizontal="center" vertical="center"/>
      <protection hidden="1"/>
    </xf>
    <xf numFmtId="3" fontId="0" fillId="0" borderId="4" xfId="0" applyNumberFormat="1" applyBorder="1" applyAlignment="1" applyProtection="1">
      <alignment horizontal="center" vertical="center"/>
      <protection hidden="1"/>
    </xf>
    <xf numFmtId="3" fontId="0" fillId="0" borderId="5" xfId="0" applyNumberFormat="1" applyBorder="1" applyAlignment="1" applyProtection="1">
      <alignment horizontal="center" vertical="center"/>
      <protection hidden="1"/>
    </xf>
    <xf numFmtId="3" fontId="0" fillId="0" borderId="51" xfId="0" applyNumberFormat="1" applyBorder="1" applyAlignment="1" applyProtection="1">
      <alignment horizontal="center" vertical="center"/>
      <protection hidden="1"/>
    </xf>
    <xf numFmtId="3" fontId="0" fillId="0" borderId="46" xfId="0" applyNumberFormat="1" applyBorder="1" applyAlignment="1" applyProtection="1">
      <alignment horizontal="center" vertical="center"/>
      <protection hidden="1"/>
    </xf>
    <xf numFmtId="3" fontId="0" fillId="0" borderId="6" xfId="0" applyNumberFormat="1" applyBorder="1" applyAlignment="1" applyProtection="1">
      <alignment horizontal="center" vertical="center"/>
      <protection hidden="1"/>
    </xf>
    <xf numFmtId="0" fontId="0" fillId="0" borderId="7" xfId="0" applyBorder="1" applyAlignment="1" applyProtection="1">
      <alignment horizontal="left" vertical="center"/>
      <protection hidden="1"/>
    </xf>
    <xf numFmtId="0" fontId="0" fillId="0" borderId="8" xfId="0" applyBorder="1" applyAlignment="1" applyProtection="1">
      <alignment horizontal="left" vertical="center"/>
      <protection hidden="1"/>
    </xf>
    <xf numFmtId="0" fontId="0" fillId="0" borderId="12" xfId="0"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17" xfId="0" applyBorder="1" applyAlignment="1" applyProtection="1">
      <alignment horizontal="left" vertical="center"/>
      <protection hidden="1"/>
    </xf>
    <xf numFmtId="0" fontId="0" fillId="0" borderId="18" xfId="0" applyBorder="1" applyAlignment="1" applyProtection="1">
      <alignment horizontal="left" vertical="center"/>
      <protection hidden="1"/>
    </xf>
    <xf numFmtId="0" fontId="0" fillId="0" borderId="0" xfId="0" applyAlignment="1" applyProtection="1">
      <alignment horizontal="center" vertical="center"/>
      <protection hidden="1"/>
    </xf>
    <xf numFmtId="0" fontId="0" fillId="0" borderId="18" xfId="0" applyBorder="1" applyAlignment="1" applyProtection="1">
      <alignment horizontal="center" vertical="center"/>
      <protection hidden="1"/>
    </xf>
    <xf numFmtId="3" fontId="0" fillId="0" borderId="7" xfId="0" applyNumberFormat="1" applyBorder="1" applyAlignment="1" applyProtection="1">
      <alignment horizontal="center" vertical="center"/>
      <protection hidden="1"/>
    </xf>
    <xf numFmtId="3" fontId="0" fillId="0" borderId="8" xfId="0" applyNumberFormat="1" applyBorder="1" applyAlignment="1" applyProtection="1">
      <alignment horizontal="center" vertical="center"/>
      <protection hidden="1"/>
    </xf>
    <xf numFmtId="3" fontId="0" fillId="0" borderId="74" xfId="0" applyNumberFormat="1" applyBorder="1" applyAlignment="1" applyProtection="1">
      <alignment horizontal="center" vertical="center"/>
      <protection hidden="1"/>
    </xf>
    <xf numFmtId="0" fontId="3" fillId="0" borderId="1" xfId="0" applyFont="1" applyBorder="1" applyAlignment="1" applyProtection="1">
      <alignment vertical="center"/>
      <protection hidden="1"/>
    </xf>
    <xf numFmtId="0" fontId="3" fillId="0" borderId="2" xfId="0" applyFont="1" applyBorder="1" applyAlignment="1" applyProtection="1">
      <alignment vertical="center"/>
      <protection hidden="1"/>
    </xf>
    <xf numFmtId="3" fontId="3" fillId="0" borderId="79" xfId="0" applyNumberFormat="1" applyFont="1" applyBorder="1" applyAlignment="1" applyProtection="1">
      <alignment horizontal="center" vertical="center"/>
      <protection hidden="1"/>
    </xf>
    <xf numFmtId="3" fontId="3" fillId="0" borderId="43" xfId="0" applyNumberFormat="1" applyFont="1" applyBorder="1" applyAlignment="1" applyProtection="1">
      <alignment horizontal="center" vertical="center"/>
      <protection hidden="1"/>
    </xf>
    <xf numFmtId="0" fontId="36" fillId="0" borderId="14" xfId="0" applyFont="1" applyBorder="1" applyAlignment="1" applyProtection="1">
      <alignment vertical="center"/>
      <protection hidden="1"/>
    </xf>
    <xf numFmtId="0" fontId="36" fillId="0" borderId="15" xfId="0" applyFont="1" applyBorder="1" applyAlignment="1" applyProtection="1">
      <alignment vertical="center"/>
      <protection hidden="1"/>
    </xf>
    <xf numFmtId="3" fontId="36" fillId="0" borderId="15" xfId="0" applyNumberFormat="1" applyFont="1" applyBorder="1" applyAlignment="1" applyProtection="1">
      <alignment horizontal="center" vertical="center"/>
      <protection hidden="1"/>
    </xf>
    <xf numFmtId="3" fontId="36" fillId="0" borderId="16" xfId="0" applyNumberFormat="1" applyFont="1" applyBorder="1" applyAlignment="1" applyProtection="1">
      <alignment horizontal="center" vertical="center"/>
      <protection hidden="1"/>
    </xf>
    <xf numFmtId="0" fontId="3" fillId="0" borderId="72" xfId="0" applyFont="1" applyBorder="1" applyAlignment="1" applyProtection="1">
      <alignment vertical="top"/>
      <protection hidden="1"/>
    </xf>
    <xf numFmtId="0" fontId="3" fillId="0" borderId="72" xfId="0" applyFont="1" applyBorder="1" applyAlignment="1" applyProtection="1">
      <alignment horizontal="center" vertical="center" wrapText="1"/>
      <protection hidden="1"/>
    </xf>
    <xf numFmtId="0" fontId="3" fillId="0" borderId="73" xfId="0" applyFont="1" applyBorder="1" applyAlignment="1" applyProtection="1">
      <alignment horizontal="center" vertical="center" wrapText="1"/>
      <protection hidden="1"/>
    </xf>
    <xf numFmtId="0" fontId="3" fillId="0" borderId="22" xfId="0" applyFont="1" applyBorder="1" applyAlignment="1" applyProtection="1">
      <alignment horizontal="center" vertical="center" wrapText="1"/>
      <protection hidden="1"/>
    </xf>
    <xf numFmtId="0" fontId="3" fillId="0" borderId="64" xfId="0" applyFont="1" applyBorder="1" applyAlignment="1" applyProtection="1">
      <alignment horizontal="center" vertical="center" wrapText="1"/>
      <protection hidden="1"/>
    </xf>
    <xf numFmtId="0" fontId="0" fillId="0" borderId="23" xfId="0" applyBorder="1" applyAlignment="1" applyProtection="1">
      <alignment horizontal="center" vertical="center"/>
      <protection hidden="1"/>
    </xf>
    <xf numFmtId="164" fontId="0" fillId="0" borderId="23" xfId="0" applyNumberFormat="1" applyBorder="1" applyAlignment="1" applyProtection="1">
      <alignment horizontal="center" vertical="center"/>
      <protection hidden="1"/>
    </xf>
    <xf numFmtId="164" fontId="0" fillId="0" borderId="18" xfId="0" applyNumberFormat="1" applyBorder="1" applyAlignment="1" applyProtection="1">
      <alignment horizontal="center" vertical="center"/>
      <protection hidden="1"/>
    </xf>
    <xf numFmtId="164" fontId="0" fillId="0" borderId="76" xfId="0" applyNumberFormat="1" applyBorder="1" applyAlignment="1" applyProtection="1">
      <alignment horizontal="center" vertical="center"/>
      <protection hidden="1"/>
    </xf>
    <xf numFmtId="0" fontId="0" fillId="0" borderId="77" xfId="0" applyBorder="1" applyAlignment="1" applyProtection="1">
      <alignment vertical="center"/>
      <protection hidden="1"/>
    </xf>
    <xf numFmtId="0" fontId="0" fillId="0" borderId="78" xfId="0" applyBorder="1" applyAlignment="1" applyProtection="1">
      <alignment vertical="center"/>
      <protection hidden="1"/>
    </xf>
    <xf numFmtId="0" fontId="0" fillId="0" borderId="66" xfId="0" applyBorder="1" applyAlignment="1" applyProtection="1">
      <alignment vertical="center"/>
      <protection hidden="1"/>
    </xf>
    <xf numFmtId="0" fontId="35" fillId="0" borderId="12" xfId="0" applyFont="1" applyBorder="1" applyAlignment="1" applyProtection="1">
      <alignment vertical="center"/>
      <protection hidden="1"/>
    </xf>
    <xf numFmtId="0" fontId="35" fillId="0" borderId="0" xfId="0" applyFont="1" applyAlignment="1" applyProtection="1">
      <alignment vertical="center"/>
      <protection hidden="1"/>
    </xf>
    <xf numFmtId="0" fontId="35" fillId="0" borderId="41" xfId="0" applyFont="1" applyBorder="1" applyAlignment="1" applyProtection="1">
      <alignment vertical="center"/>
      <protection hidden="1"/>
    </xf>
    <xf numFmtId="0" fontId="0" fillId="0" borderId="41" xfId="0" applyBorder="1" applyAlignment="1" applyProtection="1">
      <alignment vertical="center" wrapText="1"/>
      <protection hidden="1"/>
    </xf>
    <xf numFmtId="3" fontId="3" fillId="0" borderId="26" xfId="0" applyNumberFormat="1" applyFont="1" applyBorder="1" applyAlignment="1" applyProtection="1">
      <alignment vertical="center"/>
      <protection hidden="1"/>
    </xf>
    <xf numFmtId="3" fontId="3" fillId="0" borderId="27" xfId="0" applyNumberFormat="1" applyFont="1" applyBorder="1" applyAlignment="1" applyProtection="1">
      <alignment vertical="center"/>
      <protection hidden="1"/>
    </xf>
    <xf numFmtId="3" fontId="3" fillId="0" borderId="43" xfId="0" applyNumberFormat="1" applyFont="1" applyBorder="1" applyAlignment="1" applyProtection="1">
      <alignment vertical="center"/>
      <protection hidden="1"/>
    </xf>
    <xf numFmtId="3" fontId="0" fillId="0" borderId="27" xfId="0" applyNumberFormat="1" applyBorder="1" applyAlignment="1" applyProtection="1">
      <alignment horizontal="left" vertical="center" indent="1"/>
      <protection hidden="1"/>
    </xf>
    <xf numFmtId="0" fontId="0" fillId="0" borderId="43" xfId="0" applyBorder="1" applyAlignment="1" applyProtection="1">
      <alignment horizontal="left" vertical="center" indent="1"/>
      <protection hidden="1"/>
    </xf>
    <xf numFmtId="0" fontId="47" fillId="0" borderId="15" xfId="0" applyFont="1" applyBorder="1" applyAlignment="1" applyProtection="1">
      <alignment horizontal="center"/>
      <protection hidden="1"/>
    </xf>
    <xf numFmtId="0" fontId="47" fillId="0" borderId="13" xfId="0" applyFont="1" applyBorder="1" applyAlignment="1" applyProtection="1">
      <alignment horizontal="center"/>
      <protection hidden="1"/>
    </xf>
    <xf numFmtId="0" fontId="8" fillId="0" borderId="15" xfId="0" applyFont="1" applyBorder="1" applyAlignment="1" applyProtection="1">
      <alignment horizontal="center"/>
      <protection locked="0"/>
    </xf>
    <xf numFmtId="0" fontId="8" fillId="0" borderId="16" xfId="0" applyFont="1" applyBorder="1" applyAlignment="1" applyProtection="1">
      <alignment horizontal="center"/>
      <protection locked="0"/>
    </xf>
    <xf numFmtId="0" fontId="47" fillId="0" borderId="5" xfId="0" applyFont="1" applyBorder="1" applyAlignment="1" applyProtection="1">
      <alignment horizontal="center"/>
      <protection hidden="1"/>
    </xf>
    <xf numFmtId="0" fontId="8" fillId="0" borderId="5" xfId="0" applyFont="1" applyBorder="1" applyAlignment="1" applyProtection="1">
      <alignment horizontal="center"/>
      <protection locked="0"/>
    </xf>
    <xf numFmtId="0" fontId="8" fillId="0" borderId="6" xfId="0" applyFont="1" applyBorder="1" applyAlignment="1" applyProtection="1">
      <alignment horizontal="center"/>
      <protection locked="0"/>
    </xf>
    <xf numFmtId="0" fontId="46" fillId="18" borderId="1" xfId="0" applyFont="1" applyFill="1" applyBorder="1" applyAlignment="1" applyProtection="1">
      <alignment horizontal="center" vertical="center"/>
      <protection hidden="1"/>
    </xf>
    <xf numFmtId="0" fontId="46" fillId="18" borderId="2" xfId="0" applyFont="1" applyFill="1" applyBorder="1" applyAlignment="1" applyProtection="1">
      <alignment horizontal="center" vertical="center"/>
      <protection hidden="1"/>
    </xf>
    <xf numFmtId="0" fontId="46" fillId="18" borderId="4" xfId="0" applyFont="1" applyFill="1" applyBorder="1" applyAlignment="1" applyProtection="1">
      <alignment horizontal="center" vertical="center"/>
      <protection hidden="1"/>
    </xf>
    <xf numFmtId="0" fontId="46" fillId="18" borderId="5" xfId="0" applyFont="1" applyFill="1" applyBorder="1" applyAlignment="1" applyProtection="1">
      <alignment horizontal="center" vertical="center"/>
      <protection hidden="1"/>
    </xf>
    <xf numFmtId="0" fontId="37" fillId="18" borderId="2" xfId="0" applyFont="1" applyFill="1" applyBorder="1" applyAlignment="1" applyProtection="1">
      <alignment horizontal="center" vertical="center"/>
      <protection hidden="1"/>
    </xf>
    <xf numFmtId="0" fontId="37" fillId="18" borderId="5" xfId="0" applyFont="1" applyFill="1" applyBorder="1" applyAlignment="1" applyProtection="1">
      <alignment horizontal="center" vertical="center"/>
      <protection hidden="1"/>
    </xf>
    <xf numFmtId="0" fontId="42" fillId="18" borderId="2" xfId="0" applyFont="1" applyFill="1" applyBorder="1" applyAlignment="1" applyProtection="1">
      <alignment horizontal="center" vertical="center"/>
      <protection locked="0"/>
    </xf>
    <xf numFmtId="0" fontId="42" fillId="18" borderId="3" xfId="0" applyFont="1" applyFill="1" applyBorder="1" applyAlignment="1" applyProtection="1">
      <alignment horizontal="center" vertical="center"/>
      <protection locked="0"/>
    </xf>
    <xf numFmtId="0" fontId="42" fillId="18" borderId="5" xfId="0" applyFont="1" applyFill="1" applyBorder="1" applyAlignment="1" applyProtection="1">
      <alignment horizontal="center" vertical="center"/>
      <protection locked="0"/>
    </xf>
    <xf numFmtId="0" fontId="42" fillId="18" borderId="6" xfId="0" applyFont="1" applyFill="1" applyBorder="1" applyAlignment="1" applyProtection="1">
      <alignment horizontal="center" vertical="center"/>
      <protection locked="0"/>
    </xf>
    <xf numFmtId="2" fontId="47" fillId="0" borderId="79" xfId="0" applyNumberFormat="1" applyFont="1" applyBorder="1" applyAlignment="1" applyProtection="1">
      <alignment horizontal="center"/>
      <protection hidden="1"/>
    </xf>
    <xf numFmtId="2" fontId="47" fillId="0" borderId="27" xfId="0" applyNumberFormat="1" applyFont="1" applyBorder="1" applyAlignment="1" applyProtection="1">
      <alignment horizontal="center"/>
      <protection hidden="1"/>
    </xf>
    <xf numFmtId="2" fontId="47" fillId="0" borderId="83" xfId="0" applyNumberFormat="1" applyFont="1" applyBorder="1" applyAlignment="1" applyProtection="1">
      <alignment horizontal="center"/>
      <protection hidden="1"/>
    </xf>
    <xf numFmtId="1" fontId="8" fillId="0" borderId="13" xfId="0" applyNumberFormat="1" applyFont="1" applyBorder="1" applyAlignment="1" applyProtection="1">
      <alignment horizontal="center"/>
      <protection locked="0"/>
    </xf>
    <xf numFmtId="0" fontId="8" fillId="0" borderId="13" xfId="0" applyFont="1" applyBorder="1" applyAlignment="1" applyProtection="1">
      <alignment horizontal="center"/>
      <protection locked="0"/>
    </xf>
    <xf numFmtId="0" fontId="8" fillId="0" borderId="44" xfId="0" applyFont="1" applyBorder="1" applyAlignment="1" applyProtection="1">
      <alignment horizontal="center"/>
      <protection locked="0"/>
    </xf>
    <xf numFmtId="0" fontId="8" fillId="0" borderId="12" xfId="0" applyFont="1" applyBorder="1" applyAlignment="1" applyProtection="1">
      <alignment horizontal="right"/>
      <protection hidden="1"/>
    </xf>
    <xf numFmtId="0" fontId="8" fillId="0" borderId="0" xfId="0" applyFont="1" applyAlignment="1" applyProtection="1">
      <alignment horizontal="right"/>
      <protection hidden="1"/>
    </xf>
    <xf numFmtId="0" fontId="8" fillId="0" borderId="29" xfId="0" applyFont="1" applyBorder="1" applyAlignment="1" applyProtection="1">
      <alignment horizontal="left"/>
      <protection hidden="1"/>
    </xf>
    <xf numFmtId="0" fontId="8" fillId="0" borderId="37" xfId="0" applyFont="1" applyBorder="1" applyAlignment="1" applyProtection="1">
      <alignment horizontal="left"/>
      <protection hidden="1"/>
    </xf>
    <xf numFmtId="0" fontId="8" fillId="0" borderId="34" xfId="0" applyFont="1" applyBorder="1" applyAlignment="1" applyProtection="1">
      <alignment horizontal="left"/>
      <protection hidden="1"/>
    </xf>
    <xf numFmtId="0" fontId="8" fillId="0" borderId="35" xfId="0" applyFont="1" applyBorder="1" applyAlignment="1" applyProtection="1">
      <alignment horizontal="left"/>
      <protection hidden="1"/>
    </xf>
    <xf numFmtId="0" fontId="12" fillId="0" borderId="9" xfId="0" applyFont="1" applyBorder="1" applyAlignment="1" applyProtection="1">
      <alignment horizontal="left"/>
      <protection hidden="1"/>
    </xf>
    <xf numFmtId="0" fontId="12" fillId="0" borderId="10" xfId="0" applyFont="1" applyBorder="1" applyAlignment="1" applyProtection="1">
      <alignment horizontal="left"/>
      <protection hidden="1"/>
    </xf>
    <xf numFmtId="0" fontId="4" fillId="5" borderId="0" xfId="0" applyFont="1" applyFill="1" applyAlignment="1" applyProtection="1">
      <alignment horizontal="center"/>
      <protection hidden="1"/>
    </xf>
    <xf numFmtId="0" fontId="8" fillId="5" borderId="0" xfId="0" applyFont="1" applyFill="1" applyAlignment="1" applyProtection="1">
      <alignment horizontal="right"/>
      <protection hidden="1"/>
    </xf>
    <xf numFmtId="10" fontId="45" fillId="0" borderId="29" xfId="2" applyNumberFormat="1" applyFont="1" applyBorder="1" applyAlignment="1" applyProtection="1">
      <alignment horizontal="center" vertical="center"/>
      <protection hidden="1"/>
    </xf>
    <xf numFmtId="10" fontId="45" fillId="0" borderId="30" xfId="2" applyNumberFormat="1" applyFont="1" applyBorder="1" applyAlignment="1" applyProtection="1">
      <alignment horizontal="center" vertical="center"/>
      <protection hidden="1"/>
    </xf>
    <xf numFmtId="2" fontId="45" fillId="17" borderId="77" xfId="0" applyNumberFormat="1" applyFont="1" applyFill="1" applyBorder="1" applyAlignment="1" applyProtection="1">
      <alignment horizontal="center" vertical="center"/>
      <protection hidden="1"/>
    </xf>
    <xf numFmtId="2" fontId="45" fillId="17" borderId="66" xfId="0" applyNumberFormat="1" applyFont="1" applyFill="1" applyBorder="1" applyAlignment="1" applyProtection="1">
      <alignment horizontal="center" vertical="center"/>
      <protection hidden="1"/>
    </xf>
    <xf numFmtId="0" fontId="44" fillId="0" borderId="26" xfId="0" applyFont="1" applyBorder="1" applyAlignment="1" applyProtection="1">
      <alignment horizontal="center" vertical="center"/>
      <protection hidden="1"/>
    </xf>
    <xf numFmtId="0" fontId="44" fillId="0" borderId="43" xfId="0" applyFont="1" applyBorder="1" applyAlignment="1" applyProtection="1">
      <alignment horizontal="center" vertical="center"/>
      <protection hidden="1"/>
    </xf>
    <xf numFmtId="0" fontId="8" fillId="0" borderId="29" xfId="0" applyFont="1" applyBorder="1" applyProtection="1">
      <protection hidden="1"/>
    </xf>
    <xf numFmtId="0" fontId="8" fillId="0" borderId="30" xfId="0" applyFont="1" applyBorder="1" applyProtection="1">
      <protection hidden="1"/>
    </xf>
    <xf numFmtId="3" fontId="10" fillId="0" borderId="29" xfId="0" applyNumberFormat="1" applyFont="1" applyBorder="1" applyAlignment="1" applyProtection="1">
      <alignment horizontal="center" vertical="center" wrapText="1"/>
      <protection hidden="1"/>
    </xf>
    <xf numFmtId="3" fontId="10" fillId="0" borderId="30" xfId="0" applyNumberFormat="1" applyFont="1" applyBorder="1" applyAlignment="1" applyProtection="1">
      <alignment horizontal="center" vertical="center" wrapText="1"/>
      <protection hidden="1"/>
    </xf>
    <xf numFmtId="3" fontId="11" fillId="0" borderId="29" xfId="0" applyNumberFormat="1" applyFont="1" applyBorder="1" applyAlignment="1" applyProtection="1">
      <alignment horizontal="center" vertical="center" wrapText="1"/>
      <protection hidden="1"/>
    </xf>
    <xf numFmtId="3" fontId="11" fillId="0" borderId="30" xfId="0" applyNumberFormat="1" applyFont="1" applyBorder="1" applyAlignment="1" applyProtection="1">
      <alignment horizontal="center" vertical="center" wrapText="1"/>
      <protection hidden="1"/>
    </xf>
    <xf numFmtId="0" fontId="8" fillId="0" borderId="34" xfId="0" applyFont="1" applyBorder="1" applyProtection="1">
      <protection hidden="1"/>
    </xf>
    <xf numFmtId="0" fontId="8" fillId="0" borderId="35" xfId="0" applyFont="1" applyBorder="1" applyProtection="1">
      <protection hidden="1"/>
    </xf>
    <xf numFmtId="3" fontId="10" fillId="0" borderId="4" xfId="0" applyNumberFormat="1" applyFont="1" applyBorder="1" applyAlignment="1" applyProtection="1">
      <alignment horizontal="center" vertical="center" wrapText="1"/>
      <protection hidden="1"/>
    </xf>
    <xf numFmtId="3" fontId="10" fillId="0" borderId="6" xfId="0" applyNumberFormat="1" applyFont="1" applyBorder="1" applyAlignment="1" applyProtection="1">
      <alignment horizontal="center" vertical="center" wrapText="1"/>
      <protection hidden="1"/>
    </xf>
    <xf numFmtId="3" fontId="11" fillId="0" borderId="46" xfId="0" applyNumberFormat="1" applyFont="1" applyBorder="1" applyAlignment="1" applyProtection="1">
      <alignment horizontal="center" vertical="center" wrapText="1"/>
      <protection hidden="1"/>
    </xf>
    <xf numFmtId="3" fontId="11" fillId="0" borderId="6" xfId="0" applyNumberFormat="1" applyFont="1" applyBorder="1" applyAlignment="1" applyProtection="1">
      <alignment horizontal="center" vertical="center" wrapText="1"/>
      <protection hidden="1"/>
    </xf>
    <xf numFmtId="0" fontId="8" fillId="0" borderId="7" xfId="0" applyFont="1" applyBorder="1" applyAlignment="1" applyProtection="1">
      <alignment horizontal="center" vertical="center" wrapText="1"/>
      <protection hidden="1"/>
    </xf>
    <xf numFmtId="0" fontId="8" fillId="0" borderId="8" xfId="0" applyFont="1" applyBorder="1" applyAlignment="1" applyProtection="1">
      <alignment horizontal="center" vertical="center" wrapText="1"/>
      <protection hidden="1"/>
    </xf>
    <xf numFmtId="0" fontId="8" fillId="0" borderId="36" xfId="0" applyFont="1" applyBorder="1" applyAlignment="1" applyProtection="1">
      <alignment horizontal="center" vertical="center" wrapText="1"/>
      <protection hidden="1"/>
    </xf>
    <xf numFmtId="0" fontId="8" fillId="0" borderId="17" xfId="0" applyFont="1" applyBorder="1" applyAlignment="1" applyProtection="1">
      <alignment horizontal="center" vertical="center" wrapText="1"/>
      <protection hidden="1"/>
    </xf>
    <xf numFmtId="0" fontId="8" fillId="0" borderId="18" xfId="0" applyFont="1" applyBorder="1" applyAlignment="1" applyProtection="1">
      <alignment horizontal="center" vertical="center" wrapText="1"/>
      <protection hidden="1"/>
    </xf>
    <xf numFmtId="0" fontId="8" fillId="0" borderId="24" xfId="0" applyFont="1" applyBorder="1" applyAlignment="1" applyProtection="1">
      <alignment horizontal="center" vertical="center" wrapText="1"/>
      <protection hidden="1"/>
    </xf>
    <xf numFmtId="0" fontId="9" fillId="0" borderId="9" xfId="0" applyFont="1" applyBorder="1" applyAlignment="1" applyProtection="1">
      <alignment horizontal="center" vertical="center"/>
      <protection hidden="1"/>
    </xf>
    <xf numFmtId="0" fontId="9" fillId="0" borderId="11" xfId="0" applyFont="1" applyBorder="1" applyAlignment="1" applyProtection="1">
      <alignment horizontal="center" vertical="center"/>
      <protection hidden="1"/>
    </xf>
    <xf numFmtId="0" fontId="12" fillId="0" borderId="26" xfId="0" applyFont="1" applyBorder="1" applyProtection="1">
      <protection hidden="1"/>
    </xf>
    <xf numFmtId="0" fontId="12" fillId="0" borderId="27" xfId="0" applyFont="1" applyBorder="1" applyProtection="1">
      <protection hidden="1"/>
    </xf>
    <xf numFmtId="3" fontId="10" fillId="0" borderId="26" xfId="0" applyNumberFormat="1" applyFont="1" applyBorder="1" applyAlignment="1" applyProtection="1">
      <alignment horizontal="center" vertical="center" wrapText="1"/>
      <protection hidden="1"/>
    </xf>
    <xf numFmtId="3" fontId="10" fillId="0" borderId="43" xfId="0" applyNumberFormat="1" applyFont="1" applyBorder="1" applyAlignment="1" applyProtection="1">
      <alignment horizontal="center" vertical="center" wrapText="1"/>
      <protection hidden="1"/>
    </xf>
    <xf numFmtId="3" fontId="11" fillId="0" borderId="26" xfId="0" applyNumberFormat="1" applyFont="1" applyBorder="1" applyAlignment="1" applyProtection="1">
      <alignment horizontal="center" vertical="center" wrapText="1"/>
      <protection hidden="1"/>
    </xf>
    <xf numFmtId="3" fontId="11" fillId="0" borderId="43" xfId="0" applyNumberFormat="1" applyFont="1" applyBorder="1" applyAlignment="1" applyProtection="1">
      <alignment horizontal="center" vertical="center" wrapText="1"/>
      <protection hidden="1"/>
    </xf>
    <xf numFmtId="0" fontId="0" fillId="0" borderId="0" xfId="0" applyAlignment="1">
      <alignment horizontal="center"/>
    </xf>
    <xf numFmtId="0" fontId="18" fillId="0" borderId="54" xfId="0" applyFont="1" applyBorder="1" applyAlignment="1">
      <alignment horizontal="justify" vertical="center" wrapText="1"/>
    </xf>
    <xf numFmtId="0" fontId="18" fillId="0" borderId="54" xfId="0" applyFont="1" applyBorder="1" applyAlignment="1">
      <alignment horizontal="center" vertical="center" wrapText="1"/>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3" fillId="0" borderId="52" xfId="0" applyFont="1" applyBorder="1" applyAlignment="1">
      <alignment horizontal="center"/>
    </xf>
    <xf numFmtId="0" fontId="3" fillId="4" borderId="0" xfId="0" applyFont="1" applyFill="1" applyAlignment="1">
      <alignment horizontal="center"/>
    </xf>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3" fontId="11" fillId="0" borderId="0" xfId="0" applyNumberFormat="1" applyFont="1" applyAlignment="1" applyProtection="1">
      <alignment horizontal="center" vertical="center" wrapText="1"/>
      <protection hidden="1"/>
    </xf>
    <xf numFmtId="165" fontId="0" fillId="0" borderId="0" xfId="0" applyNumberFormat="1" applyAlignment="1">
      <alignment horizontal="center"/>
    </xf>
    <xf numFmtId="0" fontId="8" fillId="0" borderId="0" xfId="0" applyFont="1" applyAlignment="1" applyProtection="1">
      <alignment horizontal="center" vertical="center" wrapText="1"/>
      <protection hidden="1"/>
    </xf>
    <xf numFmtId="0" fontId="9" fillId="0" borderId="0" xfId="0" applyFont="1" applyAlignment="1" applyProtection="1">
      <alignment horizontal="center" vertical="center"/>
      <protection hidden="1"/>
    </xf>
  </cellXfs>
  <cellStyles count="3">
    <cellStyle name="Comma" xfId="1" builtinId="3"/>
    <cellStyle name="Normal" xfId="0" builtinId="0"/>
    <cellStyle name="Percent" xfId="2" builtinId="5"/>
  </cellStyles>
  <dxfs count="168">
    <dxf>
      <font>
        <color rgb="FFFF0000"/>
      </font>
    </dxf>
    <dxf>
      <font>
        <color rgb="FFFF0000"/>
      </font>
    </dxf>
    <dxf>
      <font>
        <b/>
        <i val="0"/>
        <color theme="1"/>
      </font>
      <fill>
        <patternFill>
          <bgColor rgb="FFFF5B5B"/>
        </patternFill>
      </fill>
    </dxf>
    <dxf>
      <font>
        <b/>
        <i val="0"/>
      </font>
      <fill>
        <patternFill>
          <bgColor rgb="FF79FFB6"/>
        </patternFill>
      </fill>
    </dxf>
    <dxf>
      <font>
        <strike val="0"/>
        <outline val="0"/>
        <shadow val="0"/>
        <u val="none"/>
        <vertAlign val="baseline"/>
        <sz val="11"/>
        <color theme="3" tint="-0.499984740745262"/>
        <name val="Calibri"/>
        <family val="2"/>
        <scheme val="minor"/>
      </font>
      <numFmt numFmtId="0" formatCode="General"/>
    </dxf>
    <dxf>
      <font>
        <strike val="0"/>
        <outline val="0"/>
        <shadow val="0"/>
        <u val="none"/>
        <vertAlign val="baseline"/>
        <sz val="11"/>
        <color theme="3" tint="-0.499984740745262"/>
        <name val="Calibri"/>
        <family val="2"/>
        <scheme val="minor"/>
      </font>
      <numFmt numFmtId="0" formatCode="General"/>
    </dxf>
    <dxf>
      <font>
        <strike val="0"/>
        <outline val="0"/>
        <shadow val="0"/>
        <u val="none"/>
        <vertAlign val="baseline"/>
        <sz val="11"/>
        <color theme="3" tint="-0.499984740745262"/>
        <name val="Calibri"/>
        <family val="2"/>
        <scheme val="minor"/>
      </font>
      <numFmt numFmtId="0" formatCode="General"/>
    </dxf>
    <dxf>
      <font>
        <strike val="0"/>
        <outline val="0"/>
        <shadow val="0"/>
        <u val="none"/>
        <vertAlign val="baseline"/>
        <sz val="11"/>
        <color theme="3" tint="-0.499984740745262"/>
        <name val="Calibri"/>
        <family val="2"/>
        <scheme val="minor"/>
      </font>
    </dxf>
    <dxf>
      <font>
        <b/>
        <strike val="0"/>
        <outline val="0"/>
        <shadow val="0"/>
        <u val="none"/>
        <vertAlign val="baseline"/>
        <sz val="11"/>
        <color theme="0"/>
        <name val="Calibri"/>
        <family val="2"/>
        <scheme val="minor"/>
      </font>
      <fill>
        <patternFill patternType="solid">
          <fgColor indexed="64"/>
          <bgColor theme="4" tint="-0.499984740745262"/>
        </patternFill>
      </fill>
    </dxf>
    <dxf>
      <font>
        <color rgb="FFFF0000"/>
      </font>
    </dxf>
    <dxf>
      <font>
        <b/>
        <i val="0"/>
        <color theme="1"/>
      </font>
      <fill>
        <patternFill>
          <bgColor rgb="FFFF5B5B"/>
        </patternFill>
      </fill>
    </dxf>
    <dxf>
      <font>
        <b/>
        <i val="0"/>
      </font>
      <fill>
        <patternFill>
          <bgColor rgb="FF79FFB6"/>
        </patternFill>
      </fill>
    </dxf>
    <dxf>
      <fill>
        <patternFill>
          <bgColor rgb="FFFF0000"/>
        </patternFill>
      </fill>
    </dxf>
    <dxf>
      <fill>
        <patternFill>
          <bgColor rgb="FFFF0000"/>
        </patternFill>
      </fill>
    </dxf>
    <dxf>
      <font>
        <color rgb="FFFF0000"/>
      </font>
    </dxf>
    <dxf>
      <font>
        <color rgb="FFFF0000"/>
      </font>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theme="1"/>
      </font>
      <fill>
        <patternFill>
          <bgColor rgb="FFFFC000"/>
        </patternFill>
      </fill>
    </dxf>
    <dxf>
      <font>
        <color rgb="FF006100"/>
      </font>
      <fill>
        <patternFill>
          <bgColor rgb="FFC6EFCE"/>
        </patternFill>
      </fill>
    </dxf>
    <dxf>
      <font>
        <color theme="1"/>
      </font>
      <fill>
        <patternFill>
          <bgColor rgb="FFFF0000"/>
        </patternFill>
      </fill>
    </dxf>
    <dxf>
      <font>
        <color theme="1"/>
      </font>
      <fill>
        <patternFill>
          <bgColor rgb="FFFFC000"/>
        </patternFill>
      </fill>
    </dxf>
    <dxf>
      <font>
        <color rgb="FF006100"/>
      </font>
      <fill>
        <patternFill>
          <bgColor rgb="FFC6EFCE"/>
        </patternFill>
      </fill>
    </dxf>
    <dxf>
      <font>
        <color theme="1"/>
      </font>
      <fill>
        <patternFill>
          <bgColor rgb="FFFF0000"/>
        </patternFill>
      </fill>
    </dxf>
    <dxf>
      <fill>
        <patternFill>
          <bgColor rgb="FF57FF57"/>
        </patternFill>
      </fill>
    </dxf>
    <dxf>
      <fill>
        <patternFill>
          <bgColor rgb="FFFF0000"/>
        </patternFill>
      </fill>
    </dxf>
    <dxf>
      <font>
        <color theme="1"/>
      </font>
      <fill>
        <patternFill>
          <bgColor rgb="FFFFC000"/>
        </patternFill>
      </fill>
    </dxf>
    <dxf>
      <fill>
        <patternFill patternType="none">
          <bgColor auto="1"/>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patternType="none">
          <bgColor auto="1"/>
        </patternFill>
      </fill>
    </dxf>
    <dxf>
      <fill>
        <patternFill>
          <bgColor rgb="FF00FF00"/>
        </patternFill>
      </fill>
    </dxf>
    <dxf>
      <fill>
        <patternFill>
          <bgColor rgb="FFFF0000"/>
        </patternFill>
      </fill>
    </dxf>
    <dxf>
      <font>
        <color theme="1"/>
      </font>
      <fill>
        <patternFill>
          <bgColor rgb="FFFFC000"/>
        </patternFill>
      </fill>
    </dxf>
    <dxf>
      <fill>
        <patternFill patternType="none">
          <bgColor auto="1"/>
        </patternFill>
      </fill>
    </dxf>
    <dxf>
      <font>
        <color rgb="FFFF0000"/>
      </font>
    </dxf>
    <dxf>
      <font>
        <color rgb="FFFF0000"/>
      </font>
    </dxf>
    <dxf>
      <font>
        <color theme="0"/>
      </font>
    </dxf>
    <dxf>
      <font>
        <color rgb="FFFF0000"/>
      </font>
    </dxf>
    <dxf>
      <font>
        <b/>
        <i val="0"/>
        <color rgb="FFFF0000"/>
      </font>
    </dxf>
    <dxf>
      <font>
        <b/>
        <i val="0"/>
        <color rgb="FFFF0000"/>
      </font>
    </dxf>
    <dxf>
      <font>
        <color theme="1"/>
      </font>
      <fill>
        <patternFill>
          <bgColor rgb="FFFFC000"/>
        </patternFill>
      </fill>
    </dxf>
    <dxf>
      <font>
        <color rgb="FF006100"/>
      </font>
      <fill>
        <patternFill>
          <bgColor rgb="FFC6EFCE"/>
        </patternFill>
      </fill>
    </dxf>
    <dxf>
      <font>
        <color theme="1"/>
      </font>
      <fill>
        <patternFill>
          <bgColor rgb="FFFF0000"/>
        </patternFill>
      </fill>
    </dxf>
    <dxf>
      <font>
        <color theme="1"/>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1"/>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1"/>
      </font>
      <fill>
        <patternFill>
          <bgColor rgb="FFFF0000"/>
        </patternFill>
      </fill>
    </dxf>
    <dxf>
      <font>
        <color theme="1"/>
      </font>
      <fill>
        <patternFill>
          <bgColor rgb="FF00B050"/>
        </patternFill>
      </fill>
    </dxf>
    <dxf>
      <font>
        <color theme="1"/>
      </font>
      <fill>
        <patternFill>
          <bgColor rgb="FFFFC000"/>
        </patternFill>
      </fill>
    </dxf>
    <dxf>
      <font>
        <color rgb="FF006100"/>
      </font>
      <fill>
        <patternFill>
          <bgColor rgb="FFC6EFCE"/>
        </patternFill>
      </fill>
    </dxf>
    <dxf>
      <font>
        <color theme="1"/>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ill>
        <patternFill>
          <bgColor rgb="FF00B050"/>
        </patternFill>
      </fill>
    </dxf>
    <dxf>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ill>
        <patternFill>
          <bgColor rgb="FFFF0000"/>
        </patternFill>
      </fill>
    </dxf>
    <dxf>
      <font>
        <color theme="2" tint="-9.9948118533890809E-2"/>
      </font>
      <fill>
        <patternFill>
          <bgColor theme="2" tint="-9.9948118533890809E-2"/>
        </patternFill>
      </fill>
      <border>
        <left/>
        <right/>
        <top/>
        <bottom/>
      </border>
    </dxf>
    <dxf>
      <font>
        <color theme="2" tint="-9.9948118533890809E-2"/>
      </font>
      <fill>
        <patternFill>
          <bgColor theme="2" tint="-9.9948118533890809E-2"/>
        </patternFill>
      </fill>
      <border>
        <left/>
        <right/>
        <top/>
        <bottom/>
      </border>
    </dxf>
    <dxf>
      <font>
        <color rgb="FFFF0000"/>
      </font>
      <fill>
        <patternFill>
          <bgColor rgb="FFFF0000"/>
        </patternFill>
      </fill>
    </dxf>
    <dxf>
      <font>
        <color theme="2" tint="-9.9948118533890809E-2"/>
      </font>
      <fill>
        <patternFill>
          <bgColor theme="2" tint="-9.9948118533890809E-2"/>
        </patternFill>
      </fill>
      <border>
        <left/>
        <right/>
        <top/>
        <bottom/>
      </border>
    </dxf>
  </dxfs>
  <tableStyles count="0" defaultTableStyle="TableStyleMedium2" defaultPivotStyle="PivotStyleLight16"/>
  <colors>
    <mruColors>
      <color rgb="FFD0CECE"/>
      <color rgb="FF000000"/>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GB" sz="1050" b="0" baseline="0">
                <a:solidFill>
                  <a:sysClr val="windowText" lastClr="000000"/>
                </a:solidFill>
              </a:rPr>
              <a:t>SN-24146</a:t>
            </a:r>
          </a:p>
        </c:rich>
      </c:tx>
      <c:layout>
        <c:manualLayout>
          <c:xMode val="edge"/>
          <c:yMode val="edge"/>
          <c:x val="0.4624228066840817"/>
          <c:y val="1.750872642623273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1015100039450053"/>
          <c:y val="0.19539479300759291"/>
          <c:w val="0.827382896090889"/>
          <c:h val="0.69179584031738239"/>
        </c:manualLayout>
      </c:layout>
      <c:scatterChart>
        <c:scatterStyle val="lineMarker"/>
        <c:varyColors val="0"/>
        <c:ser>
          <c:idx val="34"/>
          <c:order val="0"/>
          <c:tx>
            <c:v>Min Flight Weight</c:v>
          </c:tx>
          <c:spPr>
            <a:ln w="19050" cap="rnd">
              <a:solidFill>
                <a:srgbClr val="FF0000"/>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6A35-4862-910C-18D0BEAF4F17}"/>
                </c:ext>
              </c:extLst>
            </c:dLbl>
            <c:dLbl>
              <c:idx val="1"/>
              <c:delete val="1"/>
              <c:extLst>
                <c:ext xmlns:c15="http://schemas.microsoft.com/office/drawing/2012/chart" uri="{CE6537A1-D6FC-4f65-9D91-7224C49458BB}"/>
                <c:ext xmlns:c16="http://schemas.microsoft.com/office/drawing/2014/chart" uri="{C3380CC4-5D6E-409C-BE32-E72D297353CC}">
                  <c16:uniqueId val="{00000001-6A35-4862-910C-18D0BEAF4F17}"/>
                </c:ext>
              </c:extLst>
            </c:dLbl>
            <c:dLbl>
              <c:idx val="2"/>
              <c:delete val="1"/>
              <c:extLst>
                <c:ext xmlns:c15="http://schemas.microsoft.com/office/drawing/2012/chart" uri="{CE6537A1-D6FC-4f65-9D91-7224C49458BB}"/>
                <c:ext xmlns:c16="http://schemas.microsoft.com/office/drawing/2014/chart" uri="{C3380CC4-5D6E-409C-BE32-E72D297353CC}">
                  <c16:uniqueId val="{00000002-6A35-4862-910C-18D0BEAF4F17}"/>
                </c:ext>
              </c:extLst>
            </c:dLbl>
            <c:dLbl>
              <c:idx val="3"/>
              <c:delete val="1"/>
              <c:extLst>
                <c:ext xmlns:c15="http://schemas.microsoft.com/office/drawing/2012/chart" uri="{CE6537A1-D6FC-4f65-9D91-7224C49458BB}"/>
                <c:ext xmlns:c16="http://schemas.microsoft.com/office/drawing/2014/chart" uri="{C3380CC4-5D6E-409C-BE32-E72D297353CC}">
                  <c16:uniqueId val="{00000003-6A35-4862-910C-18D0BEAF4F17}"/>
                </c:ext>
              </c:extLst>
            </c:dLbl>
            <c:dLbl>
              <c:idx val="4"/>
              <c:spPr>
                <a:solidFill>
                  <a:srgbClr val="FF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6A35-4862-910C-18D0BEAF4F17}"/>
                </c:ext>
              </c:extLst>
            </c:dLbl>
            <c:dLbl>
              <c:idx val="5"/>
              <c:delete val="1"/>
              <c:extLst>
                <c:ext xmlns:c15="http://schemas.microsoft.com/office/drawing/2012/chart" uri="{CE6537A1-D6FC-4f65-9D91-7224C49458BB}"/>
                <c:ext xmlns:c16="http://schemas.microsoft.com/office/drawing/2014/chart" uri="{C3380CC4-5D6E-409C-BE32-E72D297353CC}">
                  <c16:uniqueId val="{00000005-6A35-4862-910C-18D0BEAF4F17}"/>
                </c:ext>
              </c:extLst>
            </c:dLbl>
            <c:dLbl>
              <c:idx val="6"/>
              <c:delete val="1"/>
              <c:extLst>
                <c:ext xmlns:c15="http://schemas.microsoft.com/office/drawing/2012/chart" uri="{CE6537A1-D6FC-4f65-9D91-7224C49458BB}"/>
                <c:ext xmlns:c16="http://schemas.microsoft.com/office/drawing/2014/chart" uri="{C3380CC4-5D6E-409C-BE32-E72D297353CC}">
                  <c16:uniqueId val="{00000006-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'INDEX n LBS Chart Build'!$E$66:$E$72</c:f>
              <c:numCache>
                <c:formatCode>#,##0.0</c:formatCode>
                <c:ptCount val="7"/>
                <c:pt idx="0">
                  <c:v>36.5</c:v>
                </c:pt>
                <c:pt idx="1">
                  <c:v>39</c:v>
                </c:pt>
                <c:pt idx="2">
                  <c:v>41.464116153846177</c:v>
                </c:pt>
                <c:pt idx="3">
                  <c:v>54.971563269230792</c:v>
                </c:pt>
                <c:pt idx="4">
                  <c:v>60</c:v>
                </c:pt>
                <c:pt idx="5">
                  <c:v>65</c:v>
                </c:pt>
                <c:pt idx="6">
                  <c:v>100.5</c:v>
                </c:pt>
              </c:numCache>
            </c:numRef>
          </c:xVal>
          <c:yVal>
            <c:numRef>
              <c:f>'INDEX n LBS Chart Build'!$B$66:$B$72</c:f>
              <c:numCache>
                <c:formatCode>#,##0</c:formatCode>
                <c:ptCount val="7"/>
                <c:pt idx="0">
                  <c:v>179000</c:v>
                </c:pt>
                <c:pt idx="1">
                  <c:v>179000</c:v>
                </c:pt>
                <c:pt idx="2">
                  <c:v>179000</c:v>
                </c:pt>
                <c:pt idx="3">
                  <c:v>179000</c:v>
                </c:pt>
                <c:pt idx="4">
                  <c:v>179000</c:v>
                </c:pt>
                <c:pt idx="5">
                  <c:v>179000</c:v>
                </c:pt>
                <c:pt idx="6">
                  <c:v>179000</c:v>
                </c:pt>
              </c:numCache>
            </c:numRef>
          </c:yVal>
          <c:smooth val="0"/>
          <c:extLst>
            <c:ext xmlns:c16="http://schemas.microsoft.com/office/drawing/2014/chart" uri="{C3380CC4-5D6E-409C-BE32-E72D297353CC}">
              <c16:uniqueId val="{00000007-6A35-4862-910C-18D0BEAF4F17}"/>
            </c:ext>
          </c:extLst>
        </c:ser>
        <c:ser>
          <c:idx val="0"/>
          <c:order val="1"/>
          <c:tx>
            <c:v>Max TOW 412,000 Lbs </c:v>
          </c:tx>
          <c:spPr>
            <a:ln w="19050" cap="rnd">
              <a:solidFill>
                <a:schemeClr val="accent1"/>
              </a:solidFill>
              <a:round/>
            </a:ln>
            <a:effectLst/>
          </c:spPr>
          <c:marker>
            <c:symbol val="none"/>
          </c:marker>
          <c:xVal>
            <c:numRef>
              <c:f>'INDEX n LBS Chart Build'!$E$4:$E$21</c:f>
              <c:numCache>
                <c:formatCode>#,##0.0</c:formatCode>
                <c:ptCount val="18"/>
                <c:pt idx="0">
                  <c:v>38.855125000000015</c:v>
                </c:pt>
                <c:pt idx="1">
                  <c:v>36.502500000000019</c:v>
                </c:pt>
                <c:pt idx="2">
                  <c:v>12.120750000000037</c:v>
                </c:pt>
                <c:pt idx="3">
                  <c:v>6.5600000000000307</c:v>
                </c:pt>
                <c:pt idx="4">
                  <c:v>6.5550000000000352</c:v>
                </c:pt>
                <c:pt idx="5">
                  <c:v>6.3536562500001281</c:v>
                </c:pt>
                <c:pt idx="6">
                  <c:v>45.11150625000014</c:v>
                </c:pt>
                <c:pt idx="7">
                  <c:v>45.11150625000014</c:v>
                </c:pt>
                <c:pt idx="8">
                  <c:v>47.061250000000001</c:v>
                </c:pt>
                <c:pt idx="9">
                  <c:v>55.378500000000045</c:v>
                </c:pt>
                <c:pt idx="10">
                  <c:v>77.394750000000045</c:v>
                </c:pt>
                <c:pt idx="11">
                  <c:v>81.796350000000146</c:v>
                </c:pt>
                <c:pt idx="12">
                  <c:v>131.95000000000005</c:v>
                </c:pt>
                <c:pt idx="13">
                  <c:v>131.49440000000004</c:v>
                </c:pt>
                <c:pt idx="14">
                  <c:v>121.42215964312504</c:v>
                </c:pt>
                <c:pt idx="15">
                  <c:v>119.00139240000003</c:v>
                </c:pt>
                <c:pt idx="16">
                  <c:v>99.061375000000027</c:v>
                </c:pt>
                <c:pt idx="17">
                  <c:v>97.780000000000015</c:v>
                </c:pt>
              </c:numCache>
            </c:numRef>
          </c:xVal>
          <c:yVal>
            <c:numRef>
              <c:f>'INDEX n LBS Chart Build'!$B$4:$B$21</c:f>
              <c:numCache>
                <c:formatCode>#,##0</c:formatCode>
                <c:ptCount val="18"/>
                <c:pt idx="0">
                  <c:v>169000</c:v>
                </c:pt>
                <c:pt idx="1">
                  <c:v>180000</c:v>
                </c:pt>
                <c:pt idx="2">
                  <c:v>294000</c:v>
                </c:pt>
                <c:pt idx="3">
                  <c:v>320000</c:v>
                </c:pt>
                <c:pt idx="4">
                  <c:v>360000</c:v>
                </c:pt>
                <c:pt idx="5">
                  <c:v>389000</c:v>
                </c:pt>
                <c:pt idx="6">
                  <c:v>411900</c:v>
                </c:pt>
                <c:pt idx="7">
                  <c:v>411900</c:v>
                </c:pt>
                <c:pt idx="8">
                  <c:v>412000</c:v>
                </c:pt>
                <c:pt idx="9">
                  <c:v>412000</c:v>
                </c:pt>
                <c:pt idx="10">
                  <c:v>412000</c:v>
                </c:pt>
                <c:pt idx="11">
                  <c:v>411900</c:v>
                </c:pt>
                <c:pt idx="12">
                  <c:v>400000</c:v>
                </c:pt>
                <c:pt idx="13">
                  <c:v>396800</c:v>
                </c:pt>
                <c:pt idx="14">
                  <c:v>326055.55499999999</c:v>
                </c:pt>
                <c:pt idx="15">
                  <c:v>309052.79999999999</c:v>
                </c:pt>
                <c:pt idx="16">
                  <c:v>169000</c:v>
                </c:pt>
                <c:pt idx="17">
                  <c:v>160000</c:v>
                </c:pt>
              </c:numCache>
            </c:numRef>
          </c:yVal>
          <c:smooth val="0"/>
          <c:extLst>
            <c:ext xmlns:c16="http://schemas.microsoft.com/office/drawing/2014/chart" uri="{C3380CC4-5D6E-409C-BE32-E72D297353CC}">
              <c16:uniqueId val="{00000008-6A35-4862-910C-18D0BEAF4F17}"/>
            </c:ext>
          </c:extLst>
        </c:ser>
        <c:ser>
          <c:idx val="1"/>
          <c:order val="2"/>
          <c:tx>
            <c:v>Max LWT 326,000 Lbs</c:v>
          </c:tx>
          <c:spPr>
            <a:ln w="19050" cap="rnd">
              <a:solidFill>
                <a:srgbClr val="156082">
                  <a:lumMod val="50000"/>
                </a:srgbClr>
              </a:solidFill>
              <a:round/>
            </a:ln>
            <a:effectLst/>
          </c:spPr>
          <c:marker>
            <c:symbol val="none"/>
          </c:marker>
          <c:dPt>
            <c:idx val="4"/>
            <c:marker>
              <c:symbol val="none"/>
            </c:marker>
            <c:bubble3D val="0"/>
            <c:extLst>
              <c:ext xmlns:c16="http://schemas.microsoft.com/office/drawing/2014/chart" uri="{C3380CC4-5D6E-409C-BE32-E72D297353CC}">
                <c16:uniqueId val="{00000009-6A35-4862-910C-18D0BEAF4F17}"/>
              </c:ext>
            </c:extLst>
          </c:dPt>
          <c:dLbls>
            <c:dLbl>
              <c:idx val="0"/>
              <c:delete val="1"/>
              <c:extLst>
                <c:ext xmlns:c15="http://schemas.microsoft.com/office/drawing/2012/chart" uri="{CE6537A1-D6FC-4f65-9D91-7224C49458BB}"/>
                <c:ext xmlns:c16="http://schemas.microsoft.com/office/drawing/2014/chart" uri="{C3380CC4-5D6E-409C-BE32-E72D297353CC}">
                  <c16:uniqueId val="{0000000A-6A35-4862-910C-18D0BEAF4F17}"/>
                </c:ext>
              </c:extLst>
            </c:dLbl>
            <c:dLbl>
              <c:idx val="1"/>
              <c:delete val="1"/>
              <c:extLst>
                <c:ext xmlns:c15="http://schemas.microsoft.com/office/drawing/2012/chart" uri="{CE6537A1-D6FC-4f65-9D91-7224C49458BB}"/>
                <c:ext xmlns:c16="http://schemas.microsoft.com/office/drawing/2014/chart" uri="{C3380CC4-5D6E-409C-BE32-E72D297353CC}">
                  <c16:uniqueId val="{0000000B-6A35-4862-910C-18D0BEAF4F17}"/>
                </c:ext>
              </c:extLst>
            </c:dLbl>
            <c:dLbl>
              <c:idx val="2"/>
              <c:spPr>
                <a:solidFill>
                  <a:srgbClr val="5B9BD5">
                    <a:lumMod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showLegendKey val="0"/>
              <c:showVal val="0"/>
              <c:showCatName val="0"/>
              <c:showSerName val="1"/>
              <c:showPercent val="0"/>
              <c:showBubbleSize val="0"/>
              <c:extLst>
                <c:ext xmlns:c16="http://schemas.microsoft.com/office/drawing/2014/chart" uri="{C3380CC4-5D6E-409C-BE32-E72D297353CC}">
                  <c16:uniqueId val="{00000002-AC9F-42E1-A4DB-3C20634695E3}"/>
                </c:ext>
              </c:extLst>
            </c:dLbl>
            <c:dLbl>
              <c:idx val="3"/>
              <c:delete val="1"/>
              <c:extLst>
                <c:ext xmlns:c15="http://schemas.microsoft.com/office/drawing/2012/chart" uri="{CE6537A1-D6FC-4f65-9D91-7224C49458BB}"/>
                <c:ext xmlns:c16="http://schemas.microsoft.com/office/drawing/2014/chart" uri="{C3380CC4-5D6E-409C-BE32-E72D297353CC}">
                  <c16:uniqueId val="{0000000C-6A35-4862-910C-18D0BEAF4F17}"/>
                </c:ext>
              </c:extLst>
            </c:dLbl>
            <c:dLbl>
              <c:idx val="4"/>
              <c:delete val="1"/>
              <c:extLst>
                <c:ext xmlns:c15="http://schemas.microsoft.com/office/drawing/2012/chart" uri="{CE6537A1-D6FC-4f65-9D91-7224C49458BB}"/>
                <c:ext xmlns:c16="http://schemas.microsoft.com/office/drawing/2014/chart" uri="{C3380CC4-5D6E-409C-BE32-E72D297353CC}">
                  <c16:uniqueId val="{00000009-6A35-4862-910C-18D0BEAF4F17}"/>
                </c:ext>
              </c:extLst>
            </c:dLbl>
            <c:dLbl>
              <c:idx val="5"/>
              <c:delete val="1"/>
              <c:extLst>
                <c:ext xmlns:c15="http://schemas.microsoft.com/office/drawing/2012/chart" uri="{CE6537A1-D6FC-4f65-9D91-7224C49458BB}"/>
                <c:ext xmlns:c16="http://schemas.microsoft.com/office/drawing/2014/chart" uri="{C3380CC4-5D6E-409C-BE32-E72D297353CC}">
                  <c16:uniqueId val="{0000000D-6A35-4862-910C-18D0BEAF4F17}"/>
                </c:ext>
              </c:extLst>
            </c:dLbl>
            <c:dLbl>
              <c:idx val="6"/>
              <c:delete val="1"/>
              <c:extLst>
                <c:ext xmlns:c15="http://schemas.microsoft.com/office/drawing/2012/chart" uri="{CE6537A1-D6FC-4f65-9D91-7224C49458BB}"/>
                <c:ext xmlns:c16="http://schemas.microsoft.com/office/drawing/2014/chart" uri="{C3380CC4-5D6E-409C-BE32-E72D297353CC}">
                  <c16:uniqueId val="{0000000E-6A35-4862-910C-18D0BEAF4F17}"/>
                </c:ext>
              </c:extLst>
            </c:dLbl>
            <c:spPr>
              <a:solidFill>
                <a:srgbClr val="ED7D3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'INDEX n LBS Chart Build'!$E$56:$E$62</c:f>
              <c:numCache>
                <c:formatCode>#,##0.0</c:formatCode>
                <c:ptCount val="7"/>
                <c:pt idx="0">
                  <c:v>6.5600000000000307</c:v>
                </c:pt>
                <c:pt idx="1">
                  <c:v>34.31112500000004</c:v>
                </c:pt>
                <c:pt idx="2">
                  <c:v>55.603000000000037</c:v>
                </c:pt>
                <c:pt idx="3">
                  <c:v>74.95925000000004</c:v>
                </c:pt>
                <c:pt idx="4">
                  <c:v>94.315500000000043</c:v>
                </c:pt>
                <c:pt idx="5">
                  <c:v>113.67175000000003</c:v>
                </c:pt>
                <c:pt idx="6">
                  <c:v>121.41425000000004</c:v>
                </c:pt>
              </c:numCache>
            </c:numRef>
          </c:xVal>
          <c:yVal>
            <c:numRef>
              <c:f>'INDEX n LBS Chart Build'!$B$56:$B$62</c:f>
              <c:numCache>
                <c:formatCode>#,##0</c:formatCode>
                <c:ptCount val="7"/>
                <c:pt idx="0">
                  <c:v>320000</c:v>
                </c:pt>
                <c:pt idx="1">
                  <c:v>326000</c:v>
                </c:pt>
                <c:pt idx="2">
                  <c:v>326000</c:v>
                </c:pt>
                <c:pt idx="3">
                  <c:v>326000</c:v>
                </c:pt>
                <c:pt idx="4">
                  <c:v>326000</c:v>
                </c:pt>
                <c:pt idx="5">
                  <c:v>326000</c:v>
                </c:pt>
                <c:pt idx="6">
                  <c:v>326000</c:v>
                </c:pt>
              </c:numCache>
            </c:numRef>
          </c:yVal>
          <c:smooth val="0"/>
          <c:extLst>
            <c:ext xmlns:c16="http://schemas.microsoft.com/office/drawing/2014/chart" uri="{C3380CC4-5D6E-409C-BE32-E72D297353CC}">
              <c16:uniqueId val="{0000000F-6A35-4862-910C-18D0BEAF4F17}"/>
            </c:ext>
          </c:extLst>
        </c:ser>
        <c:ser>
          <c:idx val="2"/>
          <c:order val="3"/>
          <c:tx>
            <c:v>Max ZFW 309,000 Lbs </c:v>
          </c:tx>
          <c:spPr>
            <a:ln w="19050" cap="rnd">
              <a:solidFill>
                <a:srgbClr val="E97132">
                  <a:lumMod val="75000"/>
                </a:srgb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0-6A35-4862-910C-18D0BEAF4F17}"/>
                </c:ext>
              </c:extLst>
            </c:dLbl>
            <c:dLbl>
              <c:idx val="1"/>
              <c:delete val="1"/>
              <c:extLst>
                <c:ext xmlns:c15="http://schemas.microsoft.com/office/drawing/2012/chart" uri="{CE6537A1-D6FC-4f65-9D91-7224C49458BB}"/>
                <c:ext xmlns:c16="http://schemas.microsoft.com/office/drawing/2014/chart" uri="{C3380CC4-5D6E-409C-BE32-E72D297353CC}">
                  <c16:uniqueId val="{00000011-6A35-4862-910C-18D0BEAF4F17}"/>
                </c:ext>
              </c:extLst>
            </c:dLbl>
            <c:dLbl>
              <c:idx val="3"/>
              <c:delete val="1"/>
              <c:extLst>
                <c:ext xmlns:c15="http://schemas.microsoft.com/office/drawing/2012/chart" uri="{CE6537A1-D6FC-4f65-9D91-7224C49458BB}"/>
                <c:ext xmlns:c16="http://schemas.microsoft.com/office/drawing/2014/chart" uri="{C3380CC4-5D6E-409C-BE32-E72D297353CC}">
                  <c16:uniqueId val="{00000012-6A35-4862-910C-18D0BEAF4F17}"/>
                </c:ext>
              </c:extLst>
            </c:dLbl>
            <c:dLbl>
              <c:idx val="4"/>
              <c:delete val="1"/>
              <c:extLst>
                <c:ext xmlns:c15="http://schemas.microsoft.com/office/drawing/2012/chart" uri="{CE6537A1-D6FC-4f65-9D91-7224C49458BB}"/>
                <c:ext xmlns:c16="http://schemas.microsoft.com/office/drawing/2014/chart" uri="{C3380CC4-5D6E-409C-BE32-E72D297353CC}">
                  <c16:uniqueId val="{00000013-6A35-4862-910C-18D0BEAF4F17}"/>
                </c:ext>
              </c:extLst>
            </c:dLbl>
            <c:dLbl>
              <c:idx val="5"/>
              <c:delete val="1"/>
              <c:extLst>
                <c:ext xmlns:c15="http://schemas.microsoft.com/office/drawing/2012/chart" uri="{CE6537A1-D6FC-4f65-9D91-7224C49458BB}"/>
                <c:ext xmlns:c16="http://schemas.microsoft.com/office/drawing/2014/chart" uri="{C3380CC4-5D6E-409C-BE32-E72D297353CC}">
                  <c16:uniqueId val="{00000014-6A35-4862-910C-18D0BEAF4F17}"/>
                </c:ext>
              </c:extLst>
            </c:dLbl>
            <c:dLbl>
              <c:idx val="6"/>
              <c:delete val="1"/>
              <c:extLst>
                <c:ext xmlns:c15="http://schemas.microsoft.com/office/drawing/2012/chart" uri="{CE6537A1-D6FC-4f65-9D91-7224C49458BB}"/>
                <c:ext xmlns:c16="http://schemas.microsoft.com/office/drawing/2014/chart" uri="{C3380CC4-5D6E-409C-BE32-E72D297353CC}">
                  <c16:uniqueId val="{00000015-6A35-4862-910C-18D0BEAF4F17}"/>
                </c:ext>
              </c:extLst>
            </c:dLbl>
            <c:dLbl>
              <c:idx val="7"/>
              <c:delete val="1"/>
              <c:extLst>
                <c:ext xmlns:c15="http://schemas.microsoft.com/office/drawing/2012/chart" uri="{CE6537A1-D6FC-4f65-9D91-7224C49458BB}"/>
                <c:ext xmlns:c16="http://schemas.microsoft.com/office/drawing/2014/chart" uri="{C3380CC4-5D6E-409C-BE32-E72D297353CC}">
                  <c16:uniqueId val="{00000016-6A35-4862-910C-18D0BEAF4F17}"/>
                </c:ext>
              </c:extLst>
            </c:dLbl>
            <c:spPr>
              <a:solidFill>
                <a:srgbClr val="ED7D31">
                  <a:lumMod val="75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'INDEX n LBS Chart Build'!$E$45:$E$52</c:f>
              <c:numCache>
                <c:formatCode>#,##0.0</c:formatCode>
                <c:ptCount val="8"/>
                <c:pt idx="0">
                  <c:v>12.120750000000037</c:v>
                </c:pt>
                <c:pt idx="1">
                  <c:v>36.432937500000037</c:v>
                </c:pt>
                <c:pt idx="2">
                  <c:v>48.90881250000011</c:v>
                </c:pt>
                <c:pt idx="3">
                  <c:v>56.614500000000035</c:v>
                </c:pt>
                <c:pt idx="4">
                  <c:v>74.961375000000032</c:v>
                </c:pt>
                <c:pt idx="5">
                  <c:v>93.308250000000044</c:v>
                </c:pt>
                <c:pt idx="6">
                  <c:v>111.65512500000003</c:v>
                </c:pt>
                <c:pt idx="7">
                  <c:v>118.99387500000003</c:v>
                </c:pt>
              </c:numCache>
            </c:numRef>
          </c:xVal>
          <c:yVal>
            <c:numRef>
              <c:f>'INDEX n LBS Chart Build'!$B$45:$B$52</c:f>
              <c:numCache>
                <c:formatCode>#,##0</c:formatCode>
                <c:ptCount val="8"/>
                <c:pt idx="0">
                  <c:v>294000</c:v>
                </c:pt>
                <c:pt idx="1">
                  <c:v>309000</c:v>
                </c:pt>
                <c:pt idx="2">
                  <c:v>309000</c:v>
                </c:pt>
                <c:pt idx="3">
                  <c:v>309000</c:v>
                </c:pt>
                <c:pt idx="4">
                  <c:v>309000</c:v>
                </c:pt>
                <c:pt idx="5">
                  <c:v>309000</c:v>
                </c:pt>
                <c:pt idx="6">
                  <c:v>309000</c:v>
                </c:pt>
                <c:pt idx="7">
                  <c:v>309000</c:v>
                </c:pt>
              </c:numCache>
            </c:numRef>
          </c:yVal>
          <c:smooth val="0"/>
          <c:extLst>
            <c:ext xmlns:c16="http://schemas.microsoft.com/office/drawing/2014/chart" uri="{C3380CC4-5D6E-409C-BE32-E72D297353CC}">
              <c16:uniqueId val="{00000017-6A35-4862-910C-18D0BEAF4F17}"/>
            </c:ext>
          </c:extLst>
        </c:ser>
        <c:ser>
          <c:idx val="3"/>
          <c:order val="12"/>
          <c:tx>
            <c:v>AZFW</c:v>
          </c:tx>
          <c:spPr>
            <a:ln w="25400" cap="rnd">
              <a:noFill/>
              <a:round/>
            </a:ln>
            <a:effectLst/>
          </c:spPr>
          <c:marker>
            <c:symbol val="plus"/>
            <c:size val="8"/>
            <c:spPr>
              <a:noFill/>
              <a:ln w="15875">
                <a:solidFill>
                  <a:schemeClr val="accent4"/>
                </a:solidFill>
              </a:ln>
              <a:effectLst/>
            </c:spPr>
          </c:marker>
          <c:dLbls>
            <c:spPr>
              <a:solidFill>
                <a:srgbClr val="ED7D31">
                  <a:lumMod val="75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Sheet'!$M$5</c:f>
              <c:numCache>
                <c:formatCode>0.0</c:formatCode>
                <c:ptCount val="1"/>
                <c:pt idx="0">
                  <c:v>65</c:v>
                </c:pt>
              </c:numCache>
            </c:numRef>
          </c:xVal>
          <c:yVal>
            <c:numRef>
              <c:f>'Trim Sheet'!$K$5:$L$5</c:f>
              <c:numCache>
                <c:formatCode>#,##0</c:formatCode>
                <c:ptCount val="2"/>
                <c:pt idx="0">
                  <c:v>278564</c:v>
                </c:pt>
              </c:numCache>
            </c:numRef>
          </c:yVal>
          <c:smooth val="0"/>
          <c:extLst>
            <c:ext xmlns:c16="http://schemas.microsoft.com/office/drawing/2014/chart" uri="{C3380CC4-5D6E-409C-BE32-E72D297353CC}">
              <c16:uniqueId val="{00000018-6A35-4862-910C-18D0BEAF4F17}"/>
            </c:ext>
          </c:extLst>
        </c:ser>
        <c:ser>
          <c:idx val="4"/>
          <c:order val="13"/>
          <c:tx>
            <c:v>TOW </c:v>
          </c:tx>
          <c:spPr>
            <a:ln w="25400" cap="rnd">
              <a:noFill/>
              <a:round/>
            </a:ln>
            <a:effectLst/>
          </c:spPr>
          <c:marker>
            <c:symbol val="plus"/>
            <c:size val="8"/>
            <c:spPr>
              <a:noFill/>
              <a:ln w="15875">
                <a:solidFill>
                  <a:srgbClr val="00B050"/>
                </a:solidFill>
              </a:ln>
              <a:effectLst/>
            </c:spPr>
          </c:marker>
          <c:dLbls>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Sheet'!$M$6</c:f>
              <c:numCache>
                <c:formatCode>0.0</c:formatCode>
                <c:ptCount val="1"/>
                <c:pt idx="0">
                  <c:v>70.900000000000006</c:v>
                </c:pt>
              </c:numCache>
            </c:numRef>
          </c:xVal>
          <c:yVal>
            <c:numRef>
              <c:f>'Trim Sheet'!$K$6</c:f>
              <c:numCache>
                <c:formatCode>#,##0</c:formatCode>
                <c:ptCount val="1"/>
                <c:pt idx="0">
                  <c:v>387464</c:v>
                </c:pt>
              </c:numCache>
            </c:numRef>
          </c:yVal>
          <c:smooth val="0"/>
          <c:extLst>
            <c:ext xmlns:c16="http://schemas.microsoft.com/office/drawing/2014/chart" uri="{C3380CC4-5D6E-409C-BE32-E72D297353CC}">
              <c16:uniqueId val="{00000019-6A35-4862-910C-18D0BEAF4F17}"/>
            </c:ext>
          </c:extLst>
        </c:ser>
        <c:ser>
          <c:idx val="5"/>
          <c:order val="14"/>
          <c:tx>
            <c:v>LWT</c:v>
          </c:tx>
          <c:spPr>
            <a:ln w="25400" cap="rnd">
              <a:noFill/>
              <a:round/>
            </a:ln>
            <a:effectLst/>
          </c:spPr>
          <c:marker>
            <c:symbol val="plus"/>
            <c:size val="8"/>
            <c:spPr>
              <a:noFill/>
              <a:ln w="15875">
                <a:solidFill>
                  <a:srgbClr val="4472C4">
                    <a:lumMod val="75000"/>
                  </a:srgbClr>
                </a:solidFill>
              </a:ln>
              <a:effectLst/>
            </c:spPr>
          </c:marker>
          <c:dLbls>
            <c:spPr>
              <a:solidFill>
                <a:srgbClr val="4472C4">
                  <a:lumMod val="75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Sheet'!$M$7</c:f>
              <c:numCache>
                <c:formatCode>0.0</c:formatCode>
                <c:ptCount val="1"/>
                <c:pt idx="0">
                  <c:v>62.9</c:v>
                </c:pt>
              </c:numCache>
            </c:numRef>
          </c:xVal>
          <c:yVal>
            <c:numRef>
              <c:f>'Trim Sheet'!$K$7</c:f>
              <c:numCache>
                <c:formatCode>#,##0</c:formatCode>
                <c:ptCount val="1"/>
                <c:pt idx="0">
                  <c:v>287464</c:v>
                </c:pt>
              </c:numCache>
            </c:numRef>
          </c:yVal>
          <c:smooth val="0"/>
          <c:extLst>
            <c:ext xmlns:c16="http://schemas.microsoft.com/office/drawing/2014/chart" uri="{C3380CC4-5D6E-409C-BE32-E72D297353CC}">
              <c16:uniqueId val="{0000001A-6A35-4862-910C-18D0BEAF4F17}"/>
            </c:ext>
          </c:extLst>
        </c:ser>
        <c:dLbls>
          <c:showLegendKey val="0"/>
          <c:showVal val="0"/>
          <c:showCatName val="0"/>
          <c:showSerName val="0"/>
          <c:showPercent val="0"/>
          <c:showBubbleSize val="0"/>
        </c:dLbls>
        <c:axId val="623949359"/>
        <c:axId val="623952271"/>
      </c:scatterChart>
      <c:scatterChart>
        <c:scatterStyle val="lineMarker"/>
        <c:varyColors val="0"/>
        <c:ser>
          <c:idx val="23"/>
          <c:order val="4"/>
          <c:tx>
            <c:v>Max TOW 412,000 Lbs</c:v>
          </c:tx>
          <c:spPr>
            <a:ln w="19050" cap="rnd">
              <a:solidFill>
                <a:sysClr val="windowText" lastClr="000000"/>
              </a:solidFill>
              <a:round/>
            </a:ln>
            <a:effectLst/>
          </c:spPr>
          <c:marker>
            <c:symbol val="none"/>
          </c:marker>
          <c:xVal>
            <c:numRef>
              <c:f>'INDEX n LBS Chart Build'!$E$25:$E$41</c:f>
              <c:numCache>
                <c:formatCode>#,##0.0</c:formatCode>
                <c:ptCount val="17"/>
                <c:pt idx="0">
                  <c:v>38.855125000000015</c:v>
                </c:pt>
                <c:pt idx="1">
                  <c:v>36.502500000000019</c:v>
                </c:pt>
                <c:pt idx="2">
                  <c:v>12.120750000000037</c:v>
                </c:pt>
                <c:pt idx="3">
                  <c:v>6.5600000000000307</c:v>
                </c:pt>
                <c:pt idx="4">
                  <c:v>6.5550000000000352</c:v>
                </c:pt>
                <c:pt idx="5">
                  <c:v>6.3536562500001281</c:v>
                </c:pt>
                <c:pt idx="6">
                  <c:v>45.11150625000014</c:v>
                </c:pt>
                <c:pt idx="7">
                  <c:v>45.11150625000014</c:v>
                </c:pt>
                <c:pt idx="8">
                  <c:v>46.993437499999999</c:v>
                </c:pt>
                <c:pt idx="9">
                  <c:v>55.330875000000049</c:v>
                </c:pt>
                <c:pt idx="10">
                  <c:v>77.400562500000049</c:v>
                </c:pt>
                <c:pt idx="11">
                  <c:v>81.796350000000146</c:v>
                </c:pt>
                <c:pt idx="12">
                  <c:v>131.95000000000005</c:v>
                </c:pt>
                <c:pt idx="13">
                  <c:v>131.49440000000004</c:v>
                </c:pt>
                <c:pt idx="14">
                  <c:v>121.42215964312504</c:v>
                </c:pt>
                <c:pt idx="15">
                  <c:v>119.00139240000003</c:v>
                </c:pt>
                <c:pt idx="16">
                  <c:v>99.061375000000027</c:v>
                </c:pt>
              </c:numCache>
            </c:numRef>
          </c:xVal>
          <c:yVal>
            <c:numRef>
              <c:f>'INDEX n LBS Chart Build'!$B$25:$B$41</c:f>
              <c:numCache>
                <c:formatCode>#,##0</c:formatCode>
                <c:ptCount val="17"/>
                <c:pt idx="0">
                  <c:v>169000</c:v>
                </c:pt>
                <c:pt idx="1">
                  <c:v>180000</c:v>
                </c:pt>
                <c:pt idx="2">
                  <c:v>294000</c:v>
                </c:pt>
                <c:pt idx="3">
                  <c:v>320000</c:v>
                </c:pt>
                <c:pt idx="4">
                  <c:v>360000</c:v>
                </c:pt>
                <c:pt idx="5">
                  <c:v>389000</c:v>
                </c:pt>
                <c:pt idx="6">
                  <c:v>411900</c:v>
                </c:pt>
                <c:pt idx="7">
                  <c:v>411900</c:v>
                </c:pt>
                <c:pt idx="8">
                  <c:v>413000</c:v>
                </c:pt>
                <c:pt idx="9">
                  <c:v>413000</c:v>
                </c:pt>
                <c:pt idx="10">
                  <c:v>413000</c:v>
                </c:pt>
                <c:pt idx="11">
                  <c:v>411900</c:v>
                </c:pt>
                <c:pt idx="12">
                  <c:v>400000</c:v>
                </c:pt>
                <c:pt idx="13">
                  <c:v>396800</c:v>
                </c:pt>
                <c:pt idx="14">
                  <c:v>326055.55499999999</c:v>
                </c:pt>
                <c:pt idx="15">
                  <c:v>309052.79999999999</c:v>
                </c:pt>
                <c:pt idx="16">
                  <c:v>169000</c:v>
                </c:pt>
              </c:numCache>
            </c:numRef>
          </c:yVal>
          <c:smooth val="0"/>
          <c:extLst>
            <c:ext xmlns:c16="http://schemas.microsoft.com/office/drawing/2014/chart" uri="{C3380CC4-5D6E-409C-BE32-E72D297353CC}">
              <c16:uniqueId val="{00000029-6A35-4862-910C-18D0BEAF4F17}"/>
            </c:ext>
          </c:extLst>
        </c:ser>
        <c:ser>
          <c:idx val="30"/>
          <c:order val="10"/>
          <c:tx>
            <c:strRef>
              <c:f>'INDEX n LBS Chart Build'!$K$26</c:f>
              <c:strCache>
                <c:ptCount val="1"/>
                <c:pt idx="0">
                  <c:v>CLIM_EF</c:v>
                </c:pt>
              </c:strCache>
            </c:strRef>
          </c:tx>
          <c:spPr>
            <a:ln w="19050" cap="rnd">
              <a:solidFill>
                <a:sysClr val="windowText" lastClr="000000">
                  <a:alpha val="50000"/>
                </a:sysClr>
              </a:solidFill>
              <a:prstDash val="sysDash"/>
              <a:round/>
            </a:ln>
            <a:effectLst/>
          </c:spPr>
          <c:marker>
            <c:symbol val="none"/>
          </c:marker>
          <c:xVal>
            <c:numRef>
              <c:f>'INDEX n LBS Chart Build'!$N$27:$N$28</c:f>
              <c:numCache>
                <c:formatCode>#,##0.0</c:formatCode>
                <c:ptCount val="2"/>
                <c:pt idx="0">
                  <c:v>45.11150625000014</c:v>
                </c:pt>
                <c:pt idx="1">
                  <c:v>131.49440000000004</c:v>
                </c:pt>
              </c:numCache>
            </c:numRef>
          </c:xVal>
          <c:yVal>
            <c:numRef>
              <c:f>'INDEX n LBS Chart Build'!$K$27:$K$28</c:f>
              <c:numCache>
                <c:formatCode>#,##0</c:formatCode>
                <c:ptCount val="2"/>
                <c:pt idx="0">
                  <c:v>411900</c:v>
                </c:pt>
                <c:pt idx="1">
                  <c:v>396800</c:v>
                </c:pt>
              </c:numCache>
            </c:numRef>
          </c:yVal>
          <c:smooth val="0"/>
          <c:extLst>
            <c:ext xmlns:c16="http://schemas.microsoft.com/office/drawing/2014/chart" uri="{C3380CC4-5D6E-409C-BE32-E72D297353CC}">
              <c16:uniqueId val="{0000002F-6A35-4862-910C-18D0BEAF4F17}"/>
            </c:ext>
          </c:extLst>
        </c:ser>
        <c:ser>
          <c:idx val="7"/>
          <c:order val="15"/>
          <c:tx>
            <c:strRef>
              <c:f>'INDEX n LBS Chart Build'!$G$17</c:f>
              <c:strCache>
                <c:ptCount val="1"/>
                <c:pt idx="0">
                  <c:v>Non FERRY LIM</c:v>
                </c:pt>
              </c:strCache>
            </c:strRef>
          </c:tx>
          <c:spPr>
            <a:ln w="19050" cap="rnd">
              <a:solidFill>
                <a:sysClr val="windowText" lastClr="000000">
                  <a:lumMod val="50000"/>
                  <a:lumOff val="50000"/>
                </a:sysClr>
              </a:solidFill>
              <a:prstDash val="solid"/>
              <a:round/>
            </a:ln>
            <a:effectLst/>
          </c:spPr>
          <c:marker>
            <c:symbol val="none"/>
          </c:marker>
          <c:dPt>
            <c:idx val="4"/>
            <c:marker>
              <c:symbol val="none"/>
            </c:marker>
            <c:bubble3D val="0"/>
            <c:extLst>
              <c:ext xmlns:c16="http://schemas.microsoft.com/office/drawing/2014/chart" uri="{C3380CC4-5D6E-409C-BE32-E72D297353CC}">
                <c16:uniqueId val="{00000031-6A35-4862-910C-18D0BEAF4F17}"/>
              </c:ext>
            </c:extLst>
          </c:dPt>
          <c:xVal>
            <c:numRef>
              <c:f>'INDEX n LBS Chart Build'!$H$19:$H$43</c:f>
              <c:numCache>
                <c:formatCode>General</c:formatCode>
                <c:ptCount val="25"/>
                <c:pt idx="0">
                  <c:v>47.5</c:v>
                </c:pt>
                <c:pt idx="1">
                  <c:v>45</c:v>
                </c:pt>
                <c:pt idx="2">
                  <c:v>21</c:v>
                </c:pt>
                <c:pt idx="3">
                  <c:v>19</c:v>
                </c:pt>
                <c:pt idx="4">
                  <c:v>13</c:v>
                </c:pt>
                <c:pt idx="5">
                  <c:v>17</c:v>
                </c:pt>
                <c:pt idx="6">
                  <c:v>30</c:v>
                </c:pt>
                <c:pt idx="7" formatCode="#,##0.0">
                  <c:v>40</c:v>
                </c:pt>
                <c:pt idx="8" formatCode="#,##0.0">
                  <c:v>50</c:v>
                </c:pt>
                <c:pt idx="9" formatCode="#,##0.0">
                  <c:v>56.5</c:v>
                </c:pt>
                <c:pt idx="10">
                  <c:v>77.400000000000006</c:v>
                </c:pt>
                <c:pt idx="11" formatCode="#,##0.0">
                  <c:v>118</c:v>
                </c:pt>
                <c:pt idx="12" formatCode="#,##0.0">
                  <c:v>110</c:v>
                </c:pt>
                <c:pt idx="13" formatCode="#,##0.0">
                  <c:v>105</c:v>
                </c:pt>
                <c:pt idx="14" formatCode="#,##0.0">
                  <c:v>103</c:v>
                </c:pt>
                <c:pt idx="15" formatCode="#,##0.0">
                  <c:v>100.5</c:v>
                </c:pt>
                <c:pt idx="16" formatCode="#,##0.0">
                  <c:v>95</c:v>
                </c:pt>
                <c:pt idx="17">
                  <c:v>90</c:v>
                </c:pt>
                <c:pt idx="18">
                  <c:v>85</c:v>
                </c:pt>
              </c:numCache>
            </c:numRef>
          </c:xVal>
          <c:yVal>
            <c:numRef>
              <c:f>'INDEX n LBS Chart Build'!$G$19:$G$37</c:f>
              <c:numCache>
                <c:formatCode>#,##0</c:formatCode>
                <c:ptCount val="19"/>
                <c:pt idx="0">
                  <c:v>169000</c:v>
                </c:pt>
                <c:pt idx="1">
                  <c:v>180000</c:v>
                </c:pt>
                <c:pt idx="2">
                  <c:v>294000</c:v>
                </c:pt>
                <c:pt idx="3">
                  <c:v>294000</c:v>
                </c:pt>
                <c:pt idx="4">
                  <c:v>320000</c:v>
                </c:pt>
                <c:pt idx="5">
                  <c:v>389000</c:v>
                </c:pt>
                <c:pt idx="6">
                  <c:v>396800</c:v>
                </c:pt>
                <c:pt idx="7">
                  <c:v>403000</c:v>
                </c:pt>
                <c:pt idx="8">
                  <c:v>409169.755</c:v>
                </c:pt>
                <c:pt idx="9">
                  <c:v>412000</c:v>
                </c:pt>
                <c:pt idx="10">
                  <c:v>412000</c:v>
                </c:pt>
                <c:pt idx="11">
                  <c:v>400000</c:v>
                </c:pt>
                <c:pt idx="12">
                  <c:v>340000</c:v>
                </c:pt>
                <c:pt idx="13">
                  <c:v>309000</c:v>
                </c:pt>
                <c:pt idx="14">
                  <c:v>309000</c:v>
                </c:pt>
                <c:pt idx="15">
                  <c:v>290000</c:v>
                </c:pt>
                <c:pt idx="16">
                  <c:v>250000</c:v>
                </c:pt>
                <c:pt idx="17">
                  <c:v>210000</c:v>
                </c:pt>
                <c:pt idx="18">
                  <c:v>169000</c:v>
                </c:pt>
              </c:numCache>
            </c:numRef>
          </c:yVal>
          <c:smooth val="0"/>
          <c:extLst>
            <c:ext xmlns:c16="http://schemas.microsoft.com/office/drawing/2014/chart" uri="{C3380CC4-5D6E-409C-BE32-E72D297353CC}">
              <c16:uniqueId val="{00000032-6A35-4862-910C-18D0BEAF4F17}"/>
            </c:ext>
          </c:extLst>
        </c:ser>
        <c:ser>
          <c:idx val="8"/>
          <c:order val="16"/>
          <c:tx>
            <c:v>5%</c:v>
          </c:tx>
          <c:spPr>
            <a:ln w="19050" cap="rnd">
              <a:solidFill>
                <a:sysClr val="window" lastClr="FFFFFF">
                  <a:lumMod val="65000"/>
                </a:sysClr>
              </a:solidFill>
              <a:prstDash val="dashDot"/>
              <a:round/>
            </a:ln>
            <a:effectLst/>
          </c:spPr>
          <c:marker>
            <c:symbol val="none"/>
          </c:marker>
          <c:xVal>
            <c:numLit>
              <c:formatCode>General</c:formatCode>
              <c:ptCount val="2"/>
              <c:pt idx="0">
                <c:v>33</c:v>
              </c:pt>
              <c:pt idx="1">
                <c:v>0</c:v>
              </c:pt>
            </c:numLit>
          </c:xVal>
          <c:yVal>
            <c:numLit>
              <c:formatCode>General</c:formatCode>
              <c:ptCount val="2"/>
              <c:pt idx="0">
                <c:v>169000</c:v>
              </c:pt>
              <c:pt idx="1">
                <c:v>314000</c:v>
              </c:pt>
            </c:numLit>
          </c:yVal>
          <c:smooth val="0"/>
          <c:extLst>
            <c:ext xmlns:c16="http://schemas.microsoft.com/office/drawing/2014/chart" uri="{C3380CC4-5D6E-409C-BE32-E72D297353CC}">
              <c16:uniqueId val="{00000033-6A35-4862-910C-18D0BEAF4F17}"/>
            </c:ext>
          </c:extLst>
        </c:ser>
        <c:ser>
          <c:idx val="9"/>
          <c:order val="17"/>
          <c:tx>
            <c:v>7%</c:v>
          </c:tx>
          <c:spPr>
            <a:ln w="19050" cap="rnd">
              <a:solidFill>
                <a:sysClr val="window" lastClr="FFFFFF">
                  <a:lumMod val="65000"/>
                </a:sysClr>
              </a:solidFill>
              <a:prstDash val="dashDot"/>
              <a:round/>
            </a:ln>
            <a:effectLst/>
          </c:spPr>
          <c:marker>
            <c:symbol val="none"/>
          </c:marker>
          <c:xVal>
            <c:numLit>
              <c:formatCode>General</c:formatCode>
              <c:ptCount val="2"/>
              <c:pt idx="0">
                <c:v>39</c:v>
              </c:pt>
              <c:pt idx="1">
                <c:v>0</c:v>
              </c:pt>
            </c:numLit>
          </c:xVal>
          <c:yVal>
            <c:numLit>
              <c:formatCode>General</c:formatCode>
              <c:ptCount val="2"/>
              <c:pt idx="0">
                <c:v>169000</c:v>
              </c:pt>
              <c:pt idx="1">
                <c:v>350000</c:v>
              </c:pt>
            </c:numLit>
          </c:yVal>
          <c:smooth val="0"/>
          <c:extLst>
            <c:ext xmlns:c16="http://schemas.microsoft.com/office/drawing/2014/chart" uri="{C3380CC4-5D6E-409C-BE32-E72D297353CC}">
              <c16:uniqueId val="{00000034-6A35-4862-910C-18D0BEAF4F17}"/>
            </c:ext>
          </c:extLst>
        </c:ser>
        <c:ser>
          <c:idx val="6"/>
          <c:order val="18"/>
          <c:tx>
            <c:v>9%</c:v>
          </c:tx>
          <c:spPr>
            <a:ln w="19050" cap="rnd">
              <a:solidFill>
                <a:sysClr val="window" lastClr="FFFFFF">
                  <a:lumMod val="65000"/>
                </a:sysClr>
              </a:solidFill>
              <a:prstDash val="dashDot"/>
              <a:round/>
            </a:ln>
            <a:effectLst/>
          </c:spPr>
          <c:marker>
            <c:symbol val="none"/>
          </c:marker>
          <c:xVal>
            <c:numLit>
              <c:formatCode>General</c:formatCode>
              <c:ptCount val="2"/>
              <c:pt idx="0">
                <c:v>43</c:v>
              </c:pt>
              <c:pt idx="1">
                <c:v>0</c:v>
              </c:pt>
            </c:numLit>
          </c:xVal>
          <c:yVal>
            <c:numLit>
              <c:formatCode>General</c:formatCode>
              <c:ptCount val="2"/>
              <c:pt idx="0">
                <c:v>169000</c:v>
              </c:pt>
              <c:pt idx="1">
                <c:v>394000</c:v>
              </c:pt>
            </c:numLit>
          </c:yVal>
          <c:smooth val="0"/>
          <c:extLst>
            <c:ext xmlns:c16="http://schemas.microsoft.com/office/drawing/2014/chart" uri="{C3380CC4-5D6E-409C-BE32-E72D297353CC}">
              <c16:uniqueId val="{00000035-6A35-4862-910C-18D0BEAF4F17}"/>
            </c:ext>
          </c:extLst>
        </c:ser>
        <c:ser>
          <c:idx val="10"/>
          <c:order val="19"/>
          <c:tx>
            <c:v>11%</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6-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47.5</c:v>
              </c:pt>
              <c:pt idx="1">
                <c:v>6</c:v>
              </c:pt>
            </c:numLit>
          </c:xVal>
          <c:yVal>
            <c:numLit>
              <c:formatCode>General</c:formatCode>
              <c:ptCount val="2"/>
              <c:pt idx="0">
                <c:v>169000</c:v>
              </c:pt>
              <c:pt idx="1">
                <c:v>420000</c:v>
              </c:pt>
            </c:numLit>
          </c:yVal>
          <c:smooth val="0"/>
          <c:extLst>
            <c:ext xmlns:c16="http://schemas.microsoft.com/office/drawing/2014/chart" uri="{C3380CC4-5D6E-409C-BE32-E72D297353CC}">
              <c16:uniqueId val="{00000037-6A35-4862-910C-18D0BEAF4F17}"/>
            </c:ext>
          </c:extLst>
        </c:ser>
        <c:ser>
          <c:idx val="11"/>
          <c:order val="20"/>
          <c:tx>
            <c:v>13%</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8-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51</c:v>
              </c:pt>
              <c:pt idx="1">
                <c:v>15</c:v>
              </c:pt>
            </c:numLit>
          </c:xVal>
          <c:yVal>
            <c:numLit>
              <c:formatCode>General</c:formatCode>
              <c:ptCount val="2"/>
              <c:pt idx="0">
                <c:v>169000</c:v>
              </c:pt>
              <c:pt idx="1">
                <c:v>420000</c:v>
              </c:pt>
            </c:numLit>
          </c:yVal>
          <c:smooth val="0"/>
          <c:extLst>
            <c:ext xmlns:c16="http://schemas.microsoft.com/office/drawing/2014/chart" uri="{C3380CC4-5D6E-409C-BE32-E72D297353CC}">
              <c16:uniqueId val="{00000039-6A35-4862-910C-18D0BEAF4F17}"/>
            </c:ext>
          </c:extLst>
        </c:ser>
        <c:ser>
          <c:idx val="12"/>
          <c:order val="21"/>
          <c:tx>
            <c:v>15%</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A-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55</c:v>
              </c:pt>
              <c:pt idx="1">
                <c:v>25</c:v>
              </c:pt>
            </c:numLit>
          </c:xVal>
          <c:yVal>
            <c:numLit>
              <c:formatCode>General</c:formatCode>
              <c:ptCount val="2"/>
              <c:pt idx="0">
                <c:v>169000</c:v>
              </c:pt>
              <c:pt idx="1">
                <c:v>420000</c:v>
              </c:pt>
            </c:numLit>
          </c:yVal>
          <c:smooth val="0"/>
          <c:extLst>
            <c:ext xmlns:c16="http://schemas.microsoft.com/office/drawing/2014/chart" uri="{C3380CC4-5D6E-409C-BE32-E72D297353CC}">
              <c16:uniqueId val="{0000003B-6A35-4862-910C-18D0BEAF4F17}"/>
            </c:ext>
          </c:extLst>
        </c:ser>
        <c:ser>
          <c:idx val="13"/>
          <c:order val="22"/>
          <c:tx>
            <c:v>17%</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C-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59</c:v>
              </c:pt>
              <c:pt idx="1">
                <c:v>35</c:v>
              </c:pt>
            </c:numLit>
          </c:xVal>
          <c:yVal>
            <c:numLit>
              <c:formatCode>General</c:formatCode>
              <c:ptCount val="2"/>
              <c:pt idx="0">
                <c:v>169000</c:v>
              </c:pt>
              <c:pt idx="1">
                <c:v>420000</c:v>
              </c:pt>
            </c:numLit>
          </c:yVal>
          <c:smooth val="0"/>
          <c:extLst>
            <c:ext xmlns:c16="http://schemas.microsoft.com/office/drawing/2014/chart" uri="{C3380CC4-5D6E-409C-BE32-E72D297353CC}">
              <c16:uniqueId val="{0000003D-6A35-4862-910C-18D0BEAF4F17}"/>
            </c:ext>
          </c:extLst>
        </c:ser>
        <c:ser>
          <c:idx val="14"/>
          <c:order val="23"/>
          <c:tx>
            <c:v>19%</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E-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63</c:v>
              </c:pt>
              <c:pt idx="1">
                <c:v>45</c:v>
              </c:pt>
            </c:numLit>
          </c:xVal>
          <c:yVal>
            <c:numLit>
              <c:formatCode>General</c:formatCode>
              <c:ptCount val="2"/>
              <c:pt idx="0">
                <c:v>169000</c:v>
              </c:pt>
              <c:pt idx="1">
                <c:v>420000</c:v>
              </c:pt>
            </c:numLit>
          </c:yVal>
          <c:smooth val="0"/>
          <c:extLst>
            <c:ext xmlns:c16="http://schemas.microsoft.com/office/drawing/2014/chart" uri="{C3380CC4-5D6E-409C-BE32-E72D297353CC}">
              <c16:uniqueId val="{0000003F-6A35-4862-910C-18D0BEAF4F17}"/>
            </c:ext>
          </c:extLst>
        </c:ser>
        <c:ser>
          <c:idx val="15"/>
          <c:order val="24"/>
          <c:tx>
            <c:v>21%</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0-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67</c:v>
              </c:pt>
              <c:pt idx="1">
                <c:v>55</c:v>
              </c:pt>
            </c:numLit>
          </c:xVal>
          <c:yVal>
            <c:numLit>
              <c:formatCode>General</c:formatCode>
              <c:ptCount val="2"/>
              <c:pt idx="0">
                <c:v>169000</c:v>
              </c:pt>
              <c:pt idx="1">
                <c:v>420000</c:v>
              </c:pt>
            </c:numLit>
          </c:yVal>
          <c:smooth val="0"/>
          <c:extLst>
            <c:ext xmlns:c16="http://schemas.microsoft.com/office/drawing/2014/chart" uri="{C3380CC4-5D6E-409C-BE32-E72D297353CC}">
              <c16:uniqueId val="{00000041-6A35-4862-910C-18D0BEAF4F17}"/>
            </c:ext>
          </c:extLst>
        </c:ser>
        <c:ser>
          <c:idx val="16"/>
          <c:order val="25"/>
          <c:tx>
            <c:v>23%</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2-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71</c:v>
              </c:pt>
              <c:pt idx="1">
                <c:v>65</c:v>
              </c:pt>
            </c:numLit>
          </c:xVal>
          <c:yVal>
            <c:numLit>
              <c:formatCode>General</c:formatCode>
              <c:ptCount val="2"/>
              <c:pt idx="0">
                <c:v>169000</c:v>
              </c:pt>
              <c:pt idx="1">
                <c:v>420000</c:v>
              </c:pt>
            </c:numLit>
          </c:yVal>
          <c:smooth val="0"/>
          <c:extLst>
            <c:ext xmlns:c16="http://schemas.microsoft.com/office/drawing/2014/chart" uri="{C3380CC4-5D6E-409C-BE32-E72D297353CC}">
              <c16:uniqueId val="{00000043-6A35-4862-910C-18D0BEAF4F17}"/>
            </c:ext>
          </c:extLst>
        </c:ser>
        <c:ser>
          <c:idx val="17"/>
          <c:order val="26"/>
          <c:tx>
            <c:v>25%</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4-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75</c:v>
              </c:pt>
              <c:pt idx="1">
                <c:v>75</c:v>
              </c:pt>
            </c:numLit>
          </c:xVal>
          <c:yVal>
            <c:numLit>
              <c:formatCode>General</c:formatCode>
              <c:ptCount val="2"/>
              <c:pt idx="0">
                <c:v>169000</c:v>
              </c:pt>
              <c:pt idx="1">
                <c:v>420000</c:v>
              </c:pt>
            </c:numLit>
          </c:yVal>
          <c:smooth val="0"/>
          <c:extLst>
            <c:ext xmlns:c16="http://schemas.microsoft.com/office/drawing/2014/chart" uri="{C3380CC4-5D6E-409C-BE32-E72D297353CC}">
              <c16:uniqueId val="{00000045-6A35-4862-910C-18D0BEAF4F17}"/>
            </c:ext>
          </c:extLst>
        </c:ser>
        <c:ser>
          <c:idx val="18"/>
          <c:order val="27"/>
          <c:tx>
            <c:v>27%</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6-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79</c:v>
              </c:pt>
              <c:pt idx="1">
                <c:v>85</c:v>
              </c:pt>
            </c:numLit>
          </c:xVal>
          <c:yVal>
            <c:numLit>
              <c:formatCode>General</c:formatCode>
              <c:ptCount val="2"/>
              <c:pt idx="0">
                <c:v>169000</c:v>
              </c:pt>
              <c:pt idx="1">
                <c:v>420000</c:v>
              </c:pt>
            </c:numLit>
          </c:yVal>
          <c:smooth val="0"/>
          <c:extLst>
            <c:ext xmlns:c16="http://schemas.microsoft.com/office/drawing/2014/chart" uri="{C3380CC4-5D6E-409C-BE32-E72D297353CC}">
              <c16:uniqueId val="{00000047-6A35-4862-910C-18D0BEAF4F17}"/>
            </c:ext>
          </c:extLst>
        </c:ser>
        <c:ser>
          <c:idx val="19"/>
          <c:order val="28"/>
          <c:tx>
            <c:v>29%</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8-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82.5</c:v>
              </c:pt>
              <c:pt idx="1">
                <c:v>95</c:v>
              </c:pt>
            </c:numLit>
          </c:xVal>
          <c:yVal>
            <c:numLit>
              <c:formatCode>General</c:formatCode>
              <c:ptCount val="2"/>
              <c:pt idx="0">
                <c:v>169000</c:v>
              </c:pt>
              <c:pt idx="1">
                <c:v>420000</c:v>
              </c:pt>
            </c:numLit>
          </c:yVal>
          <c:smooth val="0"/>
          <c:extLst>
            <c:ext xmlns:c16="http://schemas.microsoft.com/office/drawing/2014/chart" uri="{C3380CC4-5D6E-409C-BE32-E72D297353CC}">
              <c16:uniqueId val="{00000049-6A35-4862-910C-18D0BEAF4F17}"/>
            </c:ext>
          </c:extLst>
        </c:ser>
        <c:ser>
          <c:idx val="20"/>
          <c:order val="29"/>
          <c:tx>
            <c:v>31%</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A-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87</c:v>
              </c:pt>
              <c:pt idx="1">
                <c:v>105</c:v>
              </c:pt>
            </c:numLit>
          </c:xVal>
          <c:yVal>
            <c:numLit>
              <c:formatCode>General</c:formatCode>
              <c:ptCount val="2"/>
              <c:pt idx="0">
                <c:v>169000</c:v>
              </c:pt>
              <c:pt idx="1">
                <c:v>420000</c:v>
              </c:pt>
            </c:numLit>
          </c:yVal>
          <c:smooth val="0"/>
          <c:extLst>
            <c:ext xmlns:c16="http://schemas.microsoft.com/office/drawing/2014/chart" uri="{C3380CC4-5D6E-409C-BE32-E72D297353CC}">
              <c16:uniqueId val="{0000004B-6A35-4862-910C-18D0BEAF4F17}"/>
            </c:ext>
          </c:extLst>
        </c:ser>
        <c:ser>
          <c:idx val="21"/>
          <c:order val="30"/>
          <c:tx>
            <c:v>33%</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C-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91</c:v>
              </c:pt>
              <c:pt idx="1">
                <c:v>115</c:v>
              </c:pt>
            </c:numLit>
          </c:xVal>
          <c:yVal>
            <c:numLit>
              <c:formatCode>General</c:formatCode>
              <c:ptCount val="2"/>
              <c:pt idx="0">
                <c:v>169000</c:v>
              </c:pt>
              <c:pt idx="1">
                <c:v>420000</c:v>
              </c:pt>
            </c:numLit>
          </c:yVal>
          <c:smooth val="0"/>
          <c:extLst>
            <c:ext xmlns:c16="http://schemas.microsoft.com/office/drawing/2014/chart" uri="{C3380CC4-5D6E-409C-BE32-E72D297353CC}">
              <c16:uniqueId val="{0000004D-6A35-4862-910C-18D0BEAF4F17}"/>
            </c:ext>
          </c:extLst>
        </c:ser>
        <c:ser>
          <c:idx val="22"/>
          <c:order val="31"/>
          <c:tx>
            <c:v>35%</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4E-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95.5</c:v>
              </c:pt>
              <c:pt idx="1">
                <c:v>125</c:v>
              </c:pt>
            </c:numLit>
          </c:xVal>
          <c:yVal>
            <c:numLit>
              <c:formatCode>General</c:formatCode>
              <c:ptCount val="2"/>
              <c:pt idx="0">
                <c:v>169000</c:v>
              </c:pt>
              <c:pt idx="1">
                <c:v>420000</c:v>
              </c:pt>
            </c:numLit>
          </c:yVal>
          <c:smooth val="0"/>
          <c:extLst>
            <c:ext xmlns:c16="http://schemas.microsoft.com/office/drawing/2014/chart" uri="{C3380CC4-5D6E-409C-BE32-E72D297353CC}">
              <c16:uniqueId val="{0000004F-6A35-4862-910C-18D0BEAF4F17}"/>
            </c:ext>
          </c:extLst>
        </c:ser>
        <c:ser>
          <c:idx val="24"/>
          <c:order val="32"/>
          <c:tx>
            <c:v>37%</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0-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99</c:v>
              </c:pt>
              <c:pt idx="1">
                <c:v>135</c:v>
              </c:pt>
            </c:numLit>
          </c:xVal>
          <c:yVal>
            <c:numLit>
              <c:formatCode>General</c:formatCode>
              <c:ptCount val="2"/>
              <c:pt idx="0">
                <c:v>169000</c:v>
              </c:pt>
              <c:pt idx="1">
                <c:v>420000</c:v>
              </c:pt>
            </c:numLit>
          </c:yVal>
          <c:smooth val="0"/>
          <c:extLst>
            <c:ext xmlns:c16="http://schemas.microsoft.com/office/drawing/2014/chart" uri="{C3380CC4-5D6E-409C-BE32-E72D297353CC}">
              <c16:uniqueId val="{00000051-6A35-4862-910C-18D0BEAF4F17}"/>
            </c:ext>
          </c:extLst>
        </c:ser>
        <c:ser>
          <c:idx val="33"/>
          <c:order val="33"/>
          <c:tx>
            <c:v>39%</c:v>
          </c:tx>
          <c:spPr>
            <a:ln w="19050" cap="rnd">
              <a:solidFill>
                <a:sysClr val="window" lastClr="FFFFFF">
                  <a:lumMod val="65000"/>
                </a:sysClr>
              </a:solidFill>
              <a:prstDash val="dashDot"/>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52-6A35-4862-910C-18D0BEAF4F17}"/>
                </c:ext>
              </c:extLst>
            </c:dLbl>
            <c:dLbl>
              <c:idx val="1"/>
              <c:delete val="1"/>
              <c:extLst>
                <c:ext xmlns:c15="http://schemas.microsoft.com/office/drawing/2012/chart" uri="{CE6537A1-D6FC-4f65-9D91-7224C49458BB}"/>
                <c:ext xmlns:c16="http://schemas.microsoft.com/office/drawing/2014/chart" uri="{C3380CC4-5D6E-409C-BE32-E72D297353CC}">
                  <c16:uniqueId val="{00000053-6A35-4862-910C-18D0BEAF4F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103</c:v>
              </c:pt>
              <c:pt idx="1">
                <c:v>140</c:v>
              </c:pt>
            </c:numLit>
          </c:xVal>
          <c:yVal>
            <c:numLit>
              <c:formatCode>General</c:formatCode>
              <c:ptCount val="2"/>
              <c:pt idx="0">
                <c:v>169000</c:v>
              </c:pt>
              <c:pt idx="1">
                <c:v>390000</c:v>
              </c:pt>
            </c:numLit>
          </c:yVal>
          <c:smooth val="0"/>
          <c:extLst>
            <c:ext xmlns:c16="http://schemas.microsoft.com/office/drawing/2014/chart" uri="{C3380CC4-5D6E-409C-BE32-E72D297353CC}">
              <c16:uniqueId val="{00000054-6A35-4862-910C-18D0BEAF4F17}"/>
            </c:ext>
          </c:extLst>
        </c:ser>
        <c:dLbls>
          <c:showLegendKey val="0"/>
          <c:showVal val="0"/>
          <c:showCatName val="0"/>
          <c:showSerName val="0"/>
          <c:showPercent val="0"/>
          <c:showBubbleSize val="0"/>
        </c:dLbls>
        <c:axId val="473870672"/>
        <c:axId val="473869840"/>
        <c:extLst>
          <c:ext xmlns:c15="http://schemas.microsoft.com/office/drawing/2012/chart" uri="{02D57815-91ED-43cb-92C2-25804820EDAC}">
            <c15:filteredScatterSeries>
              <c15:ser>
                <c:idx val="25"/>
                <c:order val="5"/>
                <c:tx>
                  <c:strRef>
                    <c:extLst>
                      <c:ext uri="{02D57815-91ED-43cb-92C2-25804820EDAC}">
                        <c15:formulaRef>
                          <c15:sqref>'INDEX n LBS Chart Build'!$K$4</c15:sqref>
                        </c15:formulaRef>
                      </c:ext>
                    </c:extLst>
                    <c:strCache>
                      <c:ptCount val="1"/>
                      <c:pt idx="0">
                        <c:v>LD_AB</c:v>
                      </c:pt>
                    </c:strCache>
                  </c:strRef>
                </c:tx>
                <c:spPr>
                  <a:ln w="25400" cap="rnd">
                    <a:noFill/>
                    <a:round/>
                  </a:ln>
                  <a:effectLst/>
                </c:spPr>
                <c:marker>
                  <c:symbol val="none"/>
                </c:marker>
                <c:xVal>
                  <c:numRef>
                    <c:extLst>
                      <c:ext uri="{02D57815-91ED-43cb-92C2-25804820EDAC}">
                        <c15:formulaRef>
                          <c15:sqref>'INDEX n LBS Chart Build'!$N$5:$N$6</c15:sqref>
                        </c15:formulaRef>
                      </c:ext>
                    </c:extLst>
                    <c:numCache>
                      <c:formatCode>#,##0.0</c:formatCode>
                      <c:ptCount val="2"/>
                      <c:pt idx="0">
                        <c:v>6.2628116084063947</c:v>
                      </c:pt>
                      <c:pt idx="1">
                        <c:v>47.224048172249972</c:v>
                      </c:pt>
                    </c:numCache>
                  </c:numRef>
                </c:xVal>
                <c:yVal>
                  <c:numRef>
                    <c:extLst>
                      <c:ext uri="{02D57815-91ED-43cb-92C2-25804820EDAC}">
                        <c15:formulaRef>
                          <c15:sqref>'INDEX n LBS Chart Build'!$K$5:$K$6</c15:sqref>
                        </c15:formulaRef>
                      </c:ext>
                    </c:extLst>
                    <c:numCache>
                      <c:formatCode>#,##0</c:formatCode>
                      <c:ptCount val="2"/>
                      <c:pt idx="0">
                        <c:v>385365.64500000002</c:v>
                      </c:pt>
                      <c:pt idx="1">
                        <c:v>408169.755</c:v>
                      </c:pt>
                    </c:numCache>
                  </c:numRef>
                </c:yVal>
                <c:smooth val="0"/>
                <c:extLst>
                  <c:ext xmlns:c16="http://schemas.microsoft.com/office/drawing/2014/chart" uri="{C3380CC4-5D6E-409C-BE32-E72D297353CC}">
                    <c16:uniqueId val="{0000002A-6A35-4862-910C-18D0BEAF4F17}"/>
                  </c:ext>
                </c:extLst>
              </c15:ser>
            </c15:filteredScatterSeries>
            <c15:filteredScatterSeries>
              <c15:ser>
                <c:idx val="26"/>
                <c:order val="6"/>
                <c:tx>
                  <c:strRef>
                    <c:extLst xmlns:c15="http://schemas.microsoft.com/office/drawing/2012/chart">
                      <c:ext xmlns:c15="http://schemas.microsoft.com/office/drawing/2012/chart" uri="{02D57815-91ED-43cb-92C2-25804820EDAC}">
                        <c15:formulaRef>
                          <c15:sqref>'INDEX n LBS Chart Build'!$K$8</c15:sqref>
                        </c15:formulaRef>
                      </c:ext>
                    </c:extLst>
                    <c:strCache>
                      <c:ptCount val="1"/>
                      <c:pt idx="0">
                        <c:v>LD_CD</c:v>
                      </c:pt>
                    </c:strCache>
                  </c:strRef>
                </c:tx>
                <c:spPr>
                  <a:ln w="19050" cap="rnd">
                    <a:solidFill>
                      <a:sysClr val="windowText" lastClr="000000">
                        <a:lumMod val="95000"/>
                        <a:lumOff val="5000"/>
                        <a:alpha val="50000"/>
                      </a:sysClr>
                    </a:solidFill>
                    <a:round/>
                  </a:ln>
                  <a:effectLst/>
                </c:spPr>
                <c:marker>
                  <c:symbol val="none"/>
                </c:marker>
                <c:xVal>
                  <c:numRef>
                    <c:extLst xmlns:c15="http://schemas.microsoft.com/office/drawing/2012/chart">
                      <c:ext xmlns:c15="http://schemas.microsoft.com/office/drawing/2012/chart" uri="{02D57815-91ED-43cb-92C2-25804820EDAC}">
                        <c15:formulaRef>
                          <c15:sqref>'INDEX n LBS Chart Build'!$N$9:$N$10</c15:sqref>
                        </c15:formulaRef>
                      </c:ext>
                    </c:extLst>
                    <c:numCache>
                      <c:formatCode>#,##0.0</c:formatCode>
                      <c:ptCount val="2"/>
                      <c:pt idx="0">
                        <c:v>6.5384564671876149</c:v>
                      </c:pt>
                      <c:pt idx="1">
                        <c:v>33.754031551875059</c:v>
                      </c:pt>
                    </c:numCache>
                  </c:numRef>
                </c:xVal>
                <c:yVal>
                  <c:numRef>
                    <c:extLst xmlns:c15="http://schemas.microsoft.com/office/drawing/2012/chart">
                      <c:ext xmlns:c15="http://schemas.microsoft.com/office/drawing/2012/chart" uri="{02D57815-91ED-43cb-92C2-25804820EDAC}">
                        <c15:formulaRef>
                          <c15:sqref>'INDEX n LBS Chart Build'!$K$9:$K$10</c15:sqref>
                        </c15:formulaRef>
                      </c:ext>
                    </c:extLst>
                    <c:numCache>
                      <c:formatCode>#,##0</c:formatCode>
                      <c:ptCount val="2"/>
                      <c:pt idx="0">
                        <c:v>389788.875</c:v>
                      </c:pt>
                      <c:pt idx="1">
                        <c:v>404793.9</c:v>
                      </c:pt>
                    </c:numCache>
                  </c:numRef>
                </c:yVal>
                <c:smooth val="0"/>
                <c:extLst xmlns:c15="http://schemas.microsoft.com/office/drawing/2012/chart">
                  <c:ext xmlns:c16="http://schemas.microsoft.com/office/drawing/2014/chart" uri="{C3380CC4-5D6E-409C-BE32-E72D297353CC}">
                    <c16:uniqueId val="{0000002B-6A35-4862-910C-18D0BEAF4F17}"/>
                  </c:ext>
                </c:extLst>
              </c15:ser>
            </c15:filteredScatterSeries>
            <c15:filteredScatterSeries>
              <c15:ser>
                <c:idx val="27"/>
                <c:order val="7"/>
                <c:tx>
                  <c:strRef>
                    <c:extLst xmlns:c15="http://schemas.microsoft.com/office/drawing/2012/chart">
                      <c:ext xmlns:c15="http://schemas.microsoft.com/office/drawing/2012/chart" uri="{02D57815-91ED-43cb-92C2-25804820EDAC}">
                        <c15:formulaRef>
                          <c15:sqref>'INDEX n LBS Chart Build'!$K$12</c15:sqref>
                        </c15:formulaRef>
                      </c:ext>
                    </c:extLst>
                    <c:strCache>
                      <c:ptCount val="1"/>
                      <c:pt idx="0">
                        <c:v>LD_EF</c:v>
                      </c:pt>
                    </c:strCache>
                  </c:strRef>
                </c:tx>
                <c:spPr>
                  <a:ln w="19050" cap="rnd">
                    <a:solidFill>
                      <a:sysClr val="windowText" lastClr="000000">
                        <a:lumMod val="95000"/>
                        <a:lumOff val="5000"/>
                        <a:alpha val="50000"/>
                      </a:sysClr>
                    </a:solidFill>
                    <a:round/>
                  </a:ln>
                  <a:effectLst/>
                </c:spPr>
                <c:marker>
                  <c:symbol val="none"/>
                </c:marker>
                <c:xVal>
                  <c:numRef>
                    <c:extLst xmlns:c15="http://schemas.microsoft.com/office/drawing/2012/chart">
                      <c:ext xmlns:c15="http://schemas.microsoft.com/office/drawing/2012/chart" uri="{02D57815-91ED-43cb-92C2-25804820EDAC}">
                        <c15:formulaRef>
                          <c15:sqref>'INDEX n LBS Chart Build'!$N$13:$N$14</c15:sqref>
                        </c15:formulaRef>
                      </c:ext>
                    </c:extLst>
                    <c:numCache>
                      <c:formatCode>#,##0.0</c:formatCode>
                      <c:ptCount val="2"/>
                      <c:pt idx="0">
                        <c:v>6.7469933775000186</c:v>
                      </c:pt>
                      <c:pt idx="1">
                        <c:v>21.885155064750109</c:v>
                      </c:pt>
                    </c:numCache>
                  </c:numRef>
                </c:xVal>
                <c:yVal>
                  <c:numRef>
                    <c:extLst xmlns:c15="http://schemas.microsoft.com/office/drawing/2012/chart">
                      <c:ext xmlns:c15="http://schemas.microsoft.com/office/drawing/2012/chart" uri="{02D57815-91ED-43cb-92C2-25804820EDAC}">
                        <c15:formulaRef>
                          <c15:sqref>'INDEX n LBS Chart Build'!$K$13:$K$14</c15:sqref>
                        </c15:formulaRef>
                      </c:ext>
                    </c:extLst>
                    <c:numCache>
                      <c:formatCode>#,##0</c:formatCode>
                      <c:ptCount val="2"/>
                      <c:pt idx="0">
                        <c:v>395554.95</c:v>
                      </c:pt>
                      <c:pt idx="1">
                        <c:v>401852.43</c:v>
                      </c:pt>
                    </c:numCache>
                  </c:numRef>
                </c:yVal>
                <c:smooth val="0"/>
                <c:extLst xmlns:c15="http://schemas.microsoft.com/office/drawing/2012/chart">
                  <c:ext xmlns:c16="http://schemas.microsoft.com/office/drawing/2014/chart" uri="{C3380CC4-5D6E-409C-BE32-E72D297353CC}">
                    <c16:uniqueId val="{0000002C-6A35-4862-910C-18D0BEAF4F17}"/>
                  </c:ext>
                </c:extLst>
              </c15:ser>
            </c15:filteredScatterSeries>
            <c15:filteredScatterSeries>
              <c15:ser>
                <c:idx val="28"/>
                <c:order val="8"/>
                <c:tx>
                  <c:strRef>
                    <c:extLst xmlns:c15="http://schemas.microsoft.com/office/drawing/2012/chart">
                      <c:ext xmlns:c15="http://schemas.microsoft.com/office/drawing/2012/chart" uri="{02D57815-91ED-43cb-92C2-25804820EDAC}">
                        <c15:formulaRef>
                          <c15:sqref>'INDEX n LBS Chart Build'!$K$18</c15:sqref>
                        </c15:formulaRef>
                      </c:ext>
                    </c:extLst>
                    <c:strCache>
                      <c:ptCount val="1"/>
                      <c:pt idx="0">
                        <c:v>CLIM_AB</c:v>
                      </c:pt>
                    </c:strCache>
                  </c:strRef>
                </c:tx>
                <c:spPr>
                  <a:ln w="19050" cap="rnd">
                    <a:solidFill>
                      <a:sysClr val="windowText" lastClr="000000">
                        <a:lumMod val="50000"/>
                        <a:lumOff val="50000"/>
                      </a:sysClr>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'INDEX n LBS Chart Build'!$N$19:$N$20</c15:sqref>
                        </c15:formulaRef>
                      </c:ext>
                    </c:extLst>
                    <c:numCache>
                      <c:formatCode>#,##0.0</c:formatCode>
                      <c:ptCount val="2"/>
                      <c:pt idx="0">
                        <c:v>30.197374062656181</c:v>
                      </c:pt>
                      <c:pt idx="1">
                        <c:v>129.84508599937504</c:v>
                      </c:pt>
                    </c:numCache>
                  </c:numRef>
                </c:xVal>
                <c:yVal>
                  <c:numRef>
                    <c:extLst xmlns:c15="http://schemas.microsoft.com/office/drawing/2012/chart">
                      <c:ext xmlns:c15="http://schemas.microsoft.com/office/drawing/2012/chart" uri="{02D57815-91ED-43cb-92C2-25804820EDAC}">
                        <c15:formulaRef>
                          <c15:sqref>'INDEX n LBS Chart Build'!$K$19:$K$20</c15:sqref>
                        </c15:formulaRef>
                      </c:ext>
                    </c:extLst>
                    <c:numCache>
                      <c:formatCode>#,##0</c:formatCode>
                      <c:ptCount val="2"/>
                      <c:pt idx="0">
                        <c:v>403922.92499999999</c:v>
                      </c:pt>
                      <c:pt idx="1">
                        <c:v>385215.70500000002</c:v>
                      </c:pt>
                    </c:numCache>
                  </c:numRef>
                </c:yVal>
                <c:smooth val="0"/>
                <c:extLst xmlns:c15="http://schemas.microsoft.com/office/drawing/2012/chart">
                  <c:ext xmlns:c16="http://schemas.microsoft.com/office/drawing/2014/chart" uri="{C3380CC4-5D6E-409C-BE32-E72D297353CC}">
                    <c16:uniqueId val="{0000002D-6A35-4862-910C-18D0BEAF4F17}"/>
                  </c:ext>
                </c:extLst>
              </c15:ser>
            </c15:filteredScatterSeries>
            <c15:filteredScatterSeries>
              <c15:ser>
                <c:idx val="29"/>
                <c:order val="9"/>
                <c:tx>
                  <c:strRef>
                    <c:extLst xmlns:c15="http://schemas.microsoft.com/office/drawing/2012/chart">
                      <c:ext xmlns:c15="http://schemas.microsoft.com/office/drawing/2012/chart" uri="{02D57815-91ED-43cb-92C2-25804820EDAC}">
                        <c15:formulaRef>
                          <c15:sqref>'INDEX n LBS Chart Build'!$K$22</c15:sqref>
                        </c15:formulaRef>
                      </c:ext>
                    </c:extLst>
                    <c:strCache>
                      <c:ptCount val="1"/>
                      <c:pt idx="0">
                        <c:v>CLIM_CD</c:v>
                      </c:pt>
                    </c:strCache>
                  </c:strRef>
                </c:tx>
                <c:spPr>
                  <a:ln w="19050" cap="rnd">
                    <a:solidFill>
                      <a:sysClr val="windowText" lastClr="000000">
                        <a:lumMod val="95000"/>
                        <a:lumOff val="5000"/>
                        <a:alpha val="50000"/>
                      </a:sysClr>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'INDEX n LBS Chart Build'!$N$23:$N$24</c15:sqref>
                        </c15:formulaRef>
                      </c:ext>
                    </c:extLst>
                    <c:numCache>
                      <c:formatCode>#,##0.0</c:formatCode>
                      <c:ptCount val="2"/>
                      <c:pt idx="0">
                        <c:v>40.581804735750111</c:v>
                      </c:pt>
                      <c:pt idx="1">
                        <c:v>130.47295974937504</c:v>
                      </c:pt>
                    </c:numCache>
                  </c:numRef>
                </c:xVal>
                <c:yVal>
                  <c:numRef>
                    <c:extLst xmlns:c15="http://schemas.microsoft.com/office/drawing/2012/chart">
                      <c:ext xmlns:c15="http://schemas.microsoft.com/office/drawing/2012/chart" uri="{02D57815-91ED-43cb-92C2-25804820EDAC}">
                        <c15:formulaRef>
                          <c15:sqref>'INDEX n LBS Chart Build'!$K$23:$K$24</c15:sqref>
                        </c15:formulaRef>
                      </c:ext>
                    </c:extLst>
                    <c:numCache>
                      <c:formatCode>#,##0</c:formatCode>
                      <c:ptCount val="2"/>
                      <c:pt idx="0">
                        <c:v>406474.11</c:v>
                      </c:pt>
                      <c:pt idx="1">
                        <c:v>389625.70500000002</c:v>
                      </c:pt>
                    </c:numCache>
                  </c:numRef>
                </c:yVal>
                <c:smooth val="0"/>
                <c:extLst xmlns:c15="http://schemas.microsoft.com/office/drawing/2012/chart">
                  <c:ext xmlns:c16="http://schemas.microsoft.com/office/drawing/2014/chart" uri="{C3380CC4-5D6E-409C-BE32-E72D297353CC}">
                    <c16:uniqueId val="{0000002E-6A35-4862-910C-18D0BEAF4F17}"/>
                  </c:ext>
                </c:extLst>
              </c15:ser>
            </c15:filteredScatterSeries>
            <c15:filteredScatterSeries>
              <c15:ser>
                <c:idx val="31"/>
                <c:order val="11"/>
                <c:tx>
                  <c:strRef>
                    <c:extLst xmlns:c15="http://schemas.microsoft.com/office/drawing/2012/chart">
                      <c:ext xmlns:c15="http://schemas.microsoft.com/office/drawing/2012/chart" uri="{02D57815-91ED-43cb-92C2-25804820EDAC}">
                        <c15:formulaRef>
                          <c15:sqref>'INDEX n LBS Chart Build'!$K$30</c15:sqref>
                        </c15:formulaRef>
                      </c:ext>
                    </c:extLst>
                    <c:strCache>
                      <c:ptCount val="1"/>
                      <c:pt idx="0">
                        <c:v>CLIM_GH</c:v>
                      </c:pt>
                    </c:strCache>
                  </c:strRef>
                </c:tx>
                <c:spPr>
                  <a:ln w="19050" cap="rnd">
                    <a:solidFill>
                      <a:sysClr val="windowText" lastClr="000000">
                        <a:lumMod val="95000"/>
                        <a:lumOff val="5000"/>
                        <a:alpha val="50000"/>
                      </a:sysClr>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'INDEX n LBS Chart Build'!$N$31:$N$32</c15:sqref>
                        </c15:formulaRef>
                      </c:ext>
                    </c:extLst>
                    <c:numCache>
                      <c:formatCode>#,##0.0</c:formatCode>
                      <c:ptCount val="2"/>
                      <c:pt idx="0">
                        <c:v>60.976925913562511</c:v>
                      </c:pt>
                      <c:pt idx="1">
                        <c:v>131.61286454250003</c:v>
                      </c:pt>
                    </c:numCache>
                  </c:numRef>
                </c:xVal>
                <c:yVal>
                  <c:numRef>
                    <c:extLst xmlns:c15="http://schemas.microsoft.com/office/drawing/2012/chart">
                      <c:ext xmlns:c15="http://schemas.microsoft.com/office/drawing/2012/chart" uri="{02D57815-91ED-43cb-92C2-25804820EDAC}">
                        <c15:formulaRef>
                          <c15:sqref>'INDEX n LBS Chart Build'!$K$31:$K$32</c15:sqref>
                        </c15:formulaRef>
                      </c:ext>
                    </c:extLst>
                    <c:numCache>
                      <c:formatCode>#,##0</c:formatCode>
                      <c:ptCount val="2"/>
                      <c:pt idx="0">
                        <c:v>411384.64500000002</c:v>
                      </c:pt>
                      <c:pt idx="1">
                        <c:v>397632.06</c:v>
                      </c:pt>
                    </c:numCache>
                  </c:numRef>
                </c:yVal>
                <c:smooth val="0"/>
                <c:extLst xmlns:c15="http://schemas.microsoft.com/office/drawing/2012/chart">
                  <c:ext xmlns:c16="http://schemas.microsoft.com/office/drawing/2014/chart" uri="{C3380CC4-5D6E-409C-BE32-E72D297353CC}">
                    <c16:uniqueId val="{00000030-6A35-4862-910C-18D0BEAF4F17}"/>
                  </c:ext>
                </c:extLst>
              </c15:ser>
            </c15:filteredScatterSeries>
          </c:ext>
        </c:extLst>
      </c:scatterChart>
      <c:valAx>
        <c:axId val="623949359"/>
        <c:scaling>
          <c:orientation val="minMax"/>
          <c:max val="140"/>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INDEX UNITS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KE"/>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KE"/>
          </a:p>
        </c:txPr>
        <c:crossAx val="623952271"/>
        <c:crosses val="autoZero"/>
        <c:crossBetween val="midCat"/>
        <c:majorUnit val="10"/>
        <c:minorUnit val="1"/>
      </c:valAx>
      <c:valAx>
        <c:axId val="623952271"/>
        <c:scaling>
          <c:orientation val="minMax"/>
          <c:max val="420000"/>
          <c:min val="170000"/>
        </c:scaling>
        <c:delete val="0"/>
        <c:axPos val="l"/>
        <c:majorGridlines>
          <c:spPr>
            <a:ln w="9525" cap="flat" cmpd="sng" algn="ctr">
              <a:solidFill>
                <a:schemeClr val="tx1">
                  <a:lumMod val="15000"/>
                  <a:lumOff val="85000"/>
                </a:schemeClr>
              </a:solidFill>
              <a:prstDash val="dash"/>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GROSS WEIGHT (Lbs)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K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KE"/>
          </a:p>
        </c:txPr>
        <c:crossAx val="623949359"/>
        <c:crosses val="autoZero"/>
        <c:crossBetween val="midCat"/>
        <c:majorUnit val="10000"/>
        <c:minorUnit val="1000"/>
      </c:valAx>
      <c:valAx>
        <c:axId val="473869840"/>
        <c:scaling>
          <c:orientation val="minMax"/>
        </c:scaling>
        <c:delete val="1"/>
        <c:axPos val="r"/>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473870672"/>
        <c:crosses val="max"/>
        <c:crossBetween val="midCat"/>
      </c:valAx>
      <c:valAx>
        <c:axId val="473870672"/>
        <c:scaling>
          <c:orientation val="minMax"/>
          <c:max val="39"/>
          <c:min val="9"/>
        </c:scaling>
        <c:delete val="1"/>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0"/>
        <c:majorTickMark val="out"/>
        <c:minorTickMark val="none"/>
        <c:tickLblPos val="nextTo"/>
        <c:crossAx val="473869840"/>
        <c:crosses val="max"/>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orientation="portrait"/>
  </c:printSettings>
  <c:userShapes r:id="rId4"/>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Q$11" lockText="1" noThreeD="1"/>
</file>

<file path=xl/ctrlProps/ctrlProp3.xml><?xml version="1.0" encoding="utf-8"?>
<formControlPr xmlns="http://schemas.microsoft.com/office/spreadsheetml/2009/9/main" objectType="CheckBox" checked="Checked" fmlaLink="$Q$10" lockText="1" noThreeD="1"/>
</file>

<file path=xl/ctrlProps/ctrlProp4.xml><?xml version="1.0" encoding="utf-8"?>
<formControlPr xmlns="http://schemas.microsoft.com/office/spreadsheetml/2009/9/main" objectType="CheckBox" checked="Checked" fmlaLink="$Q$9" lockText="1" noThreeD="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457200</xdr:colOff>
          <xdr:row>1</xdr:row>
          <xdr:rowOff>215900</xdr:rowOff>
        </xdr:from>
        <xdr:to>
          <xdr:col>12</xdr:col>
          <xdr:colOff>539750</xdr:colOff>
          <xdr:row>3</xdr:row>
          <xdr:rowOff>57150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KE" sz="2600" b="1"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82550</xdr:colOff>
          <xdr:row>12</xdr:row>
          <xdr:rowOff>44450</xdr:rowOff>
        </xdr:from>
        <xdr:to>
          <xdr:col>14</xdr:col>
          <xdr:colOff>279400</xdr:colOff>
          <xdr:row>12</xdr:row>
          <xdr:rowOff>190500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88900</xdr:colOff>
          <xdr:row>11</xdr:row>
          <xdr:rowOff>44450</xdr:rowOff>
        </xdr:from>
        <xdr:to>
          <xdr:col>14</xdr:col>
          <xdr:colOff>260350</xdr:colOff>
          <xdr:row>11</xdr:row>
          <xdr:rowOff>190500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82550</xdr:colOff>
          <xdr:row>10</xdr:row>
          <xdr:rowOff>44450</xdr:rowOff>
        </xdr:from>
        <xdr:to>
          <xdr:col>14</xdr:col>
          <xdr:colOff>285750</xdr:colOff>
          <xdr:row>10</xdr:row>
          <xdr:rowOff>190500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274971</xdr:colOff>
      <xdr:row>3</xdr:row>
      <xdr:rowOff>93409</xdr:rowOff>
    </xdr:from>
    <xdr:to>
      <xdr:col>15</xdr:col>
      <xdr:colOff>335296</xdr:colOff>
      <xdr:row>6</xdr:row>
      <xdr:rowOff>163259</xdr:rowOff>
    </xdr:to>
    <xdr:grpSp>
      <xdr:nvGrpSpPr>
        <xdr:cNvPr id="2" name="Group 1">
          <a:extLst>
            <a:ext uri="{FF2B5EF4-FFF2-40B4-BE49-F238E27FC236}">
              <a16:creationId xmlns:a16="http://schemas.microsoft.com/office/drawing/2014/main" id="{AB0868F9-DA2A-459D-A2E4-165212CA9802}"/>
            </a:ext>
          </a:extLst>
        </xdr:cNvPr>
        <xdr:cNvGrpSpPr/>
      </xdr:nvGrpSpPr>
      <xdr:grpSpPr>
        <a:xfrm>
          <a:off x="11858541" y="694988"/>
          <a:ext cx="53975" cy="668254"/>
          <a:chOff x="4654550" y="561975"/>
          <a:chExt cx="53975" cy="600075"/>
        </a:xfrm>
      </xdr:grpSpPr>
      <xdr:cxnSp macro="">
        <xdr:nvCxnSpPr>
          <xdr:cNvPr id="3" name="Straight Arrow Connector 2">
            <a:extLst>
              <a:ext uri="{FF2B5EF4-FFF2-40B4-BE49-F238E27FC236}">
                <a16:creationId xmlns:a16="http://schemas.microsoft.com/office/drawing/2014/main" id="{76ED8FFF-5A7E-6A7F-FF01-B67B1EDB6C27}"/>
              </a:ext>
            </a:extLst>
          </xdr:cNvPr>
          <xdr:cNvCxnSpPr/>
        </xdr:nvCxnSpPr>
        <xdr:spPr>
          <a:xfrm>
            <a:off x="4657725" y="561975"/>
            <a:ext cx="0" cy="6000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F0C8BBDA-E159-2EAF-730C-CE14927804BC}"/>
              </a:ext>
            </a:extLst>
          </xdr:cNvPr>
          <xdr:cNvCxnSpPr/>
        </xdr:nvCxnSpPr>
        <xdr:spPr>
          <a:xfrm rot="-240000">
            <a:off x="4654550" y="561975"/>
            <a:ext cx="53975" cy="31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17</xdr:col>
      <xdr:colOff>100263</xdr:colOff>
      <xdr:row>5</xdr:row>
      <xdr:rowOff>53473</xdr:rowOff>
    </xdr:from>
    <xdr:to>
      <xdr:col>18</xdr:col>
      <xdr:colOff>20052</xdr:colOff>
      <xdr:row>6</xdr:row>
      <xdr:rowOff>13369</xdr:rowOff>
    </xdr:to>
    <xdr:cxnSp macro="">
      <xdr:nvCxnSpPr>
        <xdr:cNvPr id="6" name="Straight Arrow Connector 5">
          <a:extLst>
            <a:ext uri="{FF2B5EF4-FFF2-40B4-BE49-F238E27FC236}">
              <a16:creationId xmlns:a16="http://schemas.microsoft.com/office/drawing/2014/main" id="{76C1B6DD-9C25-790A-8C57-7D13DA59C0F9}"/>
            </a:ext>
          </a:extLst>
        </xdr:cNvPr>
        <xdr:cNvCxnSpPr/>
      </xdr:nvCxnSpPr>
      <xdr:spPr>
        <a:xfrm flipV="1">
          <a:off x="12619789" y="1056105"/>
          <a:ext cx="534737" cy="16042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165883</xdr:colOff>
      <xdr:row>24</xdr:row>
      <xdr:rowOff>63998</xdr:rowOff>
    </xdr:from>
    <xdr:to>
      <xdr:col>3</xdr:col>
      <xdr:colOff>470569</xdr:colOff>
      <xdr:row>35</xdr:row>
      <xdr:rowOff>177639</xdr:rowOff>
    </xdr:to>
    <xdr:sp macro="" textlink="">
      <xdr:nvSpPr>
        <xdr:cNvPr id="4" name="Rectangle 3">
          <a:extLst>
            <a:ext uri="{FF2B5EF4-FFF2-40B4-BE49-F238E27FC236}">
              <a16:creationId xmlns:a16="http://schemas.microsoft.com/office/drawing/2014/main" id="{99403F58-810F-521A-C96E-19D4295C7A69}"/>
            </a:ext>
          </a:extLst>
        </xdr:cNvPr>
        <xdr:cNvSpPr/>
      </xdr:nvSpPr>
      <xdr:spPr>
        <a:xfrm>
          <a:off x="1811699" y="4612671"/>
          <a:ext cx="304686" cy="2135274"/>
        </a:xfrm>
        <a:custGeom>
          <a:avLst/>
          <a:gdLst>
            <a:gd name="connsiteX0" fmla="*/ 0 w 293358"/>
            <a:gd name="connsiteY0" fmla="*/ 0 h 2102689"/>
            <a:gd name="connsiteX1" fmla="*/ 293358 w 293358"/>
            <a:gd name="connsiteY1" fmla="*/ 0 h 2102689"/>
            <a:gd name="connsiteX2" fmla="*/ 293358 w 293358"/>
            <a:gd name="connsiteY2" fmla="*/ 2102689 h 2102689"/>
            <a:gd name="connsiteX3" fmla="*/ 0 w 293358"/>
            <a:gd name="connsiteY3" fmla="*/ 2102689 h 2102689"/>
            <a:gd name="connsiteX4" fmla="*/ 0 w 293358"/>
            <a:gd name="connsiteY4" fmla="*/ 0 h 2102689"/>
            <a:gd name="connsiteX0" fmla="*/ 0 w 293358"/>
            <a:gd name="connsiteY0" fmla="*/ 0 h 2102689"/>
            <a:gd name="connsiteX1" fmla="*/ 293358 w 293358"/>
            <a:gd name="connsiteY1" fmla="*/ 0 h 2102689"/>
            <a:gd name="connsiteX2" fmla="*/ 293358 w 293358"/>
            <a:gd name="connsiteY2" fmla="*/ 2102689 h 2102689"/>
            <a:gd name="connsiteX3" fmla="*/ 215660 w 293358"/>
            <a:gd name="connsiteY3" fmla="*/ 2084717 h 2102689"/>
            <a:gd name="connsiteX4" fmla="*/ 0 w 293358"/>
            <a:gd name="connsiteY4" fmla="*/ 0 h 2102689"/>
            <a:gd name="connsiteX0" fmla="*/ 0 w 293358"/>
            <a:gd name="connsiteY0" fmla="*/ 0 h 2102689"/>
            <a:gd name="connsiteX1" fmla="*/ 293358 w 293358"/>
            <a:gd name="connsiteY1" fmla="*/ 0 h 2102689"/>
            <a:gd name="connsiteX2" fmla="*/ 293358 w 293358"/>
            <a:gd name="connsiteY2" fmla="*/ 2102689 h 2102689"/>
            <a:gd name="connsiteX3" fmla="*/ 215660 w 293358"/>
            <a:gd name="connsiteY3" fmla="*/ 2084717 h 2102689"/>
            <a:gd name="connsiteX4" fmla="*/ 0 w 293358"/>
            <a:gd name="connsiteY4" fmla="*/ 0 h 2102689"/>
            <a:gd name="connsiteX0" fmla="*/ 20016 w 313374"/>
            <a:gd name="connsiteY0" fmla="*/ 0 h 2102689"/>
            <a:gd name="connsiteX1" fmla="*/ 313374 w 313374"/>
            <a:gd name="connsiteY1" fmla="*/ 0 h 2102689"/>
            <a:gd name="connsiteX2" fmla="*/ 313374 w 313374"/>
            <a:gd name="connsiteY2" fmla="*/ 2102689 h 2102689"/>
            <a:gd name="connsiteX3" fmla="*/ 235676 w 313374"/>
            <a:gd name="connsiteY3" fmla="*/ 2084717 h 2102689"/>
            <a:gd name="connsiteX4" fmla="*/ 37987 w 313374"/>
            <a:gd name="connsiteY4" fmla="*/ 1662383 h 2102689"/>
            <a:gd name="connsiteX5" fmla="*/ 20016 w 313374"/>
            <a:gd name="connsiteY5" fmla="*/ 0 h 2102689"/>
            <a:gd name="connsiteX0" fmla="*/ 9062 w 302420"/>
            <a:gd name="connsiteY0" fmla="*/ 0 h 2102689"/>
            <a:gd name="connsiteX1" fmla="*/ 302420 w 302420"/>
            <a:gd name="connsiteY1" fmla="*/ 0 h 2102689"/>
            <a:gd name="connsiteX2" fmla="*/ 302420 w 302420"/>
            <a:gd name="connsiteY2" fmla="*/ 2102689 h 2102689"/>
            <a:gd name="connsiteX3" fmla="*/ 224722 w 302420"/>
            <a:gd name="connsiteY3" fmla="*/ 2084717 h 2102689"/>
            <a:gd name="connsiteX4" fmla="*/ 27033 w 302420"/>
            <a:gd name="connsiteY4" fmla="*/ 1662383 h 2102689"/>
            <a:gd name="connsiteX5" fmla="*/ 9062 w 302420"/>
            <a:gd name="connsiteY5" fmla="*/ 0 h 2102689"/>
            <a:gd name="connsiteX0" fmla="*/ 9062 w 302420"/>
            <a:gd name="connsiteY0" fmla="*/ 0 h 2102689"/>
            <a:gd name="connsiteX1" fmla="*/ 302420 w 302420"/>
            <a:gd name="connsiteY1" fmla="*/ 0 h 2102689"/>
            <a:gd name="connsiteX2" fmla="*/ 302420 w 302420"/>
            <a:gd name="connsiteY2" fmla="*/ 2102689 h 2102689"/>
            <a:gd name="connsiteX3" fmla="*/ 224722 w 302420"/>
            <a:gd name="connsiteY3" fmla="*/ 2084717 h 2102689"/>
            <a:gd name="connsiteX4" fmla="*/ 27033 w 302420"/>
            <a:gd name="connsiteY4" fmla="*/ 1662383 h 2102689"/>
            <a:gd name="connsiteX5" fmla="*/ 9062 w 302420"/>
            <a:gd name="connsiteY5" fmla="*/ 0 h 2102689"/>
            <a:gd name="connsiteX0" fmla="*/ 41236 w 334594"/>
            <a:gd name="connsiteY0" fmla="*/ 0 h 2102689"/>
            <a:gd name="connsiteX1" fmla="*/ 334594 w 334594"/>
            <a:gd name="connsiteY1" fmla="*/ 0 h 2102689"/>
            <a:gd name="connsiteX2" fmla="*/ 334594 w 334594"/>
            <a:gd name="connsiteY2" fmla="*/ 2102689 h 2102689"/>
            <a:gd name="connsiteX3" fmla="*/ 256896 w 334594"/>
            <a:gd name="connsiteY3" fmla="*/ 2084717 h 2102689"/>
            <a:gd name="connsiteX4" fmla="*/ 0 w 334594"/>
            <a:gd name="connsiteY4" fmla="*/ 1653461 h 2102689"/>
            <a:gd name="connsiteX5" fmla="*/ 41236 w 334594"/>
            <a:gd name="connsiteY5" fmla="*/ 0 h 2102689"/>
            <a:gd name="connsiteX0" fmla="*/ 41236 w 334594"/>
            <a:gd name="connsiteY0" fmla="*/ 0 h 2102689"/>
            <a:gd name="connsiteX1" fmla="*/ 334594 w 334594"/>
            <a:gd name="connsiteY1" fmla="*/ 0 h 2102689"/>
            <a:gd name="connsiteX2" fmla="*/ 334594 w 334594"/>
            <a:gd name="connsiteY2" fmla="*/ 2102689 h 2102689"/>
            <a:gd name="connsiteX3" fmla="*/ 256896 w 334594"/>
            <a:gd name="connsiteY3" fmla="*/ 2084717 h 2102689"/>
            <a:gd name="connsiteX4" fmla="*/ 0 w 334594"/>
            <a:gd name="connsiteY4" fmla="*/ 1653461 h 2102689"/>
            <a:gd name="connsiteX5" fmla="*/ 41236 w 334594"/>
            <a:gd name="connsiteY5" fmla="*/ 0 h 2102689"/>
            <a:gd name="connsiteX0" fmla="*/ 51104 w 334594"/>
            <a:gd name="connsiteY0" fmla="*/ 26769 h 2102689"/>
            <a:gd name="connsiteX1" fmla="*/ 334594 w 334594"/>
            <a:gd name="connsiteY1" fmla="*/ 0 h 2102689"/>
            <a:gd name="connsiteX2" fmla="*/ 334594 w 334594"/>
            <a:gd name="connsiteY2" fmla="*/ 2102689 h 2102689"/>
            <a:gd name="connsiteX3" fmla="*/ 256896 w 334594"/>
            <a:gd name="connsiteY3" fmla="*/ 2084717 h 2102689"/>
            <a:gd name="connsiteX4" fmla="*/ 0 w 334594"/>
            <a:gd name="connsiteY4" fmla="*/ 1653461 h 2102689"/>
            <a:gd name="connsiteX5" fmla="*/ 51104 w 334594"/>
            <a:gd name="connsiteY5" fmla="*/ 26769 h 2102689"/>
            <a:gd name="connsiteX0" fmla="*/ 51104 w 334594"/>
            <a:gd name="connsiteY0" fmla="*/ 26769 h 2102689"/>
            <a:gd name="connsiteX1" fmla="*/ 334594 w 334594"/>
            <a:gd name="connsiteY1" fmla="*/ 0 h 2102689"/>
            <a:gd name="connsiteX2" fmla="*/ 334594 w 334594"/>
            <a:gd name="connsiteY2" fmla="*/ 2102689 h 2102689"/>
            <a:gd name="connsiteX3" fmla="*/ 256896 w 334594"/>
            <a:gd name="connsiteY3" fmla="*/ 2084717 h 2102689"/>
            <a:gd name="connsiteX4" fmla="*/ 0 w 334594"/>
            <a:gd name="connsiteY4" fmla="*/ 1653461 h 2102689"/>
            <a:gd name="connsiteX5" fmla="*/ 51104 w 334594"/>
            <a:gd name="connsiteY5" fmla="*/ 26769 h 2102689"/>
            <a:gd name="connsiteX0" fmla="*/ 51104 w 334594"/>
            <a:gd name="connsiteY0" fmla="*/ 26769 h 2102689"/>
            <a:gd name="connsiteX1" fmla="*/ 334594 w 334594"/>
            <a:gd name="connsiteY1" fmla="*/ 0 h 2102689"/>
            <a:gd name="connsiteX2" fmla="*/ 334594 w 334594"/>
            <a:gd name="connsiteY2" fmla="*/ 2102689 h 2102689"/>
            <a:gd name="connsiteX3" fmla="*/ 256896 w 334594"/>
            <a:gd name="connsiteY3" fmla="*/ 2084717 h 2102689"/>
            <a:gd name="connsiteX4" fmla="*/ 0 w 334594"/>
            <a:gd name="connsiteY4" fmla="*/ 1653461 h 2102689"/>
            <a:gd name="connsiteX5" fmla="*/ 51104 w 334594"/>
            <a:gd name="connsiteY5" fmla="*/ 26769 h 21026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34594" h="2102689">
              <a:moveTo>
                <a:pt x="51104" y="26769"/>
              </a:moveTo>
              <a:cubicBezTo>
                <a:pt x="155468" y="53539"/>
                <a:pt x="240097" y="8923"/>
                <a:pt x="334594" y="0"/>
              </a:cubicBezTo>
              <a:lnTo>
                <a:pt x="334594" y="2102689"/>
              </a:lnTo>
              <a:lnTo>
                <a:pt x="256896" y="2084717"/>
              </a:lnTo>
              <a:cubicBezTo>
                <a:pt x="219984" y="2014328"/>
                <a:pt x="184430" y="2000977"/>
                <a:pt x="0" y="1653461"/>
              </a:cubicBezTo>
              <a:cubicBezTo>
                <a:pt x="35222" y="1359923"/>
                <a:pt x="-15412" y="315751"/>
                <a:pt x="51104" y="26769"/>
              </a:cubicBezTo>
              <a:close/>
            </a:path>
          </a:pathLst>
        </a:cu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xdr:col>
      <xdr:colOff>9718</xdr:colOff>
      <xdr:row>16</xdr:row>
      <xdr:rowOff>136071</xdr:rowOff>
    </xdr:from>
    <xdr:to>
      <xdr:col>14</xdr:col>
      <xdr:colOff>612191</xdr:colOff>
      <xdr:row>58</xdr:row>
      <xdr:rowOff>162055</xdr:rowOff>
    </xdr:to>
    <xdr:graphicFrame macro="">
      <xdr:nvGraphicFramePr>
        <xdr:cNvPr id="3" name="Chart 2">
          <a:extLst>
            <a:ext uri="{FF2B5EF4-FFF2-40B4-BE49-F238E27FC236}">
              <a16:creationId xmlns:a16="http://schemas.microsoft.com/office/drawing/2014/main" id="{8B239F4E-8D12-4151-A70C-26DA3D3FB8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0.08664</cdr:x>
      <cdr:y>0.07906</cdr:y>
    </cdr:from>
    <cdr:to>
      <cdr:x>0.20563</cdr:x>
      <cdr:y>0.13307</cdr:y>
    </cdr:to>
    <cdr:sp macro="" textlink="">
      <cdr:nvSpPr>
        <cdr:cNvPr id="2" name="Rectangle: Rounded Corners 1">
          <a:extLst xmlns:a="http://schemas.openxmlformats.org/drawingml/2006/main">
            <a:ext uri="{FF2B5EF4-FFF2-40B4-BE49-F238E27FC236}">
              <a16:creationId xmlns:a16="http://schemas.microsoft.com/office/drawing/2014/main" id="{0A3E23A9-A543-406E-8176-1893BAE43EAC}"/>
            </a:ext>
          </a:extLst>
        </cdr:cNvPr>
        <cdr:cNvSpPr/>
      </cdr:nvSpPr>
      <cdr:spPr>
        <a:xfrm xmlns:a="http://schemas.openxmlformats.org/drawingml/2006/main">
          <a:off x="841595" y="371562"/>
          <a:ext cx="1155834" cy="253833"/>
        </a:xfrm>
        <a:prstGeom xmlns:a="http://schemas.openxmlformats.org/drawingml/2006/main" prst="roundRect">
          <a:avLst/>
        </a:prstGeom>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vertOverflow="clip"/>
        <a:lstStyle xmlns:a="http://schemas.openxmlformats.org/drawingml/2006/main"/>
        <a:p xmlns:a="http://schemas.openxmlformats.org/drawingml/2006/main">
          <a:r>
            <a:rPr lang="en-US"/>
            <a:t>%MAC</a:t>
          </a:r>
        </a:p>
      </cdr:txBody>
    </cdr:sp>
  </cdr:relSizeAnchor>
  <cdr:relSizeAnchor xmlns:cdr="http://schemas.openxmlformats.org/drawingml/2006/chartDrawing">
    <cdr:from>
      <cdr:x>0.44835</cdr:x>
      <cdr:y>0.1844</cdr:y>
    </cdr:from>
    <cdr:to>
      <cdr:x>0.61208</cdr:x>
      <cdr:y>0.2147</cdr:y>
    </cdr:to>
    <cdr:sp macro="" textlink="">
      <cdr:nvSpPr>
        <cdr:cNvPr id="10" name="Rectangle 9">
          <a:extLst xmlns:a="http://schemas.openxmlformats.org/drawingml/2006/main">
            <a:ext uri="{FF2B5EF4-FFF2-40B4-BE49-F238E27FC236}">
              <a16:creationId xmlns:a16="http://schemas.microsoft.com/office/drawing/2014/main" id="{ABA2A480-CB32-3DAF-B53D-75929EAFDDEB}"/>
            </a:ext>
          </a:extLst>
        </cdr:cNvPr>
        <cdr:cNvSpPr/>
      </cdr:nvSpPr>
      <cdr:spPr>
        <a:xfrm xmlns:a="http://schemas.openxmlformats.org/drawingml/2006/main">
          <a:off x="4271349" y="1435359"/>
          <a:ext cx="1559826" cy="23584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GB" b="1" kern="1200">
              <a:solidFill>
                <a:srgbClr val="00B050"/>
              </a:solidFill>
            </a:rPr>
            <a:t>MAX TOW</a:t>
          </a:r>
          <a:r>
            <a:rPr lang="en-GB" b="1" kern="1200" baseline="0">
              <a:solidFill>
                <a:srgbClr val="00B050"/>
              </a:solidFill>
            </a:rPr>
            <a:t> 412,000 Lbs</a:t>
          </a:r>
          <a:endParaRPr lang="en-KE" b="1" kern="1200">
            <a:solidFill>
              <a:srgbClr val="00B050"/>
            </a:solidFill>
          </a:endParaRPr>
        </a:p>
      </cdr:txBody>
    </cdr:sp>
  </cdr:relSizeAnchor>
  <cdr:relSizeAnchor xmlns:cdr="http://schemas.openxmlformats.org/drawingml/2006/chartDrawing">
    <cdr:from>
      <cdr:x>0.1509</cdr:x>
      <cdr:y>0.4713</cdr:y>
    </cdr:from>
    <cdr:to>
      <cdr:x>0.38674</cdr:x>
      <cdr:y>0.88889</cdr:y>
    </cdr:to>
    <cdr:sp macro="" textlink="">
      <cdr:nvSpPr>
        <cdr:cNvPr id="3" name="Rectangle 2">
          <a:extLst xmlns:a="http://schemas.openxmlformats.org/drawingml/2006/main">
            <a:ext uri="{FF2B5EF4-FFF2-40B4-BE49-F238E27FC236}">
              <a16:creationId xmlns:a16="http://schemas.microsoft.com/office/drawing/2014/main" id="{AF415295-D604-DE27-0772-910E4AD838BB}"/>
            </a:ext>
          </a:extLst>
        </cdr:cNvPr>
        <cdr:cNvSpPr/>
      </cdr:nvSpPr>
      <cdr:spPr>
        <a:xfrm xmlns:a="http://schemas.openxmlformats.org/drawingml/2006/main">
          <a:off x="1467628" y="3751622"/>
          <a:ext cx="2293775" cy="3324030"/>
        </a:xfrm>
        <a:custGeom xmlns:a="http://schemas.openxmlformats.org/drawingml/2006/main">
          <a:avLst/>
          <a:gdLst>
            <a:gd name="connsiteX0" fmla="*/ 0 w 2595076"/>
            <a:gd name="connsiteY0" fmla="*/ 0 h 3304592"/>
            <a:gd name="connsiteX1" fmla="*/ 2595076 w 2595076"/>
            <a:gd name="connsiteY1" fmla="*/ 0 h 3304592"/>
            <a:gd name="connsiteX2" fmla="*/ 2595076 w 2595076"/>
            <a:gd name="connsiteY2" fmla="*/ 3304592 h 3304592"/>
            <a:gd name="connsiteX3" fmla="*/ 0 w 2595076"/>
            <a:gd name="connsiteY3" fmla="*/ 3304592 h 3304592"/>
            <a:gd name="connsiteX4" fmla="*/ 0 w 2595076"/>
            <a:gd name="connsiteY4" fmla="*/ 0 h 3304592"/>
            <a:gd name="connsiteX0" fmla="*/ 0 w 2595076"/>
            <a:gd name="connsiteY0" fmla="*/ 0 h 3304592"/>
            <a:gd name="connsiteX1" fmla="*/ 447091 w 2595076"/>
            <a:gd name="connsiteY1" fmla="*/ 9719 h 3304592"/>
            <a:gd name="connsiteX2" fmla="*/ 2595076 w 2595076"/>
            <a:gd name="connsiteY2" fmla="*/ 3304592 h 3304592"/>
            <a:gd name="connsiteX3" fmla="*/ 0 w 2595076"/>
            <a:gd name="connsiteY3" fmla="*/ 3304592 h 3304592"/>
            <a:gd name="connsiteX4" fmla="*/ 0 w 2595076"/>
            <a:gd name="connsiteY4" fmla="*/ 0 h 3304592"/>
            <a:gd name="connsiteX0" fmla="*/ 0 w 2420127"/>
            <a:gd name="connsiteY0" fmla="*/ 0 h 3333750"/>
            <a:gd name="connsiteX1" fmla="*/ 447091 w 2420127"/>
            <a:gd name="connsiteY1" fmla="*/ 9719 h 3333750"/>
            <a:gd name="connsiteX2" fmla="*/ 2420127 w 2420127"/>
            <a:gd name="connsiteY2" fmla="*/ 3333750 h 3333750"/>
            <a:gd name="connsiteX3" fmla="*/ 0 w 2420127"/>
            <a:gd name="connsiteY3" fmla="*/ 3304592 h 3333750"/>
            <a:gd name="connsiteX4" fmla="*/ 0 w 2420127"/>
            <a:gd name="connsiteY4" fmla="*/ 0 h 3333750"/>
            <a:gd name="connsiteX0" fmla="*/ 0 w 2420127"/>
            <a:gd name="connsiteY0" fmla="*/ 0 h 3333750"/>
            <a:gd name="connsiteX1" fmla="*/ 447091 w 2420127"/>
            <a:gd name="connsiteY1" fmla="*/ 9719 h 3333750"/>
            <a:gd name="connsiteX2" fmla="*/ 2420127 w 2420127"/>
            <a:gd name="connsiteY2" fmla="*/ 3333750 h 3333750"/>
            <a:gd name="connsiteX3" fmla="*/ 1914720 w 2420127"/>
            <a:gd name="connsiteY3" fmla="*/ 3324030 h 3333750"/>
            <a:gd name="connsiteX4" fmla="*/ 0 w 2420127"/>
            <a:gd name="connsiteY4" fmla="*/ 0 h 3333750"/>
            <a:gd name="connsiteX0" fmla="*/ 0 w 2420127"/>
            <a:gd name="connsiteY0" fmla="*/ 0 h 3333750"/>
            <a:gd name="connsiteX1" fmla="*/ 447091 w 2420127"/>
            <a:gd name="connsiteY1" fmla="*/ 9719 h 3333750"/>
            <a:gd name="connsiteX2" fmla="*/ 2420127 w 2420127"/>
            <a:gd name="connsiteY2" fmla="*/ 3333750 h 3333750"/>
            <a:gd name="connsiteX3" fmla="*/ 1914720 w 2420127"/>
            <a:gd name="connsiteY3" fmla="*/ 3324030 h 3333750"/>
            <a:gd name="connsiteX4" fmla="*/ 0 w 2420127"/>
            <a:gd name="connsiteY4" fmla="*/ 0 h 3333750"/>
            <a:gd name="connsiteX0" fmla="*/ 0 w 2352092"/>
            <a:gd name="connsiteY0" fmla="*/ 0 h 3333750"/>
            <a:gd name="connsiteX1" fmla="*/ 379056 w 2352092"/>
            <a:gd name="connsiteY1" fmla="*/ 9719 h 3333750"/>
            <a:gd name="connsiteX2" fmla="*/ 2352092 w 2352092"/>
            <a:gd name="connsiteY2" fmla="*/ 3333750 h 3333750"/>
            <a:gd name="connsiteX3" fmla="*/ 1846685 w 2352092"/>
            <a:gd name="connsiteY3" fmla="*/ 3324030 h 3333750"/>
            <a:gd name="connsiteX4" fmla="*/ 0 w 2352092"/>
            <a:gd name="connsiteY4" fmla="*/ 0 h 3333750"/>
            <a:gd name="connsiteX0" fmla="*/ 0 w 2352092"/>
            <a:gd name="connsiteY0" fmla="*/ 0 h 3333750"/>
            <a:gd name="connsiteX1" fmla="*/ 379056 w 2352092"/>
            <a:gd name="connsiteY1" fmla="*/ 9719 h 3333750"/>
            <a:gd name="connsiteX2" fmla="*/ 2352092 w 2352092"/>
            <a:gd name="connsiteY2" fmla="*/ 3333750 h 3333750"/>
            <a:gd name="connsiteX3" fmla="*/ 1846685 w 2352092"/>
            <a:gd name="connsiteY3" fmla="*/ 3324030 h 3333750"/>
            <a:gd name="connsiteX4" fmla="*/ 0 w 2352092"/>
            <a:gd name="connsiteY4" fmla="*/ 0 h 3333750"/>
            <a:gd name="connsiteX0" fmla="*/ 0 w 2352092"/>
            <a:gd name="connsiteY0" fmla="*/ 0 h 3333750"/>
            <a:gd name="connsiteX1" fmla="*/ 379056 w 2352092"/>
            <a:gd name="connsiteY1" fmla="*/ 9719 h 3333750"/>
            <a:gd name="connsiteX2" fmla="*/ 855306 w 2352092"/>
            <a:gd name="connsiteY2" fmla="*/ 631759 h 3333750"/>
            <a:gd name="connsiteX3" fmla="*/ 2352092 w 2352092"/>
            <a:gd name="connsiteY3" fmla="*/ 3333750 h 3333750"/>
            <a:gd name="connsiteX4" fmla="*/ 1846685 w 2352092"/>
            <a:gd name="connsiteY4" fmla="*/ 3324030 h 3333750"/>
            <a:gd name="connsiteX5" fmla="*/ 0 w 2352092"/>
            <a:gd name="connsiteY5" fmla="*/ 0 h 3333750"/>
            <a:gd name="connsiteX0" fmla="*/ 0 w 2352092"/>
            <a:gd name="connsiteY0" fmla="*/ 0 h 3333750"/>
            <a:gd name="connsiteX1" fmla="*/ 379056 w 2352092"/>
            <a:gd name="connsiteY1" fmla="*/ 9719 h 3333750"/>
            <a:gd name="connsiteX2" fmla="*/ 855306 w 2352092"/>
            <a:gd name="connsiteY2" fmla="*/ 631759 h 3333750"/>
            <a:gd name="connsiteX3" fmla="*/ 2352092 w 2352092"/>
            <a:gd name="connsiteY3" fmla="*/ 3333750 h 3333750"/>
            <a:gd name="connsiteX4" fmla="*/ 1846685 w 2352092"/>
            <a:gd name="connsiteY4" fmla="*/ 3324030 h 3333750"/>
            <a:gd name="connsiteX5" fmla="*/ 0 w 2352092"/>
            <a:gd name="connsiteY5" fmla="*/ 0 h 3333750"/>
            <a:gd name="connsiteX0" fmla="*/ 0 w 2352092"/>
            <a:gd name="connsiteY0" fmla="*/ 0 h 3333750"/>
            <a:gd name="connsiteX1" fmla="*/ 379056 w 2352092"/>
            <a:gd name="connsiteY1" fmla="*/ 9719 h 3333750"/>
            <a:gd name="connsiteX2" fmla="*/ 835867 w 2352092"/>
            <a:gd name="connsiteY2" fmla="*/ 583163 h 3333750"/>
            <a:gd name="connsiteX3" fmla="*/ 2352092 w 2352092"/>
            <a:gd name="connsiteY3" fmla="*/ 3333750 h 3333750"/>
            <a:gd name="connsiteX4" fmla="*/ 1846685 w 2352092"/>
            <a:gd name="connsiteY4" fmla="*/ 3324030 h 3333750"/>
            <a:gd name="connsiteX5" fmla="*/ 0 w 2352092"/>
            <a:gd name="connsiteY5" fmla="*/ 0 h 3333750"/>
            <a:gd name="connsiteX0" fmla="*/ 0 w 2352092"/>
            <a:gd name="connsiteY0" fmla="*/ 0 h 3333750"/>
            <a:gd name="connsiteX1" fmla="*/ 379056 w 2352092"/>
            <a:gd name="connsiteY1" fmla="*/ 9719 h 3333750"/>
            <a:gd name="connsiteX2" fmla="*/ 835867 w 2352092"/>
            <a:gd name="connsiteY2" fmla="*/ 583163 h 3333750"/>
            <a:gd name="connsiteX3" fmla="*/ 2352092 w 2352092"/>
            <a:gd name="connsiteY3" fmla="*/ 3333750 h 3333750"/>
            <a:gd name="connsiteX4" fmla="*/ 1846685 w 2352092"/>
            <a:gd name="connsiteY4" fmla="*/ 3324030 h 3333750"/>
            <a:gd name="connsiteX5" fmla="*/ 0 w 2352092"/>
            <a:gd name="connsiteY5" fmla="*/ 0 h 3333750"/>
            <a:gd name="connsiteX0" fmla="*/ 0 w 2352092"/>
            <a:gd name="connsiteY0" fmla="*/ 0 h 3333750"/>
            <a:gd name="connsiteX1" fmla="*/ 379056 w 2352092"/>
            <a:gd name="connsiteY1" fmla="*/ 9719 h 3333750"/>
            <a:gd name="connsiteX2" fmla="*/ 835867 w 2352092"/>
            <a:gd name="connsiteY2" fmla="*/ 583163 h 3333750"/>
            <a:gd name="connsiteX3" fmla="*/ 2352092 w 2352092"/>
            <a:gd name="connsiteY3" fmla="*/ 3333750 h 3333750"/>
            <a:gd name="connsiteX4" fmla="*/ 1846685 w 2352092"/>
            <a:gd name="connsiteY4" fmla="*/ 3324030 h 3333750"/>
            <a:gd name="connsiteX5" fmla="*/ 0 w 2352092"/>
            <a:gd name="connsiteY5" fmla="*/ 0 h 3333750"/>
            <a:gd name="connsiteX0" fmla="*/ 0 w 2352092"/>
            <a:gd name="connsiteY0" fmla="*/ 0 h 3333750"/>
            <a:gd name="connsiteX1" fmla="*/ 379056 w 2352092"/>
            <a:gd name="connsiteY1" fmla="*/ 9719 h 3333750"/>
            <a:gd name="connsiteX2" fmla="*/ 835867 w 2352092"/>
            <a:gd name="connsiteY2" fmla="*/ 583163 h 3333750"/>
            <a:gd name="connsiteX3" fmla="*/ 2352092 w 2352092"/>
            <a:gd name="connsiteY3" fmla="*/ 3333750 h 3333750"/>
            <a:gd name="connsiteX4" fmla="*/ 1846685 w 2352092"/>
            <a:gd name="connsiteY4" fmla="*/ 3324030 h 3333750"/>
            <a:gd name="connsiteX5" fmla="*/ 0 w 2352092"/>
            <a:gd name="connsiteY5" fmla="*/ 0 h 3333750"/>
            <a:gd name="connsiteX0" fmla="*/ 0 w 2352092"/>
            <a:gd name="connsiteY0" fmla="*/ 0 h 3333750"/>
            <a:gd name="connsiteX1" fmla="*/ 379056 w 2352092"/>
            <a:gd name="connsiteY1" fmla="*/ 9719 h 3333750"/>
            <a:gd name="connsiteX2" fmla="*/ 835867 w 2352092"/>
            <a:gd name="connsiteY2" fmla="*/ 583163 h 3333750"/>
            <a:gd name="connsiteX3" fmla="*/ 2352092 w 2352092"/>
            <a:gd name="connsiteY3" fmla="*/ 3333750 h 3333750"/>
            <a:gd name="connsiteX4" fmla="*/ 1846685 w 2352092"/>
            <a:gd name="connsiteY4" fmla="*/ 3324030 h 3333750"/>
            <a:gd name="connsiteX5" fmla="*/ 0 w 2352092"/>
            <a:gd name="connsiteY5" fmla="*/ 0 h 3333750"/>
            <a:gd name="connsiteX0" fmla="*/ 0 w 2322933"/>
            <a:gd name="connsiteY0" fmla="*/ 0 h 3333750"/>
            <a:gd name="connsiteX1" fmla="*/ 379056 w 2322933"/>
            <a:gd name="connsiteY1" fmla="*/ 9719 h 3333750"/>
            <a:gd name="connsiteX2" fmla="*/ 835867 w 2322933"/>
            <a:gd name="connsiteY2" fmla="*/ 583163 h 3333750"/>
            <a:gd name="connsiteX3" fmla="*/ 2322933 w 2322933"/>
            <a:gd name="connsiteY3" fmla="*/ 3333750 h 3333750"/>
            <a:gd name="connsiteX4" fmla="*/ 1846685 w 2322933"/>
            <a:gd name="connsiteY4" fmla="*/ 3324030 h 3333750"/>
            <a:gd name="connsiteX5" fmla="*/ 0 w 2322933"/>
            <a:gd name="connsiteY5" fmla="*/ 0 h 3333750"/>
            <a:gd name="connsiteX0" fmla="*/ 0 w 2322933"/>
            <a:gd name="connsiteY0" fmla="*/ 0 h 3333750"/>
            <a:gd name="connsiteX1" fmla="*/ 379056 w 2322933"/>
            <a:gd name="connsiteY1" fmla="*/ 9719 h 3333750"/>
            <a:gd name="connsiteX2" fmla="*/ 835867 w 2322933"/>
            <a:gd name="connsiteY2" fmla="*/ 583163 h 3333750"/>
            <a:gd name="connsiteX3" fmla="*/ 2322933 w 2322933"/>
            <a:gd name="connsiteY3" fmla="*/ 3333750 h 3333750"/>
            <a:gd name="connsiteX4" fmla="*/ 1846685 w 2322933"/>
            <a:gd name="connsiteY4" fmla="*/ 3324030 h 3333750"/>
            <a:gd name="connsiteX5" fmla="*/ 0 w 2322933"/>
            <a:gd name="connsiteY5" fmla="*/ 0 h 3333750"/>
            <a:gd name="connsiteX0" fmla="*/ 0 w 2322933"/>
            <a:gd name="connsiteY0" fmla="*/ 0 h 3333750"/>
            <a:gd name="connsiteX1" fmla="*/ 379056 w 2322933"/>
            <a:gd name="connsiteY1" fmla="*/ 9719 h 3333750"/>
            <a:gd name="connsiteX2" fmla="*/ 835867 w 2322933"/>
            <a:gd name="connsiteY2" fmla="*/ 583163 h 3333750"/>
            <a:gd name="connsiteX3" fmla="*/ 2322933 w 2322933"/>
            <a:gd name="connsiteY3" fmla="*/ 3333750 h 3333750"/>
            <a:gd name="connsiteX4" fmla="*/ 1866124 w 2322933"/>
            <a:gd name="connsiteY4" fmla="*/ 3314311 h 3333750"/>
            <a:gd name="connsiteX5" fmla="*/ 0 w 2322933"/>
            <a:gd name="connsiteY5" fmla="*/ 0 h 3333750"/>
            <a:gd name="connsiteX0" fmla="*/ 0 w 2293775"/>
            <a:gd name="connsiteY0" fmla="*/ 1 h 3324031"/>
            <a:gd name="connsiteX1" fmla="*/ 349898 w 2293775"/>
            <a:gd name="connsiteY1" fmla="*/ 0 h 3324031"/>
            <a:gd name="connsiteX2" fmla="*/ 806709 w 2293775"/>
            <a:gd name="connsiteY2" fmla="*/ 573444 h 3324031"/>
            <a:gd name="connsiteX3" fmla="*/ 2293775 w 2293775"/>
            <a:gd name="connsiteY3" fmla="*/ 3324031 h 3324031"/>
            <a:gd name="connsiteX4" fmla="*/ 1836966 w 2293775"/>
            <a:gd name="connsiteY4" fmla="*/ 3304592 h 3324031"/>
            <a:gd name="connsiteX5" fmla="*/ 0 w 2293775"/>
            <a:gd name="connsiteY5" fmla="*/ 1 h 3324031"/>
            <a:gd name="connsiteX0" fmla="*/ 0 w 2293775"/>
            <a:gd name="connsiteY0" fmla="*/ 0 h 3324030"/>
            <a:gd name="connsiteX1" fmla="*/ 340179 w 2293775"/>
            <a:gd name="connsiteY1" fmla="*/ 19438 h 3324030"/>
            <a:gd name="connsiteX2" fmla="*/ 806709 w 2293775"/>
            <a:gd name="connsiteY2" fmla="*/ 573443 h 3324030"/>
            <a:gd name="connsiteX3" fmla="*/ 2293775 w 2293775"/>
            <a:gd name="connsiteY3" fmla="*/ 3324030 h 3324030"/>
            <a:gd name="connsiteX4" fmla="*/ 1836966 w 2293775"/>
            <a:gd name="connsiteY4" fmla="*/ 3304591 h 3324030"/>
            <a:gd name="connsiteX5" fmla="*/ 0 w 2293775"/>
            <a:gd name="connsiteY5" fmla="*/ 0 h 3324030"/>
            <a:gd name="connsiteX0" fmla="*/ 0 w 2293775"/>
            <a:gd name="connsiteY0" fmla="*/ 0 h 3324030"/>
            <a:gd name="connsiteX1" fmla="*/ 340179 w 2293775"/>
            <a:gd name="connsiteY1" fmla="*/ 19438 h 3324030"/>
            <a:gd name="connsiteX2" fmla="*/ 806709 w 2293775"/>
            <a:gd name="connsiteY2" fmla="*/ 573443 h 3324030"/>
            <a:gd name="connsiteX3" fmla="*/ 2293775 w 2293775"/>
            <a:gd name="connsiteY3" fmla="*/ 3324030 h 3324030"/>
            <a:gd name="connsiteX4" fmla="*/ 1836966 w 2293775"/>
            <a:gd name="connsiteY4" fmla="*/ 3304591 h 3324030"/>
            <a:gd name="connsiteX5" fmla="*/ 0 w 2293775"/>
            <a:gd name="connsiteY5" fmla="*/ 0 h 33240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293775" h="3324030">
              <a:moveTo>
                <a:pt x="0" y="0"/>
              </a:moveTo>
              <a:lnTo>
                <a:pt x="340179" y="19438"/>
              </a:lnTo>
              <a:cubicBezTo>
                <a:pt x="498929" y="233265"/>
                <a:pt x="647959" y="651198"/>
                <a:pt x="806709" y="573443"/>
              </a:cubicBezTo>
              <a:cubicBezTo>
                <a:pt x="1273240" y="1490305"/>
                <a:pt x="1768927" y="2378010"/>
                <a:pt x="2293775" y="3324030"/>
              </a:cubicBezTo>
              <a:lnTo>
                <a:pt x="1836966" y="3304591"/>
              </a:lnTo>
              <a:cubicBezTo>
                <a:pt x="1208445" y="2216019"/>
                <a:pt x="618802" y="1127449"/>
                <a:pt x="0" y="0"/>
              </a:cubicBezTo>
              <a:close/>
            </a:path>
          </a:pathLst>
        </a:custGeom>
        <a:solidFill xmlns:a="http://schemas.openxmlformats.org/drawingml/2006/main">
          <a:srgbClr val="D0CECE">
            <a:alpha val="61961"/>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KE" kern="1200"/>
        </a:p>
      </cdr:txBody>
    </cdr:sp>
  </cdr:relSizeAnchor>
  <cdr:relSizeAnchor xmlns:cdr="http://schemas.openxmlformats.org/drawingml/2006/chartDrawing">
    <cdr:from>
      <cdr:x>0.61659</cdr:x>
      <cdr:y>0.25396</cdr:y>
    </cdr:from>
    <cdr:to>
      <cdr:x>0.88642</cdr:x>
      <cdr:y>0.88645</cdr:y>
    </cdr:to>
    <cdr:sp macro="" textlink="">
      <cdr:nvSpPr>
        <cdr:cNvPr id="4" name="Rectangle 3">
          <a:extLst xmlns:a="http://schemas.openxmlformats.org/drawingml/2006/main">
            <a:ext uri="{FF2B5EF4-FFF2-40B4-BE49-F238E27FC236}">
              <a16:creationId xmlns:a16="http://schemas.microsoft.com/office/drawing/2014/main" id="{07930C70-B9F6-22B5-7C9F-727C6E878642}"/>
            </a:ext>
          </a:extLst>
        </cdr:cNvPr>
        <cdr:cNvSpPr/>
      </cdr:nvSpPr>
      <cdr:spPr>
        <a:xfrm xmlns:a="http://schemas.openxmlformats.org/drawingml/2006/main">
          <a:off x="5996865" y="2021568"/>
          <a:ext cx="2624233" cy="5034644"/>
        </a:xfrm>
        <a:custGeom xmlns:a="http://schemas.openxmlformats.org/drawingml/2006/main">
          <a:avLst/>
          <a:gdLst>
            <a:gd name="connsiteX0" fmla="*/ 0 w 1467627"/>
            <a:gd name="connsiteY0" fmla="*/ 0 h 5083240"/>
            <a:gd name="connsiteX1" fmla="*/ 1467627 w 1467627"/>
            <a:gd name="connsiteY1" fmla="*/ 0 h 5083240"/>
            <a:gd name="connsiteX2" fmla="*/ 1467627 w 1467627"/>
            <a:gd name="connsiteY2" fmla="*/ 5083240 h 5083240"/>
            <a:gd name="connsiteX3" fmla="*/ 0 w 1467627"/>
            <a:gd name="connsiteY3" fmla="*/ 5083240 h 5083240"/>
            <a:gd name="connsiteX4" fmla="*/ 0 w 1467627"/>
            <a:gd name="connsiteY4" fmla="*/ 0 h 5083240"/>
            <a:gd name="connsiteX0" fmla="*/ 748393 w 1467627"/>
            <a:gd name="connsiteY0" fmla="*/ 19439 h 5083240"/>
            <a:gd name="connsiteX1" fmla="*/ 1467627 w 1467627"/>
            <a:gd name="connsiteY1" fmla="*/ 0 h 5083240"/>
            <a:gd name="connsiteX2" fmla="*/ 1467627 w 1467627"/>
            <a:gd name="connsiteY2" fmla="*/ 5083240 h 5083240"/>
            <a:gd name="connsiteX3" fmla="*/ 0 w 1467627"/>
            <a:gd name="connsiteY3" fmla="*/ 5083240 h 5083240"/>
            <a:gd name="connsiteX4" fmla="*/ 748393 w 1467627"/>
            <a:gd name="connsiteY4" fmla="*/ 19439 h 5083240"/>
            <a:gd name="connsiteX0" fmla="*/ 748393 w 1535662"/>
            <a:gd name="connsiteY0" fmla="*/ 0 h 5063801"/>
            <a:gd name="connsiteX1" fmla="*/ 1535662 w 1535662"/>
            <a:gd name="connsiteY1" fmla="*/ 19438 h 5063801"/>
            <a:gd name="connsiteX2" fmla="*/ 1467627 w 1535662"/>
            <a:gd name="connsiteY2" fmla="*/ 5063801 h 5063801"/>
            <a:gd name="connsiteX3" fmla="*/ 0 w 1535662"/>
            <a:gd name="connsiteY3" fmla="*/ 5063801 h 5063801"/>
            <a:gd name="connsiteX4" fmla="*/ 748393 w 1535662"/>
            <a:gd name="connsiteY4" fmla="*/ 0 h 5063801"/>
            <a:gd name="connsiteX0" fmla="*/ 767832 w 1535662"/>
            <a:gd name="connsiteY0" fmla="*/ 9720 h 5044363"/>
            <a:gd name="connsiteX1" fmla="*/ 1535662 w 1535662"/>
            <a:gd name="connsiteY1" fmla="*/ 0 h 5044363"/>
            <a:gd name="connsiteX2" fmla="*/ 1467627 w 1535662"/>
            <a:gd name="connsiteY2" fmla="*/ 5044363 h 5044363"/>
            <a:gd name="connsiteX3" fmla="*/ 0 w 1535662"/>
            <a:gd name="connsiteY3" fmla="*/ 5044363 h 5044363"/>
            <a:gd name="connsiteX4" fmla="*/ 767832 w 1535662"/>
            <a:gd name="connsiteY4" fmla="*/ 9720 h 5044363"/>
            <a:gd name="connsiteX0" fmla="*/ 1856403 w 2624233"/>
            <a:gd name="connsiteY0" fmla="*/ 9720 h 5044363"/>
            <a:gd name="connsiteX1" fmla="*/ 2624233 w 2624233"/>
            <a:gd name="connsiteY1" fmla="*/ 0 h 5044363"/>
            <a:gd name="connsiteX2" fmla="*/ 2556198 w 2624233"/>
            <a:gd name="connsiteY2" fmla="*/ 5044363 h 5044363"/>
            <a:gd name="connsiteX3" fmla="*/ 0 w 2624233"/>
            <a:gd name="connsiteY3" fmla="*/ 5034644 h 5044363"/>
            <a:gd name="connsiteX4" fmla="*/ 1856403 w 2624233"/>
            <a:gd name="connsiteY4" fmla="*/ 9720 h 5044363"/>
            <a:gd name="connsiteX0" fmla="*/ 1856403 w 2624233"/>
            <a:gd name="connsiteY0" fmla="*/ 9720 h 5034644"/>
            <a:gd name="connsiteX1" fmla="*/ 2624233 w 2624233"/>
            <a:gd name="connsiteY1" fmla="*/ 0 h 5034644"/>
            <a:gd name="connsiteX2" fmla="*/ 758111 w 2624233"/>
            <a:gd name="connsiteY2" fmla="*/ 5005486 h 5034644"/>
            <a:gd name="connsiteX3" fmla="*/ 0 w 2624233"/>
            <a:gd name="connsiteY3" fmla="*/ 5034644 h 5034644"/>
            <a:gd name="connsiteX4" fmla="*/ 1856403 w 2624233"/>
            <a:gd name="connsiteY4" fmla="*/ 9720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1875842 w 2624233"/>
            <a:gd name="connsiteY4" fmla="*/ 19439 h 5034644"/>
            <a:gd name="connsiteX0" fmla="*/ 1875842 w 2624233"/>
            <a:gd name="connsiteY0" fmla="*/ 54300 h 5069505"/>
            <a:gd name="connsiteX1" fmla="*/ 2624233 w 2624233"/>
            <a:gd name="connsiteY1" fmla="*/ 34861 h 5069505"/>
            <a:gd name="connsiteX2" fmla="*/ 758111 w 2624233"/>
            <a:gd name="connsiteY2" fmla="*/ 5040347 h 5069505"/>
            <a:gd name="connsiteX3" fmla="*/ 0 w 2624233"/>
            <a:gd name="connsiteY3" fmla="*/ 5069505 h 5069505"/>
            <a:gd name="connsiteX4" fmla="*/ 1875842 w 2624233"/>
            <a:gd name="connsiteY4" fmla="*/ 54300 h 5069505"/>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1875842 w 2624233"/>
            <a:gd name="connsiteY4" fmla="*/ 19439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981657 w 2624233"/>
            <a:gd name="connsiteY4" fmla="*/ 1992475 h 5034644"/>
            <a:gd name="connsiteX5" fmla="*/ 1875842 w 2624233"/>
            <a:gd name="connsiteY5" fmla="*/ 19439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981657 w 2624233"/>
            <a:gd name="connsiteY4" fmla="*/ 1992475 h 5034644"/>
            <a:gd name="connsiteX5" fmla="*/ 1875842 w 2624233"/>
            <a:gd name="connsiteY5" fmla="*/ 19439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981657 w 2624233"/>
            <a:gd name="connsiteY4" fmla="*/ 1992475 h 5034644"/>
            <a:gd name="connsiteX5" fmla="*/ 1875842 w 2624233"/>
            <a:gd name="connsiteY5" fmla="*/ 19439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981657 w 2624233"/>
            <a:gd name="connsiteY4" fmla="*/ 1992475 h 5034644"/>
            <a:gd name="connsiteX5" fmla="*/ 1875842 w 2624233"/>
            <a:gd name="connsiteY5" fmla="*/ 19439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1010815 w 2624233"/>
            <a:gd name="connsiteY4" fmla="*/ 2002194 h 5034644"/>
            <a:gd name="connsiteX5" fmla="*/ 1875842 w 2624233"/>
            <a:gd name="connsiteY5" fmla="*/ 19439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1010815 w 2624233"/>
            <a:gd name="connsiteY4" fmla="*/ 2002194 h 5034644"/>
            <a:gd name="connsiteX5" fmla="*/ 1875842 w 2624233"/>
            <a:gd name="connsiteY5" fmla="*/ 19439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1010815 w 2624233"/>
            <a:gd name="connsiteY4" fmla="*/ 2002194 h 5034644"/>
            <a:gd name="connsiteX5" fmla="*/ 1875842 w 2624233"/>
            <a:gd name="connsiteY5" fmla="*/ 19439 h 5034644"/>
            <a:gd name="connsiteX0" fmla="*/ 1875842 w 2624233"/>
            <a:gd name="connsiteY0" fmla="*/ 19439 h 5034644"/>
            <a:gd name="connsiteX1" fmla="*/ 2624233 w 2624233"/>
            <a:gd name="connsiteY1" fmla="*/ 0 h 5034644"/>
            <a:gd name="connsiteX2" fmla="*/ 758111 w 2624233"/>
            <a:gd name="connsiteY2" fmla="*/ 5005486 h 5034644"/>
            <a:gd name="connsiteX3" fmla="*/ 0 w 2624233"/>
            <a:gd name="connsiteY3" fmla="*/ 5034644 h 5034644"/>
            <a:gd name="connsiteX4" fmla="*/ 1010815 w 2624233"/>
            <a:gd name="connsiteY4" fmla="*/ 2002194 h 5034644"/>
            <a:gd name="connsiteX5" fmla="*/ 1875842 w 2624233"/>
            <a:gd name="connsiteY5" fmla="*/ 19439 h 5034644"/>
            <a:gd name="connsiteX0" fmla="*/ 1875842 w 2624233"/>
            <a:gd name="connsiteY0" fmla="*/ 19439 h 5034644"/>
            <a:gd name="connsiteX1" fmla="*/ 2624233 w 2624233"/>
            <a:gd name="connsiteY1" fmla="*/ 0 h 5034644"/>
            <a:gd name="connsiteX2" fmla="*/ 738672 w 2624233"/>
            <a:gd name="connsiteY2" fmla="*/ 5024925 h 5034644"/>
            <a:gd name="connsiteX3" fmla="*/ 0 w 2624233"/>
            <a:gd name="connsiteY3" fmla="*/ 5034644 h 5034644"/>
            <a:gd name="connsiteX4" fmla="*/ 1010815 w 2624233"/>
            <a:gd name="connsiteY4" fmla="*/ 2002194 h 5034644"/>
            <a:gd name="connsiteX5" fmla="*/ 1875842 w 2624233"/>
            <a:gd name="connsiteY5" fmla="*/ 19439 h 5034644"/>
            <a:gd name="connsiteX0" fmla="*/ 1875842 w 2624233"/>
            <a:gd name="connsiteY0" fmla="*/ 19439 h 5034644"/>
            <a:gd name="connsiteX1" fmla="*/ 2624233 w 2624233"/>
            <a:gd name="connsiteY1" fmla="*/ 0 h 5034644"/>
            <a:gd name="connsiteX2" fmla="*/ 738672 w 2624233"/>
            <a:gd name="connsiteY2" fmla="*/ 5024925 h 5034644"/>
            <a:gd name="connsiteX3" fmla="*/ 0 w 2624233"/>
            <a:gd name="connsiteY3" fmla="*/ 5034644 h 5034644"/>
            <a:gd name="connsiteX4" fmla="*/ 1010815 w 2624233"/>
            <a:gd name="connsiteY4" fmla="*/ 2002194 h 5034644"/>
            <a:gd name="connsiteX5" fmla="*/ 1875842 w 2624233"/>
            <a:gd name="connsiteY5" fmla="*/ 19439 h 5034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624233" h="5034644">
              <a:moveTo>
                <a:pt x="1875842" y="19439"/>
              </a:moveTo>
              <a:cubicBezTo>
                <a:pt x="2086429" y="-6480"/>
                <a:pt x="2374769" y="6480"/>
                <a:pt x="2624233" y="0"/>
              </a:cubicBezTo>
              <a:lnTo>
                <a:pt x="738672" y="5024925"/>
              </a:lnTo>
              <a:lnTo>
                <a:pt x="0" y="5034644"/>
              </a:lnTo>
              <a:cubicBezTo>
                <a:pt x="298060" y="4059465"/>
                <a:pt x="634999" y="2987092"/>
                <a:pt x="1010815" y="2002194"/>
              </a:cubicBezTo>
              <a:cubicBezTo>
                <a:pt x="1260282" y="2044312"/>
                <a:pt x="1568060" y="667399"/>
                <a:pt x="1875842" y="19439"/>
              </a:cubicBezTo>
              <a:close/>
            </a:path>
          </a:pathLst>
        </a:custGeom>
        <a:solidFill xmlns:a="http://schemas.openxmlformats.org/drawingml/2006/main">
          <a:schemeClr val="bg2">
            <a:lumMod val="90000"/>
            <a:alpha val="61961"/>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KE" kern="1200"/>
        </a:p>
      </cdr:txBody>
    </cdr:sp>
  </cdr:relSizeAnchor>
  <cdr:relSizeAnchor xmlns:cdr="http://schemas.openxmlformats.org/drawingml/2006/chartDrawing">
    <cdr:from>
      <cdr:x>0.15113</cdr:x>
      <cdr:y>0.28111</cdr:y>
    </cdr:from>
    <cdr:to>
      <cdr:x>0.20705</cdr:x>
      <cdr:y>0.47029</cdr:y>
    </cdr:to>
    <cdr:sp macro="" textlink="">
      <cdr:nvSpPr>
        <cdr:cNvPr id="5" name="Rectangle 4">
          <a:extLst xmlns:a="http://schemas.openxmlformats.org/drawingml/2006/main">
            <a:ext uri="{FF2B5EF4-FFF2-40B4-BE49-F238E27FC236}">
              <a16:creationId xmlns:a16="http://schemas.microsoft.com/office/drawing/2014/main" id="{715222D3-4A36-2735-EFEE-22A21D587FB1}"/>
            </a:ext>
          </a:extLst>
        </cdr:cNvPr>
        <cdr:cNvSpPr/>
      </cdr:nvSpPr>
      <cdr:spPr>
        <a:xfrm xmlns:a="http://schemas.openxmlformats.org/drawingml/2006/main">
          <a:off x="1470804" y="2238571"/>
          <a:ext cx="544286" cy="1506504"/>
        </a:xfrm>
        <a:custGeom xmlns:a="http://schemas.openxmlformats.org/drawingml/2006/main">
          <a:avLst/>
          <a:gdLst>
            <a:gd name="connsiteX0" fmla="*/ 0 w 641480"/>
            <a:gd name="connsiteY0" fmla="*/ 0 h 1496785"/>
            <a:gd name="connsiteX1" fmla="*/ 641480 w 641480"/>
            <a:gd name="connsiteY1" fmla="*/ 0 h 1496785"/>
            <a:gd name="connsiteX2" fmla="*/ 641480 w 641480"/>
            <a:gd name="connsiteY2" fmla="*/ 1496785 h 1496785"/>
            <a:gd name="connsiteX3" fmla="*/ 0 w 641480"/>
            <a:gd name="connsiteY3" fmla="*/ 1496785 h 1496785"/>
            <a:gd name="connsiteX4" fmla="*/ 0 w 641480"/>
            <a:gd name="connsiteY4" fmla="*/ 0 h 1496785"/>
            <a:gd name="connsiteX0" fmla="*/ 68036 w 641480"/>
            <a:gd name="connsiteY0" fmla="*/ 29158 h 1496785"/>
            <a:gd name="connsiteX1" fmla="*/ 641480 w 641480"/>
            <a:gd name="connsiteY1" fmla="*/ 0 h 1496785"/>
            <a:gd name="connsiteX2" fmla="*/ 641480 w 641480"/>
            <a:gd name="connsiteY2" fmla="*/ 1496785 h 1496785"/>
            <a:gd name="connsiteX3" fmla="*/ 0 w 641480"/>
            <a:gd name="connsiteY3" fmla="*/ 1496785 h 1496785"/>
            <a:gd name="connsiteX4" fmla="*/ 68036 w 641480"/>
            <a:gd name="connsiteY4" fmla="*/ 29158 h 1496785"/>
            <a:gd name="connsiteX0" fmla="*/ 0 w 573444"/>
            <a:gd name="connsiteY0" fmla="*/ 29158 h 1496785"/>
            <a:gd name="connsiteX1" fmla="*/ 573444 w 573444"/>
            <a:gd name="connsiteY1" fmla="*/ 0 h 1496785"/>
            <a:gd name="connsiteX2" fmla="*/ 573444 w 573444"/>
            <a:gd name="connsiteY2" fmla="*/ 1496785 h 1496785"/>
            <a:gd name="connsiteX3" fmla="*/ 0 w 573444"/>
            <a:gd name="connsiteY3" fmla="*/ 1477346 h 1496785"/>
            <a:gd name="connsiteX4" fmla="*/ 0 w 573444"/>
            <a:gd name="connsiteY4" fmla="*/ 29158 h 1496785"/>
            <a:gd name="connsiteX0" fmla="*/ 0 w 573444"/>
            <a:gd name="connsiteY0" fmla="*/ 29158 h 1477346"/>
            <a:gd name="connsiteX1" fmla="*/ 573444 w 573444"/>
            <a:gd name="connsiteY1" fmla="*/ 0 h 1477346"/>
            <a:gd name="connsiteX2" fmla="*/ 330459 w 573444"/>
            <a:gd name="connsiteY2" fmla="*/ 1448188 h 1477346"/>
            <a:gd name="connsiteX3" fmla="*/ 0 w 573444"/>
            <a:gd name="connsiteY3" fmla="*/ 1477346 h 1477346"/>
            <a:gd name="connsiteX4" fmla="*/ 0 w 573444"/>
            <a:gd name="connsiteY4" fmla="*/ 29158 h 1477346"/>
            <a:gd name="connsiteX0" fmla="*/ 0 w 544286"/>
            <a:gd name="connsiteY0" fmla="*/ 9719 h 1457907"/>
            <a:gd name="connsiteX1" fmla="*/ 544286 w 544286"/>
            <a:gd name="connsiteY1" fmla="*/ 0 h 1457907"/>
            <a:gd name="connsiteX2" fmla="*/ 330459 w 544286"/>
            <a:gd name="connsiteY2" fmla="*/ 1428749 h 1457907"/>
            <a:gd name="connsiteX3" fmla="*/ 0 w 544286"/>
            <a:gd name="connsiteY3" fmla="*/ 1457907 h 1457907"/>
            <a:gd name="connsiteX4" fmla="*/ 0 w 544286"/>
            <a:gd name="connsiteY4" fmla="*/ 9719 h 1457907"/>
            <a:gd name="connsiteX0" fmla="*/ 0 w 544286"/>
            <a:gd name="connsiteY0" fmla="*/ 9719 h 1467627"/>
            <a:gd name="connsiteX1" fmla="*/ 544286 w 544286"/>
            <a:gd name="connsiteY1" fmla="*/ 0 h 1467627"/>
            <a:gd name="connsiteX2" fmla="*/ 330459 w 544286"/>
            <a:gd name="connsiteY2" fmla="*/ 1467627 h 1467627"/>
            <a:gd name="connsiteX3" fmla="*/ 0 w 544286"/>
            <a:gd name="connsiteY3" fmla="*/ 1457907 h 1467627"/>
            <a:gd name="connsiteX4" fmla="*/ 0 w 544286"/>
            <a:gd name="connsiteY4" fmla="*/ 9719 h 1467627"/>
            <a:gd name="connsiteX0" fmla="*/ 0 w 544286"/>
            <a:gd name="connsiteY0" fmla="*/ 9719 h 1496784"/>
            <a:gd name="connsiteX1" fmla="*/ 544286 w 544286"/>
            <a:gd name="connsiteY1" fmla="*/ 0 h 1496784"/>
            <a:gd name="connsiteX2" fmla="*/ 330459 w 544286"/>
            <a:gd name="connsiteY2" fmla="*/ 1467627 h 1496784"/>
            <a:gd name="connsiteX3" fmla="*/ 0 w 544286"/>
            <a:gd name="connsiteY3" fmla="*/ 1496784 h 1496784"/>
            <a:gd name="connsiteX4" fmla="*/ 0 w 544286"/>
            <a:gd name="connsiteY4" fmla="*/ 9719 h 1496784"/>
            <a:gd name="connsiteX0" fmla="*/ 0 w 573444"/>
            <a:gd name="connsiteY0" fmla="*/ 29158 h 1516223"/>
            <a:gd name="connsiteX1" fmla="*/ 573444 w 573444"/>
            <a:gd name="connsiteY1" fmla="*/ 0 h 1516223"/>
            <a:gd name="connsiteX2" fmla="*/ 330459 w 573444"/>
            <a:gd name="connsiteY2" fmla="*/ 1487066 h 1516223"/>
            <a:gd name="connsiteX3" fmla="*/ 0 w 573444"/>
            <a:gd name="connsiteY3" fmla="*/ 1516223 h 1516223"/>
            <a:gd name="connsiteX4" fmla="*/ 0 w 573444"/>
            <a:gd name="connsiteY4" fmla="*/ 29158 h 1516223"/>
            <a:gd name="connsiteX0" fmla="*/ 0 w 544286"/>
            <a:gd name="connsiteY0" fmla="*/ 19439 h 1506504"/>
            <a:gd name="connsiteX1" fmla="*/ 544286 w 544286"/>
            <a:gd name="connsiteY1" fmla="*/ 0 h 1506504"/>
            <a:gd name="connsiteX2" fmla="*/ 330459 w 544286"/>
            <a:gd name="connsiteY2" fmla="*/ 1477347 h 1506504"/>
            <a:gd name="connsiteX3" fmla="*/ 0 w 544286"/>
            <a:gd name="connsiteY3" fmla="*/ 1506504 h 1506504"/>
            <a:gd name="connsiteX4" fmla="*/ 0 w 544286"/>
            <a:gd name="connsiteY4" fmla="*/ 19439 h 15065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44286" h="1506504">
              <a:moveTo>
                <a:pt x="0" y="19439"/>
              </a:moveTo>
              <a:lnTo>
                <a:pt x="544286" y="0"/>
              </a:lnTo>
              <a:lnTo>
                <a:pt x="330459" y="1477347"/>
              </a:lnTo>
              <a:lnTo>
                <a:pt x="0" y="1506504"/>
              </a:lnTo>
              <a:lnTo>
                <a:pt x="0" y="19439"/>
              </a:lnTo>
              <a:close/>
            </a:path>
          </a:pathLst>
        </a:custGeom>
        <a:solidFill xmlns:a="http://schemas.openxmlformats.org/drawingml/2006/main">
          <a:schemeClr val="bg2">
            <a:lumMod val="9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KE" kern="1200"/>
        </a:p>
      </cdr:txBody>
    </cdr:sp>
  </cdr:relSizeAnchor>
  <cdr:relSizeAnchor xmlns:cdr="http://schemas.openxmlformats.org/drawingml/2006/chartDrawing">
    <cdr:from>
      <cdr:x>0.15003</cdr:x>
      <cdr:y>0.21509</cdr:y>
    </cdr:from>
    <cdr:to>
      <cdr:x>0.43376</cdr:x>
      <cdr:y>0.28588</cdr:y>
    </cdr:to>
    <cdr:sp macro="" textlink="">
      <cdr:nvSpPr>
        <cdr:cNvPr id="6" name="Rectangle 5">
          <a:extLst xmlns:a="http://schemas.openxmlformats.org/drawingml/2006/main">
            <a:ext uri="{FF2B5EF4-FFF2-40B4-BE49-F238E27FC236}">
              <a16:creationId xmlns:a16="http://schemas.microsoft.com/office/drawing/2014/main" id="{23CF0D75-76AB-0520-F1A6-020E82BB7C58}"/>
            </a:ext>
          </a:extLst>
        </cdr:cNvPr>
        <cdr:cNvSpPr/>
      </cdr:nvSpPr>
      <cdr:spPr>
        <a:xfrm xmlns:a="http://schemas.openxmlformats.org/drawingml/2006/main">
          <a:off x="1460111" y="1712815"/>
          <a:ext cx="2761278" cy="563725"/>
        </a:xfrm>
        <a:custGeom xmlns:a="http://schemas.openxmlformats.org/drawingml/2006/main">
          <a:avLst/>
          <a:gdLst>
            <a:gd name="connsiteX0" fmla="*/ 0 w 2226712"/>
            <a:gd name="connsiteY0" fmla="*/ 0 h 514219"/>
            <a:gd name="connsiteX1" fmla="*/ 2226712 w 2226712"/>
            <a:gd name="connsiteY1" fmla="*/ 0 h 514219"/>
            <a:gd name="connsiteX2" fmla="*/ 2226712 w 2226712"/>
            <a:gd name="connsiteY2" fmla="*/ 514219 h 514219"/>
            <a:gd name="connsiteX3" fmla="*/ 0 w 2226712"/>
            <a:gd name="connsiteY3" fmla="*/ 514219 h 514219"/>
            <a:gd name="connsiteX4" fmla="*/ 0 w 2226712"/>
            <a:gd name="connsiteY4" fmla="*/ 0 h 514219"/>
            <a:gd name="connsiteX0" fmla="*/ 0 w 2829314"/>
            <a:gd name="connsiteY0" fmla="*/ 0 h 514219"/>
            <a:gd name="connsiteX1" fmla="*/ 2226712 w 2829314"/>
            <a:gd name="connsiteY1" fmla="*/ 0 h 514219"/>
            <a:gd name="connsiteX2" fmla="*/ 2829314 w 2829314"/>
            <a:gd name="connsiteY2" fmla="*/ 18530 h 514219"/>
            <a:gd name="connsiteX3" fmla="*/ 0 w 2829314"/>
            <a:gd name="connsiteY3" fmla="*/ 514219 h 514219"/>
            <a:gd name="connsiteX4" fmla="*/ 0 w 2829314"/>
            <a:gd name="connsiteY4" fmla="*/ 0 h 514219"/>
            <a:gd name="connsiteX0" fmla="*/ 0 w 2829314"/>
            <a:gd name="connsiteY0" fmla="*/ 0 h 572536"/>
            <a:gd name="connsiteX1" fmla="*/ 2226712 w 2829314"/>
            <a:gd name="connsiteY1" fmla="*/ 0 h 572536"/>
            <a:gd name="connsiteX2" fmla="*/ 2829314 w 2829314"/>
            <a:gd name="connsiteY2" fmla="*/ 18530 h 572536"/>
            <a:gd name="connsiteX3" fmla="*/ 9719 w 2829314"/>
            <a:gd name="connsiteY3" fmla="*/ 572536 h 572536"/>
            <a:gd name="connsiteX4" fmla="*/ 0 w 2829314"/>
            <a:gd name="connsiteY4" fmla="*/ 0 h 572536"/>
            <a:gd name="connsiteX0" fmla="*/ 0 w 2829314"/>
            <a:gd name="connsiteY0" fmla="*/ 0 h 572536"/>
            <a:gd name="connsiteX1" fmla="*/ 2226712 w 2829314"/>
            <a:gd name="connsiteY1" fmla="*/ 0 h 572536"/>
            <a:gd name="connsiteX2" fmla="*/ 2829314 w 2829314"/>
            <a:gd name="connsiteY2" fmla="*/ 18530 h 572536"/>
            <a:gd name="connsiteX3" fmla="*/ 9719 w 2829314"/>
            <a:gd name="connsiteY3" fmla="*/ 572536 h 572536"/>
            <a:gd name="connsiteX4" fmla="*/ 0 w 2829314"/>
            <a:gd name="connsiteY4" fmla="*/ 0 h 572536"/>
            <a:gd name="connsiteX0" fmla="*/ 554005 w 2819595"/>
            <a:gd name="connsiteY0" fmla="*/ 427653 h 572536"/>
            <a:gd name="connsiteX1" fmla="*/ 2216993 w 2819595"/>
            <a:gd name="connsiteY1" fmla="*/ 0 h 572536"/>
            <a:gd name="connsiteX2" fmla="*/ 2819595 w 2819595"/>
            <a:gd name="connsiteY2" fmla="*/ 18530 h 572536"/>
            <a:gd name="connsiteX3" fmla="*/ 0 w 2819595"/>
            <a:gd name="connsiteY3" fmla="*/ 572536 h 572536"/>
            <a:gd name="connsiteX4" fmla="*/ 554005 w 2819595"/>
            <a:gd name="connsiteY4" fmla="*/ 427653 h 572536"/>
            <a:gd name="connsiteX0" fmla="*/ 554005 w 2819595"/>
            <a:gd name="connsiteY0" fmla="*/ 409123 h 554006"/>
            <a:gd name="connsiteX1" fmla="*/ 2216993 w 2819595"/>
            <a:gd name="connsiteY1" fmla="*/ 10628 h 554006"/>
            <a:gd name="connsiteX2" fmla="*/ 2819595 w 2819595"/>
            <a:gd name="connsiteY2" fmla="*/ 0 h 554006"/>
            <a:gd name="connsiteX3" fmla="*/ 0 w 2819595"/>
            <a:gd name="connsiteY3" fmla="*/ 554006 h 554006"/>
            <a:gd name="connsiteX4" fmla="*/ 554005 w 2819595"/>
            <a:gd name="connsiteY4" fmla="*/ 409123 h 554006"/>
            <a:gd name="connsiteX0" fmla="*/ 505408 w 2819595"/>
            <a:gd name="connsiteY0" fmla="*/ 399404 h 554006"/>
            <a:gd name="connsiteX1" fmla="*/ 2216993 w 2819595"/>
            <a:gd name="connsiteY1" fmla="*/ 10628 h 554006"/>
            <a:gd name="connsiteX2" fmla="*/ 2819595 w 2819595"/>
            <a:gd name="connsiteY2" fmla="*/ 0 h 554006"/>
            <a:gd name="connsiteX3" fmla="*/ 0 w 2819595"/>
            <a:gd name="connsiteY3" fmla="*/ 554006 h 554006"/>
            <a:gd name="connsiteX4" fmla="*/ 505408 w 2819595"/>
            <a:gd name="connsiteY4" fmla="*/ 399404 h 554006"/>
            <a:gd name="connsiteX0" fmla="*/ 505408 w 2761278"/>
            <a:gd name="connsiteY0" fmla="*/ 409123 h 563725"/>
            <a:gd name="connsiteX1" fmla="*/ 2216993 w 2761278"/>
            <a:gd name="connsiteY1" fmla="*/ 20347 h 563725"/>
            <a:gd name="connsiteX2" fmla="*/ 2761278 w 2761278"/>
            <a:gd name="connsiteY2" fmla="*/ 0 h 563725"/>
            <a:gd name="connsiteX3" fmla="*/ 0 w 2761278"/>
            <a:gd name="connsiteY3" fmla="*/ 563725 h 563725"/>
            <a:gd name="connsiteX4" fmla="*/ 505408 w 2761278"/>
            <a:gd name="connsiteY4" fmla="*/ 409123 h 5637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61278" h="563725">
              <a:moveTo>
                <a:pt x="505408" y="409123"/>
              </a:moveTo>
              <a:lnTo>
                <a:pt x="2216993" y="20347"/>
              </a:lnTo>
              <a:lnTo>
                <a:pt x="2761278" y="0"/>
              </a:lnTo>
              <a:cubicBezTo>
                <a:pt x="1821413" y="184669"/>
                <a:pt x="949584" y="515128"/>
                <a:pt x="0" y="563725"/>
              </a:cubicBezTo>
              <a:lnTo>
                <a:pt x="505408" y="409123"/>
              </a:lnTo>
              <a:close/>
            </a:path>
          </a:pathLst>
        </a:custGeom>
        <a:solidFill xmlns:a="http://schemas.openxmlformats.org/drawingml/2006/main">
          <a:schemeClr val="bg2">
            <a:lumMod val="90000"/>
            <a:alpha val="61961"/>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KE" kern="1200"/>
        </a:p>
      </cdr:txBody>
    </cdr:sp>
  </cdr:relSizeAnchor>
  <cdr:relSizeAnchor xmlns:cdr="http://schemas.openxmlformats.org/drawingml/2006/chartDrawing">
    <cdr:from>
      <cdr:x>0.58845</cdr:x>
      <cdr:y>0.21886</cdr:y>
    </cdr:from>
    <cdr:to>
      <cdr:x>0.88417</cdr:x>
      <cdr:y>0.25792</cdr:y>
    </cdr:to>
    <cdr:sp macro="" textlink="">
      <cdr:nvSpPr>
        <cdr:cNvPr id="16" name="Rectangle 15">
          <a:extLst xmlns:a="http://schemas.openxmlformats.org/drawingml/2006/main">
            <a:ext uri="{FF2B5EF4-FFF2-40B4-BE49-F238E27FC236}">
              <a16:creationId xmlns:a16="http://schemas.microsoft.com/office/drawing/2014/main" id="{23CF0D75-76AB-0520-F1A6-020E82BB7C58}"/>
            </a:ext>
          </a:extLst>
        </cdr:cNvPr>
        <cdr:cNvSpPr/>
      </cdr:nvSpPr>
      <cdr:spPr>
        <a:xfrm xmlns:a="http://schemas.openxmlformats.org/drawingml/2006/main">
          <a:off x="5726921" y="1742882"/>
          <a:ext cx="2877912" cy="311020"/>
        </a:xfrm>
        <a:custGeom xmlns:a="http://schemas.openxmlformats.org/drawingml/2006/main">
          <a:avLst/>
          <a:gdLst>
            <a:gd name="connsiteX0" fmla="*/ 0 w 3130616"/>
            <a:gd name="connsiteY0" fmla="*/ 0 h 379056"/>
            <a:gd name="connsiteX1" fmla="*/ 3130616 w 3130616"/>
            <a:gd name="connsiteY1" fmla="*/ 0 h 379056"/>
            <a:gd name="connsiteX2" fmla="*/ 3130616 w 3130616"/>
            <a:gd name="connsiteY2" fmla="*/ 379056 h 379056"/>
            <a:gd name="connsiteX3" fmla="*/ 0 w 3130616"/>
            <a:gd name="connsiteY3" fmla="*/ 379056 h 379056"/>
            <a:gd name="connsiteX4" fmla="*/ 0 w 3130616"/>
            <a:gd name="connsiteY4" fmla="*/ 0 h 379056"/>
            <a:gd name="connsiteX0" fmla="*/ 0 w 3130616"/>
            <a:gd name="connsiteY0" fmla="*/ 0 h 379056"/>
            <a:gd name="connsiteX1" fmla="*/ 3130616 w 3130616"/>
            <a:gd name="connsiteY1" fmla="*/ 0 h 379056"/>
            <a:gd name="connsiteX2" fmla="*/ 3130616 w 3130616"/>
            <a:gd name="connsiteY2" fmla="*/ 379056 h 379056"/>
            <a:gd name="connsiteX3" fmla="*/ 495689 w 3130616"/>
            <a:gd name="connsiteY3" fmla="*/ 116633 h 379056"/>
            <a:gd name="connsiteX4" fmla="*/ 0 w 3130616"/>
            <a:gd name="connsiteY4" fmla="*/ 0 h 379056"/>
            <a:gd name="connsiteX0" fmla="*/ 0 w 3130616"/>
            <a:gd name="connsiteY0" fmla="*/ 0 h 379056"/>
            <a:gd name="connsiteX1" fmla="*/ 3130616 w 3130616"/>
            <a:gd name="connsiteY1" fmla="*/ 0 h 379056"/>
            <a:gd name="connsiteX2" fmla="*/ 3130616 w 3130616"/>
            <a:gd name="connsiteY2" fmla="*/ 379056 h 379056"/>
            <a:gd name="connsiteX3" fmla="*/ 495689 w 3130616"/>
            <a:gd name="connsiteY3" fmla="*/ 116633 h 379056"/>
            <a:gd name="connsiteX4" fmla="*/ 0 w 3130616"/>
            <a:gd name="connsiteY4" fmla="*/ 0 h 379056"/>
            <a:gd name="connsiteX0" fmla="*/ 0 w 3130616"/>
            <a:gd name="connsiteY0" fmla="*/ 0 h 379056"/>
            <a:gd name="connsiteX1" fmla="*/ 3120897 w 3130616"/>
            <a:gd name="connsiteY1" fmla="*/ 301301 h 379056"/>
            <a:gd name="connsiteX2" fmla="*/ 3130616 w 3130616"/>
            <a:gd name="connsiteY2" fmla="*/ 379056 h 379056"/>
            <a:gd name="connsiteX3" fmla="*/ 495689 w 3130616"/>
            <a:gd name="connsiteY3" fmla="*/ 116633 h 379056"/>
            <a:gd name="connsiteX4" fmla="*/ 0 w 3130616"/>
            <a:gd name="connsiteY4" fmla="*/ 0 h 379056"/>
            <a:gd name="connsiteX0" fmla="*/ 0 w 3130616"/>
            <a:gd name="connsiteY0" fmla="*/ 0 h 379056"/>
            <a:gd name="connsiteX1" fmla="*/ 3120897 w 3130616"/>
            <a:gd name="connsiteY1" fmla="*/ 301301 h 379056"/>
            <a:gd name="connsiteX2" fmla="*/ 3130616 w 3130616"/>
            <a:gd name="connsiteY2" fmla="*/ 379056 h 379056"/>
            <a:gd name="connsiteX3" fmla="*/ 495689 w 3130616"/>
            <a:gd name="connsiteY3" fmla="*/ 116633 h 379056"/>
            <a:gd name="connsiteX4" fmla="*/ 0 w 3130616"/>
            <a:gd name="connsiteY4" fmla="*/ 0 h 379056"/>
            <a:gd name="connsiteX0" fmla="*/ 0 w 2945948"/>
            <a:gd name="connsiteY0" fmla="*/ 0 h 311020"/>
            <a:gd name="connsiteX1" fmla="*/ 2936229 w 2945948"/>
            <a:gd name="connsiteY1" fmla="*/ 233265 h 311020"/>
            <a:gd name="connsiteX2" fmla="*/ 2945948 w 2945948"/>
            <a:gd name="connsiteY2" fmla="*/ 311020 h 311020"/>
            <a:gd name="connsiteX3" fmla="*/ 311021 w 2945948"/>
            <a:gd name="connsiteY3" fmla="*/ 48597 h 311020"/>
            <a:gd name="connsiteX4" fmla="*/ 0 w 2945948"/>
            <a:gd name="connsiteY4" fmla="*/ 0 h 311020"/>
            <a:gd name="connsiteX0" fmla="*/ 0 w 2936229"/>
            <a:gd name="connsiteY0" fmla="*/ 0 h 311020"/>
            <a:gd name="connsiteX1" fmla="*/ 2936229 w 2936229"/>
            <a:gd name="connsiteY1" fmla="*/ 233265 h 311020"/>
            <a:gd name="connsiteX2" fmla="*/ 2877912 w 2936229"/>
            <a:gd name="connsiteY2" fmla="*/ 311020 h 311020"/>
            <a:gd name="connsiteX3" fmla="*/ 311021 w 2936229"/>
            <a:gd name="connsiteY3" fmla="*/ 48597 h 311020"/>
            <a:gd name="connsiteX4" fmla="*/ 0 w 2936229"/>
            <a:gd name="connsiteY4" fmla="*/ 0 h 311020"/>
            <a:gd name="connsiteX0" fmla="*/ 0 w 2877912"/>
            <a:gd name="connsiteY0" fmla="*/ 0 h 311020"/>
            <a:gd name="connsiteX1" fmla="*/ 2868193 w 2877912"/>
            <a:gd name="connsiteY1" fmla="*/ 262423 h 311020"/>
            <a:gd name="connsiteX2" fmla="*/ 2877912 w 2877912"/>
            <a:gd name="connsiteY2" fmla="*/ 311020 h 311020"/>
            <a:gd name="connsiteX3" fmla="*/ 311021 w 2877912"/>
            <a:gd name="connsiteY3" fmla="*/ 48597 h 311020"/>
            <a:gd name="connsiteX4" fmla="*/ 0 w 2877912"/>
            <a:gd name="connsiteY4" fmla="*/ 0 h 311020"/>
            <a:gd name="connsiteX0" fmla="*/ 0 w 2877912"/>
            <a:gd name="connsiteY0" fmla="*/ 0 h 311020"/>
            <a:gd name="connsiteX1" fmla="*/ 2868193 w 2877912"/>
            <a:gd name="connsiteY1" fmla="*/ 262423 h 311020"/>
            <a:gd name="connsiteX2" fmla="*/ 2877912 w 2877912"/>
            <a:gd name="connsiteY2" fmla="*/ 311020 h 311020"/>
            <a:gd name="connsiteX3" fmla="*/ 311021 w 2877912"/>
            <a:gd name="connsiteY3" fmla="*/ 48597 h 311020"/>
            <a:gd name="connsiteX4" fmla="*/ 0 w 2877912"/>
            <a:gd name="connsiteY4" fmla="*/ 0 h 3110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877912" h="311020">
              <a:moveTo>
                <a:pt x="0" y="0"/>
              </a:moveTo>
              <a:lnTo>
                <a:pt x="2868193" y="262423"/>
              </a:lnTo>
              <a:lnTo>
                <a:pt x="2877912" y="311020"/>
              </a:lnTo>
              <a:cubicBezTo>
                <a:pt x="1999603" y="223546"/>
                <a:pt x="1169891" y="194388"/>
                <a:pt x="311021" y="48597"/>
              </a:cubicBezTo>
              <a:lnTo>
                <a:pt x="0" y="0"/>
              </a:lnTo>
              <a:close/>
            </a:path>
          </a:pathLst>
        </a:custGeom>
        <a:solidFill xmlns:a="http://schemas.openxmlformats.org/drawingml/2006/main">
          <a:srgbClr val="D0CECE">
            <a:alpha val="61961"/>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KE" kern="1200"/>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21</xdr:col>
      <xdr:colOff>0</xdr:colOff>
      <xdr:row>4</xdr:row>
      <xdr:rowOff>0</xdr:rowOff>
    </xdr:from>
    <xdr:to>
      <xdr:col>29</xdr:col>
      <xdr:colOff>562220</xdr:colOff>
      <xdr:row>14</xdr:row>
      <xdr:rowOff>73063</xdr:rowOff>
    </xdr:to>
    <xdr:pic>
      <xdr:nvPicPr>
        <xdr:cNvPr id="2" name="Image 88">
          <a:extLst>
            <a:ext uri="{FF2B5EF4-FFF2-40B4-BE49-F238E27FC236}">
              <a16:creationId xmlns:a16="http://schemas.microsoft.com/office/drawing/2014/main" id="{3C47A1FC-0B24-4473-BF54-27FB5C6CB563}"/>
            </a:ext>
          </a:extLst>
        </xdr:cNvPr>
        <xdr:cNvPicPr>
          <a:picLocks/>
        </xdr:cNvPicPr>
      </xdr:nvPicPr>
      <xdr:blipFill>
        <a:blip xmlns:r="http://schemas.openxmlformats.org/officeDocument/2006/relationships" r:embed="rId1" cstate="print"/>
        <a:stretch>
          <a:fillRect/>
        </a:stretch>
      </xdr:blipFill>
      <xdr:spPr>
        <a:xfrm>
          <a:off x="15230475" y="742950"/>
          <a:ext cx="5439020" cy="189339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F0765A-DD2C-4B53-8940-176853E80D6C}" name="Combined_IATA_Codes" displayName="Combined_IATA_Codes" ref="B2:D7807" totalsRowShown="0" headerRowDxfId="8" dataDxfId="7">
  <autoFilter ref="B2:D7807" xr:uid="{4B05B9C6-A50D-4A46-8159-BB4A667E7B29}"/>
  <tableColumns count="3">
    <tableColumn id="1" xr3:uid="{1F982BE9-DD91-47EA-BEAB-4D5E958A7770}" name="IATA" dataDxfId="6"/>
    <tableColumn id="2" xr3:uid="{294E5498-09A3-4862-9EEA-9AFC08378EFA}" name="ICAO" dataDxfId="5"/>
    <tableColumn id="3" xr3:uid="{A2097B9D-C3CB-4416-A40E-FE57DF84FEBC}" name="NAME" dataDxfId="4"/>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ACE0D-014D-45A2-B508-7CEAE8C03585}">
  <sheetPr codeName="Sheet10">
    <pageSetUpPr fitToPage="1"/>
  </sheetPr>
  <dimension ref="A1:XFC85"/>
  <sheetViews>
    <sheetView showGridLines="0" tabSelected="1" zoomScale="59" zoomScaleNormal="59" zoomScalePageLayoutView="60" workbookViewId="0">
      <selection activeCell="E11" sqref="E11"/>
    </sheetView>
  </sheetViews>
  <sheetFormatPr defaultColWidth="0" defaultRowHeight="18.5" customHeight="1" zeroHeight="1" x14ac:dyDescent="0.45"/>
  <cols>
    <col min="1" max="1" width="3.90625" style="63" customWidth="1"/>
    <col min="2" max="2" width="35.7265625" style="82" bestFit="1" customWidth="1"/>
    <col min="3" max="3" width="30.6328125" style="82" bestFit="1" customWidth="1"/>
    <col min="4" max="4" width="22.7265625" style="82" bestFit="1" customWidth="1"/>
    <col min="5" max="5" width="20" style="82" customWidth="1"/>
    <col min="6" max="6" width="19.08984375" style="82" customWidth="1"/>
    <col min="7" max="8" width="19.08984375" style="81" customWidth="1"/>
    <col min="9" max="9" width="22.08984375" style="81" bestFit="1" customWidth="1"/>
    <col min="10" max="10" width="22.7265625" style="81" customWidth="1"/>
    <col min="11" max="15" width="19.08984375" style="81" customWidth="1"/>
    <col min="16" max="16" width="22.36328125" style="81" customWidth="1"/>
    <col min="17" max="17" width="28.36328125" style="82" bestFit="1" customWidth="1"/>
    <col min="18" max="18" width="25.453125" style="82" bestFit="1" customWidth="1"/>
    <col min="19" max="19" width="21.1796875" style="82" customWidth="1"/>
    <col min="20" max="20" width="13.6328125" style="82" customWidth="1"/>
    <col min="21" max="22" width="13.6328125" style="82" hidden="1"/>
    <col min="23" max="23" width="3.90625" style="82" hidden="1"/>
    <col min="24" max="16383" width="13.81640625" style="82" hidden="1"/>
    <col min="16384" max="16384" width="10.81640625" style="82" hidden="1"/>
  </cols>
  <sheetData>
    <row r="1" spans="1:20" s="63" customFormat="1" ht="19" thickBot="1" x14ac:dyDescent="0.5">
      <c r="A1" s="431"/>
      <c r="P1" s="82"/>
      <c r="Q1" s="82"/>
      <c r="R1" s="82"/>
      <c r="S1" s="82"/>
      <c r="T1" s="82"/>
    </row>
    <row r="2" spans="1:20" s="63" customFormat="1" ht="24" customHeight="1" x14ac:dyDescent="0.45">
      <c r="A2" s="431"/>
      <c r="B2" s="64" t="s">
        <v>23237</v>
      </c>
      <c r="C2" s="65"/>
      <c r="I2" s="432"/>
      <c r="J2" s="432"/>
      <c r="K2" s="67"/>
      <c r="P2" s="370"/>
      <c r="Q2" s="370"/>
      <c r="R2" s="370"/>
      <c r="S2" s="370"/>
      <c r="T2" s="370"/>
    </row>
    <row r="3" spans="1:20" s="63" customFormat="1" ht="24" customHeight="1" thickBot="1" x14ac:dyDescent="0.5">
      <c r="A3" s="431"/>
      <c r="B3" s="354" t="s">
        <v>23431</v>
      </c>
      <c r="C3" s="69"/>
      <c r="I3" s="66"/>
      <c r="J3" s="66"/>
      <c r="K3" s="67"/>
      <c r="P3" s="370"/>
      <c r="Q3" s="370"/>
      <c r="R3" s="370"/>
      <c r="S3" s="370"/>
      <c r="T3" s="370"/>
    </row>
    <row r="4" spans="1:20" s="63" customFormat="1" ht="24" customHeight="1" thickBot="1" x14ac:dyDescent="0.5">
      <c r="A4" s="431"/>
      <c r="B4" s="68" t="s">
        <v>23238</v>
      </c>
      <c r="C4" s="69"/>
      <c r="I4" s="66"/>
      <c r="J4" s="66"/>
      <c r="K4" s="67"/>
      <c r="P4" s="370"/>
      <c r="Q4" s="396" t="s">
        <v>23445</v>
      </c>
      <c r="R4" s="397" t="s">
        <v>23446</v>
      </c>
      <c r="S4" s="370"/>
      <c r="T4" s="370"/>
    </row>
    <row r="5" spans="1:20" s="63" customFormat="1" ht="19" customHeight="1" thickTop="1" thickBot="1" x14ac:dyDescent="0.55000000000000004">
      <c r="A5" s="431"/>
      <c r="B5" s="70" t="s">
        <v>23239</v>
      </c>
      <c r="C5" s="71">
        <v>45790</v>
      </c>
      <c r="F5" s="72" t="s">
        <v>23240</v>
      </c>
      <c r="I5" s="433" t="s">
        <v>23241</v>
      </c>
      <c r="J5" s="434"/>
      <c r="K5" s="73" t="s">
        <v>23378</v>
      </c>
      <c r="O5" s="74" t="s">
        <v>23384</v>
      </c>
      <c r="P5" s="370"/>
      <c r="Q5" s="462">
        <f>SUM('Load Sheet'!$G$48/2.205)</f>
        <v>43444.444444444445</v>
      </c>
      <c r="R5" s="464"/>
      <c r="S5" s="370"/>
      <c r="T5" s="370"/>
    </row>
    <row r="6" spans="1:20" s="63" customFormat="1" ht="19" thickBot="1" x14ac:dyDescent="0.5">
      <c r="A6" s="431"/>
      <c r="B6" s="70" t="s">
        <v>23242</v>
      </c>
      <c r="C6" s="75" t="s">
        <v>13333</v>
      </c>
      <c r="D6" s="76" t="s">
        <v>23242</v>
      </c>
      <c r="E6" s="435" t="str">
        <f>IFERROR(VLOOKUP(C6,'Combined IATA Codes'!$B$3:$D$7807,3,FALSE),"")</f>
        <v>Jomo Kenyatta International Airport</v>
      </c>
      <c r="F6" s="436"/>
      <c r="G6" s="437"/>
      <c r="I6" s="448" t="s">
        <v>23253</v>
      </c>
      <c r="J6" s="449"/>
      <c r="K6" s="475">
        <v>110000</v>
      </c>
      <c r="M6" s="467" t="s">
        <v>23437</v>
      </c>
      <c r="N6" s="468"/>
      <c r="O6" s="78">
        <v>67</v>
      </c>
      <c r="P6" s="370"/>
      <c r="Q6" s="463"/>
      <c r="R6" s="465"/>
      <c r="S6" s="370"/>
      <c r="T6" s="370"/>
    </row>
    <row r="7" spans="1:20" s="63" customFormat="1" ht="19" thickBot="1" x14ac:dyDescent="0.5">
      <c r="A7" s="431"/>
      <c r="B7" s="70" t="s">
        <v>23243</v>
      </c>
      <c r="C7" s="75" t="s">
        <v>17712</v>
      </c>
      <c r="D7" s="79" t="s">
        <v>23243</v>
      </c>
      <c r="E7" s="435" t="str">
        <f>IFERROR(VLOOKUP(C7,'Combined IATA Codes'!$B$3:$D$7807,3,FALSE),"")</f>
        <v>Sharjah International Airport</v>
      </c>
      <c r="F7" s="436"/>
      <c r="G7" s="437"/>
      <c r="I7" s="473"/>
      <c r="J7" s="474"/>
      <c r="K7" s="476"/>
      <c r="M7" s="469" t="s">
        <v>23244</v>
      </c>
      <c r="N7" s="470"/>
      <c r="O7" s="80">
        <v>67</v>
      </c>
      <c r="P7" s="370"/>
      <c r="Q7" s="370"/>
      <c r="R7" s="370"/>
      <c r="S7" s="370"/>
      <c r="T7" s="370"/>
    </row>
    <row r="8" spans="1:20" s="63" customFormat="1" ht="19" thickBot="1" x14ac:dyDescent="0.5">
      <c r="A8" s="431"/>
      <c r="B8" s="70" t="s">
        <v>23245</v>
      </c>
      <c r="C8" s="75" t="s">
        <v>23454</v>
      </c>
      <c r="I8" s="438" t="s">
        <v>23246</v>
      </c>
      <c r="J8" s="439"/>
      <c r="K8" s="77">
        <v>1100</v>
      </c>
      <c r="M8" s="471" t="s">
        <v>23247</v>
      </c>
      <c r="N8" s="472"/>
      <c r="O8" s="356">
        <v>110</v>
      </c>
      <c r="P8" s="370"/>
      <c r="Q8" s="370"/>
      <c r="R8" s="370"/>
      <c r="S8" s="370"/>
      <c r="T8" s="370"/>
    </row>
    <row r="9" spans="1:20" s="63" customFormat="1" x14ac:dyDescent="0.45">
      <c r="A9" s="431"/>
      <c r="B9" s="70" t="s">
        <v>15</v>
      </c>
      <c r="C9" s="83">
        <v>2</v>
      </c>
      <c r="I9" s="438" t="s">
        <v>23248</v>
      </c>
      <c r="J9" s="439"/>
      <c r="K9" s="84">
        <f>K6-K8</f>
        <v>108900</v>
      </c>
      <c r="M9" s="466"/>
      <c r="N9" s="466"/>
      <c r="O9" s="357"/>
      <c r="P9" s="370"/>
      <c r="Q9" s="378" t="b">
        <v>1</v>
      </c>
      <c r="R9" s="370"/>
      <c r="S9" s="370"/>
      <c r="T9" s="370"/>
    </row>
    <row r="10" spans="1:20" s="63" customFormat="1" ht="19" thickBot="1" x14ac:dyDescent="0.5">
      <c r="A10" s="431"/>
      <c r="B10" s="70" t="s">
        <v>23250</v>
      </c>
      <c r="C10" s="83">
        <v>1</v>
      </c>
      <c r="G10" s="431"/>
      <c r="H10" s="431"/>
      <c r="I10" s="438" t="s">
        <v>23251</v>
      </c>
      <c r="J10" s="439"/>
      <c r="K10" s="77">
        <v>100000</v>
      </c>
      <c r="M10" s="85"/>
      <c r="P10" s="370"/>
      <c r="Q10" s="378" t="b">
        <v>1</v>
      </c>
      <c r="R10" s="370"/>
      <c r="S10" s="370"/>
      <c r="T10" s="370"/>
    </row>
    <row r="11" spans="1:20" s="63" customFormat="1" ht="19" thickBot="1" x14ac:dyDescent="0.5">
      <c r="A11" s="431"/>
      <c r="B11" s="86" t="s">
        <v>23252</v>
      </c>
      <c r="C11" s="87"/>
      <c r="I11" s="448" t="s">
        <v>23255</v>
      </c>
      <c r="J11" s="449"/>
      <c r="K11" s="452"/>
      <c r="M11" s="467" t="s">
        <v>23254</v>
      </c>
      <c r="N11" s="468"/>
      <c r="O11" s="375"/>
      <c r="P11" s="370"/>
      <c r="Q11" s="378" t="b">
        <v>1</v>
      </c>
      <c r="R11" s="370"/>
      <c r="S11" s="370"/>
      <c r="T11" s="370"/>
    </row>
    <row r="12" spans="1:20" s="63" customFormat="1" ht="19" thickBot="1" x14ac:dyDescent="0.5">
      <c r="A12" s="431"/>
      <c r="I12" s="450"/>
      <c r="J12" s="451"/>
      <c r="K12" s="453"/>
      <c r="M12" s="469" t="s">
        <v>23256</v>
      </c>
      <c r="N12" s="470"/>
      <c r="O12" s="376"/>
      <c r="P12" s="370"/>
      <c r="Q12" s="370"/>
      <c r="R12" s="370"/>
      <c r="S12" s="370"/>
      <c r="T12" s="370"/>
    </row>
    <row r="13" spans="1:20" s="63" customFormat="1" ht="19.5" thickTop="1" thickBot="1" x14ac:dyDescent="0.5">
      <c r="A13" s="431"/>
      <c r="D13" s="446"/>
      <c r="E13" s="446"/>
      <c r="F13" s="446"/>
      <c r="G13" s="446"/>
      <c r="H13" s="446"/>
      <c r="I13" s="446"/>
      <c r="J13" s="446"/>
      <c r="K13" s="446"/>
      <c r="M13" s="477" t="s">
        <v>23257</v>
      </c>
      <c r="N13" s="478"/>
      <c r="O13" s="377"/>
      <c r="P13" s="370"/>
      <c r="Q13" s="370"/>
      <c r="R13" s="370"/>
      <c r="S13" s="370"/>
      <c r="T13" s="370"/>
    </row>
    <row r="14" spans="1:20" s="63" customFormat="1" ht="19" thickBot="1" x14ac:dyDescent="0.5">
      <c r="A14" s="431"/>
      <c r="D14" s="447"/>
      <c r="E14" s="447"/>
      <c r="F14" s="447"/>
      <c r="G14" s="446"/>
      <c r="H14" s="446"/>
      <c r="I14" s="446"/>
      <c r="J14" s="446"/>
      <c r="K14" s="446"/>
      <c r="P14" s="370"/>
      <c r="Q14" s="370"/>
      <c r="R14" s="370"/>
      <c r="S14" s="370"/>
      <c r="T14" s="370"/>
    </row>
    <row r="15" spans="1:20" s="63" customFormat="1" ht="24" thickBot="1" x14ac:dyDescent="0.6">
      <c r="A15" s="431"/>
      <c r="B15" s="371" t="str">
        <f>IF($C$15&gt;0,"Allowed Traffic Load","Don't Load")</f>
        <v>Allowed Traffic Load</v>
      </c>
      <c r="C15" s="372">
        <f>IF('Load Sheet'!$M$12&lt;"",('Load Sheet'!$M$12),IF('Load Sheet'!$P$12&lt;"",('Load Sheet'!$P$12),IF('Load Sheet'!$S$12&lt;"",('Load Sheet'!$S$12),"")))/2.205</f>
        <v>54571.882086167796</v>
      </c>
      <c r="D15" s="440" t="str">
        <f>IFERROR(IF(SUM($C$39:$S$39, $C$59:$R$59)/ 2.205 &gt; $C$15,"Reduce " &amp;TEXT((SUM($C$39:$S$39, $C$59:$R$59)/ 2.205) - $C$15,"#,##0.00") &amp;" Kgs","Underload: " &amp;TEXT($C$15 - (SUM($C$39:$S$39, $C$59:$R$59)/ 2.205),"#,##0.00" ) &amp;" Kgs"),"Load Aircraft")</f>
        <v>Underload: 11,127.44 Kgs</v>
      </c>
      <c r="E15" s="441"/>
      <c r="F15" s="442"/>
      <c r="G15" s="408" t="s">
        <v>18</v>
      </c>
      <c r="H15" s="409"/>
      <c r="I15" s="409"/>
      <c r="J15" s="409"/>
      <c r="K15" s="409"/>
      <c r="L15" s="409"/>
      <c r="M15" s="409"/>
      <c r="N15" s="409"/>
      <c r="O15" s="409"/>
      <c r="P15" s="409"/>
      <c r="Q15" s="409"/>
      <c r="R15" s="409"/>
      <c r="S15" s="410"/>
    </row>
    <row r="16" spans="1:20" s="63" customFormat="1" ht="21.5" thickBot="1" x14ac:dyDescent="0.55000000000000004">
      <c r="A16" s="431"/>
      <c r="B16" s="89" t="s">
        <v>108</v>
      </c>
      <c r="C16" s="90" t="s">
        <v>23452</v>
      </c>
      <c r="D16" s="90" t="s">
        <v>23452</v>
      </c>
      <c r="E16" s="90" t="s">
        <v>23452</v>
      </c>
      <c r="F16" s="90" t="s">
        <v>23452</v>
      </c>
      <c r="G16" s="90" t="s">
        <v>23452</v>
      </c>
      <c r="H16" s="90" t="s">
        <v>23452</v>
      </c>
      <c r="I16" s="90" t="s">
        <v>23452</v>
      </c>
      <c r="J16" s="90" t="s">
        <v>23452</v>
      </c>
      <c r="K16" s="90" t="s">
        <v>23452</v>
      </c>
      <c r="L16" s="90" t="s">
        <v>23452</v>
      </c>
      <c r="M16" s="90" t="s">
        <v>23452</v>
      </c>
      <c r="N16" s="90" t="s">
        <v>23452</v>
      </c>
      <c r="O16" s="90" t="s">
        <v>23452</v>
      </c>
      <c r="P16" s="90" t="s">
        <v>23452</v>
      </c>
      <c r="Q16" s="90" t="s">
        <v>23452</v>
      </c>
      <c r="R16" s="90" t="s">
        <v>23452</v>
      </c>
      <c r="S16" s="90" t="s">
        <v>23452</v>
      </c>
    </row>
    <row r="17" spans="1:19" s="63" customFormat="1" ht="19" thickBot="1" x14ac:dyDescent="0.5">
      <c r="A17" s="431"/>
      <c r="B17" s="89" t="s">
        <v>23258</v>
      </c>
      <c r="C17" s="91" t="str" cm="1">
        <f t="array" ref="C17">_xlfn.IFS(C16="A","A1",C16="C","A1",C16="D","A1",C16="E","A1",C16="G","A1",C16="None"," ",C16="","Select  A Confg")</f>
        <v>A1</v>
      </c>
      <c r="D17" s="91" t="str" cm="1">
        <f t="array" ref="D17">_xlfn.IFS(D16="A","A2R",D16="C","C2",D16="D","D2",D16="E","E2",D16="G","C2",D16="None"," ",D16="","Select  A Confg")</f>
        <v>A2R</v>
      </c>
      <c r="E17" s="91" t="str" cm="1">
        <f t="array" ref="E17">_xlfn.IFS(E16="A","A3R",E16="C","C3",E16="D","D3",E16="E","E3",E16="G"," ",E16="None"," ",E16="","Select  A Confg")</f>
        <v>A3R</v>
      </c>
      <c r="F17" s="91" t="str" cm="1">
        <f t="array" ref="F17">_xlfn.IFS(F16="A","A4R",F16="C","C4",F16="D","D4",F16="E","E4",F16="G","P1",F16="None"," ",F16="","Select  A Confg")</f>
        <v>A4R</v>
      </c>
      <c r="G17" s="91" t="str" cm="1">
        <f t="array" ref="G17">_xlfn.IFS(G16="A"," ",G16="C"," ",G16="D","D5",G16="E","E5",G16="G"," ",G16="None"," ",G16="","Select  A Confg")</f>
        <v xml:space="preserve"> </v>
      </c>
      <c r="H17" s="91" t="str" cm="1">
        <f t="array" ref="H17">_xlfn.IFS(H16="A","A5R",H16="C","C5",H16="D","D6",H16="E","E6",H16="G","P2",H16="None"," ",H16="","Select  A Confg")</f>
        <v>A5R</v>
      </c>
      <c r="I17" s="91" t="str" cm="1">
        <f t="array" ref="I17">_xlfn.IFS(I16="A","A6R",I16="C","C6",I16="D","D7",I16="E","E7",I16="G"," ",I16="None"," ",I16="","Select  A Confg")</f>
        <v>A6R</v>
      </c>
      <c r="J17" s="91" t="str" cm="1">
        <f t="array" ref="J17">_xlfn.IFS(J16="A","A7R",J16="C","C7",J16="D","D8",J16="E","E8",J16="G"," ",J16="None"," ",J16="","Select  A Confg")</f>
        <v>A7R</v>
      </c>
      <c r="K17" s="91" t="str" cm="1">
        <f t="array" ref="K17">_xlfn.IFS(K16="A"," ",K16="C"," ",K16="D","D9",K16="E","E9",K16="G","P3",K16="None"," ",K16="","Select  A Confg")</f>
        <v xml:space="preserve"> </v>
      </c>
      <c r="L17" s="91" t="str" cm="1">
        <f t="array" ref="L17">_xlfn.IFS(L16="A","A8R",L16="C","C8",L16="D","D10",L16="E","E10",L16="G"," ",L16="None"," ",L16="","Select  A Confg")</f>
        <v>A8R</v>
      </c>
      <c r="M17" s="91" t="str" cm="1">
        <f t="array" ref="M17">_xlfn.IFS(M16="A","A9R",M16="C","C9",M16="D","D11",M16="E","E11",M16="G","P4",M16="None"," ",M16="","Select  A Confg")</f>
        <v>A9R</v>
      </c>
      <c r="N17" s="91" t="str" cm="1">
        <f t="array" ref="N17">_xlfn.IFS(N16="A","A10R",N16="C","C10",N16="D","D12",N16="E","E12",N16="G"," ",N16="None"," ",N16="","Select  A Confg")</f>
        <v>A10R</v>
      </c>
      <c r="O17" s="91" t="str" cm="1">
        <f t="array" ref="O17">_xlfn.IFS(O16="A"," ",O16="C"," ",O16="D","D13",O16="E","E13",O16="G","P5",O16="None"," ",O16="","Select  A Confg")</f>
        <v xml:space="preserve"> </v>
      </c>
      <c r="P17" s="91" t="str" cm="1">
        <f t="array" ref="P17">_xlfn.IFS(P16="A","A11R",P16="C","C11",P16="D","D14",P16="E","E14",P16="G"," ",P16="None"," ",P16="","Select  A Confg")</f>
        <v>A11R</v>
      </c>
      <c r="Q17" s="91" t="str" cm="1">
        <f t="array" ref="Q17">_xlfn.IFS(Q16="A","A12R",Q16="C","C12",Q16="D","D15",Q16="E"," ",Q16="G"," ",Q16="None"," ",Q16="","Select  A Confg")</f>
        <v>A12R</v>
      </c>
      <c r="R17" s="91" t="str" cm="1">
        <f t="array" ref="R17">_xlfn.IFS(R16="A"," ",R16="C"," ",R16="D","D16",R16="E","E15",R16="G"," ",R16="None"," ",R16="","Select  A Confg")</f>
        <v xml:space="preserve"> </v>
      </c>
      <c r="S17" s="91" t="str" cm="1">
        <f t="array" ref="S17">_xlfn.IFS(S16="A","A13",S16="C","A13",S16="D","A13",S16="E","A13",S16="G","A13",S16="None"," ",S16="","Select  A Confg")</f>
        <v>A13</v>
      </c>
    </row>
    <row r="18" spans="1:19" s="63" customFormat="1" x14ac:dyDescent="0.45">
      <c r="A18" s="431"/>
      <c r="B18" s="92" t="s">
        <v>23259</v>
      </c>
      <c r="C18" s="402"/>
      <c r="D18" s="402"/>
      <c r="E18" s="402"/>
      <c r="F18" s="402"/>
      <c r="G18" s="402"/>
      <c r="H18" s="402"/>
      <c r="I18" s="402"/>
      <c r="J18" s="402"/>
      <c r="K18" s="402"/>
      <c r="L18" s="402" t="s">
        <v>23453</v>
      </c>
      <c r="M18" s="402" t="s">
        <v>23453</v>
      </c>
      <c r="N18" s="402" t="s">
        <v>23453</v>
      </c>
      <c r="O18" s="402"/>
      <c r="P18" s="402" t="s">
        <v>23453</v>
      </c>
      <c r="Q18" s="402" t="s">
        <v>23453</v>
      </c>
      <c r="R18" s="402"/>
      <c r="S18" s="402" t="s">
        <v>23453</v>
      </c>
    </row>
    <row r="19" spans="1:19" s="63" customFormat="1" x14ac:dyDescent="0.45">
      <c r="A19" s="431"/>
      <c r="B19" s="94" t="s">
        <v>23243</v>
      </c>
      <c r="C19" s="403"/>
      <c r="D19" s="403"/>
      <c r="E19" s="403"/>
      <c r="F19" s="403"/>
      <c r="G19" s="403"/>
      <c r="H19" s="403"/>
      <c r="I19" s="403"/>
      <c r="J19" s="403"/>
      <c r="K19" s="403"/>
      <c r="L19" s="403"/>
      <c r="M19" s="403"/>
      <c r="N19" s="403"/>
      <c r="O19" s="403"/>
      <c r="P19" s="403"/>
      <c r="Q19" s="403"/>
      <c r="R19" s="403"/>
      <c r="S19" s="403"/>
    </row>
    <row r="20" spans="1:19" s="63" customFormat="1" x14ac:dyDescent="0.45">
      <c r="A20" s="431"/>
      <c r="B20" s="94" t="s">
        <v>23260</v>
      </c>
      <c r="C20" s="403"/>
      <c r="D20" s="403"/>
      <c r="E20" s="403"/>
      <c r="F20" s="403"/>
      <c r="G20" s="403"/>
      <c r="H20" s="403"/>
      <c r="I20" s="403"/>
      <c r="J20" s="403"/>
      <c r="K20" s="403"/>
      <c r="L20" s="403"/>
      <c r="M20" s="403"/>
      <c r="N20" s="403"/>
      <c r="O20" s="403"/>
      <c r="P20" s="403"/>
      <c r="Q20" s="403"/>
      <c r="R20" s="403"/>
      <c r="S20" s="403"/>
    </row>
    <row r="21" spans="1:19" s="63" customFormat="1" x14ac:dyDescent="0.45">
      <c r="A21" s="431"/>
      <c r="B21" s="96" t="s">
        <v>23261</v>
      </c>
      <c r="C21" s="97">
        <v>300</v>
      </c>
      <c r="D21" s="97">
        <v>1405</v>
      </c>
      <c r="E21" s="97">
        <v>1485</v>
      </c>
      <c r="F21" s="97">
        <v>1485</v>
      </c>
      <c r="G21" s="97"/>
      <c r="H21" s="97">
        <v>1645</v>
      </c>
      <c r="I21" s="97">
        <v>1645</v>
      </c>
      <c r="J21" s="97">
        <v>1846</v>
      </c>
      <c r="K21" s="97"/>
      <c r="L21" s="97">
        <v>1846</v>
      </c>
      <c r="M21" s="97">
        <v>1846</v>
      </c>
      <c r="N21" s="97">
        <v>1926</v>
      </c>
      <c r="O21" s="97"/>
      <c r="P21" s="97">
        <v>1926</v>
      </c>
      <c r="Q21" s="97">
        <v>1926</v>
      </c>
      <c r="R21" s="97"/>
      <c r="S21" s="97">
        <v>1445</v>
      </c>
    </row>
    <row r="22" spans="1:19" s="63" customFormat="1" x14ac:dyDescent="0.45">
      <c r="A22" s="431"/>
      <c r="B22" s="96" t="s">
        <v>23262</v>
      </c>
      <c r="C22" s="97" t="s">
        <v>23224</v>
      </c>
      <c r="D22" s="97" t="s">
        <v>23224</v>
      </c>
      <c r="E22" s="97" t="s">
        <v>23224</v>
      </c>
      <c r="F22" s="97" t="s">
        <v>23224</v>
      </c>
      <c r="G22" s="97" t="s">
        <v>23224</v>
      </c>
      <c r="H22" s="97" t="s">
        <v>23224</v>
      </c>
      <c r="I22" s="97" t="s">
        <v>23224</v>
      </c>
      <c r="J22" s="97" t="s">
        <v>23224</v>
      </c>
      <c r="K22" s="97" t="s">
        <v>23224</v>
      </c>
      <c r="L22" s="97" t="s">
        <v>23224</v>
      </c>
      <c r="M22" s="97" t="s">
        <v>23224</v>
      </c>
      <c r="N22" s="97" t="s">
        <v>23224</v>
      </c>
      <c r="O22" s="97" t="s">
        <v>23224</v>
      </c>
      <c r="P22" s="97" t="s">
        <v>23224</v>
      </c>
      <c r="Q22" s="97" t="s">
        <v>23224</v>
      </c>
      <c r="R22" s="97" t="s">
        <v>23224</v>
      </c>
      <c r="S22" s="97" t="s">
        <v>23224</v>
      </c>
    </row>
    <row r="23" spans="1:19" s="63" customFormat="1" x14ac:dyDescent="0.45">
      <c r="A23" s="431"/>
      <c r="B23" s="300" t="s">
        <v>23381</v>
      </c>
      <c r="C23" s="334">
        <f>ROUND(C21*2.205,0)</f>
        <v>662</v>
      </c>
      <c r="D23" s="334">
        <f t="shared" ref="D23:S23" si="0">ROUND(D21*2.205,0)</f>
        <v>3098</v>
      </c>
      <c r="E23" s="334">
        <f t="shared" si="0"/>
        <v>3274</v>
      </c>
      <c r="F23" s="334">
        <f t="shared" si="0"/>
        <v>3274</v>
      </c>
      <c r="G23" s="334">
        <f t="shared" si="0"/>
        <v>0</v>
      </c>
      <c r="H23" s="334">
        <f t="shared" si="0"/>
        <v>3627</v>
      </c>
      <c r="I23" s="334">
        <f t="shared" si="0"/>
        <v>3627</v>
      </c>
      <c r="J23" s="334">
        <f t="shared" si="0"/>
        <v>4070</v>
      </c>
      <c r="K23" s="334">
        <f t="shared" si="0"/>
        <v>0</v>
      </c>
      <c r="L23" s="334">
        <f t="shared" si="0"/>
        <v>4070</v>
      </c>
      <c r="M23" s="334">
        <f t="shared" si="0"/>
        <v>4070</v>
      </c>
      <c r="N23" s="334">
        <f t="shared" si="0"/>
        <v>4247</v>
      </c>
      <c r="O23" s="334">
        <f>ROUND(O21*2.205,0)</f>
        <v>0</v>
      </c>
      <c r="P23" s="334">
        <f t="shared" si="0"/>
        <v>4247</v>
      </c>
      <c r="Q23" s="334">
        <f>ROUND(Q21*2.205,0)</f>
        <v>4247</v>
      </c>
      <c r="R23" s="334">
        <f t="shared" si="0"/>
        <v>0</v>
      </c>
      <c r="S23" s="334">
        <f t="shared" si="0"/>
        <v>3186</v>
      </c>
    </row>
    <row r="24" spans="1:19" s="63" customFormat="1" ht="19" thickBot="1" x14ac:dyDescent="0.5">
      <c r="A24" s="431"/>
      <c r="B24" s="301" t="s">
        <v>23263</v>
      </c>
      <c r="C24" s="302">
        <f>IFERROR(INDEX('Missing Constrains'!$C$4:$G$72, MATCH('Load Plan '!$C$17,'Missing Constrains'!$B$4:$B$72, 0), MATCH('Load Plan '!$C$22,'Missing Constrains'!$C$2:$G$2, 0)),0)</f>
        <v>2268</v>
      </c>
      <c r="D24" s="302">
        <f>IFERROR(INDEX('Missing Constrains'!$C$4:$G$72, MATCH('Load Plan '!$D$17,'Missing Constrains'!$B$4:$B$72, 0), MATCH('Load Plan '!$D$22,'Missing Constrains'!$C$2:$G$2, 0)),0)</f>
        <v>3429</v>
      </c>
      <c r="E24" s="302">
        <f>IFERROR(INDEX('Missing Constrains'!$C$4:$G$72, MATCH('Load Plan '!$E$17,'Missing Constrains'!$B$4:$B$72, 0), MATCH('Load Plan '!$E$22,'Missing Constrains'!$C$2:$G$2, 0)),0)</f>
        <v>3429</v>
      </c>
      <c r="F24" s="302">
        <f>IFERROR(INDEX('Missing Constrains'!$C$4:$G$72, MATCH('Load Plan '!$F$17,'Missing Constrains'!$B$4:$B$72, 0), MATCH('Load Plan '!$F$22,'Missing Constrains'!$C$2:$G$2, 0)),0)</f>
        <v>3429</v>
      </c>
      <c r="G24" s="302">
        <f>IFERROR(INDEX('Missing Constrains'!$C$4:$G$72, MATCH('Load Plan '!$G$17,'Missing Constrains'!$B$4:$B$72, 0), MATCH('Load Plan '!$G$22,'Missing Constrains'!$C$2:$G$2, 0)),0)</f>
        <v>0</v>
      </c>
      <c r="H24" s="302">
        <f>IFERROR(INDEX('Missing Constrains'!$C$4:$G$72, MATCH('Load Plan '!$H$17,'Missing Constrains'!$B$4:$B$72, 0), MATCH('Load Plan '!$H$22,'Missing Constrains'!$C$2:$G$2, 0)),0)</f>
        <v>3429</v>
      </c>
      <c r="I24" s="302">
        <f>IFERROR(INDEX('Missing Constrains'!$C$4:$G$72, MATCH('Load Plan '!$I$17,'Missing Constrains'!$B$4:$B$72, 0), MATCH('Load Plan '!$I$22,'Missing Constrains'!$C$2:$G$2, 0)),0)</f>
        <v>4627</v>
      </c>
      <c r="J24" s="302">
        <f>IFERROR(INDEX('Missing Constrains'!$C$4:$G$72, MATCH('Load Plan '!$J$17,'Missing Constrains'!$B$4:$B$72, 0), MATCH('Load Plan '!$J$22,'Missing Constrains'!$C$2:$G$2, 0)),0)</f>
        <v>4627</v>
      </c>
      <c r="K24" s="302">
        <f>IFERROR(INDEX('Missing Constrains'!$C$4:$G$72, MATCH('Load Plan '!$K$17,'Missing Constrains'!$B$4:$B$72, 0), MATCH('Load Plan '!$K$22,'Missing Constrains'!$C$2:$G$2, 0)),0)</f>
        <v>0</v>
      </c>
      <c r="L24" s="302">
        <f>IFERROR(INDEX('Missing Constrains'!$C$4:$G$72, MATCH('Load Plan '!$L$17,'Missing Constrains'!$B$4:$B$72, 0), MATCH('Load Plan '!$L$22,'Missing Constrains'!$C$2:$G$2, 0)),0)</f>
        <v>3429</v>
      </c>
      <c r="M24" s="302">
        <f>IFERROR(INDEX('Missing Constrains'!$C$4:$G$72, MATCH('Load Plan '!$M$17,'Missing Constrains'!$B$4:$B$72, 0), MATCH('Load Plan '!$M$22,'Missing Constrains'!$C$2:$G$2, 0)),0)</f>
        <v>3429</v>
      </c>
      <c r="N24" s="302">
        <f>IFERROR(INDEX('Missing Constrains'!$C$4:$G$72, MATCH('Load Plan '!$N$17,'Missing Constrains'!$B$4:$B$72, 0), MATCH('Load Plan '!$N$22,'Missing Constrains'!$C$2:$G$2, 0)),0)</f>
        <v>3429</v>
      </c>
      <c r="O24" s="302">
        <f>IFERROR(INDEX('Missing Constrains'!$C$4:$G$72, MATCH('Load Plan '!$O$17,'Missing Constrains'!$B$4:$B$72, 0), MATCH('Load Plan '!$O$22,'Missing Constrains'!$C$2:$G$2, 0)),0)</f>
        <v>0</v>
      </c>
      <c r="P24" s="302">
        <f>IFERROR(INDEX('Missing Constrains'!$C$4:$G$72, MATCH('Load Plan '!$P$17,'Missing Constrains'!$B$4:$B$72, 0), MATCH('Load Plan '!$P$22,'Missing Constrains'!$C$2:$G$2, 0)),0)</f>
        <v>3429</v>
      </c>
      <c r="Q24" s="302">
        <f>IFERROR(INDEX('Missing Constrains'!$C$4:$G$72, MATCH('Load Plan '!$Q$17,'Missing Constrains'!$B$4:$B$72, 0), MATCH('Load Plan '!$Q$22,'Missing Constrains'!$C$2:$G$2, 0)),0)</f>
        <v>3429</v>
      </c>
      <c r="R24" s="302">
        <f>IFERROR(INDEX('Missing Constrains'!$C$4:$G$72, MATCH('Load Plan '!$R$17,'Missing Constrains'!$B$4:$B$72, 0), MATCH('Load Plan '!$R$22,'Missing Constrains'!$C$2:$G$2, 0)),0)</f>
        <v>0</v>
      </c>
      <c r="S24" s="302">
        <f>IFERROR(INDEX('Missing Constrains'!$C$4:$G$72, MATCH('Load Plan '!$S$17,'Missing Constrains'!$B$4:$B$72, 0), MATCH('Load Plan '!$S$22,'Missing Constrains'!$C$2:$G$2, 0)),0)</f>
        <v>2722</v>
      </c>
    </row>
    <row r="25" spans="1:19" s="63" customFormat="1" ht="19" thickBot="1" x14ac:dyDescent="0.5">
      <c r="A25" s="431"/>
      <c r="B25" s="89" t="s">
        <v>23258</v>
      </c>
      <c r="C25" s="444"/>
      <c r="D25" s="91" t="str" cm="1">
        <f t="array" ref="D25">_xlfn.IFS(D16="A","A2L",D16="C","",D16="D","",D16="E","",D16="G","",D16="None","",D16="","Select  A Confg")</f>
        <v>A2L</v>
      </c>
      <c r="E25" s="91" t="str" cm="1">
        <f t="array" ref="E25">_xlfn.IFS(E16="A","A3L",E16="C","",E16="D","",E16="E","",E16="G","",E16="None","",E16="","Select  A Confg")</f>
        <v>A3L</v>
      </c>
      <c r="F25" s="91" t="str" cm="1">
        <f t="array" ref="F25">_xlfn.IFS(F16="A","A4L",F16="C","",F16="D","",F16="E","",F16="G","",F16="None","",F16="","Select  A Confg")</f>
        <v>A4L</v>
      </c>
      <c r="G25" s="91" t="str" cm="1">
        <f t="array" ref="G25">_xlfn.IFS(G16="A","",G16="C","",G16="D","",G16="E","",G16="G","",G16="None","",G16="","Select  A Confg")</f>
        <v/>
      </c>
      <c r="H25" s="91" t="str" cm="1">
        <f t="array" ref="H25">_xlfn.IFS(H16="A","A5L",H16="C","",H16="D","",H16="E","",H16="G","",H16="None","",H16="","Select  A Confg")</f>
        <v>A5L</v>
      </c>
      <c r="I25" s="91" t="str" cm="1">
        <f t="array" ref="I25">_xlfn.IFS(I16="A","A6L",I16="C","",I16="D","",I16="E","",I16="G","",I16="None","",I16="","Select  A Confg")</f>
        <v>A6L</v>
      </c>
      <c r="J25" s="91" t="str" cm="1">
        <f t="array" ref="J25">_xlfn.IFS(J16="A","A7L",J16="C","",J16="D","",J16="E","",J16="G","",J16="None","",J16="","Select  A Confg")</f>
        <v>A7L</v>
      </c>
      <c r="K25" s="91" t="str" cm="1">
        <f t="array" ref="K25">_xlfn.IFS(K16="A","",K16="C","",K16="D","",K16="E","",K16="G","",K16="None","",K16="","Select  A Confg")</f>
        <v/>
      </c>
      <c r="L25" s="91" t="str" cm="1">
        <f t="array" ref="L25">_xlfn.IFS(L16="A","A8L",L16="C","",L16="D","",L16="E","",L16="G","",L16="None","",L16="","Select  A Confg")</f>
        <v>A8L</v>
      </c>
      <c r="M25" s="91" t="str" cm="1">
        <f t="array" ref="M25">_xlfn.IFS(M16="A","A9L",M16="C","",M16="D","",M16="E","",M16="G","",M16="None","",M16="","Select  A Confg")</f>
        <v>A9L</v>
      </c>
      <c r="N25" s="91" t="str" cm="1">
        <f t="array" ref="N25">_xlfn.IFS(N16="A","A10L",N16="C","",N16="D","",N16="E","",N16="G","",N16="None","",N16="","Select  A Confg")</f>
        <v>A10L</v>
      </c>
      <c r="O25" s="398" t="str" cm="1">
        <f t="array" ref="O25">_xlfn.IFS(O16="A","",O16="C","",O16="D","",O16="E","",O16="G","",O16="None","",O16="","Select  A Confg")</f>
        <v/>
      </c>
      <c r="P25" s="91" t="str" cm="1">
        <f t="array" ref="P25">_xlfn.IFS(P16="A","A11L",P16="C","",P16="D","",P16="E","",P16="G","",P16="None","",P16="","Select  A Confg")</f>
        <v>A11L</v>
      </c>
      <c r="Q25" s="91" t="str" cm="1">
        <f t="array" ref="Q25">_xlfn.IFS(Q16="A","A12L",Q16="C","",Q16="D","",Q16="E","",Q16="G","",Q16="None","",Q16="","Select  A Confg")</f>
        <v>A12L</v>
      </c>
      <c r="R25" s="454" t="s">
        <v>23264</v>
      </c>
      <c r="S25" s="455"/>
    </row>
    <row r="26" spans="1:19" s="63" customFormat="1" x14ac:dyDescent="0.45">
      <c r="A26" s="431"/>
      <c r="B26" s="92" t="s">
        <v>23259</v>
      </c>
      <c r="C26" s="445"/>
      <c r="D26" s="98"/>
      <c r="E26" s="93"/>
      <c r="F26" s="93"/>
      <c r="G26" s="93"/>
      <c r="H26" s="93"/>
      <c r="I26" s="93"/>
      <c r="J26" s="99"/>
      <c r="K26" s="93"/>
      <c r="L26" s="93"/>
      <c r="M26" s="99"/>
      <c r="N26" s="93"/>
      <c r="O26" s="398"/>
      <c r="P26" s="99"/>
      <c r="Q26" s="93"/>
      <c r="R26" s="456" t="s">
        <v>23424</v>
      </c>
      <c r="S26" s="457"/>
    </row>
    <row r="27" spans="1:19" s="63" customFormat="1" x14ac:dyDescent="0.45">
      <c r="A27" s="431"/>
      <c r="B27" s="94" t="s">
        <v>23243</v>
      </c>
      <c r="C27" s="445"/>
      <c r="D27" s="75"/>
      <c r="E27" s="95"/>
      <c r="F27" s="95"/>
      <c r="G27" s="95"/>
      <c r="H27" s="95"/>
      <c r="I27" s="95"/>
      <c r="J27" s="101"/>
      <c r="K27" s="95"/>
      <c r="L27" s="95"/>
      <c r="M27" s="101"/>
      <c r="N27" s="95"/>
      <c r="O27" s="398"/>
      <c r="P27" s="101"/>
      <c r="Q27" s="95"/>
      <c r="R27" s="458">
        <v>44.5</v>
      </c>
      <c r="S27" s="459"/>
    </row>
    <row r="28" spans="1:19" s="63" customFormat="1" x14ac:dyDescent="0.45">
      <c r="A28" s="431"/>
      <c r="B28" s="94" t="s">
        <v>23260</v>
      </c>
      <c r="C28" s="445"/>
      <c r="D28" s="75"/>
      <c r="E28" s="95"/>
      <c r="F28" s="95"/>
      <c r="G28" s="95"/>
      <c r="H28" s="95"/>
      <c r="I28" s="95"/>
      <c r="J28" s="95"/>
      <c r="K28" s="95"/>
      <c r="L28" s="95"/>
      <c r="M28" s="95"/>
      <c r="N28" s="95"/>
      <c r="O28" s="398"/>
      <c r="P28" s="95"/>
      <c r="Q28" s="95"/>
      <c r="R28" s="460">
        <f>'Load Sheet'!$F$46*44.5</f>
        <v>0</v>
      </c>
      <c r="S28" s="461"/>
    </row>
    <row r="29" spans="1:19" s="63" customFormat="1" x14ac:dyDescent="0.45">
      <c r="A29" s="431"/>
      <c r="B29" s="96" t="s">
        <v>23261</v>
      </c>
      <c r="C29" s="445"/>
      <c r="D29" s="97">
        <v>1405</v>
      </c>
      <c r="E29" s="97">
        <v>1485</v>
      </c>
      <c r="F29" s="97">
        <v>1485</v>
      </c>
      <c r="G29" s="97"/>
      <c r="H29" s="97">
        <v>1645</v>
      </c>
      <c r="I29" s="97">
        <v>1645</v>
      </c>
      <c r="J29" s="97">
        <v>1846</v>
      </c>
      <c r="K29" s="97"/>
      <c r="L29" s="97">
        <v>1846</v>
      </c>
      <c r="M29" s="97">
        <v>1846</v>
      </c>
      <c r="N29" s="97">
        <v>1926</v>
      </c>
      <c r="O29" s="398"/>
      <c r="P29" s="97">
        <v>1926</v>
      </c>
      <c r="Q29" s="97">
        <v>1926</v>
      </c>
      <c r="R29" s="460"/>
      <c r="S29" s="461"/>
    </row>
    <row r="30" spans="1:19" s="63" customFormat="1" x14ac:dyDescent="0.45">
      <c r="A30" s="431"/>
      <c r="B30" s="96" t="s">
        <v>23262</v>
      </c>
      <c r="C30" s="445"/>
      <c r="D30" s="97" t="s">
        <v>23224</v>
      </c>
      <c r="E30" s="97" t="s">
        <v>23224</v>
      </c>
      <c r="F30" s="97" t="s">
        <v>23224</v>
      </c>
      <c r="G30" s="97" t="s">
        <v>23224</v>
      </c>
      <c r="H30" s="97" t="s">
        <v>23224</v>
      </c>
      <c r="I30" s="97" t="s">
        <v>23224</v>
      </c>
      <c r="J30" s="97" t="s">
        <v>23224</v>
      </c>
      <c r="K30" s="97" t="s">
        <v>23224</v>
      </c>
      <c r="L30" s="97" t="s">
        <v>23224</v>
      </c>
      <c r="M30" s="97" t="s">
        <v>23224</v>
      </c>
      <c r="N30" s="344" t="s">
        <v>23224</v>
      </c>
      <c r="O30" s="337"/>
      <c r="P30" s="97" t="s">
        <v>23224</v>
      </c>
      <c r="Q30" s="344" t="s">
        <v>23224</v>
      </c>
      <c r="R30" s="338"/>
      <c r="S30" s="339"/>
    </row>
    <row r="31" spans="1:19" s="63" customFormat="1" x14ac:dyDescent="0.45">
      <c r="A31" s="431"/>
      <c r="B31" s="303" t="s">
        <v>23381</v>
      </c>
      <c r="C31" s="445"/>
      <c r="D31" s="334">
        <f>IF(D25=" ","",ROUND(D29*2.205,0))</f>
        <v>3098</v>
      </c>
      <c r="E31" s="334">
        <f>IF(E25="","",ROUND(E29*2.205,0))</f>
        <v>3274</v>
      </c>
      <c r="F31" s="334">
        <f>IF(F25=" ","",ROUND(F29*2.205,0))</f>
        <v>3274</v>
      </c>
      <c r="G31" s="334" t="str">
        <f>IF(G25="","",ROUND(G29*2.205,0))</f>
        <v/>
      </c>
      <c r="H31" s="334">
        <f t="shared" ref="H31:M31" si="1">IF(H25="","",ROUND(H29*2.205,0))</f>
        <v>3627</v>
      </c>
      <c r="I31" s="334">
        <f t="shared" si="1"/>
        <v>3627</v>
      </c>
      <c r="J31" s="334">
        <f t="shared" si="1"/>
        <v>4070</v>
      </c>
      <c r="K31" s="334" t="str">
        <f t="shared" si="1"/>
        <v/>
      </c>
      <c r="L31" s="334">
        <f t="shared" si="1"/>
        <v>4070</v>
      </c>
      <c r="M31" s="334">
        <f t="shared" si="1"/>
        <v>4070</v>
      </c>
      <c r="N31" s="347">
        <f>IF(N25="","",ROUND(N29*2.205,0))</f>
        <v>4247</v>
      </c>
      <c r="O31" s="345"/>
      <c r="P31" s="334">
        <f>IF(P25="","",ROUND(P29*2.205,0))</f>
        <v>4247</v>
      </c>
      <c r="Q31" s="347">
        <f>IF(Q25="","",ROUND(Q29*2.205,0))</f>
        <v>4247</v>
      </c>
      <c r="R31" s="340"/>
      <c r="S31" s="341"/>
    </row>
    <row r="32" spans="1:19" s="63" customFormat="1" ht="19" thickBot="1" x14ac:dyDescent="0.5">
      <c r="A32" s="431"/>
      <c r="B32" s="301" t="s">
        <v>23263</v>
      </c>
      <c r="C32" s="445"/>
      <c r="D32" s="302">
        <f>IFERROR(INDEX('Missing Constrains'!$C$4:$G$72, MATCH('Load Plan '!$D$25,'Missing Constrains'!$B$4:$B$72, 0), MATCH('Load Plan '!$D$30,'Missing Constrains'!$C$2:$G$2, 0)),0)</f>
        <v>3429</v>
      </c>
      <c r="E32" s="302">
        <f>IFERROR(INDEX('Missing Constrains'!$C$4:$G$72, MATCH('Load Plan '!$E$25,'Missing Constrains'!$B$4:$B$72, 0), MATCH('Load Plan '!$E$30,'Missing Constrains'!$C$2:$G$2, 0)),0)</f>
        <v>3429</v>
      </c>
      <c r="F32" s="302">
        <f>IFERROR(INDEX('Missing Constrains'!$C$4:$G$72, MATCH('Load Plan '!$F$25,'Missing Constrains'!$B$4:$B$72, 0), MATCH('Load Plan '!$F$30,'Missing Constrains'!$C$2:$G$2, 0)),0)</f>
        <v>3429</v>
      </c>
      <c r="G32" s="302">
        <f>IFERROR(INDEX('Missing Constrains'!$C$4:$G$72, MATCH('Load Plan '!$G$25,'Missing Constrains'!$B$4:$B$72, 0), MATCH('Load Plan '!$G$30,'Missing Constrains'!$C$2:$G$2, 0)),0)</f>
        <v>0</v>
      </c>
      <c r="H32" s="302">
        <f>IFERROR(INDEX('Missing Constrains'!$C$4:$G$72, MATCH('Load Plan '!$H$25,'Missing Constrains'!$B$4:$B$72, 0), MATCH('Load Plan '!$H$30,'Missing Constrains'!$C$2:$G$2, 0)),0)</f>
        <v>3429</v>
      </c>
      <c r="I32" s="302">
        <f>IFERROR(INDEX('Missing Constrains'!$C$4:$G$72, MATCH('Load Plan '!$I$25,'Missing Constrains'!$B$4:$B$72, 0), MATCH('Load Plan '!$I$30,'Missing Constrains'!$C$2:$G$2, 0)),0)</f>
        <v>4627</v>
      </c>
      <c r="J32" s="302">
        <f>IFERROR(INDEX('Missing Constrains'!$C$4:$G$72, MATCH('Load Plan '!$J$25,'Missing Constrains'!$B$4:$B$72, 0), MATCH('Load Plan '!$J$30,'Missing Constrains'!$C$2:$G$2, 0)),0)</f>
        <v>4627</v>
      </c>
      <c r="K32" s="302">
        <f>IFERROR(INDEX('Missing Constrains'!$C$4:$G$72, MATCH('Load Plan '!$K$25,'Missing Constrains'!$B$4:$B$72, 0), MATCH('Load Plan '!$K$30,'Missing Constrains'!$C$2:$G$2, 0)),0)</f>
        <v>0</v>
      </c>
      <c r="L32" s="302">
        <f>IFERROR(INDEX('Missing Constrains'!$C$4:$G$72, MATCH('Load Plan '!$L$25,'Missing Constrains'!$B$4:$B$72, 0), MATCH('Load Plan '!$L$30,'Missing Constrains'!$C$2:$G$2, 0)),0)</f>
        <v>3429</v>
      </c>
      <c r="M32" s="302">
        <f>IFERROR(INDEX('Missing Constrains'!$C$4:$G$72, MATCH('Load Plan '!$M$25,'Missing Constrains'!$B$4:$B$72, 0), MATCH('Load Plan '!$M$30,'Missing Constrains'!$C$2:$G$2, 0)),0)</f>
        <v>3429</v>
      </c>
      <c r="N32" s="347">
        <f>IFERROR(INDEX('Missing Constrains'!$C$4:$G$72, MATCH('Load Plan '!$N$25,'Missing Constrains'!$B$4:$B$72, 0), MATCH('Load Plan '!$N$30,'Missing Constrains'!$C$2:$G$2, 0)),0)</f>
        <v>3429</v>
      </c>
      <c r="O32" s="346"/>
      <c r="P32" s="302">
        <f>IFERROR(INDEX('Missing Constrains'!$C$4:$G$72, MATCH('Load Plan '!$P$25,'Missing Constrains'!$B$4:$B$72, 0), MATCH('Load Plan '!$P$30,'Missing Constrains'!$C$2:$G$2, 0)),0)</f>
        <v>3429</v>
      </c>
      <c r="Q32" s="347">
        <f>IFERROR(INDEX('Missing Constrains'!$C$4:$G$72, MATCH('Load Plan '!$Q$25,'Missing Constrains'!$B$4:$B$72, 0), MATCH('Load Plan '!$Q$30,'Missing Constrains'!$C$2:$G$2, 0)),0)</f>
        <v>3429</v>
      </c>
      <c r="R32" s="342"/>
      <c r="S32" s="343"/>
    </row>
    <row r="33" spans="1:19" s="63" customFormat="1" ht="19" thickBot="1" x14ac:dyDescent="0.5">
      <c r="A33" s="431"/>
      <c r="B33" s="102" t="s">
        <v>23265</v>
      </c>
      <c r="C33" s="322" t="str">
        <f>IF(OR(G62&lt;&gt;"",K62&lt;&gt;"",N62&lt;&gt;""),"Overlap Error, check Below","")</f>
        <v/>
      </c>
      <c r="D33" s="406"/>
      <c r="E33" s="407"/>
      <c r="F33" s="406"/>
      <c r="G33" s="407"/>
      <c r="H33" s="406"/>
      <c r="I33" s="407"/>
      <c r="J33" s="406"/>
      <c r="K33" s="407"/>
      <c r="L33" s="406"/>
      <c r="M33" s="407"/>
      <c r="N33" s="406"/>
      <c r="O33" s="407"/>
      <c r="P33" s="406"/>
      <c r="Q33" s="407"/>
      <c r="R33" s="406"/>
      <c r="S33" s="407"/>
    </row>
    <row r="34" spans="1:19" s="63" customFormat="1" ht="19" thickBot="1" x14ac:dyDescent="0.5">
      <c r="A34" s="431"/>
      <c r="B34" s="102" t="s">
        <v>23266</v>
      </c>
      <c r="C34" s="321"/>
      <c r="D34" s="406"/>
      <c r="E34" s="407"/>
      <c r="F34" s="406"/>
      <c r="G34" s="407"/>
      <c r="H34" s="406"/>
      <c r="I34" s="407"/>
      <c r="J34" s="406"/>
      <c r="K34" s="407"/>
      <c r="L34" s="406"/>
      <c r="M34" s="407"/>
      <c r="N34" s="406"/>
      <c r="O34" s="407"/>
      <c r="P34" s="406"/>
      <c r="Q34" s="407"/>
      <c r="R34" s="406"/>
      <c r="S34" s="407"/>
    </row>
    <row r="35" spans="1:19" s="63" customFormat="1" ht="19" thickBot="1" x14ac:dyDescent="0.5">
      <c r="A35" s="431"/>
      <c r="B35" s="102" t="s">
        <v>23382</v>
      </c>
      <c r="C35" s="321"/>
      <c r="D35" s="411">
        <f>ROUND(D34*2.205,0)</f>
        <v>0</v>
      </c>
      <c r="E35" s="412"/>
      <c r="F35" s="411">
        <f t="shared" ref="F35" si="2">ROUND(F34*2.205,0)</f>
        <v>0</v>
      </c>
      <c r="G35" s="412"/>
      <c r="H35" s="411">
        <f t="shared" ref="H35" si="3">ROUND(H34*2.205,0)</f>
        <v>0</v>
      </c>
      <c r="I35" s="412"/>
      <c r="J35" s="411">
        <f t="shared" ref="J35" si="4">ROUND(J34*2.205,0)</f>
        <v>0</v>
      </c>
      <c r="K35" s="412"/>
      <c r="L35" s="411">
        <f t="shared" ref="L35" si="5">ROUND(L34*2.205,0)</f>
        <v>0</v>
      </c>
      <c r="M35" s="412"/>
      <c r="N35" s="411">
        <f t="shared" ref="N35" si="6">ROUND(N34*2.205,0)</f>
        <v>0</v>
      </c>
      <c r="O35" s="412"/>
      <c r="P35" s="411">
        <f>ROUND(P34*2.205,0)</f>
        <v>0</v>
      </c>
      <c r="Q35" s="412"/>
      <c r="R35" s="411">
        <f>ROUND(R34*2.205,0)</f>
        <v>0</v>
      </c>
      <c r="S35" s="412"/>
    </row>
    <row r="36" spans="1:19" s="63" customFormat="1" ht="18.5" customHeight="1" thickBot="1" x14ac:dyDescent="0.5">
      <c r="A36" s="431"/>
      <c r="B36" s="103" t="s">
        <v>23267</v>
      </c>
      <c r="C36" s="321"/>
      <c r="D36" s="429"/>
      <c r="E36" s="404"/>
      <c r="F36" s="405"/>
      <c r="G36" s="404"/>
      <c r="H36" s="405"/>
      <c r="I36" s="404"/>
      <c r="J36" s="405"/>
      <c r="K36" s="404"/>
      <c r="L36" s="405"/>
      <c r="M36" s="404"/>
      <c r="N36" s="405"/>
      <c r="O36" s="404"/>
      <c r="P36" s="405"/>
      <c r="Q36" s="404"/>
      <c r="R36" s="405"/>
      <c r="S36" s="100"/>
    </row>
    <row r="37" spans="1:19" s="63" customFormat="1" ht="18.75" customHeight="1" thickBot="1" x14ac:dyDescent="0.5">
      <c r="A37" s="431"/>
      <c r="B37" s="104" t="s">
        <v>23268</v>
      </c>
      <c r="C37" s="321"/>
      <c r="D37" s="430"/>
      <c r="E37" s="404"/>
      <c r="F37" s="405"/>
      <c r="G37" s="404"/>
      <c r="H37" s="405"/>
      <c r="I37" s="404"/>
      <c r="J37" s="405"/>
      <c r="K37" s="404"/>
      <c r="L37" s="405"/>
      <c r="M37" s="404"/>
      <c r="N37" s="405"/>
      <c r="O37" s="404"/>
      <c r="P37" s="405"/>
      <c r="Q37" s="404"/>
      <c r="R37" s="405"/>
      <c r="S37" s="100"/>
    </row>
    <row r="38" spans="1:19" s="63" customFormat="1" ht="18.75" customHeight="1" thickBot="1" x14ac:dyDescent="0.5">
      <c r="A38" s="431"/>
      <c r="B38" s="104" t="s">
        <v>23383</v>
      </c>
      <c r="C38" s="295"/>
      <c r="D38" s="305"/>
      <c r="E38" s="414">
        <f>ROUND(E37*2.205,0)</f>
        <v>0</v>
      </c>
      <c r="F38" s="415"/>
      <c r="G38" s="414">
        <f>ROUND(G37*2.205,0)</f>
        <v>0</v>
      </c>
      <c r="H38" s="415"/>
      <c r="I38" s="414">
        <f>ROUND(I37*2.205,0)</f>
        <v>0</v>
      </c>
      <c r="J38" s="415"/>
      <c r="K38" s="414">
        <f>ROUND(K37*2.205,0)</f>
        <v>0</v>
      </c>
      <c r="L38" s="415"/>
      <c r="M38" s="414">
        <f>ROUND(M37*2.205,0)</f>
        <v>0</v>
      </c>
      <c r="N38" s="415"/>
      <c r="O38" s="414">
        <f>ROUND(O37*2.205,0)</f>
        <v>0</v>
      </c>
      <c r="P38" s="415"/>
      <c r="Q38" s="414">
        <f>ROUND(Q37*2.205,0)</f>
        <v>0</v>
      </c>
      <c r="R38" s="415"/>
      <c r="S38" s="304"/>
    </row>
    <row r="39" spans="1:19" s="63" customFormat="1" ht="18.75" customHeight="1" thickBot="1" x14ac:dyDescent="0.5">
      <c r="A39" s="431"/>
      <c r="B39" s="105" t="s">
        <v>23380</v>
      </c>
      <c r="C39" s="105" cm="1">
        <f t="array" ref="C39">_xlfn.IFS(C17=" ","",C16="A",C23,C16="C",C23,C16="D",C23,C16="E",C23,C16="G",C23)</f>
        <v>662</v>
      </c>
      <c r="D39" s="105" cm="1">
        <f t="array" ref="D39">_xlfn.IFS(D17=" ","",D16="A", SUM(D23,D31),ISNUMBER(MATCH(D16, {"C","D","E","G"}, 0)), SUM(D23, D35/2))</f>
        <v>6196</v>
      </c>
      <c r="E39" s="105" cm="1">
        <f t="array" ref="E39">_xlfn.IFS(E17=" ","",E16="A", SUM(E23, E31),ISNUMBER(MATCH(E16, {"C","D","E","G"}, 0)), SUM(E23, D35/2, E38/2))</f>
        <v>6548</v>
      </c>
      <c r="F39" s="105" cm="1">
        <f t="array" ref="F39">_xlfn.IFS(F17=" ","",F16="A", SUM(F23, F31),ISNUMBER(MATCH(F16, {"C","D","E","G"}, 0)), SUM(F23, F35/2, E38/2))</f>
        <v>6548</v>
      </c>
      <c r="G39" s="105" t="str" cm="1">
        <f t="array" ref="G39">_xlfn.IFS(G17=" ","",G16="A", SUM(G23, G31),ISNUMBER(MATCH(G16, {"C","D","E","G"}, 0)), SUM(G23, F35/2, G38/2))</f>
        <v/>
      </c>
      <c r="H39" s="105" cm="1">
        <f t="array" ref="H39">_xlfn.IFS(H17=" ","",H16="A", SUM(H23, H31),ISNUMBER(MATCH(H16, {"C","D","E","G"}, 0)), SUM(H23, H35/2, G38/2))</f>
        <v>7254</v>
      </c>
      <c r="I39" s="105" cm="1">
        <f t="array" ref="I39">_xlfn.IFS(I17=" ","",I16="A", SUM(I23, I31),ISNUMBER(MATCH(I16, {"C","D","E","G"}, 0)), SUM(I23, H35/2, I38/2))</f>
        <v>7254</v>
      </c>
      <c r="J39" s="105" cm="1">
        <f t="array" ref="J39">_xlfn.IFS(J17=" ","",J16="A", SUM(J23, J31),ISNUMBER(MATCH(J16, {"C","D","E","G"}, 0)), SUM(J23, J35/2, I38/2))</f>
        <v>8140</v>
      </c>
      <c r="K39" s="105" t="str" cm="1">
        <f t="array" ref="K39">_xlfn.IFS(K17=" ","",K16="A", SUM(K23, K31),ISNUMBER(MATCH(K16, {"C","D","E","G"}, 0)), SUM(K23, J35/2, K38/2))</f>
        <v/>
      </c>
      <c r="L39" s="105" cm="1">
        <f t="array" ref="L39">_xlfn.IFS(L17=" ","",L16="A", SUM(L23, L31),ISNUMBER(MATCH(L16, {"C","D","E","G"}, 0)), SUM(L23, L35/2, K38/2))</f>
        <v>8140</v>
      </c>
      <c r="M39" s="105" cm="1">
        <f t="array" ref="M39">_xlfn.IFS(M17=" ","",M16="A", SUM(M23, M31),ISNUMBER(MATCH(M16, {"C","D","E","G"}, 0)), SUM(M23, L35/2, M38/2))</f>
        <v>8140</v>
      </c>
      <c r="N39" s="105" cm="1">
        <f t="array" ref="N39">_xlfn.IFS(N17=" ","",N16="A", SUM(N23, N31),ISNUMBER(MATCH(N16, {"C","D","E","G"}, 0)), SUM(N23, N35/2, M38/2))</f>
        <v>8494</v>
      </c>
      <c r="O39" s="105" t="str" cm="1">
        <f t="array" ref="O39">_xlfn.IFS(O17=" ","",O16="A", SUM(O23,O31),ISNUMBER(MATCH(O16, {"C","D","E","G"}, 0)), SUM(O23, N35/2, O38/2))</f>
        <v/>
      </c>
      <c r="P39" s="105" cm="1">
        <f t="array" ref="P39">_xlfn.IFS(P17=" ","",P16="A", SUM(P23,P31),ISNUMBER(MATCH(P16, {"C","D","E","G"}, 0)), SUM(P23, P35/2, O38/2))</f>
        <v>8494</v>
      </c>
      <c r="Q39" s="105" cm="1">
        <f t="array" ref="Q39">_xlfn.IFS(Q17=" ","",Q16="A", SUM(Q23,Q31),ISNUMBER(MATCH(Q16, {"C","D","E","G"}, 0)), SUM(Q23, P35/2, Q38/2))</f>
        <v>8494</v>
      </c>
      <c r="R39" s="105" t="str" cm="1">
        <f t="array" ref="R39">_xlfn.IFS(R17=" ","",R16="A", SUM(R23),ISNUMBER(MATCH(R16, {"C","D","E","G"}, 0)), SUM(R23, R35/2, Q38/2))</f>
        <v/>
      </c>
      <c r="S39" s="105">
        <f>IF(TRIM(S17)="", "",IF(OR(S16="A", ISNUMBER(MATCH(S16, {"C","D","E","G"}, 0))),SUM(S23, R35/2),IF(OR(S16="None", S16=""), 0)))</f>
        <v>3186</v>
      </c>
    </row>
    <row r="40" spans="1:19" s="63" customFormat="1" ht="19" thickBot="1" x14ac:dyDescent="0.5">
      <c r="A40" s="431"/>
      <c r="B40" s="106" t="s">
        <v>23379</v>
      </c>
      <c r="C40" s="106">
        <f>IF(C16="A",5000,SUM(C24)*2.205)</f>
        <v>5000</v>
      </c>
      <c r="D40" s="106">
        <f>IF(D16="A",10700,SUM(D24,D32)*2.205)</f>
        <v>10700</v>
      </c>
      <c r="E40" s="106">
        <f>IF(E16="A",10700,SUM(E24,E32)*2.205)</f>
        <v>10700</v>
      </c>
      <c r="F40" s="106">
        <f>IF(F16="A",10700,SUM(F24,F32)*2.205)</f>
        <v>10700</v>
      </c>
      <c r="G40" s="106">
        <f>IF(G16="A",10700,SUM(G24,G32)*2.205)</f>
        <v>10700</v>
      </c>
      <c r="H40" s="106">
        <f>IF(H16="A",10700,SUM(H24,H32)*2.205)</f>
        <v>10700</v>
      </c>
      <c r="I40" s="106">
        <f>IF(I16="A",15000,SUM(I24,I32)*2.205)</f>
        <v>15000</v>
      </c>
      <c r="J40" s="106">
        <f>IF(J16="A",15000,SUM(J24,J32)*2.205)</f>
        <v>15000</v>
      </c>
      <c r="K40" s="106">
        <f t="shared" ref="K40:R40" si="7">IF(K16="A",10700,SUM(K24,K32)*2.205)</f>
        <v>10700</v>
      </c>
      <c r="L40" s="106">
        <f t="shared" si="7"/>
        <v>10700</v>
      </c>
      <c r="M40" s="106">
        <f t="shared" si="7"/>
        <v>10700</v>
      </c>
      <c r="N40" s="106">
        <f t="shared" si="7"/>
        <v>10700</v>
      </c>
      <c r="O40" s="106">
        <f t="shared" si="7"/>
        <v>10700</v>
      </c>
      <c r="P40" s="106">
        <f t="shared" si="7"/>
        <v>10700</v>
      </c>
      <c r="Q40" s="106">
        <f t="shared" si="7"/>
        <v>10700</v>
      </c>
      <c r="R40" s="106">
        <f t="shared" si="7"/>
        <v>10700</v>
      </c>
      <c r="S40" s="106">
        <f>IF(S16="A",6000,SUM(S24,S32)*2.205)</f>
        <v>6000</v>
      </c>
    </row>
    <row r="41" spans="1:19" s="63" customFormat="1" x14ac:dyDescent="0.45">
      <c r="A41" s="431"/>
      <c r="B41" s="418" t="s">
        <v>23269</v>
      </c>
      <c r="C41" s="418"/>
      <c r="D41" s="418"/>
      <c r="E41" s="418"/>
      <c r="F41" s="418"/>
      <c r="G41" s="418"/>
      <c r="H41" s="418"/>
      <c r="I41" s="418"/>
      <c r="J41" s="418"/>
      <c r="K41" s="418"/>
      <c r="L41" s="418"/>
      <c r="M41" s="418"/>
    </row>
    <row r="42" spans="1:19" s="63" customFormat="1" ht="19" thickBot="1" x14ac:dyDescent="0.5">
      <c r="A42" s="431"/>
      <c r="B42" s="419"/>
      <c r="C42" s="419"/>
      <c r="D42" s="419"/>
      <c r="E42" s="419"/>
      <c r="F42" s="419"/>
      <c r="G42" s="419"/>
      <c r="H42" s="419"/>
      <c r="I42" s="419"/>
      <c r="J42" s="419"/>
      <c r="K42" s="419"/>
      <c r="L42" s="419"/>
      <c r="M42" s="419"/>
    </row>
    <row r="43" spans="1:19" s="63" customFormat="1" ht="24" thickBot="1" x14ac:dyDescent="0.6">
      <c r="A43" s="431"/>
      <c r="B43" s="425" t="s">
        <v>23270</v>
      </c>
      <c r="C43" s="426"/>
      <c r="D43" s="426"/>
      <c r="E43" s="426"/>
      <c r="F43" s="426"/>
      <c r="G43" s="426"/>
      <c r="H43" s="426"/>
      <c r="I43" s="426"/>
      <c r="J43" s="426"/>
      <c r="K43" s="426"/>
      <c r="L43" s="426"/>
      <c r="M43" s="426"/>
      <c r="N43" s="426"/>
      <c r="O43" s="426"/>
      <c r="P43" s="426"/>
      <c r="Q43" s="426"/>
      <c r="R43" s="427"/>
    </row>
    <row r="44" spans="1:19" s="63" customFormat="1" ht="24" thickBot="1" x14ac:dyDescent="0.6">
      <c r="A44" s="431"/>
      <c r="B44" s="88" t="s">
        <v>23258</v>
      </c>
      <c r="C44" s="420" t="s">
        <v>23271</v>
      </c>
      <c r="D44" s="421"/>
      <c r="E44" s="421"/>
      <c r="F44" s="421"/>
      <c r="G44" s="421"/>
      <c r="H44" s="421"/>
      <c r="I44" s="421"/>
      <c r="J44" s="422"/>
      <c r="K44" s="421" t="s">
        <v>23272</v>
      </c>
      <c r="L44" s="421"/>
      <c r="M44" s="421"/>
      <c r="N44" s="421"/>
      <c r="O44" s="421"/>
      <c r="P44" s="421"/>
      <c r="Q44" s="421"/>
      <c r="R44" s="428"/>
    </row>
    <row r="45" spans="1:19" s="63" customFormat="1" ht="19" customHeight="1" thickBot="1" x14ac:dyDescent="0.5">
      <c r="A45" s="431"/>
      <c r="B45" s="107" t="s">
        <v>23273</v>
      </c>
      <c r="C45" s="108" t="s">
        <v>93</v>
      </c>
      <c r="D45" s="108" t="s">
        <v>94</v>
      </c>
      <c r="E45" s="108" t="s">
        <v>95</v>
      </c>
      <c r="F45" s="108" t="s">
        <v>23385</v>
      </c>
      <c r="G45" s="108" t="s">
        <v>96</v>
      </c>
      <c r="H45" s="108" t="s">
        <v>97</v>
      </c>
      <c r="I45" s="108" t="s">
        <v>98</v>
      </c>
      <c r="J45" s="385" t="s">
        <v>99</v>
      </c>
      <c r="K45" s="109" t="s">
        <v>100</v>
      </c>
      <c r="L45" s="109" t="s">
        <v>101</v>
      </c>
      <c r="M45" s="108" t="s">
        <v>102</v>
      </c>
      <c r="N45" s="108" t="s">
        <v>23386</v>
      </c>
      <c r="O45" s="108" t="s">
        <v>23387</v>
      </c>
      <c r="P45" s="109" t="s">
        <v>103</v>
      </c>
      <c r="Q45" s="108" t="s">
        <v>104</v>
      </c>
      <c r="R45" s="416" t="s">
        <v>23274</v>
      </c>
    </row>
    <row r="46" spans="1:19" s="63" customFormat="1" ht="19" customHeight="1" x14ac:dyDescent="0.45">
      <c r="A46" s="431"/>
      <c r="B46" s="111" t="s">
        <v>23275</v>
      </c>
      <c r="C46" s="112" t="s">
        <v>23224</v>
      </c>
      <c r="D46" s="112" t="s">
        <v>23224</v>
      </c>
      <c r="E46" s="112" t="s">
        <v>23224</v>
      </c>
      <c r="F46" s="112" t="s">
        <v>23224</v>
      </c>
      <c r="G46" s="112" t="s">
        <v>23224</v>
      </c>
      <c r="H46" s="112" t="s">
        <v>23224</v>
      </c>
      <c r="I46" s="112" t="s">
        <v>23224</v>
      </c>
      <c r="J46" s="386" t="s">
        <v>23236</v>
      </c>
      <c r="K46" s="358" t="s">
        <v>23236</v>
      </c>
      <c r="L46" s="112" t="s">
        <v>23236</v>
      </c>
      <c r="M46" s="112" t="s">
        <v>23236</v>
      </c>
      <c r="N46" s="112" t="s">
        <v>23236</v>
      </c>
      <c r="O46" s="112" t="s">
        <v>23224</v>
      </c>
      <c r="P46" s="112" t="s">
        <v>23224</v>
      </c>
      <c r="Q46" s="112" t="s">
        <v>23224</v>
      </c>
      <c r="R46" s="417"/>
    </row>
    <row r="47" spans="1:19" s="63" customFormat="1" ht="19" customHeight="1" x14ac:dyDescent="0.45">
      <c r="A47" s="431"/>
      <c r="B47" s="111" t="s">
        <v>23259</v>
      </c>
      <c r="C47" s="112"/>
      <c r="D47" s="95"/>
      <c r="E47" s="75"/>
      <c r="F47" s="75"/>
      <c r="G47" s="95"/>
      <c r="H47" s="75"/>
      <c r="I47" s="75"/>
      <c r="J47" s="387"/>
      <c r="K47" s="75"/>
      <c r="L47" s="75"/>
      <c r="M47" s="95"/>
      <c r="N47" s="75"/>
      <c r="O47" s="95"/>
      <c r="P47" s="75"/>
      <c r="Q47" s="95"/>
      <c r="R47" s="113"/>
    </row>
    <row r="48" spans="1:19" s="63" customFormat="1" ht="19" customHeight="1" x14ac:dyDescent="0.45">
      <c r="A48" s="431"/>
      <c r="B48" s="111" t="s">
        <v>23243</v>
      </c>
      <c r="C48" s="112"/>
      <c r="D48" s="112"/>
      <c r="E48" s="112"/>
      <c r="F48" s="112"/>
      <c r="G48" s="95"/>
      <c r="H48" s="75"/>
      <c r="I48" s="75"/>
      <c r="J48" s="387"/>
      <c r="K48" s="75"/>
      <c r="L48" s="75"/>
      <c r="M48" s="95"/>
      <c r="N48" s="75"/>
      <c r="O48" s="95"/>
      <c r="P48" s="75"/>
      <c r="Q48" s="95"/>
      <c r="R48" s="95"/>
    </row>
    <row r="49" spans="1:18" s="63" customFormat="1" ht="19" customHeight="1" x14ac:dyDescent="0.45">
      <c r="A49" s="431"/>
      <c r="B49" s="111" t="s">
        <v>23260</v>
      </c>
      <c r="C49" s="112"/>
      <c r="D49" s="112"/>
      <c r="E49" s="112"/>
      <c r="F49" s="112"/>
      <c r="G49" s="95"/>
      <c r="H49" s="75"/>
      <c r="I49" s="75"/>
      <c r="J49" s="387"/>
      <c r="K49" s="75"/>
      <c r="L49" s="75"/>
      <c r="M49" s="95"/>
      <c r="N49" s="75"/>
      <c r="O49" s="95"/>
      <c r="P49" s="75"/>
      <c r="Q49" s="95"/>
      <c r="R49" s="95"/>
    </row>
    <row r="50" spans="1:18" s="63" customFormat="1" ht="19" customHeight="1" thickBot="1" x14ac:dyDescent="0.5">
      <c r="A50" s="431"/>
      <c r="B50" s="111" t="s">
        <v>23276</v>
      </c>
      <c r="C50" s="112">
        <v>574</v>
      </c>
      <c r="D50" s="112">
        <v>574</v>
      </c>
      <c r="E50" s="112">
        <v>574</v>
      </c>
      <c r="F50" s="112">
        <v>574</v>
      </c>
      <c r="G50" s="112">
        <v>875</v>
      </c>
      <c r="H50" s="112">
        <v>875</v>
      </c>
      <c r="I50" s="112">
        <v>754</v>
      </c>
      <c r="J50" s="386">
        <v>754</v>
      </c>
      <c r="K50" s="373"/>
      <c r="L50" s="374"/>
      <c r="M50" s="374"/>
      <c r="N50" s="374"/>
      <c r="O50" s="374"/>
      <c r="P50" s="112"/>
      <c r="Q50" s="95"/>
      <c r="R50" s="95"/>
    </row>
    <row r="51" spans="1:18" s="63" customFormat="1" ht="19" customHeight="1" thickBot="1" x14ac:dyDescent="0.5">
      <c r="A51" s="431"/>
      <c r="B51" s="114" t="s">
        <v>23277</v>
      </c>
      <c r="C51" s="115" t="str">
        <f>_xlfn.LET( _xlpm.rawVal,C46, _xlpm.rawCode,C53,_xlpm.val,TRIM(LOWER(_xlpm.rawVal)),_xlpm.code,TRIM(LOWER(_xlpm.rawCode)),_xlpm.hasVal,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D51" s="115" t="str">
        <f>_xlfn.LET( _xlpm.rawVal,D46, _xlpm.rawCode,D53,_xlpm.val,TRIM(LOWER(_xlpm.rawVal)),_xlpm.code,TRIM(LOWER(_xlpm.rawCode)),_xlpm.hasVal,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E51" s="115" t="str">
        <f>_xlfn.LET( _xlpm.rawVal,E46, _xlpm.rawCode,E53,_xlpm.val,TRIM(LOWER(_xlpm.rawVal)),_xlpm.code,TRIM(LOWER(_xlpm.rawCode)),_xlpm.hasVal,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F51" s="115" t="str">
        <f>_xlfn.LET( _xlpm.rawVal,F46, _xlpm.rawCode,F53,_xlpm.val,TRIM(LOWER(_xlpm.rawVal)),_xlpm.code,TRIM(LOWER(_xlpm.rawCode)),_xlpm.hasVal,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G51" s="115" t="str">
        <f>_xlfn.LET( _xlpm.rawVal,G46, _xlpm.rawCode,G53,_xlpm.val,TRIM(LOWER(_xlpm.rawVal)),_xlpm.code,TRIM(LOWER(_xlpm.rawCode)),_xlpm.hasVal,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H51" s="115" t="str">
        <f>_xlfn.LET( _xlpm.rawVal,H46, _xlpm.rawCode,H53,_xlpm.val,TRIM(LOWER(_xlpm.rawVal)),_xlpm.code,TRIM(LOWER(_xlpm.rawCode)),_xlpm.hasVal,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I51" s="115" t="str">
        <f>_xlfn.LET( _xlpm.rawVal,I46, _xlpm.rawCode,I53,_xlpm.val,TRIM(LOWER(_xlpm.rawVal)),_xlpm.code,TRIM(LOWER(_xlpm.rawCode)),_xlpm.hasVal,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J51" s="388">
        <f>_xlfn.LET( _xlpm.rawVal,J46, _xlpm.rawCode,J53,_xlpm.val,TRIM(LOWER(_xlpm.rawVal)),_xlpm.code,TRIM(LOWER(_xlpm.rawCode)),_xlpm.hasVal,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2449</v>
      </c>
      <c r="K51" s="360">
        <f>_xlfn.LET( _xlpm.rawVal,K46, _xlpm.rawCode,K53,_xlpm.val,TRIM(LOWER(_xlpm.rawVal)),_xlpm.code,TRIM(LOWER(_xlpm.rawCode)),_xlpm.hasVal,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2449</v>
      </c>
      <c r="L51" s="115">
        <f>_xlfn.LET( _xlpm.rawVal,L46, _xlpm.rawCode,L53,_xlpm.val,TRIM(LOWER(_xlpm.rawVal)),_xlpm.code,TRIM(LOWER(_xlpm.rawCode)),_xlpm.hasVal,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2449</v>
      </c>
      <c r="M51" s="115">
        <f>_xlfn.LET( _xlpm.rawVal,M46, _xlpm.rawCode,M53,_xlpm.val,TRIM(LOWER(_xlpm.rawVal)),_xlpm.code,TRIM(LOWER(_xlpm.rawCode)),_xlpm.hasVal,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2449</v>
      </c>
      <c r="N51" s="115">
        <f>_xlfn.LET( _xlpm.rawVal,N46, _xlpm.rawCode,N53,_xlpm.val,TRIM(LOWER(_xlpm.rawVal)),_xlpm.code,TRIM(LOWER(_xlpm.rawCode)),_xlpm.hasVal,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2449</v>
      </c>
      <c r="O51" s="115" t="str">
        <f>_xlfn.LET( _xlpm.rawVal,O46, _xlpm.rawCode,O53,_xlpm.val,TRIM(LOWER(_xlpm.rawVal)),_xlpm.code,TRIM(LOWER(_xlpm.rawCode)),_xlpm.hasVal,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P51" s="115" t="str">
        <f>_xlfn.LET( _xlpm.rawVal,P46, _xlpm.rawCode,P53,_xlpm.val,TRIM(LOWER(_xlpm.rawVal)),_xlpm.code,TRIM(LOWER(_xlpm.rawCode)),_xlpm.hasVal,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Q51" s="115" t="str">
        <f>_xlfn.LET( _xlpm.rawVal,Q46, _xlpm.rawCode,Q53,_xlpm.val,TRIM(LOWER(_xlpm.rawVal)),_xlpm.code,TRIM(LOWER(_xlpm.rawCode)),_xlpm.hasVal,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Constrains'!$J$6:$L$11,3,FALSE),""),IF(_xlpm.badPair,"Invalid",_xlpm.lookupRes))</f>
        <v/>
      </c>
      <c r="R51" s="116">
        <v>2925</v>
      </c>
    </row>
    <row r="52" spans="1:18" s="63" customFormat="1" ht="19" customHeight="1" thickBot="1" x14ac:dyDescent="0.5">
      <c r="A52" s="431"/>
      <c r="B52" s="107" t="s">
        <v>23273</v>
      </c>
      <c r="C52" s="117" t="s">
        <v>23278</v>
      </c>
      <c r="D52" s="118" t="s">
        <v>23279</v>
      </c>
      <c r="E52" s="119" t="s">
        <v>23280</v>
      </c>
      <c r="F52" s="119" t="s">
        <v>23388</v>
      </c>
      <c r="G52" s="118" t="s">
        <v>23281</v>
      </c>
      <c r="H52" s="119" t="s">
        <v>23282</v>
      </c>
      <c r="I52" s="119" t="s">
        <v>23283</v>
      </c>
      <c r="J52" s="389" t="s">
        <v>23389</v>
      </c>
      <c r="K52" s="119" t="s">
        <v>23284</v>
      </c>
      <c r="L52" s="119" t="s">
        <v>23285</v>
      </c>
      <c r="M52" s="110" t="s">
        <v>23286</v>
      </c>
      <c r="N52" s="119" t="s">
        <v>23435</v>
      </c>
      <c r="O52" s="118" t="s">
        <v>23287</v>
      </c>
      <c r="P52" s="119" t="s">
        <v>23288</v>
      </c>
      <c r="Q52" s="110" t="s">
        <v>23390</v>
      </c>
    </row>
    <row r="53" spans="1:18" s="63" customFormat="1" ht="19" customHeight="1" x14ac:dyDescent="0.45">
      <c r="A53" s="431"/>
      <c r="B53" s="111" t="s">
        <v>23275</v>
      </c>
      <c r="C53" s="112" t="s">
        <v>23224</v>
      </c>
      <c r="D53" s="112" t="s">
        <v>23224</v>
      </c>
      <c r="E53" s="112" t="s">
        <v>23224</v>
      </c>
      <c r="F53" s="112" t="s">
        <v>23224</v>
      </c>
      <c r="G53" s="112" t="s">
        <v>23224</v>
      </c>
      <c r="H53" s="112" t="s">
        <v>23224</v>
      </c>
      <c r="I53" s="112" t="s">
        <v>23224</v>
      </c>
      <c r="J53" s="386" t="s">
        <v>23224</v>
      </c>
      <c r="K53" s="358" t="s">
        <v>23224</v>
      </c>
      <c r="L53" s="112" t="s">
        <v>23224</v>
      </c>
      <c r="M53" s="112" t="s">
        <v>23224</v>
      </c>
      <c r="N53" s="112" t="s">
        <v>23224</v>
      </c>
      <c r="O53" s="112" t="s">
        <v>23236</v>
      </c>
      <c r="P53" s="112" t="s">
        <v>23236</v>
      </c>
      <c r="Q53" s="95" t="s">
        <v>23236</v>
      </c>
    </row>
    <row r="54" spans="1:18" s="63" customFormat="1" ht="19" customHeight="1" x14ac:dyDescent="0.45">
      <c r="A54" s="431"/>
      <c r="B54" s="111" t="s">
        <v>23259</v>
      </c>
      <c r="C54" s="112"/>
      <c r="D54" s="95"/>
      <c r="E54" s="75"/>
      <c r="F54" s="75"/>
      <c r="G54" s="95"/>
      <c r="H54" s="75"/>
      <c r="I54" s="75"/>
      <c r="J54" s="387"/>
      <c r="K54" s="75"/>
      <c r="L54" s="75"/>
      <c r="M54" s="95"/>
      <c r="N54" s="75"/>
      <c r="O54" s="95"/>
      <c r="P54" s="75"/>
      <c r="Q54" s="95"/>
    </row>
    <row r="55" spans="1:18" s="63" customFormat="1" ht="18.5" customHeight="1" x14ac:dyDescent="0.45">
      <c r="A55" s="431"/>
      <c r="B55" s="111" t="s">
        <v>23243</v>
      </c>
      <c r="C55" s="112"/>
      <c r="D55" s="95"/>
      <c r="E55" s="75"/>
      <c r="F55" s="75"/>
      <c r="G55" s="95"/>
      <c r="H55" s="75"/>
      <c r="I55" s="75"/>
      <c r="J55" s="387"/>
      <c r="K55" s="75"/>
      <c r="L55" s="75"/>
      <c r="M55" s="95"/>
      <c r="N55" s="75"/>
      <c r="O55" s="95"/>
      <c r="P55" s="75"/>
      <c r="Q55" s="95"/>
      <c r="R55" s="423"/>
    </row>
    <row r="56" spans="1:18" s="63" customFormat="1" ht="18.5" customHeight="1" x14ac:dyDescent="0.45">
      <c r="A56" s="431"/>
      <c r="B56" s="111" t="s">
        <v>23260</v>
      </c>
      <c r="C56" s="112"/>
      <c r="D56" s="95"/>
      <c r="E56" s="75"/>
      <c r="F56" s="75"/>
      <c r="G56" s="95"/>
      <c r="H56" s="75"/>
      <c r="I56" s="75"/>
      <c r="J56" s="387"/>
      <c r="K56" s="75"/>
      <c r="L56" s="75"/>
      <c r="M56" s="95"/>
      <c r="N56" s="75"/>
      <c r="O56" s="95"/>
      <c r="P56" s="75"/>
      <c r="Q56" s="95"/>
      <c r="R56" s="423"/>
    </row>
    <row r="57" spans="1:18" s="63" customFormat="1" ht="18.5" customHeight="1" x14ac:dyDescent="0.45">
      <c r="A57" s="431"/>
      <c r="B57" s="111" t="s">
        <v>23276</v>
      </c>
      <c r="C57" s="112">
        <v>574</v>
      </c>
      <c r="D57" s="112">
        <v>574</v>
      </c>
      <c r="E57" s="112">
        <v>574</v>
      </c>
      <c r="F57" s="112"/>
      <c r="G57" s="112"/>
      <c r="H57" s="112"/>
      <c r="I57" s="112"/>
      <c r="J57" s="386"/>
      <c r="K57" s="358">
        <v>634</v>
      </c>
      <c r="L57" s="112">
        <v>364</v>
      </c>
      <c r="M57" s="95">
        <v>634</v>
      </c>
      <c r="N57" s="112">
        <v>995</v>
      </c>
      <c r="O57" s="112">
        <v>995</v>
      </c>
      <c r="P57" s="112">
        <v>995</v>
      </c>
      <c r="Q57" s="95">
        <v>995</v>
      </c>
    </row>
    <row r="58" spans="1:18" s="63" customFormat="1" ht="19" customHeight="1" thickBot="1" x14ac:dyDescent="0.5">
      <c r="A58" s="431"/>
      <c r="B58" s="114" t="s">
        <v>23277</v>
      </c>
      <c r="C58" s="120" t="str">
        <f>_xlfn.LET( _xlpm.rawVal,C46, _xlpm.rawCode,C53,_xlpm.val,TRIM(LOWER(_xlpm.rawVal)),_xlpm.code,TRIM(LOWER(_xlpm.rawCode)),_xlpm.hasVal,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D58" s="120" t="str">
        <f>_xlfn.LET( _xlpm.rawVal,D46, _xlpm.rawCode,D53,_xlpm.val,TRIM(LOWER(_xlpm.rawVal)),_xlpm.code,TRIM(LOWER(_xlpm.rawCode)),_xlpm.hasVal,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E58" s="120" t="str">
        <f>_xlfn.LET( _xlpm.rawVal,E46, _xlpm.rawCode,E53,_xlpm.val,TRIM(LOWER(_xlpm.rawVal)),_xlpm.code,TRIM(LOWER(_xlpm.rawCode)),_xlpm.hasVal,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F58" s="120" t="str">
        <f>_xlfn.LET( _xlpm.rawVal,F46, _xlpm.rawCode,F53,_xlpm.val,TRIM(LOWER(_xlpm.rawVal)),_xlpm.code,TRIM(LOWER(_xlpm.rawCode)),_xlpm.hasVal,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G58" s="120" t="str">
        <f>_xlfn.LET( _xlpm.rawVal,G46, _xlpm.rawCode,G53,_xlpm.val,TRIM(LOWER(_xlpm.rawVal)),_xlpm.code,TRIM(LOWER(_xlpm.rawCode)),_xlpm.hasVal,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H58" s="120" t="str">
        <f>_xlfn.LET( _xlpm.rawVal,H46, _xlpm.rawCode,H53,_xlpm.val,TRIM(LOWER(_xlpm.rawVal)),_xlpm.code,TRIM(LOWER(_xlpm.rawCode)),_xlpm.hasVal,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I58" s="120" t="str">
        <f>_xlfn.LET( _xlpm.rawVal,I46, _xlpm.rawCode,I53,_xlpm.val,TRIM(LOWER(_xlpm.rawVal)),_xlpm.code,TRIM(LOWER(_xlpm.rawCode)),_xlpm.hasVal,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J58" s="390" t="str">
        <f>_xlfn.LET( _xlpm.rawVal,J46, _xlpm.rawCode,J53,_xlpm.val,TRIM(LOWER(_xlpm.rawVal)),_xlpm.code,TRIM(LOWER(_xlpm.rawCode)),_xlpm.hasVal,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K58" s="359" t="str">
        <f>_xlfn.LET( _xlpm.rawVal,K46, _xlpm.rawCode,K53,_xlpm.val,TRIM(LOWER(_xlpm.rawVal)),_xlpm.code,TRIM(LOWER(_xlpm.rawCode)),_xlpm.hasVal,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L58" s="120" t="str">
        <f>_xlfn.LET( _xlpm.rawVal,L46, _xlpm.rawCode,L53,_xlpm.val,TRIM(LOWER(_xlpm.rawVal)),_xlpm.code,TRIM(LOWER(_xlpm.rawCode)),_xlpm.hasVal,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M58" s="120" t="str">
        <f>_xlfn.LET( _xlpm.rawVal,M46, _xlpm.rawCode,M53,_xlpm.val,TRIM(LOWER(_xlpm.rawVal)),_xlpm.code,TRIM(LOWER(_xlpm.rawCode)),_xlpm.hasVal,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N58" s="120" t="str">
        <f>_xlfn.LET( _xlpm.rawVal,N46, _xlpm.rawCode,N53,_xlpm.val,TRIM(LOWER(_xlpm.rawVal)),_xlpm.code,TRIM(LOWER(_xlpm.rawCode)),_xlpm.hasVal,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
      </c>
      <c r="O58" s="120">
        <f>_xlfn.LET( _xlpm.rawVal,O46, _xlpm.rawCode,O53,_xlpm.val,TRIM(LOWER(_xlpm.rawVal)),_xlpm.code,TRIM(LOWER(_xlpm.rawCode)),_xlpm.hasVal,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2449</v>
      </c>
      <c r="P58" s="120">
        <f>_xlfn.LET( _xlpm.rawVal,P46, _xlpm.rawCode,P53,_xlpm.val,TRIM(LOWER(_xlpm.rawVal)),_xlpm.code,TRIM(LOWER(_xlpm.rawCode)),_xlpm.hasVal,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2449</v>
      </c>
      <c r="Q58" s="384">
        <f>_xlfn.LET( _xlpm.rawVal,Q46, _xlpm.rawCode,Q53,_xlpm.val,TRIM(LOWER(_xlpm.rawVal)),_xlpm.code,TRIM(LOWER(_xlpm.rawCode)),_xlpm.hasVal,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Constrains'!$J$6:$L$11,3,FALSE),""),IF(_xlpm.badPair,"Invalid",_xlpm.lookupRes))</f>
        <v>2449</v>
      </c>
    </row>
    <row r="59" spans="1:18" s="63" customFormat="1" ht="19" thickBot="1" x14ac:dyDescent="0.5">
      <c r="A59" s="431"/>
      <c r="B59" s="105" t="s">
        <v>23380</v>
      </c>
      <c r="C59" s="106" t="str">
        <f>IF(C60="","",IF(C46="None",ROUND(C57*2.205,0),IF(C53="None",ROUND(C50*2.205,0),IF(AND(C51="Invalid",C58="Invalid"),"",ROUND((SUM(C50,C57)*2.205),0)))))</f>
        <v/>
      </c>
      <c r="D59" s="106" t="str">
        <f>IF(D60="","",IF(D46="None",ROUND(D57*2.205,0),IF(OR(C46="P6",C53="P6"),"",IF(D53="None",ROUND(D50*2.205,0),IF(AND(D51="Invalid",D58="Invalid"),"",ROUND((SUM(D50,D57)*2.205),0))))))</f>
        <v/>
      </c>
      <c r="E59" s="106" t="str">
        <f>IF(E60="","",IF(E46="None",ROUND(E57*2.205,0),IF(E53="None",ROUND(E50*2.205,0),IF(AND(E51="Invalid",E58="Invalid"),"",ROUND((SUM(E50,E57)*2.205),0)))))</f>
        <v/>
      </c>
      <c r="F59" s="106" t="str">
        <f>IF(F60="","",IF(F46="None",ROUND(F57*2.205,0),IF(OR(E46="P6",E53="P6"),"",IF(F53="None",ROUND(F50*2.205,0),IF(AND(F51="Invalid",F58="Invalid"),"",ROUND((SUM(F50,F57)*2.205),0))))))</f>
        <v/>
      </c>
      <c r="G59" s="106" t="str">
        <f>IF(G60="","",IF(G46="None",ROUND(G57*2.205,0),IF(G53="None",ROUND(G50*2.205,0),IF(AND(G51="Invalid",G58="Invalid"),"",ROUND((SUM(G50,G57)*2.205),0)))))</f>
        <v/>
      </c>
      <c r="H59" s="106" t="str">
        <f>IF(H60="","",IF(H46="None",ROUND(H57*2.205,0),IF(OR(G46="P6",G53="P6"),"",IF(H53="None",ROUND(H50*2.205,0),IF(AND(H51="Invalid",H58="Invalid"),"",ROUND((SUM(H50,H57)*2.205),0))))))</f>
        <v/>
      </c>
      <c r="I59" s="106" t="str">
        <f>IF(I60="","",IF(AND(I51="Invalid",I58="Invalid"),"",ROUND((SUM(I50,I57)*2.205),0)))</f>
        <v/>
      </c>
      <c r="J59" s="391">
        <f>IF(J60="","",IF(J46="None",ROUND(J57*2.205,0),IF(OR(I46="P6",I53="P6"),"",IF(J53="None",ROUND(J50*2.205,0),IF(AND(J51="Invalid",J58="Invalid"),"",ROUND((SUM(J50,J57)*2.205),0))))))</f>
        <v>1663</v>
      </c>
      <c r="K59" s="361">
        <f>IF(K60="","",IF(K46="None",ROUND(K57*2.205,0),IF(K53="None",ROUND(K50*2.205,0),IF(AND(K51="Invalid",K58="Invalid"),"",ROUND((SUM(K50,K57)*2.205),0)))))</f>
        <v>0</v>
      </c>
      <c r="L59" s="106">
        <f t="shared" ref="L59:Q59" si="8">IF(L60="","",IF(L46="None",ROUND(L57*2.205,0),IF(L53="None",ROUND(L50*2.205,0),IF(AND(L51="Invalid",L58="Invalid"),"",ROUND((SUM(L50,L57)*2.205),0)))))</f>
        <v>0</v>
      </c>
      <c r="M59" s="106">
        <f t="shared" si="8"/>
        <v>0</v>
      </c>
      <c r="N59" s="106">
        <f t="shared" si="8"/>
        <v>0</v>
      </c>
      <c r="O59" s="106">
        <f t="shared" si="8"/>
        <v>2194</v>
      </c>
      <c r="P59" s="106">
        <f t="shared" si="8"/>
        <v>2194</v>
      </c>
      <c r="Q59" s="106">
        <f t="shared" si="8"/>
        <v>2194</v>
      </c>
      <c r="R59" s="361">
        <f>ROUND(R50*2.205,0)</f>
        <v>0</v>
      </c>
    </row>
    <row r="60" spans="1:18" s="63" customFormat="1" ht="19" thickBot="1" x14ac:dyDescent="0.5">
      <c r="A60" s="431"/>
      <c r="B60" s="106" t="s">
        <v>23379</v>
      </c>
      <c r="C60" s="106" t="str">
        <f>IF(AND(C46="None", C53="None"),"",(SUM(C51,C58) * 2.205))</f>
        <v/>
      </c>
      <c r="D60" s="106" t="str">
        <f>IF(AND(D46="None", D53="None"),"",(SUM(D51,D58) * 2.205))</f>
        <v/>
      </c>
      <c r="E60" s="106" t="str">
        <f t="shared" ref="E60:Q60" si="9">IF(AND(E46="None", E53="None"),"",(SUM(E51,E58) * 2.205))</f>
        <v/>
      </c>
      <c r="F60" s="106" t="str">
        <f t="shared" si="9"/>
        <v/>
      </c>
      <c r="G60" s="106" t="str">
        <f>IF(AND(G46="None", G53="None"),"",(SUM(G51,G58) * 2.205))</f>
        <v/>
      </c>
      <c r="H60" s="106" t="str">
        <f t="shared" si="9"/>
        <v/>
      </c>
      <c r="I60" s="106" t="str">
        <f t="shared" si="9"/>
        <v/>
      </c>
      <c r="J60" s="391">
        <f t="shared" si="9"/>
        <v>5400.0450000000001</v>
      </c>
      <c r="K60" s="361">
        <f t="shared" si="9"/>
        <v>5400.0450000000001</v>
      </c>
      <c r="L60" s="106">
        <f t="shared" si="9"/>
        <v>5400.0450000000001</v>
      </c>
      <c r="M60" s="106">
        <f t="shared" si="9"/>
        <v>5400.0450000000001</v>
      </c>
      <c r="N60" s="106">
        <f t="shared" si="9"/>
        <v>5400.0450000000001</v>
      </c>
      <c r="O60" s="106">
        <f t="shared" si="9"/>
        <v>5400.0450000000001</v>
      </c>
      <c r="P60" s="106">
        <f t="shared" si="9"/>
        <v>5400.0450000000001</v>
      </c>
      <c r="Q60" s="106">
        <f t="shared" si="9"/>
        <v>5400.0450000000001</v>
      </c>
      <c r="R60" s="106">
        <f>R51*2.205</f>
        <v>6449.625</v>
      </c>
    </row>
    <row r="61" spans="1:18" x14ac:dyDescent="0.45">
      <c r="A61" s="431"/>
      <c r="G61" s="82"/>
      <c r="H61" s="82"/>
      <c r="I61" s="82"/>
      <c r="J61" s="82"/>
      <c r="K61" s="82"/>
      <c r="L61" s="82"/>
      <c r="M61" s="82"/>
      <c r="N61" s="82"/>
      <c r="O61" s="82"/>
      <c r="P61" s="82"/>
    </row>
    <row r="62" spans="1:18" ht="21" x14ac:dyDescent="0.5">
      <c r="A62" s="431"/>
      <c r="B62" s="122"/>
      <c r="C62" s="122"/>
      <c r="D62" s="122"/>
      <c r="E62" s="122"/>
      <c r="F62" s="121"/>
      <c r="G62" s="424" t="str">
        <f>IF(OR(G63&lt;&gt;"",G64&lt;&gt;"",G65&lt;&gt;"",G66&lt;&gt;"",G67&lt;&gt;"",G68&lt;&gt;"",G69&lt;&gt;""),"FLOATER A and FLOATER B are OVERLAPED","")</f>
        <v/>
      </c>
      <c r="H62" s="424"/>
      <c r="I62" s="424"/>
      <c r="J62" s="424"/>
      <c r="K62" s="424" t="str">
        <f>IF(OR(K63&lt;&gt;"",K64&lt;&gt;"",K65&lt;&gt;"",K66&lt;&gt;"",K67&lt;&gt;"",K67&lt;&gt;"",K68&lt;&gt;"",K69&lt;&gt;"",K70&lt;&gt;""),"Positions and FLOATER A are OVERLAPED","")</f>
        <v/>
      </c>
      <c r="L62" s="424"/>
      <c r="M62" s="424"/>
      <c r="N62" s="424" t="str">
        <f>IF(OR(N63&lt;&gt;"",N64&lt;&gt;"",N65&lt;&gt;"",N66&lt;&gt;"",N67&lt;&gt;"",,N68&lt;&gt;"",N69&lt;&gt;""),"Positions and FLOATER B are OVERLAPED","")</f>
        <v/>
      </c>
      <c r="O62" s="424"/>
      <c r="P62" s="424"/>
    </row>
    <row r="63" spans="1:18" ht="21" x14ac:dyDescent="0.5">
      <c r="A63" s="431"/>
      <c r="B63" s="122"/>
      <c r="C63" s="123"/>
      <c r="D63" s="443"/>
      <c r="E63" s="124"/>
      <c r="F63" s="121"/>
      <c r="G63" s="413" t="str">
        <f>IF(AND(OR(D34&lt;&gt;"",F34&lt;&gt;""),E37&lt;&gt;""),"Overlap at FLOATER A.1 or A.2 and FLOATER B.1","")</f>
        <v/>
      </c>
      <c r="H63" s="413"/>
      <c r="I63" s="413"/>
      <c r="J63" s="413"/>
      <c r="K63" s="413" t="str">
        <f>IF(AND(OR(D21&lt;&gt;"",E21&lt;&gt;"",D29&lt;&gt;"",E29&lt;&gt;""),D34&lt;&gt;""),"Pos. 2/3 &amp; FLOATER A.1 Overlap","")</f>
        <v/>
      </c>
      <c r="L63" s="413"/>
      <c r="M63" s="413"/>
      <c r="N63" s="413" t="str">
        <f>IF(AND(OR(E21&lt;&gt;"",F21&lt;&gt;"",E29&lt;&gt;"",F29&lt;&gt;""),E37&lt;&gt;""),"Pos. 3/4 &amp; FLOATER B.1 Overlap","")</f>
        <v/>
      </c>
      <c r="O63" s="413"/>
      <c r="P63" s="413"/>
    </row>
    <row r="64" spans="1:18" ht="21" hidden="1" x14ac:dyDescent="0.5">
      <c r="A64" s="431"/>
      <c r="B64" s="122"/>
      <c r="C64" s="125"/>
      <c r="D64" s="443"/>
      <c r="E64" s="124"/>
      <c r="F64" s="121"/>
      <c r="G64" s="413" t="str">
        <f>IF(AND(OR(H34&lt;&gt;"",F34&lt;&gt;""),G37&lt;&gt;""),"Overlap at FLOATER A.2 or 1.3 and FLOATER B.2","")</f>
        <v/>
      </c>
      <c r="H64" s="413"/>
      <c r="I64" s="413"/>
      <c r="J64" s="413"/>
      <c r="K64" s="413" t="str">
        <f>IF(AND(OR(F21&lt;&gt;"",G21&lt;&gt;"",F29&lt;&gt;"",G29&lt;&gt;""),F34&lt;&gt;""),"Pos. 4/5 &amp; FLOATER A.2 Overlap","")</f>
        <v/>
      </c>
      <c r="L64" s="413"/>
      <c r="M64" s="413"/>
      <c r="N64" s="413" t="str">
        <f>IF(AND(OR(G21&lt;&gt;"",H21&lt;&gt;"",G29&lt;&gt;"",H29&lt;&gt;""),G37&lt;&gt;""),"Pos. 5/6 &amp; FLOATER B.2 Overlap","")</f>
        <v/>
      </c>
      <c r="O64" s="413"/>
      <c r="P64" s="413"/>
    </row>
    <row r="65" spans="1:16" ht="21" hidden="1" x14ac:dyDescent="0.5">
      <c r="A65" s="431"/>
      <c r="B65" s="122"/>
      <c r="C65" s="125"/>
      <c r="D65" s="125"/>
      <c r="E65" s="124"/>
      <c r="G65" s="413" t="str">
        <f>IF(AND(OR(H34&lt;&gt;"",J34&lt;&gt;""),I37&lt;&gt;""),"Overlap at FLOATER A.3 or A.4 and FLOATER B.3","")</f>
        <v/>
      </c>
      <c r="H65" s="413"/>
      <c r="I65" s="413"/>
      <c r="J65" s="413"/>
      <c r="K65" s="413" t="str">
        <f>IF(AND(OR(H21&lt;&gt;"",I21&lt;&gt;""),H34&lt;&gt;"",H29&lt;&gt;"",I29&lt;&gt;""),"Pos. 6/7 &amp; FLOATER A.3 Overlap","")</f>
        <v/>
      </c>
      <c r="L65" s="413"/>
      <c r="M65" s="413"/>
      <c r="N65" s="413" t="str">
        <f>IF(AND(OR(I21&lt;&gt;"",J21&lt;&gt;"",I29&lt;&gt;"",J29&lt;&gt;""),I37&lt;&gt;""),"Pos. 7/8 &amp; FLOATER B.3 Overlap","")</f>
        <v/>
      </c>
      <c r="O65" s="413"/>
      <c r="P65" s="413"/>
    </row>
    <row r="66" spans="1:16" ht="21" hidden="1" x14ac:dyDescent="0.5">
      <c r="A66" s="431"/>
      <c r="B66" s="122"/>
      <c r="C66" s="125"/>
      <c r="D66" s="125"/>
      <c r="E66" s="124"/>
      <c r="G66" s="413" t="str">
        <f>IF(AND(OR(L34&lt;&gt;"",J34&lt;&gt;""),K37&lt;&gt;""),"Overlap at FLOATER A.4 or A.5 and FLOATER B.4","")</f>
        <v/>
      </c>
      <c r="H66" s="413"/>
      <c r="I66" s="413"/>
      <c r="J66" s="413"/>
      <c r="K66" s="413" t="str">
        <f>IF(AND(OR(J21&lt;&gt;"",K21&lt;&gt;""),J34&lt;&gt;"",J29&lt;&gt;"",K29&lt;&gt;""),"Pos. 8/9 &amp; FLOATER A.4 Overlap","")</f>
        <v/>
      </c>
      <c r="L66" s="413"/>
      <c r="M66" s="413"/>
      <c r="N66" s="413" t="str">
        <f>IF(AND(OR(K21&lt;&gt;"",L21&lt;&gt;"",K29&lt;&gt;"",L29&lt;&gt;""),K37&lt;&gt;""),"Pos. 9/10 &amp; FLOATER B.4 Overlap","")</f>
        <v/>
      </c>
      <c r="O66" s="413"/>
      <c r="P66" s="413"/>
    </row>
    <row r="67" spans="1:16" ht="21" hidden="1" x14ac:dyDescent="0.5">
      <c r="A67" s="431"/>
      <c r="B67" s="122"/>
      <c r="C67" s="125"/>
      <c r="D67" s="125"/>
      <c r="E67" s="124"/>
      <c r="G67" s="413" t="str">
        <f>IF(AND(OR(N34&lt;&gt;"",L34&lt;&gt;""),M37&lt;&gt;""),"Overlap at FLOATER A.5 or A.6 and FLOATER B.5","")</f>
        <v/>
      </c>
      <c r="H67" s="413"/>
      <c r="I67" s="413"/>
      <c r="J67" s="413"/>
      <c r="K67" s="413" t="str">
        <f>IF(AND(OR(L21&lt;&gt;"",M21&lt;&gt;""),L34&lt;&gt;"",L29&lt;&gt;"",M29&lt;&gt;""),"Pos. 10/11 &amp; FLOATER A.5 Overlap","")</f>
        <v/>
      </c>
      <c r="L67" s="413"/>
      <c r="M67" s="413"/>
      <c r="N67" s="413" t="str">
        <f>IF(AND(OR(M21&lt;&gt;"",N21&lt;&gt;"",M29&lt;&gt;"",N29&lt;&gt;""),M37&lt;&gt;""),"Pos. 11/12 &amp; FLOATER B.5 Overlap","")</f>
        <v/>
      </c>
      <c r="O67" s="413"/>
      <c r="P67" s="413"/>
    </row>
    <row r="68" spans="1:16" ht="21" hidden="1" x14ac:dyDescent="0.5">
      <c r="A68" s="431"/>
      <c r="B68" s="122"/>
      <c r="C68" s="125"/>
      <c r="D68" s="125"/>
      <c r="E68" s="124"/>
      <c r="G68" s="413" t="str">
        <f>IF(AND(OR(P34&lt;&gt;"",N34&lt;&gt;""),O37&lt;&gt;""),"Overlap at FLOATER A.5 or A.6 and FLOATER B.5","")</f>
        <v/>
      </c>
      <c r="H68" s="413"/>
      <c r="I68" s="413"/>
      <c r="J68" s="413"/>
      <c r="K68" s="413" t="str">
        <f>IF(AND(OR(N21&lt;&gt;"",O21&lt;&gt;"",N29&lt;&gt;""),N34&lt;&gt;""),"Pos. 12/13 &amp; FLOATER A.6 Overlap","")</f>
        <v/>
      </c>
      <c r="L68" s="413"/>
      <c r="M68" s="413"/>
      <c r="N68" s="413" t="str">
        <f>IF(AND(OR(O21&lt;&gt;"",P21&lt;&gt;""),O37&lt;&gt;""),"Pos. 13/14 &amp; FLOATER B.6 Overlap","")</f>
        <v/>
      </c>
      <c r="O68" s="413"/>
      <c r="P68" s="413"/>
    </row>
    <row r="69" spans="1:16" ht="21" hidden="1" x14ac:dyDescent="0.5">
      <c r="A69" s="431"/>
      <c r="B69" s="122"/>
      <c r="C69" s="125"/>
      <c r="D69" s="125"/>
      <c r="E69" s="124"/>
      <c r="G69" s="413" t="str">
        <f>IF(AND(OR(R34&lt;&gt;"",P34&lt;&gt;""),Q37&lt;&gt;""),"Overlap at FLOATER A.5 or A.6 and FLOATER B.5","")</f>
        <v/>
      </c>
      <c r="H69" s="413"/>
      <c r="I69" s="413"/>
      <c r="J69" s="413"/>
      <c r="K69" s="413" t="str">
        <f>IF(AND(OR(P21&lt;&gt;"",Q21&lt;&gt;""),P34&lt;&gt;""),"Pos. 14/15 &amp; FLOATER A.7 Overlap","")</f>
        <v/>
      </c>
      <c r="L69" s="413"/>
      <c r="M69" s="413"/>
      <c r="N69" s="413" t="str">
        <f>IF(AND(OR(Q21&lt;&gt;"",R21&lt;&gt;""),Q37&lt;&gt;""),"Pos. 15/16 &amp; FLOATER B.7 Overlap","")</f>
        <v/>
      </c>
      <c r="O69" s="413"/>
      <c r="P69" s="413"/>
    </row>
    <row r="70" spans="1:16" ht="21" hidden="1" x14ac:dyDescent="0.5">
      <c r="A70" s="431"/>
      <c r="B70" s="122"/>
      <c r="C70" s="125"/>
      <c r="D70" s="125"/>
      <c r="E70" s="124"/>
      <c r="G70" s="126"/>
      <c r="H70" s="126"/>
      <c r="I70" s="126"/>
      <c r="J70" s="126"/>
      <c r="K70" s="413" t="str">
        <f>IF(AND(OR(R21&lt;&gt;"",S21&lt;&gt;""),R34&lt;&gt;""),"Pos. 16/17 &amp; FLOATER A.8 Overlap","")</f>
        <v/>
      </c>
      <c r="L70" s="413"/>
      <c r="M70" s="413"/>
      <c r="N70" s="413"/>
      <c r="O70" s="413"/>
      <c r="P70" s="413"/>
    </row>
    <row r="71" spans="1:16" ht="21" hidden="1" x14ac:dyDescent="0.5">
      <c r="A71" s="431"/>
      <c r="B71" s="122"/>
      <c r="C71" s="125"/>
      <c r="D71" s="125"/>
      <c r="E71" s="124"/>
      <c r="G71" s="126"/>
      <c r="H71" s="126"/>
      <c r="I71" s="126"/>
      <c r="J71" s="126"/>
      <c r="K71" s="126"/>
      <c r="L71" s="126"/>
      <c r="M71" s="126"/>
      <c r="N71" s="126"/>
      <c r="O71" s="126"/>
      <c r="P71" s="126"/>
    </row>
    <row r="72" spans="1:16" ht="21" hidden="1" x14ac:dyDescent="0.5">
      <c r="A72" s="431"/>
      <c r="B72" s="122"/>
      <c r="C72" s="125"/>
      <c r="D72" s="125"/>
      <c r="E72" s="124"/>
      <c r="G72" s="126"/>
      <c r="H72" s="126"/>
      <c r="I72" s="126"/>
      <c r="J72" s="126"/>
      <c r="K72" s="126"/>
      <c r="L72" s="126"/>
      <c r="M72" s="126"/>
      <c r="N72" s="126"/>
      <c r="O72" s="126"/>
      <c r="P72" s="126"/>
    </row>
    <row r="73" spans="1:16" ht="21" hidden="1" x14ac:dyDescent="0.5">
      <c r="A73" s="431"/>
      <c r="B73" s="122"/>
      <c r="C73" s="125"/>
      <c r="D73" s="125"/>
      <c r="E73" s="124"/>
      <c r="G73" s="126"/>
      <c r="H73" s="126"/>
      <c r="I73" s="126"/>
      <c r="J73" s="126"/>
      <c r="K73" s="126"/>
      <c r="L73" s="126"/>
      <c r="M73" s="126"/>
      <c r="N73" s="126"/>
      <c r="O73" s="126"/>
      <c r="P73" s="126"/>
    </row>
    <row r="74" spans="1:16" ht="21" hidden="1" x14ac:dyDescent="0.5">
      <c r="A74" s="431"/>
      <c r="B74" s="122"/>
      <c r="C74" s="125"/>
      <c r="D74" s="125"/>
      <c r="E74" s="124"/>
      <c r="G74" s="126"/>
      <c r="H74" s="126"/>
      <c r="I74" s="126"/>
      <c r="J74" s="126"/>
      <c r="K74" s="126"/>
      <c r="L74" s="126"/>
      <c r="M74" s="126"/>
      <c r="N74" s="126"/>
      <c r="O74" s="126"/>
      <c r="P74" s="126"/>
    </row>
    <row r="75" spans="1:16" ht="21" hidden="1" x14ac:dyDescent="0.5">
      <c r="A75" s="431"/>
      <c r="B75" s="122"/>
      <c r="C75" s="125"/>
      <c r="D75" s="125"/>
      <c r="E75" s="124"/>
      <c r="G75" s="126"/>
      <c r="H75" s="126"/>
      <c r="I75" s="126"/>
      <c r="J75" s="126"/>
      <c r="K75" s="126"/>
      <c r="L75" s="126"/>
      <c r="M75" s="126"/>
      <c r="N75" s="126"/>
      <c r="O75" s="126"/>
      <c r="P75" s="126"/>
    </row>
    <row r="76" spans="1:16" ht="21" hidden="1" x14ac:dyDescent="0.5">
      <c r="A76" s="431"/>
      <c r="B76" s="122"/>
      <c r="C76" s="125"/>
      <c r="D76" s="125"/>
      <c r="E76" s="124"/>
      <c r="G76" s="126"/>
      <c r="H76" s="126"/>
      <c r="I76" s="126"/>
      <c r="J76" s="126"/>
      <c r="K76" s="126"/>
      <c r="L76" s="126"/>
      <c r="M76" s="126"/>
      <c r="N76" s="126"/>
      <c r="O76" s="126"/>
      <c r="P76" s="126"/>
    </row>
    <row r="77" spans="1:16" ht="21" hidden="1" x14ac:dyDescent="0.5">
      <c r="A77" s="431"/>
      <c r="B77" s="122"/>
      <c r="C77" s="127"/>
      <c r="D77" s="125"/>
      <c r="E77" s="124"/>
      <c r="G77" s="126"/>
      <c r="H77" s="126"/>
      <c r="I77" s="126"/>
      <c r="J77" s="126"/>
      <c r="K77" s="126"/>
      <c r="L77" s="126"/>
      <c r="M77" s="126"/>
      <c r="N77" s="126"/>
      <c r="O77" s="126"/>
      <c r="P77" s="126"/>
    </row>
    <row r="78" spans="1:16" ht="21" hidden="1" x14ac:dyDescent="0.5">
      <c r="G78" s="126"/>
      <c r="H78" s="126"/>
      <c r="I78" s="126"/>
      <c r="J78" s="126"/>
      <c r="K78" s="126"/>
      <c r="L78" s="126"/>
      <c r="M78" s="126"/>
      <c r="N78" s="126"/>
      <c r="O78" s="126"/>
      <c r="P78" s="126"/>
    </row>
    <row r="79" spans="1:16" ht="21" hidden="1" x14ac:dyDescent="0.5">
      <c r="G79" s="126"/>
      <c r="H79" s="126"/>
      <c r="I79" s="126"/>
      <c r="J79" s="126"/>
      <c r="K79" s="126"/>
      <c r="L79" s="126"/>
      <c r="M79" s="126"/>
      <c r="N79" s="126"/>
      <c r="O79" s="126"/>
      <c r="P79" s="126"/>
    </row>
    <row r="80" spans="1:16" ht="21" hidden="1" x14ac:dyDescent="0.5">
      <c r="G80" s="126"/>
      <c r="H80" s="126"/>
      <c r="I80" s="126"/>
      <c r="J80" s="126"/>
      <c r="K80" s="126"/>
      <c r="L80" s="126"/>
      <c r="M80" s="126"/>
      <c r="N80" s="126"/>
      <c r="O80" s="126"/>
      <c r="P80" s="126"/>
    </row>
    <row r="81" hidden="1" x14ac:dyDescent="0.45"/>
    <row r="82" hidden="1" x14ac:dyDescent="0.45"/>
    <row r="83" hidden="1" x14ac:dyDescent="0.45"/>
    <row r="84" hidden="1" x14ac:dyDescent="0.45"/>
    <row r="85" hidden="1" x14ac:dyDescent="0.45"/>
  </sheetData>
  <sheetProtection algorithmName="SHA-512" hashValue="cFMb/uf1oHH9kOzrtxL7487qMMtNS8A1Pcm/gJ7pmr/nP/7Kne67VeIpklP9D2h/ltvN8qHsQ0SE6ib8J9eoOQ==" saltValue="l1vq7y42oeuQ/+i015emdw==" spinCount="100000" sheet="1" objects="1" scenarios="1"/>
  <mergeCells count="109">
    <mergeCell ref="R25:S25"/>
    <mergeCell ref="R26:S26"/>
    <mergeCell ref="R27:S27"/>
    <mergeCell ref="R28:S29"/>
    <mergeCell ref="Q5:Q6"/>
    <mergeCell ref="R5:R6"/>
    <mergeCell ref="G69:J69"/>
    <mergeCell ref="K69:M69"/>
    <mergeCell ref="K70:M70"/>
    <mergeCell ref="N69:P69"/>
    <mergeCell ref="N70:P70"/>
    <mergeCell ref="M9:N9"/>
    <mergeCell ref="G10:H10"/>
    <mergeCell ref="M6:N6"/>
    <mergeCell ref="E7:G7"/>
    <mergeCell ref="M7:N7"/>
    <mergeCell ref="I8:J8"/>
    <mergeCell ref="M8:N8"/>
    <mergeCell ref="I6:J7"/>
    <mergeCell ref="K6:K7"/>
    <mergeCell ref="M12:N12"/>
    <mergeCell ref="M13:N13"/>
    <mergeCell ref="M11:N11"/>
    <mergeCell ref="L33:M33"/>
    <mergeCell ref="N33:O33"/>
    <mergeCell ref="L34:M34"/>
    <mergeCell ref="J34:K34"/>
    <mergeCell ref="K63:M63"/>
    <mergeCell ref="G64:J64"/>
    <mergeCell ref="A1:A77"/>
    <mergeCell ref="I2:J2"/>
    <mergeCell ref="I5:J5"/>
    <mergeCell ref="E6:G6"/>
    <mergeCell ref="I9:J9"/>
    <mergeCell ref="I10:J10"/>
    <mergeCell ref="D35:E35"/>
    <mergeCell ref="D15:F15"/>
    <mergeCell ref="D63:D64"/>
    <mergeCell ref="G63:J63"/>
    <mergeCell ref="G67:J67"/>
    <mergeCell ref="G62:J62"/>
    <mergeCell ref="C25:C32"/>
    <mergeCell ref="G68:J68"/>
    <mergeCell ref="D13:K14"/>
    <mergeCell ref="I11:J12"/>
    <mergeCell ref="K11:K12"/>
    <mergeCell ref="D33:E33"/>
    <mergeCell ref="F33:G33"/>
    <mergeCell ref="J33:K33"/>
    <mergeCell ref="D34:E34"/>
    <mergeCell ref="F34:G34"/>
    <mergeCell ref="H34:I34"/>
    <mergeCell ref="D36:D37"/>
    <mergeCell ref="E36:F36"/>
    <mergeCell ref="G36:H36"/>
    <mergeCell ref="I36:J36"/>
    <mergeCell ref="K36:L36"/>
    <mergeCell ref="Q38:R38"/>
    <mergeCell ref="K64:M64"/>
    <mergeCell ref="N64:P64"/>
    <mergeCell ref="R45:R46"/>
    <mergeCell ref="B41:M42"/>
    <mergeCell ref="M38:N38"/>
    <mergeCell ref="C44:J44"/>
    <mergeCell ref="O38:P38"/>
    <mergeCell ref="E38:F38"/>
    <mergeCell ref="G38:H38"/>
    <mergeCell ref="I38:J38"/>
    <mergeCell ref="K38:L38"/>
    <mergeCell ref="R55:R56"/>
    <mergeCell ref="N63:P63"/>
    <mergeCell ref="K62:M62"/>
    <mergeCell ref="N62:P62"/>
    <mergeCell ref="B43:R43"/>
    <mergeCell ref="K44:R44"/>
    <mergeCell ref="K67:M67"/>
    <mergeCell ref="N67:P67"/>
    <mergeCell ref="K68:M68"/>
    <mergeCell ref="N68:P68"/>
    <mergeCell ref="G65:J65"/>
    <mergeCell ref="K65:M65"/>
    <mergeCell ref="N65:P65"/>
    <mergeCell ref="G66:J66"/>
    <mergeCell ref="K66:M66"/>
    <mergeCell ref="N66:P66"/>
    <mergeCell ref="O37:P37"/>
    <mergeCell ref="Q37:R37"/>
    <mergeCell ref="N34:O34"/>
    <mergeCell ref="G15:S15"/>
    <mergeCell ref="R33:S33"/>
    <mergeCell ref="Q36:R36"/>
    <mergeCell ref="N35:O35"/>
    <mergeCell ref="L35:M35"/>
    <mergeCell ref="J35:K35"/>
    <mergeCell ref="H35:I35"/>
    <mergeCell ref="F35:G35"/>
    <mergeCell ref="P33:Q33"/>
    <mergeCell ref="P34:Q34"/>
    <mergeCell ref="R34:S34"/>
    <mergeCell ref="R35:S35"/>
    <mergeCell ref="P35:Q35"/>
    <mergeCell ref="O36:P36"/>
    <mergeCell ref="M36:N36"/>
    <mergeCell ref="E37:F37"/>
    <mergeCell ref="G37:H37"/>
    <mergeCell ref="I37:J37"/>
    <mergeCell ref="K37:L37"/>
    <mergeCell ref="M37:N37"/>
    <mergeCell ref="H33:I33"/>
  </mergeCells>
  <conditionalFormatting sqref="C17:C24">
    <cfRule type="expression" dxfId="167" priority="93">
      <formula>$C$17=" "</formula>
    </cfRule>
  </conditionalFormatting>
  <conditionalFormatting sqref="C40">
    <cfRule type="cellIs" dxfId="166" priority="76" operator="lessThan">
      <formula>$C$39</formula>
    </cfRule>
  </conditionalFormatting>
  <conditionalFormatting sqref="C47:C51">
    <cfRule type="expression" dxfId="165" priority="50">
      <formula>$C$46="None"</formula>
    </cfRule>
  </conditionalFormatting>
  <conditionalFormatting sqref="C54:C58">
    <cfRule type="expression" dxfId="164" priority="66">
      <formula>$C$53="None"</formula>
    </cfRule>
  </conditionalFormatting>
  <conditionalFormatting sqref="C17:S17">
    <cfRule type="duplicateValues" dxfId="163" priority="94"/>
  </conditionalFormatting>
  <conditionalFormatting sqref="D17:D32">
    <cfRule type="expression" dxfId="162" priority="92">
      <formula>$D$17=" "</formula>
    </cfRule>
  </conditionalFormatting>
  <conditionalFormatting sqref="D25:D32">
    <cfRule type="expression" dxfId="161" priority="121">
      <formula>$D$25=""</formula>
    </cfRule>
  </conditionalFormatting>
  <conditionalFormatting sqref="D40">
    <cfRule type="cellIs" dxfId="160" priority="77" operator="lessThan">
      <formula>$D$39</formula>
    </cfRule>
  </conditionalFormatting>
  <conditionalFormatting sqref="D45:D60">
    <cfRule type="expression" dxfId="159" priority="25">
      <formula>OR( $C$46="P6", $C$53="P6" )</formula>
    </cfRule>
  </conditionalFormatting>
  <conditionalFormatting sqref="D47:D51">
    <cfRule type="expression" dxfId="158" priority="49">
      <formula>$D$46="None"</formula>
    </cfRule>
  </conditionalFormatting>
  <conditionalFormatting sqref="D54:D58">
    <cfRule type="expression" dxfId="157" priority="65">
      <formula>$D$53="None"</formula>
    </cfRule>
  </conditionalFormatting>
  <conditionalFormatting sqref="D33:E35">
    <cfRule type="expression" dxfId="156" priority="109">
      <formula>OR($D$16="A",$E$17="A",$D$16="None",$E$17="None")</formula>
    </cfRule>
  </conditionalFormatting>
  <conditionalFormatting sqref="D15:F15">
    <cfRule type="containsText" dxfId="155" priority="34" operator="containsText" text="Reduce">
      <formula>NOT(ISERROR(SEARCH("Reduce",D15)))</formula>
    </cfRule>
    <cfRule type="containsText" dxfId="154" priority="35" operator="containsText" text="underload">
      <formula>NOT(ISERROR(SEARCH("underload",D15)))</formula>
    </cfRule>
  </conditionalFormatting>
  <conditionalFormatting sqref="E17:E32">
    <cfRule type="expression" dxfId="153" priority="91">
      <formula>$E$17=" "</formula>
    </cfRule>
  </conditionalFormatting>
  <conditionalFormatting sqref="E25:E32">
    <cfRule type="expression" dxfId="152" priority="120">
      <formula>$E$25=""</formula>
    </cfRule>
  </conditionalFormatting>
  <conditionalFormatting sqref="E40">
    <cfRule type="cellIs" dxfId="151" priority="75" operator="lessThan">
      <formula>$E$39</formula>
    </cfRule>
  </conditionalFormatting>
  <conditionalFormatting sqref="E47:E51">
    <cfRule type="expression" dxfId="150" priority="48">
      <formula>$E$46="None"</formula>
    </cfRule>
  </conditionalFormatting>
  <conditionalFormatting sqref="E54:E58">
    <cfRule type="expression" dxfId="149" priority="64">
      <formula>$E$53="None"</formula>
    </cfRule>
  </conditionalFormatting>
  <conditionalFormatting sqref="E36:F38">
    <cfRule type="expression" dxfId="148" priority="101">
      <formula>OR($E$16="A",$F$17="A",$E$16="None",$F$17="None")</formula>
    </cfRule>
  </conditionalFormatting>
  <conditionalFormatting sqref="F17:F32">
    <cfRule type="expression" dxfId="147" priority="90">
      <formula>$F$17=" "</formula>
    </cfRule>
  </conditionalFormatting>
  <conditionalFormatting sqref="F25:F32">
    <cfRule type="expression" dxfId="146" priority="119">
      <formula>$F$25=""</formula>
    </cfRule>
  </conditionalFormatting>
  <conditionalFormatting sqref="F40">
    <cfRule type="cellIs" dxfId="145" priority="74" operator="lessThan">
      <formula>$F$39</formula>
    </cfRule>
  </conditionalFormatting>
  <conditionalFormatting sqref="F45:F60">
    <cfRule type="expression" dxfId="144" priority="24">
      <formula>OR( $E$46="P6", $E$53="P6" )</formula>
    </cfRule>
  </conditionalFormatting>
  <conditionalFormatting sqref="F47:F51">
    <cfRule type="expression" dxfId="143" priority="47">
      <formula>$F$46="None"</formula>
    </cfRule>
  </conditionalFormatting>
  <conditionalFormatting sqref="F54:F58">
    <cfRule type="expression" dxfId="142" priority="63">
      <formula>$F$53="None"</formula>
    </cfRule>
  </conditionalFormatting>
  <conditionalFormatting sqref="F33:G35">
    <cfRule type="expression" dxfId="141" priority="108">
      <formula>OR($F$16="A",$G$16="A",$F$16="None",$G$16="None")</formula>
    </cfRule>
  </conditionalFormatting>
  <conditionalFormatting sqref="G17:G32">
    <cfRule type="expression" dxfId="140" priority="89">
      <formula>$G$17=" "</formula>
    </cfRule>
  </conditionalFormatting>
  <conditionalFormatting sqref="G25:G32">
    <cfRule type="expression" dxfId="139" priority="118">
      <formula>$G$25=""</formula>
    </cfRule>
  </conditionalFormatting>
  <conditionalFormatting sqref="G40">
    <cfRule type="cellIs" dxfId="138" priority="73" operator="lessThan">
      <formula>$G$39</formula>
    </cfRule>
  </conditionalFormatting>
  <conditionalFormatting sqref="G47:G51">
    <cfRule type="expression" dxfId="137" priority="46">
      <formula>$G$46="None"</formula>
    </cfRule>
  </conditionalFormatting>
  <conditionalFormatting sqref="G54:G58">
    <cfRule type="expression" dxfId="136" priority="62">
      <formula>$G$53="None"</formula>
    </cfRule>
  </conditionalFormatting>
  <conditionalFormatting sqref="G36:H38">
    <cfRule type="expression" dxfId="135" priority="100">
      <formula>OR($G$16="A",$H$17="A",$G$16="None",$H$17="None")</formula>
    </cfRule>
  </conditionalFormatting>
  <conditionalFormatting sqref="H17:H32">
    <cfRule type="expression" dxfId="134" priority="88">
      <formula>$H$17=" "</formula>
    </cfRule>
  </conditionalFormatting>
  <conditionalFormatting sqref="H25:H32">
    <cfRule type="expression" dxfId="133" priority="117">
      <formula>$H$25=""</formula>
    </cfRule>
  </conditionalFormatting>
  <conditionalFormatting sqref="H40">
    <cfRule type="cellIs" dxfId="132" priority="72" operator="lessThan">
      <formula>$H$39</formula>
    </cfRule>
  </conditionalFormatting>
  <conditionalFormatting sqref="H45:H60">
    <cfRule type="expression" dxfId="131" priority="23">
      <formula>OR( $G$46="P6", $G$53="P6" )</formula>
    </cfRule>
  </conditionalFormatting>
  <conditionalFormatting sqref="H47:H51">
    <cfRule type="expression" dxfId="130" priority="45">
      <formula>$H$46="None"</formula>
    </cfRule>
  </conditionalFormatting>
  <conditionalFormatting sqref="H54:H58">
    <cfRule type="expression" dxfId="129" priority="60">
      <formula>$H$53="None"</formula>
    </cfRule>
  </conditionalFormatting>
  <conditionalFormatting sqref="H33:I35">
    <cfRule type="expression" dxfId="128" priority="107">
      <formula>OR($H$16="A",$I$17="A",$H$16="None",$I$17="None")</formula>
    </cfRule>
  </conditionalFormatting>
  <conditionalFormatting sqref="I17:I32">
    <cfRule type="expression" dxfId="127" priority="87">
      <formula>$I$17=" "</formula>
    </cfRule>
  </conditionalFormatting>
  <conditionalFormatting sqref="I25:I32">
    <cfRule type="expression" dxfId="126" priority="116">
      <formula>$I$25=""</formula>
    </cfRule>
  </conditionalFormatting>
  <conditionalFormatting sqref="I40">
    <cfRule type="cellIs" dxfId="125" priority="71" operator="lessThan">
      <formula>$I$39</formula>
    </cfRule>
  </conditionalFormatting>
  <conditionalFormatting sqref="I47:I51">
    <cfRule type="expression" dxfId="124" priority="44">
      <formula>$I$46="None"</formula>
    </cfRule>
  </conditionalFormatting>
  <conditionalFormatting sqref="I54:I58">
    <cfRule type="expression" dxfId="123" priority="59">
      <formula>$I$53="None"</formula>
    </cfRule>
  </conditionalFormatting>
  <conditionalFormatting sqref="I36:J38">
    <cfRule type="expression" dxfId="122" priority="99">
      <formula>OR($I$16="A",$J$17="A",$I$16="None",$J$17="None")</formula>
    </cfRule>
  </conditionalFormatting>
  <conditionalFormatting sqref="J17:J32">
    <cfRule type="expression" dxfId="121" priority="86">
      <formula>$J$17=" "</formula>
    </cfRule>
  </conditionalFormatting>
  <conditionalFormatting sqref="J25:J32">
    <cfRule type="expression" dxfId="120" priority="114">
      <formula>$J$25=""</formula>
    </cfRule>
  </conditionalFormatting>
  <conditionalFormatting sqref="J40">
    <cfRule type="cellIs" dxfId="119" priority="70" operator="lessThan">
      <formula>$J$39</formula>
    </cfRule>
  </conditionalFormatting>
  <conditionalFormatting sqref="J45:J60">
    <cfRule type="expression" dxfId="118" priority="22">
      <formula>OR( $I$46="P6", $I$53="P6" )</formula>
    </cfRule>
  </conditionalFormatting>
  <conditionalFormatting sqref="J47:J51">
    <cfRule type="expression" dxfId="117" priority="43">
      <formula>$J$46="None"</formula>
    </cfRule>
  </conditionalFormatting>
  <conditionalFormatting sqref="J54:J58">
    <cfRule type="expression" dxfId="116" priority="58">
      <formula>$J$53="None"</formula>
    </cfRule>
  </conditionalFormatting>
  <conditionalFormatting sqref="J33:K35">
    <cfRule type="expression" dxfId="115" priority="106">
      <formula>OR($J$16="A",$K$17="A",$J$16="None",$K$17="None")</formula>
    </cfRule>
  </conditionalFormatting>
  <conditionalFormatting sqref="K17:K32">
    <cfRule type="expression" dxfId="114" priority="85">
      <formula>$K$17=" "</formula>
    </cfRule>
  </conditionalFormatting>
  <conditionalFormatting sqref="K25:K32">
    <cfRule type="expression" dxfId="113" priority="113">
      <formula>$K$25=""</formula>
    </cfRule>
  </conditionalFormatting>
  <conditionalFormatting sqref="K40">
    <cfRule type="cellIs" dxfId="112" priority="69" operator="lessThan">
      <formula>$K$39</formula>
    </cfRule>
  </conditionalFormatting>
  <conditionalFormatting sqref="K47:K51">
    <cfRule type="expression" dxfId="111" priority="42">
      <formula>$K$46="None"</formula>
    </cfRule>
  </conditionalFormatting>
  <conditionalFormatting sqref="K54:K58">
    <cfRule type="expression" dxfId="110" priority="57">
      <formula>$K$53="None"</formula>
    </cfRule>
  </conditionalFormatting>
  <conditionalFormatting sqref="K36:L38">
    <cfRule type="expression" dxfId="109" priority="98">
      <formula>OR($K$16="A",$L$17="A",$K$16="None",$L$17="None")</formula>
    </cfRule>
  </conditionalFormatting>
  <conditionalFormatting sqref="L17:L32">
    <cfRule type="expression" dxfId="108" priority="84">
      <formula>$L$17=" "</formula>
    </cfRule>
  </conditionalFormatting>
  <conditionalFormatting sqref="L25:L32">
    <cfRule type="expression" dxfId="107" priority="112">
      <formula>$L$25=""</formula>
    </cfRule>
  </conditionalFormatting>
  <conditionalFormatting sqref="L40">
    <cfRule type="cellIs" dxfId="106" priority="68" operator="lessThan">
      <formula>$L$39</formula>
    </cfRule>
  </conditionalFormatting>
  <conditionalFormatting sqref="L47:L51">
    <cfRule type="expression" dxfId="105" priority="41">
      <formula>$L$46="None"</formula>
    </cfRule>
  </conditionalFormatting>
  <conditionalFormatting sqref="L54:L58">
    <cfRule type="expression" dxfId="104" priority="56">
      <formula>$L$53="None"</formula>
    </cfRule>
  </conditionalFormatting>
  <conditionalFormatting sqref="L33:M35">
    <cfRule type="expression" dxfId="103" priority="105">
      <formula>OR($L$16="A",$M$17="A",$L$16="None",$M$17="None")</formula>
    </cfRule>
  </conditionalFormatting>
  <conditionalFormatting sqref="M17:M32">
    <cfRule type="expression" dxfId="102" priority="83">
      <formula>$M$17=" "</formula>
    </cfRule>
  </conditionalFormatting>
  <conditionalFormatting sqref="M25:M32">
    <cfRule type="expression" dxfId="101" priority="111">
      <formula>$M$25=""</formula>
    </cfRule>
  </conditionalFormatting>
  <conditionalFormatting sqref="M40">
    <cfRule type="cellIs" dxfId="100" priority="67" operator="lessThan">
      <formula>$M$39</formula>
    </cfRule>
  </conditionalFormatting>
  <conditionalFormatting sqref="M47:M51">
    <cfRule type="expression" dxfId="99" priority="40">
      <formula>$M$46="None"</formula>
    </cfRule>
  </conditionalFormatting>
  <conditionalFormatting sqref="M54:M58">
    <cfRule type="expression" dxfId="98" priority="55">
      <formula>$M$53="None"</formula>
    </cfRule>
  </conditionalFormatting>
  <conditionalFormatting sqref="M36:N38">
    <cfRule type="expression" dxfId="97" priority="97">
      <formula>OR($M$16="A",$N$17="A",$M$16="None",$N$17="None")</formula>
    </cfRule>
  </conditionalFormatting>
  <conditionalFormatting sqref="N17:N32">
    <cfRule type="expression" dxfId="96" priority="82">
      <formula>$N$17=" "</formula>
    </cfRule>
  </conditionalFormatting>
  <conditionalFormatting sqref="N25:N32">
    <cfRule type="expression" dxfId="95" priority="110">
      <formula>$N$25=""</formula>
    </cfRule>
  </conditionalFormatting>
  <conditionalFormatting sqref="N47:N51">
    <cfRule type="expression" dxfId="94" priority="39">
      <formula>$N$46="None"</formula>
    </cfRule>
  </conditionalFormatting>
  <conditionalFormatting sqref="N54:N58">
    <cfRule type="expression" dxfId="93" priority="54">
      <formula>$N$53="None"</formula>
    </cfRule>
  </conditionalFormatting>
  <conditionalFormatting sqref="N33:O35">
    <cfRule type="expression" dxfId="92" priority="104">
      <formula>OR($N$16="A",$O$17="A",$N$16="None",$O$17="None")</formula>
    </cfRule>
  </conditionalFormatting>
  <conditionalFormatting sqref="O17:O24">
    <cfRule type="expression" dxfId="91" priority="81">
      <formula>$O$17=" "</formula>
    </cfRule>
  </conditionalFormatting>
  <conditionalFormatting sqref="O47:O51">
    <cfRule type="expression" dxfId="90" priority="38">
      <formula>$O$46="None"</formula>
    </cfRule>
  </conditionalFormatting>
  <conditionalFormatting sqref="O54:O58">
    <cfRule type="expression" dxfId="89" priority="53">
      <formula>$O$53="None"</formula>
    </cfRule>
  </conditionalFormatting>
  <conditionalFormatting sqref="O36:P38">
    <cfRule type="expression" dxfId="88" priority="96">
      <formula>OR($O$16="A",$P$17="A",$O$16="None",$P$17="None")</formula>
    </cfRule>
  </conditionalFormatting>
  <conditionalFormatting sqref="P17:P24">
    <cfRule type="expression" dxfId="87" priority="80">
      <formula>$P$17=" "</formula>
    </cfRule>
  </conditionalFormatting>
  <conditionalFormatting sqref="P47:P51">
    <cfRule type="expression" dxfId="86" priority="37">
      <formula>$P$46="None"</formula>
    </cfRule>
  </conditionalFormatting>
  <conditionalFormatting sqref="P54:P58">
    <cfRule type="expression" dxfId="85" priority="52">
      <formula>$P$53="None"</formula>
    </cfRule>
  </conditionalFormatting>
  <conditionalFormatting sqref="P33:Q35">
    <cfRule type="expression" dxfId="84" priority="103">
      <formula>OR($P$16="A",$Q$17="A",$P$16="None",$Q$17="None")</formula>
    </cfRule>
  </conditionalFormatting>
  <conditionalFormatting sqref="Q17:Q24">
    <cfRule type="expression" dxfId="83" priority="79">
      <formula>$Q$17=" "</formula>
    </cfRule>
  </conditionalFormatting>
  <conditionalFormatting sqref="Q47:Q51">
    <cfRule type="expression" dxfId="82" priority="36">
      <formula>$Q$46="None"</formula>
    </cfRule>
  </conditionalFormatting>
  <conditionalFormatting sqref="Q54:Q58">
    <cfRule type="expression" dxfId="81" priority="51">
      <formula>$Q$53="None"</formula>
    </cfRule>
  </conditionalFormatting>
  <conditionalFormatting sqref="Q36:R38">
    <cfRule type="expression" dxfId="80" priority="95">
      <formula>OR($Q$16="A",$R$17="A",$Q$16="None",$R$17="None")</formula>
    </cfRule>
  </conditionalFormatting>
  <conditionalFormatting sqref="R17:R24">
    <cfRule type="expression" dxfId="79" priority="78">
      <formula>$R$17=" "</formula>
    </cfRule>
  </conditionalFormatting>
  <conditionalFormatting sqref="R28">
    <cfRule type="cellIs" dxfId="78" priority="19" operator="greaterThan">
      <formula>2943368</formula>
    </cfRule>
    <cfRule type="cellIs" dxfId="77" priority="20" operator="lessThan">
      <formula>196245</formula>
    </cfRule>
    <cfRule type="cellIs" dxfId="76" priority="21" operator="between">
      <formula>196245</formula>
      <formula>2943368</formula>
    </cfRule>
    <cfRule type="cellIs" dxfId="75" priority="26" operator="lessThan">
      <formula>1480000</formula>
    </cfRule>
    <cfRule type="cellIs" dxfId="74" priority="27" operator="greaterThan">
      <formula>1480000</formula>
    </cfRule>
  </conditionalFormatting>
  <conditionalFormatting sqref="R33:S35">
    <cfRule type="expression" dxfId="73" priority="102">
      <formula>OR($R$16="A",$S$17="A",$R$16="None",$S$17="None")</formula>
    </cfRule>
  </conditionalFormatting>
  <conditionalFormatting sqref="S17:S24">
    <cfRule type="expression" dxfId="72" priority="33">
      <formula>$S$17=" "</formula>
    </cfRule>
  </conditionalFormatting>
  <conditionalFormatting sqref="N40">
    <cfRule type="cellIs" dxfId="71" priority="17" operator="lessThan">
      <formula>$N$39</formula>
    </cfRule>
  </conditionalFormatting>
  <conditionalFormatting sqref="O40">
    <cfRule type="cellIs" dxfId="70" priority="16" operator="lessThan">
      <formula>$O$39</formula>
    </cfRule>
  </conditionalFormatting>
  <conditionalFormatting sqref="P40">
    <cfRule type="cellIs" dxfId="69" priority="15" operator="lessThan">
      <formula>$P$39</formula>
    </cfRule>
  </conditionalFormatting>
  <conditionalFormatting sqref="Q40">
    <cfRule type="cellIs" dxfId="68" priority="14" operator="lessThan">
      <formula>$Q$39</formula>
    </cfRule>
  </conditionalFormatting>
  <conditionalFormatting sqref="R40">
    <cfRule type="cellIs" dxfId="67" priority="13" operator="lessThan">
      <formula>$R$39</formula>
    </cfRule>
  </conditionalFormatting>
  <conditionalFormatting sqref="S40">
    <cfRule type="cellIs" dxfId="66" priority="12" operator="lessThan">
      <formula>$S$39</formula>
    </cfRule>
  </conditionalFormatting>
  <conditionalFormatting sqref="C46:Q58">
    <cfRule type="containsText" dxfId="65" priority="11" operator="containsText" text="Invalid">
      <formula>NOT(ISERROR(SEARCH("Invalid",C46)))</formula>
    </cfRule>
  </conditionalFormatting>
  <conditionalFormatting sqref="P25:P32">
    <cfRule type="expression" dxfId="64" priority="3">
      <formula>$P$17=" "</formula>
    </cfRule>
  </conditionalFormatting>
  <conditionalFormatting sqref="P25:P32">
    <cfRule type="expression" dxfId="63" priority="5">
      <formula>$P$25=""</formula>
    </cfRule>
  </conditionalFormatting>
  <conditionalFormatting sqref="Q25:Q32">
    <cfRule type="expression" dxfId="62" priority="2">
      <formula>$Q$17=" "</formula>
    </cfRule>
  </conditionalFormatting>
  <conditionalFormatting sqref="Q25:Q32">
    <cfRule type="expression" dxfId="61" priority="4">
      <formula>$Q$25=""</formula>
    </cfRule>
  </conditionalFormatting>
  <conditionalFormatting sqref="C18:S18 D26:Q26 C47:Q47 C54:Q54">
    <cfRule type="duplicateValues" dxfId="60" priority="1"/>
  </conditionalFormatting>
  <dataValidations count="26">
    <dataValidation type="custom" operator="lessThanOrEqual" allowBlank="1" showInputMessage="1" showErrorMessage="1" error="Select Correct Cofiguration" sqref="D25:K25 D32:N32 D18:N20 O19:S20 C17:C20 C24:S24 D17:O17" xr:uid="{709F38B4-390E-4A52-90D0-43A94123557C}">
      <formula1>$C$16&lt;&gt;"None"</formula1>
    </dataValidation>
    <dataValidation type="whole" operator="lessThanOrEqual" allowBlank="1" showInputMessage="1" showErrorMessage="1" error="Limit Exceeded!!_x000a_" sqref="M37:N37" xr:uid="{6B6F3489-6375-418B-B510-FEE93CA199C7}">
      <formula1>SUM($M$40:$N$40)</formula1>
    </dataValidation>
    <dataValidation type="whole" operator="lessThanOrEqual" allowBlank="1" showInputMessage="1" showErrorMessage="1" error="Limit Exceeded!!" sqref="K37:L37" xr:uid="{6A95374A-39D7-4801-9973-9AD03802680E}">
      <formula1>SUM($K$40:$L$40)</formula1>
    </dataValidation>
    <dataValidation type="whole" operator="lessThanOrEqual" allowBlank="1" showInputMessage="1" showErrorMessage="1" error="Limit Exceeded!!" sqref="I37:J37" xr:uid="{922D8A22-D6A9-4ADA-AE0A-6CE5295A7C31}">
      <formula1>SUM($I$40:$J$40)</formula1>
    </dataValidation>
    <dataValidation type="whole" operator="lessThanOrEqual" allowBlank="1" showInputMessage="1" showErrorMessage="1" error="Mass Exceeded" sqref="C21:S21 D29:M29" xr:uid="{2CF3A34A-66BD-4753-B3A7-65168D352D1E}">
      <formula1>C24</formula1>
    </dataValidation>
    <dataValidation type="whole" operator="lessThanOrEqual" allowBlank="1" showInputMessage="1" showErrorMessage="1" error="Mass Exceeded!" sqref="C57:M57 C50:I50 R50" xr:uid="{A773ACF3-AD1F-4140-AB94-6EF38D2A7F2A}">
      <formula1>C51</formula1>
    </dataValidation>
    <dataValidation type="list" allowBlank="1" showInputMessage="1" showErrorMessage="1" sqref="I46 C46 E46 G46 I53 G53 C53 E53" xr:uid="{88ECBA62-A6A2-47EB-87EB-3A86F801A6AB}">
      <formula1>"LD-1,LD-2,LD-3,LD-4,LD-8,P6,None"</formula1>
    </dataValidation>
    <dataValidation type="list" allowBlank="1" showInputMessage="1" showErrorMessage="1" sqref="C22 D30:K30 D22:S22 N30 P30 Q30" xr:uid="{582E4CBC-1B81-415A-B613-CF0678F3F613}">
      <formula1>"None,Side Non-Corner,Side Corner,Fwd/Aft Non-Corner,Fwd/Aft Corner"</formula1>
    </dataValidation>
    <dataValidation type="list" allowBlank="1" showInputMessage="1" showErrorMessage="1" sqref="C16:S16" xr:uid="{E95E8156-E82C-4E50-94DB-4D5B7FBF2526}">
      <formula1>"A,C,D,E,G,None"</formula1>
    </dataValidation>
    <dataValidation type="whole" allowBlank="1" showInputMessage="1" showErrorMessage="1" error="Min 0_x000a__x000a_Max 1" sqref="C10" xr:uid="{44A89BF4-E8B5-4E88-8009-49261A1B20C5}">
      <formula1>0</formula1>
      <formula2>1</formula2>
    </dataValidation>
    <dataValidation type="whole" operator="lessThanOrEqual" allowBlank="1" showInputMessage="1" showErrorMessage="1" error="Max Weight Exceeded" sqref="R57" xr:uid="{7BFC4732-9F08-4D8F-B094-AD065F46EFFE}">
      <formula1>$M$58</formula1>
    </dataValidation>
    <dataValidation type="whole" operator="lessThanOrEqual" allowBlank="1" showInputMessage="1" showErrorMessage="1" error="Limit Exceeded!!" sqref="G37:H37" xr:uid="{67B63650-8FE3-4C70-8E4E-5207207F5DAF}">
      <formula1>SUM($G$40:$H$40)</formula1>
    </dataValidation>
    <dataValidation type="whole" operator="lessThanOrEqual" allowBlank="1" showInputMessage="1" showErrorMessage="1" error="Limit Exceeded!!" sqref="E37:F37" xr:uid="{B76946EE-4A38-419D-9EAC-9006D7719A69}">
      <formula1>SUM($E$40:$F$40)</formula1>
    </dataValidation>
    <dataValidation type="whole" allowBlank="1" showInputMessage="1" showErrorMessage="1" errorTitle="Alert!" error="Min is 0_x000a_Max is 3" sqref="C9" xr:uid="{95F22B5A-2A31-4F37-A6DC-A863193A618E}">
      <formula1>0</formula1>
      <formula2>3</formula2>
    </dataValidation>
    <dataValidation type="list" allowBlank="1" showInputMessage="1" showErrorMessage="1" sqref="C8" xr:uid="{86374F74-BDE5-4856-A007-A74EB1E9E3D5}">
      <formula1>"B767-300"</formula1>
    </dataValidation>
    <dataValidation type="whole" allowBlank="1" showInputMessage="1" showErrorMessage="1" errorTitle="Alert!" error="Min is 2_x000a_Max is 5" sqref="D9:E9" xr:uid="{C48407AB-155E-4B40-BFBE-601A85D7747E}">
      <formula1>2</formula1>
      <formula2>5</formula2>
    </dataValidation>
    <dataValidation operator="lessThanOrEqual" allowBlank="1" showInputMessage="1" showErrorMessage="1" sqref="C23:S23" xr:uid="{1CDF7D16-259E-48AA-BF71-062910DD6448}"/>
    <dataValidation operator="lessThanOrEqual" allowBlank="1" showInputMessage="1" showErrorMessage="1" error="Limit Exceeded!!" sqref="D35:S35" xr:uid="{1A9B5E00-4285-41FD-9CBF-45D44F6D45BF}"/>
    <dataValidation type="whole" operator="lessThanOrEqual" allowBlank="1" showInputMessage="1" showErrorMessage="1" error="Weight Exeeded!" sqref="Q29" xr:uid="{8D9CBF86-2F8B-4B65-9AB5-32F214468E75}">
      <formula1>Q32</formula1>
    </dataValidation>
    <dataValidation type="list" operator="lessThanOrEqual" allowBlank="1" showInputMessage="1" showErrorMessage="1" error="Weight Exeeded" sqref="L30:M30" xr:uid="{8A8E764C-1F71-4E14-A188-008A061C08C5}">
      <formula1>"None,Side Non-Corner,Side Corner,Fwd/Aft Non-Corner,Fwd/Aft Non-Corner"</formula1>
    </dataValidation>
    <dataValidation type="decimal" operator="lessThanOrEqual" allowBlank="1" showInputMessage="1" showErrorMessage="1" error="Max Value=160,304 Lbs" sqref="K6:K7" xr:uid="{40EEAB43-66A3-4AD7-B8F3-27E953374E11}">
      <formula1>160304</formula1>
    </dataValidation>
    <dataValidation type="list" allowBlank="1" showInputMessage="1" showErrorMessage="1" sqref="B3" xr:uid="{6327EE0E-DA61-40B6-9195-E563563CD95F}">
      <formula1>"CAPTAIN2,FIRST OFFICER"</formula1>
    </dataValidation>
    <dataValidation type="list" allowBlank="1" showInputMessage="1" showErrorMessage="1" sqref="E46:F46 H46 J46:Q46 J53:Q53 H53 F53 D53" xr:uid="{4C3048C6-9034-4CFC-9984-137D2B4AF8CD}">
      <formula1>"LD-1,LD-2,LD-3,LD-4,LD-8,None"</formula1>
    </dataValidation>
    <dataValidation type="list" allowBlank="1" showInputMessage="1" showErrorMessage="1" sqref="D46" xr:uid="{9DEC1920-06AA-4450-B7D1-1A41CCD72BA9}">
      <formula1>"LD-1,LD-2,LD-3,LD-4,LD-8,,None"</formula1>
    </dataValidation>
    <dataValidation type="whole" operator="lessThanOrEqual" allowBlank="1" showInputMessage="1" showErrorMessage="1" error="Mass Exceeded!_x000a_" sqref="O57:Q57 J50:Q50" xr:uid="{F38A60F8-44AB-45DC-844F-A723F2792AD5}">
      <formula1>J51</formula1>
    </dataValidation>
    <dataValidation type="whole" operator="lessThanOrEqual" allowBlank="1" showInputMessage="1" showErrorMessage="1" error="Mass Exceeded!" sqref="P29 N29" xr:uid="{D2222FD1-A018-44FD-B623-EB78862F5FA2}">
      <formula1>N32</formula1>
    </dataValidation>
  </dataValidations>
  <printOptions horizontalCentered="1" verticalCentered="1"/>
  <pageMargins left="0.23622047244094491" right="0.23622047244094491" top="0.35433070866141736" bottom="0.74803149606299213" header="0.51181102362204722" footer="0.31496062992125984"/>
  <pageSetup paperSize="9" scale="33" orientation="landscape" r:id="rId1"/>
  <headerFooter>
    <oddHeader>&amp;L&amp;"-,Bold"&amp;20B767-300&amp;C&amp;"-,Bold"&amp;20LOADSHEET</oddHeader>
    <oddFooter xml:space="preserve">&amp;L&amp;"-,Bold"&amp;18Supervisor ............................................  Sign .............................&amp;R&amp;"-,Bold"&amp;18Load-Master  ..............................................  Sign ...............................     </oddFooter>
  </headerFooter>
  <ignoredErrors>
    <ignoredError sqref="E31:F31 I59 E59 G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learM">
                <anchor moveWithCells="1" sizeWithCells="1">
                  <from>
                    <xdr:col>11</xdr:col>
                    <xdr:colOff>457200</xdr:colOff>
                    <xdr:row>1</xdr:row>
                    <xdr:rowOff>215900</xdr:rowOff>
                  </from>
                  <to>
                    <xdr:col>12</xdr:col>
                    <xdr:colOff>539750</xdr:colOff>
                    <xdr:row>3</xdr:row>
                    <xdr:rowOff>57150</xdr:rowOff>
                  </to>
                </anchor>
              </controlPr>
            </control>
          </mc:Choice>
        </mc:AlternateContent>
        <mc:AlternateContent xmlns:mc="http://schemas.openxmlformats.org/markup-compatibility/2006">
          <mc:Choice Requires="x14">
            <control shapeId="10242" r:id="rId5" name="Check Box 2">
              <controlPr locked="0" defaultSize="0" autoFill="0" autoLine="0" autoPict="0">
                <anchor moveWithCells="1">
                  <from>
                    <xdr:col>14</xdr:col>
                    <xdr:colOff>82550</xdr:colOff>
                    <xdr:row>12</xdr:row>
                    <xdr:rowOff>44450</xdr:rowOff>
                  </from>
                  <to>
                    <xdr:col>14</xdr:col>
                    <xdr:colOff>279400</xdr:colOff>
                    <xdr:row>12</xdr:row>
                    <xdr:rowOff>190500</xdr:rowOff>
                  </to>
                </anchor>
              </controlPr>
            </control>
          </mc:Choice>
        </mc:AlternateContent>
        <mc:AlternateContent xmlns:mc="http://schemas.openxmlformats.org/markup-compatibility/2006">
          <mc:Choice Requires="x14">
            <control shapeId="10243" r:id="rId6" name="Check Box 3">
              <controlPr locked="0" defaultSize="0" autoFill="0" autoLine="0" autoPict="0">
                <anchor moveWithCells="1">
                  <from>
                    <xdr:col>14</xdr:col>
                    <xdr:colOff>88900</xdr:colOff>
                    <xdr:row>11</xdr:row>
                    <xdr:rowOff>44450</xdr:rowOff>
                  </from>
                  <to>
                    <xdr:col>14</xdr:col>
                    <xdr:colOff>260350</xdr:colOff>
                    <xdr:row>11</xdr:row>
                    <xdr:rowOff>190500</xdr:rowOff>
                  </to>
                </anchor>
              </controlPr>
            </control>
          </mc:Choice>
        </mc:AlternateContent>
        <mc:AlternateContent xmlns:mc="http://schemas.openxmlformats.org/markup-compatibility/2006">
          <mc:Choice Requires="x14">
            <control shapeId="10244" r:id="rId7" name="Check Box 4">
              <controlPr locked="0" defaultSize="0" autoFill="0" autoLine="0" autoPict="0">
                <anchor moveWithCells="1">
                  <from>
                    <xdr:col>14</xdr:col>
                    <xdr:colOff>82550</xdr:colOff>
                    <xdr:row>10</xdr:row>
                    <xdr:rowOff>44450</xdr:rowOff>
                  </from>
                  <to>
                    <xdr:col>14</xdr:col>
                    <xdr:colOff>285750</xdr:colOff>
                    <xdr:row>10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38F0C-69D6-4717-A923-C8E878EC847A}">
  <sheetPr codeName="Sheet9">
    <pageSetUpPr fitToPage="1"/>
  </sheetPr>
  <dimension ref="A1:AF102"/>
  <sheetViews>
    <sheetView showGridLines="0" zoomScale="95" zoomScaleNormal="95" zoomScalePageLayoutView="37" workbookViewId="0">
      <selection activeCell="P2" sqref="P2:T3"/>
    </sheetView>
  </sheetViews>
  <sheetFormatPr defaultColWidth="0" defaultRowHeight="16.399999999999999" customHeight="1" zeroHeight="1" x14ac:dyDescent="0.25"/>
  <cols>
    <col min="1" max="1" width="4.1796875" style="129" customWidth="1"/>
    <col min="2" max="2" width="9.26953125" style="129" customWidth="1"/>
    <col min="3" max="3" width="16.54296875" style="129" customWidth="1"/>
    <col min="4" max="4" width="6.26953125" style="129" bestFit="1" customWidth="1"/>
    <col min="5" max="5" width="16.36328125" style="129" customWidth="1"/>
    <col min="6" max="6" width="14.26953125" style="129" customWidth="1"/>
    <col min="7" max="7" width="23" style="129" customWidth="1"/>
    <col min="8" max="8" width="12.453125" style="129" customWidth="1"/>
    <col min="9" max="10" width="8.81640625" style="129" customWidth="1"/>
    <col min="11" max="11" width="10.6328125" style="129" bestFit="1" customWidth="1"/>
    <col min="12" max="12" width="9.08984375" style="129" customWidth="1"/>
    <col min="13" max="13" width="7.90625" style="129" bestFit="1" customWidth="1"/>
    <col min="14" max="14" width="8.1796875" style="129" customWidth="1"/>
    <col min="15" max="15" width="9.54296875" style="129" bestFit="1" customWidth="1"/>
    <col min="16" max="16" width="8.81640625" style="129" customWidth="1"/>
    <col min="17" max="17" width="13.08984375" style="129" bestFit="1" customWidth="1"/>
    <col min="18" max="19" width="8.81640625" style="129" customWidth="1"/>
    <col min="20" max="20" width="12.26953125" style="129" customWidth="1"/>
    <col min="21" max="21" width="4.1796875" style="129" customWidth="1"/>
    <col min="22" max="22" width="8.54296875" style="129" hidden="1" customWidth="1"/>
    <col min="23" max="23" width="3.6328125" style="129" hidden="1" customWidth="1"/>
    <col min="24" max="24" width="4.36328125" style="129" hidden="1" customWidth="1"/>
    <col min="25" max="26" width="5.81640625" style="129" hidden="1" customWidth="1"/>
    <col min="27" max="27" width="8" style="129" hidden="1" customWidth="1"/>
    <col min="28" max="31" width="5" style="129" hidden="1" customWidth="1"/>
    <col min="32" max="32" width="18.36328125" style="129" hidden="1" customWidth="1"/>
    <col min="33" max="16384" width="9.08984375" style="129" hidden="1"/>
  </cols>
  <sheetData>
    <row r="1" spans="1:32" ht="16.399999999999999" customHeight="1" thickBot="1" x14ac:dyDescent="0.3">
      <c r="A1" s="128"/>
      <c r="B1" s="128"/>
      <c r="C1" s="128"/>
      <c r="D1" s="128"/>
      <c r="E1" s="128"/>
      <c r="F1" s="128"/>
      <c r="G1" s="128"/>
      <c r="H1" s="128"/>
      <c r="I1" s="128"/>
      <c r="J1" s="128"/>
      <c r="K1" s="128"/>
      <c r="L1" s="128"/>
      <c r="M1" s="128"/>
      <c r="N1" s="128"/>
      <c r="O1" s="128"/>
      <c r="P1" s="128"/>
      <c r="Q1" s="128"/>
      <c r="R1" s="128"/>
      <c r="S1" s="128"/>
      <c r="T1" s="128"/>
      <c r="U1" s="128"/>
    </row>
    <row r="2" spans="1:32" ht="16.399999999999999" customHeight="1" x14ac:dyDescent="0.25">
      <c r="A2" s="128"/>
      <c r="B2" s="130" t="s">
        <v>2</v>
      </c>
      <c r="C2" s="131" t="s">
        <v>3</v>
      </c>
      <c r="D2" s="730" t="s">
        <v>0</v>
      </c>
      <c r="E2" s="730"/>
      <c r="F2" s="131" t="s">
        <v>1</v>
      </c>
      <c r="G2" s="730" t="s">
        <v>23289</v>
      </c>
      <c r="H2" s="730"/>
      <c r="I2" s="730"/>
      <c r="J2" s="131" t="s">
        <v>139</v>
      </c>
      <c r="K2" s="132" t="s">
        <v>15</v>
      </c>
      <c r="L2" s="133" t="s">
        <v>23250</v>
      </c>
      <c r="M2" s="730" t="s">
        <v>4</v>
      </c>
      <c r="N2" s="730"/>
      <c r="O2" s="730"/>
      <c r="P2" s="731" t="s">
        <v>23455</v>
      </c>
      <c r="Q2" s="731"/>
      <c r="R2" s="731"/>
      <c r="S2" s="731"/>
      <c r="T2" s="732"/>
      <c r="U2" s="128"/>
    </row>
    <row r="3" spans="1:32" s="139" customFormat="1" ht="16.399999999999999" customHeight="1" thickBot="1" x14ac:dyDescent="0.3">
      <c r="A3" s="134"/>
      <c r="B3" s="135" t="str">
        <f>IF('Load Plan '!$C$6="","",'Load Plan '!$C$6)</f>
        <v>NBO</v>
      </c>
      <c r="C3" s="136" t="str">
        <f>IF('Load Plan '!$C$7="","",'Load Plan '!$C$7)</f>
        <v>SHJ</v>
      </c>
      <c r="D3" s="735" t="str">
        <f>IF('Load Plan '!$C$11="","",'Load Plan '!$C$11)</f>
        <v/>
      </c>
      <c r="E3" s="683"/>
      <c r="F3" s="136" t="str">
        <f>IF('Load Plan '!$C$8="","",'Load Plan '!$C$8)</f>
        <v>B767-300</v>
      </c>
      <c r="G3" s="735" t="str">
        <f>IF('Load Plan '!C2="","",'Load Plan '!C2)</f>
        <v/>
      </c>
      <c r="H3" s="718"/>
      <c r="I3" s="683"/>
      <c r="J3" s="136">
        <v>2</v>
      </c>
      <c r="K3" s="137">
        <f>'Load Plan '!$C$9</f>
        <v>2</v>
      </c>
      <c r="L3" s="138">
        <f>'Load Plan '!$C$10</f>
        <v>1</v>
      </c>
      <c r="M3" s="736">
        <f>IF('Load Plan '!$C$5="","",'Load Plan '!$C$5)</f>
        <v>45790</v>
      </c>
      <c r="N3" s="737"/>
      <c r="O3" s="738"/>
      <c r="P3" s="733"/>
      <c r="Q3" s="733"/>
      <c r="R3" s="733"/>
      <c r="S3" s="733"/>
      <c r="T3" s="734"/>
      <c r="U3" s="128"/>
      <c r="V3" s="129"/>
      <c r="W3" s="129"/>
      <c r="X3" s="129"/>
      <c r="Y3" s="129"/>
      <c r="Z3" s="129"/>
      <c r="AA3" s="129"/>
      <c r="AB3" s="129"/>
      <c r="AC3" s="129"/>
      <c r="AD3" s="129"/>
      <c r="AE3" s="129"/>
      <c r="AF3" s="129"/>
    </row>
    <row r="4" spans="1:32" ht="16.399999999999999" customHeight="1" thickBot="1" x14ac:dyDescent="0.3">
      <c r="A4" s="128"/>
      <c r="B4" s="742" t="s">
        <v>23290</v>
      </c>
      <c r="C4" s="743"/>
      <c r="D4" s="743"/>
      <c r="E4" s="743"/>
      <c r="F4" s="744"/>
      <c r="G4" s="618" t="s">
        <v>23291</v>
      </c>
      <c r="H4" s="619"/>
      <c r="I4" s="619"/>
      <c r="J4" s="619"/>
      <c r="K4" s="619"/>
      <c r="L4" s="647"/>
      <c r="M4" s="618" t="s">
        <v>23292</v>
      </c>
      <c r="N4" s="619"/>
      <c r="O4" s="647"/>
      <c r="P4" s="597"/>
      <c r="Q4" s="718" t="s">
        <v>23293</v>
      </c>
      <c r="R4" s="578"/>
      <c r="S4" s="577" t="s">
        <v>23294</v>
      </c>
      <c r="T4" s="578"/>
      <c r="U4" s="128"/>
    </row>
    <row r="5" spans="1:32" ht="16.399999999999999" customHeight="1" thickBot="1" x14ac:dyDescent="0.3">
      <c r="A5" s="128"/>
      <c r="B5" s="641" t="s">
        <v>23295</v>
      </c>
      <c r="C5" s="642"/>
      <c r="D5" s="642"/>
      <c r="E5" s="642"/>
      <c r="F5" s="745"/>
      <c r="G5" s="699"/>
      <c r="H5" s="700"/>
      <c r="I5" s="700"/>
      <c r="J5" s="700"/>
      <c r="K5" s="700"/>
      <c r="L5" s="660"/>
      <c r="M5" s="746">
        <v>309000</v>
      </c>
      <c r="N5" s="747"/>
      <c r="O5" s="748"/>
      <c r="P5" s="597"/>
      <c r="Q5" s="746">
        <v>412000</v>
      </c>
      <c r="R5" s="747"/>
      <c r="S5" s="746">
        <v>326000</v>
      </c>
      <c r="T5" s="748"/>
      <c r="U5" s="128"/>
    </row>
    <row r="6" spans="1:32" ht="16.399999999999999" customHeight="1" thickBot="1" x14ac:dyDescent="0.3">
      <c r="A6" s="128"/>
      <c r="B6" s="641"/>
      <c r="C6" s="642"/>
      <c r="D6" s="642"/>
      <c r="E6" s="642"/>
      <c r="F6" s="745"/>
      <c r="G6" s="699" t="s">
        <v>23296</v>
      </c>
      <c r="H6" s="700"/>
      <c r="I6" s="700"/>
      <c r="J6" s="700"/>
      <c r="K6" s="700"/>
      <c r="L6" s="660" t="s">
        <v>12</v>
      </c>
      <c r="M6" s="702">
        <f>$E$19</f>
        <v>108900</v>
      </c>
      <c r="N6" s="703"/>
      <c r="O6" s="704"/>
      <c r="P6" s="597"/>
      <c r="Q6" s="597" t="s">
        <v>23297</v>
      </c>
      <c r="R6" s="646" t="s">
        <v>12</v>
      </c>
      <c r="S6" s="702">
        <f>IF('Load Plan '!$K$9="","",'Load Plan '!$K$10)</f>
        <v>100000</v>
      </c>
      <c r="T6" s="704"/>
      <c r="U6" s="128"/>
    </row>
    <row r="7" spans="1:32" ht="16.399999999999999" customHeight="1" thickBot="1" x14ac:dyDescent="0.3">
      <c r="A7" s="128"/>
      <c r="B7" s="641"/>
      <c r="C7" s="642"/>
      <c r="D7" s="642"/>
      <c r="E7" s="642"/>
      <c r="F7" s="745"/>
      <c r="G7" s="699"/>
      <c r="H7" s="700"/>
      <c r="I7" s="700"/>
      <c r="J7" s="700"/>
      <c r="K7" s="700"/>
      <c r="L7" s="660"/>
      <c r="M7" s="739"/>
      <c r="N7" s="740"/>
      <c r="O7" s="741"/>
      <c r="P7" s="618"/>
      <c r="Q7" s="618"/>
      <c r="R7" s="647"/>
      <c r="S7" s="739"/>
      <c r="T7" s="741"/>
      <c r="U7" s="128"/>
    </row>
    <row r="8" spans="1:32" ht="16.399999999999999" customHeight="1" x14ac:dyDescent="0.25">
      <c r="A8" s="128"/>
      <c r="B8" s="641"/>
      <c r="C8" s="642"/>
      <c r="D8" s="642"/>
      <c r="E8" s="642"/>
      <c r="F8" s="745"/>
      <c r="G8" s="595" t="s">
        <v>23298</v>
      </c>
      <c r="H8" s="596"/>
      <c r="I8" s="596"/>
      <c r="J8" s="596"/>
      <c r="K8" s="596"/>
      <c r="L8" s="645"/>
      <c r="M8" s="141" t="s">
        <v>23299</v>
      </c>
      <c r="N8" s="749">
        <f>IFERROR($M$5+$M$6,"")</f>
        <v>417900</v>
      </c>
      <c r="O8" s="750"/>
      <c r="P8" s="141" t="s">
        <v>23300</v>
      </c>
      <c r="Q8" s="749">
        <f>IF(OR($Q$5&lt;'Load Plan '!$K$11,'Load Plan '!$K$11=0),$Q$5,'Load Plan '!K11)</f>
        <v>412000</v>
      </c>
      <c r="R8" s="750"/>
      <c r="S8" s="141" t="s">
        <v>23301</v>
      </c>
      <c r="T8" s="142">
        <f>IFERROR($S$5+$S$6,"")</f>
        <v>426000</v>
      </c>
      <c r="U8" s="128"/>
    </row>
    <row r="9" spans="1:32" ht="16.399999999999999" customHeight="1" thickBot="1" x14ac:dyDescent="0.3">
      <c r="A9" s="128"/>
      <c r="B9" s="597" t="s">
        <v>23397</v>
      </c>
      <c r="C9" s="598"/>
      <c r="D9" s="598"/>
      <c r="E9" s="598"/>
      <c r="F9" s="646"/>
      <c r="G9" s="597" t="s">
        <v>23302</v>
      </c>
      <c r="H9" s="598"/>
      <c r="I9" s="598"/>
      <c r="J9" s="598"/>
      <c r="K9" s="598"/>
      <c r="L9" s="646"/>
      <c r="M9" s="589"/>
      <c r="N9" s="650"/>
      <c r="O9" s="590"/>
      <c r="P9" s="589"/>
      <c r="Q9" s="650"/>
      <c r="R9" s="590"/>
      <c r="S9" s="589"/>
      <c r="T9" s="590"/>
      <c r="U9" s="128"/>
    </row>
    <row r="10" spans="1:32" ht="16.399999999999999" customHeight="1" thickBot="1" x14ac:dyDescent="0.3">
      <c r="A10" s="128"/>
      <c r="B10" s="722" t="s">
        <v>23303</v>
      </c>
      <c r="C10" s="723"/>
      <c r="D10" s="144" t="s">
        <v>23304</v>
      </c>
      <c r="E10" s="724">
        <v>181600</v>
      </c>
      <c r="F10" s="725"/>
      <c r="G10" s="700" t="s">
        <v>23305</v>
      </c>
      <c r="H10" s="700"/>
      <c r="I10" s="700"/>
      <c r="J10" s="700"/>
      <c r="K10" s="700"/>
      <c r="L10" s="660" t="s">
        <v>11</v>
      </c>
      <c r="M10" s="620" t="str">
        <f>IF(E21="","",IF(SMALL((N8,Q8,T8),1)=N8,E21,""))</f>
        <v/>
      </c>
      <c r="N10" s="648"/>
      <c r="O10" s="621"/>
      <c r="P10" s="620">
        <f>IF(E21="","",IF(SMALL((N8,Q8,T8),1)=Q8,E21,""))</f>
        <v>291669</v>
      </c>
      <c r="Q10" s="648"/>
      <c r="R10" s="621"/>
      <c r="S10" s="620" t="str">
        <f>IF(E21="","",IF(SMALL((N8,Q8,T8),1)=T8,E21,""))</f>
        <v/>
      </c>
      <c r="T10" s="621"/>
      <c r="U10" s="128"/>
    </row>
    <row r="11" spans="1:32" ht="16.399999999999999" customHeight="1" thickBot="1" x14ac:dyDescent="0.3">
      <c r="A11" s="128"/>
      <c r="B11" s="726" t="s">
        <v>139</v>
      </c>
      <c r="C11" s="727"/>
      <c r="D11" s="145" t="s">
        <v>23304</v>
      </c>
      <c r="E11" s="728">
        <v>370</v>
      </c>
      <c r="F11" s="729"/>
      <c r="G11" s="700"/>
      <c r="H11" s="700"/>
      <c r="I11" s="700"/>
      <c r="J11" s="700"/>
      <c r="K11" s="700"/>
      <c r="L11" s="660"/>
      <c r="M11" s="627"/>
      <c r="N11" s="693"/>
      <c r="O11" s="628"/>
      <c r="P11" s="627"/>
      <c r="Q11" s="693"/>
      <c r="R11" s="628"/>
      <c r="S11" s="589"/>
      <c r="T11" s="590"/>
      <c r="U11" s="128"/>
    </row>
    <row r="12" spans="1:32" ht="16" customHeight="1" x14ac:dyDescent="0.25">
      <c r="A12" s="128"/>
      <c r="B12" s="694" t="s">
        <v>23306</v>
      </c>
      <c r="C12" s="695"/>
      <c r="D12" s="146" t="s">
        <v>23304</v>
      </c>
      <c r="E12" s="697">
        <f>IF('Load Plan '!O7="",0,'Load Plan '!O7)</f>
        <v>67</v>
      </c>
      <c r="F12" s="698"/>
      <c r="G12" s="711" t="s">
        <v>23307</v>
      </c>
      <c r="H12" s="712"/>
      <c r="I12" s="712"/>
      <c r="J12" s="712"/>
      <c r="K12" s="712"/>
      <c r="L12" s="592" t="s">
        <v>23304</v>
      </c>
      <c r="M12" s="719" t="str">
        <f>IF(E21="","",IF(SMALL((N8,Q8,T8),1)=N8,N8-M10,""))</f>
        <v/>
      </c>
      <c r="N12" s="720"/>
      <c r="O12" s="721"/>
      <c r="P12" s="675">
        <f>IF(E21="","",IF(SMALL((N8,Q8,T8),1)=Q8,Q8-P10,""))</f>
        <v>120331</v>
      </c>
      <c r="Q12" s="720"/>
      <c r="R12" s="721"/>
      <c r="S12" s="720" t="str">
        <f>IF(E21="","",IF(SMALL((N8,Q8,T8),1)=T8,T8-S10,""))</f>
        <v/>
      </c>
      <c r="T12" s="676"/>
      <c r="U12" s="128"/>
    </row>
    <row r="13" spans="1:32" ht="16.399999999999999" customHeight="1" x14ac:dyDescent="0.25">
      <c r="A13" s="128"/>
      <c r="B13" s="694" t="s">
        <v>23437</v>
      </c>
      <c r="C13" s="695"/>
      <c r="D13" s="146" t="s">
        <v>23304</v>
      </c>
      <c r="E13" s="697">
        <f>IF('Load Plan '!O6="",0,ROUND('Load Plan '!O6,0))</f>
        <v>67</v>
      </c>
      <c r="F13" s="698"/>
      <c r="G13" s="713"/>
      <c r="H13" s="714"/>
      <c r="I13" s="714"/>
      <c r="J13" s="714"/>
      <c r="K13" s="714"/>
      <c r="L13" s="717"/>
      <c r="M13" s="705"/>
      <c r="N13" s="697"/>
      <c r="O13" s="697"/>
      <c r="P13" s="697"/>
      <c r="Q13" s="697"/>
      <c r="R13" s="697"/>
      <c r="S13" s="708"/>
      <c r="T13" s="698"/>
      <c r="U13" s="128"/>
    </row>
    <row r="14" spans="1:32" ht="16.399999999999999" customHeight="1" thickBot="1" x14ac:dyDescent="0.3">
      <c r="A14" s="128"/>
      <c r="B14" s="694" t="s">
        <v>23247</v>
      </c>
      <c r="C14" s="695"/>
      <c r="D14" s="146" t="s">
        <v>23304</v>
      </c>
      <c r="E14" s="697">
        <f>IF('Load Plan '!O8="",0,ROUND('Load Plan '!O8,0))</f>
        <v>110</v>
      </c>
      <c r="F14" s="698"/>
      <c r="G14" s="715"/>
      <c r="H14" s="716"/>
      <c r="I14" s="716"/>
      <c r="J14" s="716"/>
      <c r="K14" s="716"/>
      <c r="L14" s="718"/>
      <c r="M14" s="706"/>
      <c r="N14" s="707"/>
      <c r="O14" s="707"/>
      <c r="P14" s="707"/>
      <c r="Q14" s="707"/>
      <c r="R14" s="707"/>
      <c r="S14" s="709"/>
      <c r="T14" s="710"/>
      <c r="U14" s="128"/>
    </row>
    <row r="15" spans="1:32" ht="16.399999999999999" customHeight="1" thickBot="1" x14ac:dyDescent="0.3">
      <c r="A15" s="128"/>
      <c r="B15" s="694" t="s">
        <v>15</v>
      </c>
      <c r="C15" s="695"/>
      <c r="D15" s="146" t="s">
        <v>23304</v>
      </c>
      <c r="E15" s="697">
        <f>IFERROR($K$3*185,0)</f>
        <v>370</v>
      </c>
      <c r="F15" s="698"/>
      <c r="G15" s="699" t="s">
        <v>23308</v>
      </c>
      <c r="H15" s="700"/>
      <c r="I15" s="700"/>
      <c r="J15" s="700"/>
      <c r="K15" s="700"/>
      <c r="L15" s="660" t="s">
        <v>11</v>
      </c>
      <c r="M15" s="602" t="str">
        <f>IF($G$48="","",IF(SMALL((N8,Q8,T8),1)=N8,$G$48," "))</f>
        <v xml:space="preserve"> </v>
      </c>
      <c r="N15" s="701"/>
      <c r="O15" s="603"/>
      <c r="P15" s="602">
        <f>IF($G$48="","",IF(SMALL((N8,Q8,T8),1)=Q8,G$48," "))</f>
        <v>95795</v>
      </c>
      <c r="Q15" s="701"/>
      <c r="R15" s="603"/>
      <c r="S15" s="602" t="str">
        <f>IF($G$48="","",IF(SMALL((N8,Q8,T8),1)=T8,$G$48," "))</f>
        <v xml:space="preserve"> </v>
      </c>
      <c r="T15" s="603"/>
      <c r="U15" s="128"/>
    </row>
    <row r="16" spans="1:32" ht="16.399999999999999" customHeight="1" thickBot="1" x14ac:dyDescent="0.3">
      <c r="A16" s="128"/>
      <c r="B16" s="694" t="s">
        <v>23250</v>
      </c>
      <c r="C16" s="695"/>
      <c r="D16" s="147" t="s">
        <v>23304</v>
      </c>
      <c r="E16" s="696">
        <f>IFERROR($L$3*185,0)</f>
        <v>185</v>
      </c>
      <c r="F16" s="588"/>
      <c r="G16" s="699"/>
      <c r="H16" s="700"/>
      <c r="I16" s="700"/>
      <c r="J16" s="700"/>
      <c r="K16" s="700"/>
      <c r="L16" s="660"/>
      <c r="M16" s="627"/>
      <c r="N16" s="693"/>
      <c r="O16" s="628"/>
      <c r="P16" s="627"/>
      <c r="Q16" s="693"/>
      <c r="R16" s="628"/>
      <c r="S16" s="589"/>
      <c r="T16" s="590"/>
      <c r="U16" s="128"/>
    </row>
    <row r="17" spans="1:22" ht="16.399999999999999" customHeight="1" thickBot="1" x14ac:dyDescent="0.3">
      <c r="A17" s="128"/>
      <c r="B17" s="694"/>
      <c r="C17" s="695"/>
      <c r="D17" s="147" t="s">
        <v>23304</v>
      </c>
      <c r="E17" s="696"/>
      <c r="F17" s="588"/>
      <c r="G17" s="643" t="s">
        <v>23309</v>
      </c>
      <c r="H17" s="644"/>
      <c r="I17" s="644"/>
      <c r="J17" s="644"/>
      <c r="K17" s="644"/>
      <c r="L17" s="647" t="s">
        <v>23304</v>
      </c>
      <c r="M17" s="620" t="str">
        <f>IF($G$48="","Load Aircraft",IF(SMALL((N8,Q8,T8),1)=N8,M12-M15,""))</f>
        <v/>
      </c>
      <c r="N17" s="648"/>
      <c r="O17" s="621"/>
      <c r="P17" s="620">
        <f>IF($G$48="","Load Aircraft",IF(SMALL((N8,Q8,T8),1)=Q8,P12-P15,""))</f>
        <v>24536</v>
      </c>
      <c r="Q17" s="648"/>
      <c r="R17" s="621"/>
      <c r="S17" s="620" t="str">
        <f>IF($G$48="","Load Aircraft",IF(SMALL((N8,Q8,T8),1)=T8,S12-S15,""))</f>
        <v/>
      </c>
      <c r="T17" s="621"/>
      <c r="U17" s="128"/>
    </row>
    <row r="18" spans="1:22" ht="16.399999999999999" customHeight="1" thickBot="1" x14ac:dyDescent="0.3">
      <c r="A18" s="128"/>
      <c r="B18" s="653" t="s">
        <v>23310</v>
      </c>
      <c r="C18" s="654"/>
      <c r="D18" s="149" t="s">
        <v>23304</v>
      </c>
      <c r="E18" s="684">
        <f>IF(SUM($E$11:$F$17)=0,$E$10,SUM($E$10,$E$11:$F$17))</f>
        <v>182769</v>
      </c>
      <c r="F18" s="685"/>
      <c r="G18" s="639"/>
      <c r="H18" s="640"/>
      <c r="I18" s="640"/>
      <c r="J18" s="640"/>
      <c r="K18" s="640"/>
      <c r="L18" s="645"/>
      <c r="M18" s="627"/>
      <c r="N18" s="693"/>
      <c r="O18" s="628"/>
      <c r="P18" s="627"/>
      <c r="Q18" s="693"/>
      <c r="R18" s="628"/>
      <c r="S18" s="627"/>
      <c r="T18" s="628"/>
      <c r="U18" s="128"/>
    </row>
    <row r="19" spans="1:22" ht="16.399999999999999" customHeight="1" x14ac:dyDescent="0.25">
      <c r="A19" s="128"/>
      <c r="B19" s="591" t="s">
        <v>23296</v>
      </c>
      <c r="C19" s="682"/>
      <c r="D19" s="568" t="s">
        <v>12</v>
      </c>
      <c r="E19" s="675">
        <f>IF(SUM('Load Plan '!$K$9)="",0,SUM('Load Plan '!$K$9))</f>
        <v>108900</v>
      </c>
      <c r="F19" s="676"/>
      <c r="G19" s="150"/>
      <c r="H19" s="151"/>
      <c r="I19" s="151"/>
      <c r="J19" s="151"/>
      <c r="K19" s="152"/>
      <c r="L19" s="152"/>
      <c r="M19" s="152"/>
      <c r="N19" s="152"/>
      <c r="O19" s="152"/>
      <c r="P19" s="152"/>
      <c r="Q19" s="152"/>
      <c r="R19" s="152"/>
      <c r="S19" s="152"/>
      <c r="T19" s="153"/>
      <c r="U19" s="128"/>
    </row>
    <row r="20" spans="1:22" ht="16.399999999999999" customHeight="1" thickBot="1" x14ac:dyDescent="0.3">
      <c r="A20" s="128"/>
      <c r="B20" s="577"/>
      <c r="C20" s="683"/>
      <c r="D20" s="570"/>
      <c r="E20" s="684"/>
      <c r="F20" s="685"/>
      <c r="G20" s="154"/>
      <c r="H20" s="155"/>
      <c r="I20" s="155"/>
      <c r="J20" s="155"/>
      <c r="K20" s="686"/>
      <c r="L20" s="686"/>
      <c r="M20" s="686"/>
      <c r="N20" s="686"/>
      <c r="O20" s="686"/>
      <c r="P20" s="686"/>
      <c r="Q20" s="157"/>
      <c r="R20" s="158"/>
      <c r="S20" s="158"/>
      <c r="T20" s="159"/>
      <c r="U20" s="128"/>
    </row>
    <row r="21" spans="1:22" ht="16.399999999999999" customHeight="1" thickBot="1" x14ac:dyDescent="0.3">
      <c r="A21" s="128"/>
      <c r="B21" s="651" t="s">
        <v>23311</v>
      </c>
      <c r="C21" s="629"/>
      <c r="D21" s="160" t="s">
        <v>23304</v>
      </c>
      <c r="E21" s="675">
        <f>IFERROR($E$18+$E$19,0)</f>
        <v>291669</v>
      </c>
      <c r="F21" s="676"/>
      <c r="G21" s="155"/>
      <c r="H21" s="155"/>
      <c r="I21" s="155"/>
      <c r="J21" s="155"/>
      <c r="K21" s="156"/>
      <c r="L21" s="156"/>
      <c r="M21" s="156"/>
      <c r="N21" s="156"/>
      <c r="O21" s="156"/>
      <c r="P21" s="156"/>
      <c r="Q21" s="157"/>
      <c r="R21" s="158"/>
      <c r="S21" s="158"/>
      <c r="T21" s="159"/>
      <c r="U21" s="128"/>
    </row>
    <row r="22" spans="1:22" ht="16.399999999999999" customHeight="1" thickBot="1" x14ac:dyDescent="0.3">
      <c r="A22" s="128"/>
      <c r="B22" s="677" t="s">
        <v>18</v>
      </c>
      <c r="C22" s="678"/>
      <c r="D22" s="678"/>
      <c r="E22" s="678"/>
      <c r="F22" s="679"/>
      <c r="G22" s="677" t="s">
        <v>23270</v>
      </c>
      <c r="H22" s="678"/>
      <c r="I22" s="678"/>
      <c r="J22" s="678"/>
      <c r="K22" s="679"/>
      <c r="L22" s="306"/>
      <c r="M22" s="306"/>
      <c r="N22" s="687" t="s">
        <v>18</v>
      </c>
      <c r="O22" s="688"/>
      <c r="P22" s="688"/>
      <c r="Q22" s="689"/>
      <c r="R22" s="161"/>
      <c r="S22" s="680" t="s">
        <v>23270</v>
      </c>
      <c r="T22" s="681"/>
      <c r="U22" s="162"/>
    </row>
    <row r="23" spans="1:22" ht="16.399999999999999" customHeight="1" x14ac:dyDescent="0.25">
      <c r="A23" s="128"/>
      <c r="B23" s="669" t="s">
        <v>23312</v>
      </c>
      <c r="C23" s="298" t="s">
        <v>109</v>
      </c>
      <c r="D23" s="298" t="s">
        <v>110</v>
      </c>
      <c r="E23" s="671" t="s">
        <v>23313</v>
      </c>
      <c r="F23" s="672"/>
      <c r="G23" s="296" t="s">
        <v>23312</v>
      </c>
      <c r="H23" s="297" t="s">
        <v>109</v>
      </c>
      <c r="I23" s="163" t="s">
        <v>110</v>
      </c>
      <c r="J23" s="673" t="s">
        <v>23313</v>
      </c>
      <c r="K23" s="674"/>
      <c r="L23" s="186"/>
      <c r="M23" s="186"/>
      <c r="N23" s="690" t="s">
        <v>1575</v>
      </c>
      <c r="O23" s="691"/>
      <c r="P23" s="692" t="s">
        <v>115</v>
      </c>
      <c r="Q23" s="691"/>
      <c r="R23" s="156"/>
      <c r="S23" s="311" t="s">
        <v>1575</v>
      </c>
      <c r="T23" s="312" t="s">
        <v>115</v>
      </c>
      <c r="V23" s="164"/>
    </row>
    <row r="24" spans="1:22" ht="16.399999999999999" customHeight="1" thickBot="1" x14ac:dyDescent="0.3">
      <c r="A24" s="128"/>
      <c r="B24" s="670"/>
      <c r="C24" s="165" t="s">
        <v>23314</v>
      </c>
      <c r="D24" s="166" t="s">
        <v>23314</v>
      </c>
      <c r="E24" s="165" t="s">
        <v>6</v>
      </c>
      <c r="F24" s="166" t="s">
        <v>23314</v>
      </c>
      <c r="G24" s="167"/>
      <c r="H24" s="168" t="s">
        <v>23314</v>
      </c>
      <c r="I24" s="170" t="s">
        <v>23314</v>
      </c>
      <c r="J24" s="169" t="s">
        <v>6</v>
      </c>
      <c r="K24" s="170" t="s">
        <v>23314</v>
      </c>
      <c r="L24" s="186"/>
      <c r="M24" s="186"/>
      <c r="N24" s="514" t="str">
        <f>Indeces!B103</f>
        <v>A1</v>
      </c>
      <c r="O24" s="515"/>
      <c r="P24" s="512">
        <f>IFERROR(ROUND(VLOOKUP(N24,Indeces!$B$103:$E$119,4,FALSE),1),"")</f>
        <v>-2.5</v>
      </c>
      <c r="Q24" s="513"/>
      <c r="R24" s="243"/>
      <c r="S24" s="177" t="str">
        <f>$G$25</f>
        <v>HOLD 11</v>
      </c>
      <c r="T24" s="394" t="str">
        <f>IFERROR(ROUND(VLOOKUP(S24,Indeces!$K$103:$M$118,3,FALSE),1),"")</f>
        <v/>
      </c>
    </row>
    <row r="25" spans="1:22" ht="16.399999999999999" customHeight="1" thickBot="1" x14ac:dyDescent="0.3">
      <c r="A25" s="128"/>
      <c r="B25" s="171" t="str">
        <f>'Load Plan '!$C$17</f>
        <v>A1</v>
      </c>
      <c r="C25" s="172">
        <v>0</v>
      </c>
      <c r="D25" s="366">
        <v>0</v>
      </c>
      <c r="E25" s="173">
        <f>IF($F$25="","",'Load Plan '!$C$40)</f>
        <v>5000</v>
      </c>
      <c r="F25" s="174">
        <f>IFERROR(ROUND('Load Plan '!$C$39,0),"")</f>
        <v>662</v>
      </c>
      <c r="G25" s="175" t="s">
        <v>23315</v>
      </c>
      <c r="H25" s="176" t="str">
        <f>IFERROR(IF('Load Plan '!$C$46="LD-2",ROUND('Load Plan '!$C$50*2.205,0),""),"")</f>
        <v/>
      </c>
      <c r="I25" s="176" t="str">
        <f>IFERROR(IF('Load Plan '!$C$53="LD-2",ROUND('Load Plan '!$C$57*2.205,0),""),"")</f>
        <v/>
      </c>
      <c r="J25" s="318" t="str">
        <f>'Load Plan '!$C$60</f>
        <v/>
      </c>
      <c r="K25" s="315" t="str">
        <f>IFERROR(ROUND('Load Plan '!$C$59,0),"")</f>
        <v/>
      </c>
      <c r="L25" s="186"/>
      <c r="M25" s="186"/>
      <c r="N25" s="514" t="str">
        <f>Indeces!B104</f>
        <v>A2</v>
      </c>
      <c r="O25" s="515"/>
      <c r="P25" s="512">
        <f>IFERROR(ROUND(VLOOKUP(N25,Indeces!$B$103:$E$119,4,FALSE),1),"")</f>
        <v>-20.5</v>
      </c>
      <c r="Q25" s="513"/>
      <c r="R25" s="243"/>
      <c r="S25" s="177" t="str">
        <f>$G$26</f>
        <v>HOLD 12</v>
      </c>
      <c r="T25" s="394" t="str">
        <f>IFERROR(ROUND(VLOOKUP(S25,Indeces!$K$103:$M$118,3,FALSE),1),"")</f>
        <v/>
      </c>
    </row>
    <row r="26" spans="1:22" ht="16.399999999999999" customHeight="1" thickBot="1" x14ac:dyDescent="0.3">
      <c r="A26" s="128"/>
      <c r="B26" s="171" t="str">
        <f>'Load Plan '!$D$17</f>
        <v>A2R</v>
      </c>
      <c r="C26" s="172">
        <f>IF(B26=" "," ",IF(LEFT(B26,1)&lt;&gt;"A",0,ROUND('Load Plan '!$D$23,0)))</f>
        <v>3098</v>
      </c>
      <c r="D26" s="366">
        <f>IF(B26=" "," ",IF(LEFT(B26,1)&lt;&gt;"A",,'Load Plan '!$D$31))</f>
        <v>3098</v>
      </c>
      <c r="E26" s="173">
        <f>IF($F$26="","",'Load Plan '!$D$40)</f>
        <v>10700</v>
      </c>
      <c r="F26" s="174">
        <f>IFERROR(ROUND('Load Plan '!$D$39,0),"")</f>
        <v>6196</v>
      </c>
      <c r="G26" s="179" t="s">
        <v>23316</v>
      </c>
      <c r="H26" s="181" t="str">
        <f>IFERROR(IF($K$26="","",IF('Load Plan '!$D$46="LD-2",ROUND('Load Plan '!$D$50 * 2.205, 0),"")),"")</f>
        <v/>
      </c>
      <c r="I26" s="181" t="str">
        <f>IFERROR(IF($K$26="","",IF('Load Plan '!$D$53="LD-2",ROUND('Load Plan '!$D$57 * 2.205, 0),"")),"")</f>
        <v/>
      </c>
      <c r="J26" s="319" t="str">
        <f>'Load Plan '!$D$60</f>
        <v/>
      </c>
      <c r="K26" s="316" t="str">
        <f>IFERROR(ROUND('Load Plan '!$D$59,0),"")</f>
        <v/>
      </c>
      <c r="L26" s="186"/>
      <c r="M26" s="186"/>
      <c r="N26" s="514" t="str">
        <f>Indeces!B105</f>
        <v>A3</v>
      </c>
      <c r="O26" s="515"/>
      <c r="P26" s="512">
        <f>IFERROR(ROUND(VLOOKUP(N26,Indeces!$B$103:$E$119,4,FALSE),1),"")</f>
        <v>-17.5</v>
      </c>
      <c r="Q26" s="513"/>
      <c r="R26" s="243"/>
      <c r="S26" s="177" t="str">
        <f>$G$27</f>
        <v>HOLD 13</v>
      </c>
      <c r="T26" s="394" t="str">
        <f>IFERROR(ROUND(VLOOKUP(S26,Indeces!$K$103:$M$118,3,FALSE),1),"")</f>
        <v/>
      </c>
    </row>
    <row r="27" spans="1:22" ht="16.399999999999999" customHeight="1" thickBot="1" x14ac:dyDescent="0.3">
      <c r="A27" s="128"/>
      <c r="B27" s="171" t="str">
        <f>'Load Plan '!$E$17</f>
        <v>A3R</v>
      </c>
      <c r="C27" s="172">
        <f>IF(B27=" "," ",IF(LEFT(B27,1)&lt;&gt;"A",0,ROUND('Load Plan '!$E$23,0)))</f>
        <v>3274</v>
      </c>
      <c r="D27" s="366">
        <f>IF(B27=" "," ",IF(LEFT(B27,1)&lt;&gt;"A",,'Load Plan '!$E$31))</f>
        <v>3274</v>
      </c>
      <c r="E27" s="173">
        <f>IF($F$27="","",'Load Plan '!$E$40)</f>
        <v>10700</v>
      </c>
      <c r="F27" s="174">
        <f>IFERROR(ROUND('Load Plan '!$E$39,0),"")</f>
        <v>6548</v>
      </c>
      <c r="G27" s="179" t="s">
        <v>23317</v>
      </c>
      <c r="H27" s="181" t="str">
        <f>IFERROR(IF('Load Plan '!$E$46="LD-2",ROUND('Load Plan '!$E$50*2.205,0),""),"")</f>
        <v/>
      </c>
      <c r="I27" s="181" t="str">
        <f>IFERROR(IF('Load Plan '!$E$53="LD-2",ROUND('Load Plan '!$E$57*2.205,0),""),"")</f>
        <v/>
      </c>
      <c r="J27" s="319" t="str">
        <f>'Load Plan '!$E$60</f>
        <v/>
      </c>
      <c r="K27" s="316" t="str">
        <f>IFERROR(ROUND('Load Plan '!$E$59,0),"")</f>
        <v/>
      </c>
      <c r="L27" s="186"/>
      <c r="M27" s="186"/>
      <c r="N27" s="514" t="str">
        <f>Indeces!B106</f>
        <v>A4</v>
      </c>
      <c r="O27" s="515"/>
      <c r="P27" s="512">
        <f>IFERROR(ROUND(VLOOKUP(N27,Indeces!$B$103:$E$119,4,FALSE),1),"")</f>
        <v>-13.3</v>
      </c>
      <c r="Q27" s="513"/>
      <c r="R27" s="243"/>
      <c r="S27" s="177" t="str">
        <f>$G$28</f>
        <v>HOLD 14</v>
      </c>
      <c r="T27" s="394" t="str">
        <f>IFERROR(ROUND(VLOOKUP(S27,Indeces!$K$103:$M$118,3,FALSE),1),"")</f>
        <v/>
      </c>
    </row>
    <row r="28" spans="1:22" ht="16.399999999999999" customHeight="1" thickBot="1" x14ac:dyDescent="0.3">
      <c r="A28" s="128"/>
      <c r="B28" s="171" t="str">
        <f>'Load Plan '!$F$17</f>
        <v>A4R</v>
      </c>
      <c r="C28" s="172">
        <f>IF(B28=" "," ",IF(LEFT(B28,1)&lt;&gt;"A",0,ROUND('Load Plan '!$F$23,0)))</f>
        <v>3274</v>
      </c>
      <c r="D28" s="366">
        <f>IF(B28=" "," ",IF(LEFT(B28,1)&lt;&gt;"A",,'Load Plan '!$F$31))</f>
        <v>3274</v>
      </c>
      <c r="E28" s="173">
        <f>IF($F$28="","",'Load Plan '!$F$40)</f>
        <v>10700</v>
      </c>
      <c r="F28" s="174">
        <f>IFERROR(ROUND('Load Plan '!$F$39,0),"")</f>
        <v>6548</v>
      </c>
      <c r="G28" s="179" t="s">
        <v>23391</v>
      </c>
      <c r="H28" s="181" t="str">
        <f>IFERROR(IF($K$28="","",IF('Load Plan '!$F$46="LD-2",ROUND('Load Plan '!$F$50 * 2.205, 0),"")),"")</f>
        <v/>
      </c>
      <c r="I28" s="181" t="str">
        <f>IFERROR(IF($K$28="","",IF('Load Plan '!$F$53="LD-2",ROUND('Load Plan '!$F$57 * 2.205, 0),"")),"")</f>
        <v/>
      </c>
      <c r="J28" s="319" t="str">
        <f>'Load Plan '!$F$60</f>
        <v/>
      </c>
      <c r="K28" s="316" t="str">
        <f>IFERROR(ROUND('Load Plan '!$F$59,0),"")</f>
        <v/>
      </c>
      <c r="L28" s="186"/>
      <c r="M28" s="186"/>
      <c r="N28" s="514" t="str">
        <f>Indeces!B107</f>
        <v/>
      </c>
      <c r="O28" s="515"/>
      <c r="P28" s="512" t="str">
        <f>IFERROR(ROUND(VLOOKUP(N28,Indeces!$B$103:$E$119,4,FALSE),1),"")</f>
        <v/>
      </c>
      <c r="Q28" s="513"/>
      <c r="R28" s="243"/>
      <c r="S28" s="177" t="str">
        <f>$G$29</f>
        <v>HOLD 21</v>
      </c>
      <c r="T28" s="394" t="str">
        <f>IFERROR(ROUND(VLOOKUP(S28,Indeces!$K$103:$M$118,3,FALSE),1),"")</f>
        <v/>
      </c>
    </row>
    <row r="29" spans="1:22" ht="16.399999999999999" customHeight="1" thickBot="1" x14ac:dyDescent="0.3">
      <c r="A29" s="128"/>
      <c r="B29" s="171" t="str">
        <f>'Load Plan '!$G$17</f>
        <v xml:space="preserve"> </v>
      </c>
      <c r="C29" s="172" t="str">
        <f>IF(B29=" "," ",IF(LEFT(B29,1)&lt;&gt;"A",0,ROUND('Load Plan '!$G$23,0)))</f>
        <v xml:space="preserve"> </v>
      </c>
      <c r="D29" s="366" t="str">
        <f>IF(B29=" "," ",IF(LEFT(B29,1)&lt;&gt;"A",,'Load Plan '!$G$31))</f>
        <v xml:space="preserve"> </v>
      </c>
      <c r="E29" s="173" t="str">
        <f>IF($F$29="","",'Load Plan '!$G$40)</f>
        <v/>
      </c>
      <c r="F29" s="174" t="str">
        <f>IFERROR(ROUND('Load Plan '!$G$39,0),"")</f>
        <v/>
      </c>
      <c r="G29" s="179" t="s">
        <v>23318</v>
      </c>
      <c r="H29" s="181" t="str">
        <f>IFERROR(IF('Load Plan '!$G$46="LD-2",ROUND('Load Plan '!$G$50*2.205,0),""),"")</f>
        <v/>
      </c>
      <c r="I29" s="181" t="str">
        <f>IFERROR(IF('Load Plan '!$G$53="LD-2",ROUND('Load Plan '!$G$57*2.205,0),""),"")</f>
        <v/>
      </c>
      <c r="J29" s="319" t="str">
        <f>'Load Plan '!$G$60</f>
        <v/>
      </c>
      <c r="K29" s="316" t="str">
        <f>IFERROR(ROUND('Load Plan '!$G$59,0),"")</f>
        <v/>
      </c>
      <c r="L29" s="186"/>
      <c r="M29" s="186"/>
      <c r="N29" s="514" t="str">
        <f>Indeces!B108</f>
        <v>A5</v>
      </c>
      <c r="O29" s="515"/>
      <c r="P29" s="512">
        <f>IFERROR(ROUND(VLOOKUP(N29,Indeces!$B$103:$E$119,4,FALSE),1),"")</f>
        <v>-10.199999999999999</v>
      </c>
      <c r="Q29" s="513"/>
      <c r="R29" s="243"/>
      <c r="S29" s="177" t="str">
        <f>G30</f>
        <v>HOLD 22</v>
      </c>
      <c r="T29" s="394" t="str">
        <f>IFERROR(ROUND(VLOOKUP(S29,Indeces!$K$103:$M$118,3,FALSE),1),"")</f>
        <v/>
      </c>
    </row>
    <row r="30" spans="1:22" ht="16.399999999999999" customHeight="1" thickBot="1" x14ac:dyDescent="0.3">
      <c r="A30" s="128"/>
      <c r="B30" s="171" t="str">
        <f>'Load Plan '!$H$17</f>
        <v>A5R</v>
      </c>
      <c r="C30" s="172">
        <f>IF(B30=" "," ",IF(LEFT(B30,1)&lt;&gt;"A",0,ROUND('Load Plan '!$H$23,0)))</f>
        <v>3627</v>
      </c>
      <c r="D30" s="366">
        <f>IF(B30=" "," ",IF(LEFT(B30,1)&lt;&gt;"A",,'Load Plan '!$H$31))</f>
        <v>3627</v>
      </c>
      <c r="E30" s="173">
        <f>IF($F$30="","",'Load Plan '!$H$40)</f>
        <v>10700</v>
      </c>
      <c r="F30" s="174">
        <f>IFERROR(ROUND('Load Plan '!$H$39,0),"")</f>
        <v>7254</v>
      </c>
      <c r="G30" s="179" t="s">
        <v>23319</v>
      </c>
      <c r="H30" s="181" t="str">
        <f>IFERROR(IF($K$30="","",IF('Load Plan '!$H$46="LD-2",ROUND('Load Plan '!$H$50 * 2.205, 0),"")),"")</f>
        <v/>
      </c>
      <c r="I30" s="181" t="str">
        <f>IFERROR(IF($K$30="","",IF('Load Plan '!$H$53="LD-2",ROUND('Load Plan '!$H$57 * 2.205, 0),"")),"")</f>
        <v/>
      </c>
      <c r="J30" s="319" t="str">
        <f>'Load Plan '!$H$60</f>
        <v/>
      </c>
      <c r="K30" s="316" t="str">
        <f>IFERROR(ROUND('Load Plan '!$H$59,0),"")</f>
        <v/>
      </c>
      <c r="L30" s="186"/>
      <c r="M30" s="186"/>
      <c r="N30" s="514" t="str">
        <f>Indeces!B109</f>
        <v>A6</v>
      </c>
      <c r="O30" s="515"/>
      <c r="P30" s="512">
        <f>IFERROR(ROUND(VLOOKUP(N30,Indeces!$B$103:$E$119,4,FALSE),1),"")</f>
        <v>-5.6</v>
      </c>
      <c r="Q30" s="513"/>
      <c r="R30" s="243"/>
      <c r="S30" s="177" t="str">
        <f>$G$31</f>
        <v>HOLD 23</v>
      </c>
      <c r="T30" s="394" t="str">
        <f>IFERROR(ROUND(VLOOKUP(S30,Indeces!$K$103:$M$118,3,FALSE),1),"")</f>
        <v/>
      </c>
    </row>
    <row r="31" spans="1:22" ht="16.399999999999999" customHeight="1" thickBot="1" x14ac:dyDescent="0.3">
      <c r="A31" s="128"/>
      <c r="B31" s="171" t="str">
        <f>'Load Plan '!$I$17</f>
        <v>A6R</v>
      </c>
      <c r="C31" s="172">
        <f>IF(B31=" "," ",IF(LEFT(B31,1)&lt;&gt;"A",0,ROUND('Load Plan '!$I$23,0)))</f>
        <v>3627</v>
      </c>
      <c r="D31" s="366">
        <f>IF(B31=" "," ",IF(LEFT(B31,1)&lt;&gt;"A",,'Load Plan '!$I$31))</f>
        <v>3627</v>
      </c>
      <c r="E31" s="173">
        <f>IF($F$31="","",'Load Plan '!$I$40)</f>
        <v>15000</v>
      </c>
      <c r="F31" s="174">
        <f>IFERROR(ROUND('Load Plan '!$I$39,0),"")</f>
        <v>7254</v>
      </c>
      <c r="G31" s="179" t="s">
        <v>23320</v>
      </c>
      <c r="H31" s="181" t="str">
        <f>IFERROR(IF('Load Plan '!$I$46="LD-2",ROUND('Load Plan '!$I$50*2.205,0),""),"")</f>
        <v/>
      </c>
      <c r="I31" s="181" t="str">
        <f>IFERROR(IF('Load Plan '!$I$53="LD-2",ROUND('Load Plan '!$I$57*2.205,0),""),"")</f>
        <v/>
      </c>
      <c r="J31" s="319" t="str">
        <f>'Load Plan '!$I$60</f>
        <v/>
      </c>
      <c r="K31" s="316" t="str">
        <f>IFERROR(ROUND('Load Plan '!$I$59,0),"")</f>
        <v/>
      </c>
      <c r="L31" s="186"/>
      <c r="M31" s="186"/>
      <c r="N31" s="514" t="str">
        <f>Indeces!B110</f>
        <v>A7</v>
      </c>
      <c r="O31" s="515"/>
      <c r="P31" s="512">
        <f>IFERROR(ROUND(VLOOKUP(N31,Indeces!$B$103:$E$119,4,FALSE),1),"")</f>
        <v>-1.1000000000000001</v>
      </c>
      <c r="Q31" s="513"/>
      <c r="R31" s="243"/>
      <c r="S31" s="177" t="str">
        <f>$G$32</f>
        <v>HOLD 24</v>
      </c>
      <c r="T31" s="394">
        <f>IFERROR(ROUND(VLOOKUP(S31,Indeces!$K$103:$M$118,3,FALSE),1),"")</f>
        <v>-2.2999999999999998</v>
      </c>
    </row>
    <row r="32" spans="1:22" ht="16.399999999999999" customHeight="1" thickBot="1" x14ac:dyDescent="0.3">
      <c r="A32" s="128"/>
      <c r="B32" s="171" t="str">
        <f>'Load Plan '!$J$17</f>
        <v>A7R</v>
      </c>
      <c r="C32" s="172">
        <f>IF(B32=" "," ",IF(LEFT(B32,1)&lt;&gt;"A",0,ROUND('Load Plan '!$J$23,0)))</f>
        <v>4070</v>
      </c>
      <c r="D32" s="366">
        <f>IF(B32=" "," ",IF(LEFT(B32,1)&lt;&gt;"A",,'Load Plan '!$J$31))</f>
        <v>4070</v>
      </c>
      <c r="E32" s="173">
        <f>IF($F$32="","",'Load Plan '!$J$40)</f>
        <v>15000</v>
      </c>
      <c r="F32" s="174">
        <f>IFERROR(ROUND('Load Plan '!$J$39,0),"")</f>
        <v>8140</v>
      </c>
      <c r="G32" s="179" t="s">
        <v>23392</v>
      </c>
      <c r="H32" s="182" t="str">
        <f>IFERROR(IF($K$32="","",IF('Load Plan '!$J$46="LD-2",ROUND('Load Plan '!$J$50 * 2.205, 0),"")),"")</f>
        <v/>
      </c>
      <c r="I32" s="182" t="str">
        <f>IFERROR(IF($K$32="","",IF('Load Plan '!$J$53="LD-2",ROUND('Load Plan '!$J$57 * 2.205, 0),"")),"")</f>
        <v/>
      </c>
      <c r="J32" s="320">
        <f>'Load Plan '!$J$60</f>
        <v>5400.0450000000001</v>
      </c>
      <c r="K32" s="317">
        <f>IFERROR(ROUND('Load Plan '!$J$59,0),"")</f>
        <v>1663</v>
      </c>
      <c r="L32" s="186"/>
      <c r="M32" s="186"/>
      <c r="N32" s="514" t="str">
        <f>Indeces!B111</f>
        <v/>
      </c>
      <c r="O32" s="515"/>
      <c r="P32" s="512" t="str">
        <f>IFERROR(ROUND(VLOOKUP(N32,Indeces!$B$103:$E$119,4,FALSE),1),"")</f>
        <v/>
      </c>
      <c r="Q32" s="513"/>
      <c r="R32" s="243"/>
      <c r="S32" s="399"/>
      <c r="T32" s="400"/>
    </row>
    <row r="33" spans="1:22" ht="16.399999999999999" customHeight="1" thickBot="1" x14ac:dyDescent="0.3">
      <c r="A33" s="128"/>
      <c r="B33" s="171" t="str">
        <f>'Load Plan '!$K$17</f>
        <v xml:space="preserve"> </v>
      </c>
      <c r="C33" s="172" t="str">
        <f>IF(B33=" "," ",IF(LEFT(B33,1)&lt;&gt;"A",0,ROUND('Load Plan '!$K$23,0)))</f>
        <v xml:space="preserve"> </v>
      </c>
      <c r="D33" s="366" t="str">
        <f>IF(B33=" "," ",IF(LEFT(B33,1)&lt;&gt;"A",,'Load Plan '!$K$31))</f>
        <v xml:space="preserve"> </v>
      </c>
      <c r="E33" s="173" t="str">
        <f>IF($F$33="","",'Load Plan '!$K$40)</f>
        <v/>
      </c>
      <c r="F33" s="174" t="str">
        <f>IFERROR(ROUND('Load Plan '!$K$39,0),"")</f>
        <v/>
      </c>
      <c r="G33" s="183" t="s">
        <v>23321</v>
      </c>
      <c r="H33" s="479">
        <f>SUM($J$25:$J$32)</f>
        <v>5400.0450000000001</v>
      </c>
      <c r="I33" s="481"/>
      <c r="J33" s="479">
        <f>IFERROR(ROUND(SUM($K$25:$K$32),0),"")</f>
        <v>1663</v>
      </c>
      <c r="K33" s="480"/>
      <c r="L33" s="186"/>
      <c r="M33" s="186"/>
      <c r="N33" s="514" t="str">
        <f>Indeces!B112</f>
        <v>A8</v>
      </c>
      <c r="O33" s="515"/>
      <c r="P33" s="512">
        <f>IFERROR(ROUND(VLOOKUP(N33,Indeces!$B$103:$E$119,4,FALSE),1),"")</f>
        <v>4</v>
      </c>
      <c r="Q33" s="513"/>
      <c r="R33" s="243"/>
      <c r="S33" s="177" t="str">
        <f>$G$34</f>
        <v>HOLD 31</v>
      </c>
      <c r="T33" s="394">
        <f>IFERROR(ROUND(VLOOKUP(S33,Indeces!$K$103:$M$118,3,FALSE),1),"")</f>
        <v>0</v>
      </c>
    </row>
    <row r="34" spans="1:22" ht="16.399999999999999" customHeight="1" thickBot="1" x14ac:dyDescent="0.3">
      <c r="A34" s="128"/>
      <c r="B34" s="171" t="str">
        <f>'Load Plan '!$L$17</f>
        <v>A8R</v>
      </c>
      <c r="C34" s="172">
        <f>IF(B34=" "," ",IF(LEFT(B34,1)&lt;&gt;"A",0,ROUND('Load Plan '!$L$23,0)))</f>
        <v>4070</v>
      </c>
      <c r="D34" s="366">
        <f>IF(B34=" "," ",IF(LEFT(B34,1)&lt;&gt;"A",,'Load Plan '!$L$31))</f>
        <v>4070</v>
      </c>
      <c r="E34" s="173">
        <f>IF($F$34="","",'Load Plan '!$L$40)</f>
        <v>10700</v>
      </c>
      <c r="F34" s="174">
        <f>IFERROR(ROUND('Load Plan '!$L$39,0),"")</f>
        <v>8140</v>
      </c>
      <c r="G34" s="184" t="s">
        <v>23322</v>
      </c>
      <c r="H34" s="180" t="str">
        <f>IFERROR(IF('Load Plan '!$K$46="LD-2",ROUND('Load Plan '!$K$50*2.205,0),""),"")</f>
        <v/>
      </c>
      <c r="I34" s="181" t="str">
        <f>IFERROR(IF('Load Plan '!$K$53="LD-2",ROUND('Load Plan '!$K$57*2.205,0),""),"")</f>
        <v/>
      </c>
      <c r="J34" s="180">
        <f>'Load Plan '!$K$60</f>
        <v>5400.0450000000001</v>
      </c>
      <c r="K34" s="185">
        <f>IFERROR(ROUND('Load Plan '!$K$59,0),"")</f>
        <v>0</v>
      </c>
      <c r="L34" s="186"/>
      <c r="M34" s="186"/>
      <c r="N34" s="514" t="str">
        <f>Indeces!B113</f>
        <v>A9</v>
      </c>
      <c r="O34" s="515"/>
      <c r="P34" s="512">
        <f>IFERROR(ROUND(VLOOKUP(N34,Indeces!$B$103:$E$119,4,FALSE),1),"")</f>
        <v>9.1</v>
      </c>
      <c r="Q34" s="513"/>
      <c r="R34" s="307"/>
      <c r="S34" s="177" t="str">
        <f>$G$35</f>
        <v>HOLD 32</v>
      </c>
      <c r="T34" s="394">
        <f>IFERROR(ROUND(VLOOKUP(S34,Indeces!$K$103:$M$118,3,FALSE),1),"")</f>
        <v>0</v>
      </c>
      <c r="V34" s="178"/>
    </row>
    <row r="35" spans="1:22" ht="16.399999999999999" customHeight="1" thickBot="1" x14ac:dyDescent="0.3">
      <c r="A35" s="128"/>
      <c r="B35" s="171" t="str">
        <f>'Load Plan '!$M$17</f>
        <v>A9R</v>
      </c>
      <c r="C35" s="172">
        <f>IF(B35=" "," ",IF(LEFT(B35,1)&lt;&gt;"A",0,ROUND('Load Plan '!$M$23,0)))</f>
        <v>4070</v>
      </c>
      <c r="D35" s="366">
        <f>IF(B35=" "," ",IF(LEFT(B35,1)&lt;&gt;"A",,'Load Plan '!$M$31))</f>
        <v>4070</v>
      </c>
      <c r="E35" s="173">
        <f>IF($F$35="","",'Load Plan '!$M$40)</f>
        <v>10700</v>
      </c>
      <c r="F35" s="174">
        <f>IFERROR(ROUND('Load Plan '!$M$39,0),"")</f>
        <v>8140</v>
      </c>
      <c r="G35" s="179" t="s">
        <v>23323</v>
      </c>
      <c r="H35" s="180" t="str">
        <f>IFERROR(IF('Load Plan '!$L$46="LD-2",ROUND('Load Plan '!$L$50*2.205,0),""),"")</f>
        <v/>
      </c>
      <c r="I35" s="181" t="str">
        <f>IFERROR(IF('Load Plan '!$L$53="LD-2",ROUND('Load Plan '!$L$57*2.205,0),""),"")</f>
        <v/>
      </c>
      <c r="J35" s="180">
        <f>'Load Plan '!$L$60</f>
        <v>5400.0450000000001</v>
      </c>
      <c r="K35" s="185">
        <f>IFERROR(ROUND('Load Plan '!$L$59,0),"")</f>
        <v>0</v>
      </c>
      <c r="L35" s="186"/>
      <c r="M35" s="186"/>
      <c r="N35" s="514" t="str">
        <f>Indeces!B114</f>
        <v>A10</v>
      </c>
      <c r="O35" s="515"/>
      <c r="P35" s="512">
        <f>IFERROR(ROUND(VLOOKUP(N35,Indeces!$B$103:$E$119,4,FALSE),1),"")</f>
        <v>14.9</v>
      </c>
      <c r="Q35" s="513"/>
      <c r="R35" s="307"/>
      <c r="S35" s="177" t="str">
        <f>$G$36</f>
        <v>HOLD 33</v>
      </c>
      <c r="T35" s="394">
        <f>IFERROR(ROUND(VLOOKUP(S35,Indeces!$K$103:$M$118,3,FALSE),1),"")</f>
        <v>0</v>
      </c>
      <c r="V35" s="178"/>
    </row>
    <row r="36" spans="1:22" ht="16.399999999999999" customHeight="1" thickBot="1" x14ac:dyDescent="0.3">
      <c r="A36" s="128"/>
      <c r="B36" s="171" t="str">
        <f>'Load Plan '!$N$17</f>
        <v>A10R</v>
      </c>
      <c r="C36" s="172">
        <f>IF(B36=" "," ",IF(LEFT(B36,1)&lt;&gt;"A",0,ROUND('Load Plan '!$N$23,0)))</f>
        <v>4247</v>
      </c>
      <c r="D36" s="366">
        <f>IF(B36=" "," ",IF(LEFT(B36,1)&lt;&gt;"A",,'Load Plan '!$N$31))</f>
        <v>4247</v>
      </c>
      <c r="E36" s="173">
        <f>IF($F$36="","",'Load Plan '!$N$40)</f>
        <v>10700</v>
      </c>
      <c r="F36" s="174">
        <f>IFERROR(ROUND('Load Plan '!$N$39,0),"")</f>
        <v>8494</v>
      </c>
      <c r="G36" s="179" t="s">
        <v>23324</v>
      </c>
      <c r="H36" s="180" t="str">
        <f>IFERROR(IF('Load Plan '!$M$46="LD-2",ROUND('Load Plan '!$M$50*2.205,0),""),"")</f>
        <v/>
      </c>
      <c r="I36" s="181" t="str">
        <f>IFERROR(IF('Load Plan '!$M$53="LD-2",ROUND('Load Plan '!$M$57*2.205,0),""),"")</f>
        <v/>
      </c>
      <c r="J36" s="180">
        <f>'Load Plan '!$M$60</f>
        <v>5400.0450000000001</v>
      </c>
      <c r="K36" s="185">
        <f>IFERROR(ROUND('Load Plan '!$M$59,0),"")</f>
        <v>0</v>
      </c>
      <c r="L36" s="186"/>
      <c r="M36" s="186"/>
      <c r="N36" s="514" t="str">
        <f>Indeces!B115</f>
        <v/>
      </c>
      <c r="O36" s="515"/>
      <c r="P36" s="512" t="str">
        <f>IFERROR(ROUND(VLOOKUP(N36,Indeces!$B$103:$E$119,4,FALSE),1),"")</f>
        <v/>
      </c>
      <c r="Q36" s="513"/>
      <c r="R36" s="307"/>
      <c r="S36" s="177" t="str">
        <f>$G$37</f>
        <v>HOLD 34</v>
      </c>
      <c r="T36" s="394">
        <f>IFERROR(ROUND(VLOOKUP(S36,Indeces!$K$103:$M$118,3,FALSE),1),"")</f>
        <v>0</v>
      </c>
      <c r="V36" s="178"/>
    </row>
    <row r="37" spans="1:22" ht="16.399999999999999" customHeight="1" thickBot="1" x14ac:dyDescent="0.3">
      <c r="A37" s="128"/>
      <c r="B37" s="171" t="str">
        <f>'Load Plan '!$O$17</f>
        <v xml:space="preserve"> </v>
      </c>
      <c r="C37" s="172" t="str">
        <f>IF(B37=" "," ",IF(LEFT(B37,1)&lt;&gt;"A",0,ROUND('Load Plan '!$O$23,0)))</f>
        <v xml:space="preserve"> </v>
      </c>
      <c r="D37" s="366" t="str">
        <f>IF(B37=" "," ",IF(LEFT(B37,1)&lt;&gt;"A",,'Load Plan '!$O$31))</f>
        <v xml:space="preserve"> </v>
      </c>
      <c r="E37" s="173" t="str">
        <f>IF($F$37="","",'Load Plan '!$O$40)</f>
        <v/>
      </c>
      <c r="F37" s="174" t="str">
        <f>IFERROR(ROUND('Load Plan '!$O$39,0),"")</f>
        <v/>
      </c>
      <c r="G37" s="179" t="s">
        <v>23393</v>
      </c>
      <c r="H37" s="180" t="str">
        <f>IFERROR(IF('Load Plan '!$N$46="LD-2",ROUND('Load Plan '!$N$50*2.205,0),""),"")</f>
        <v/>
      </c>
      <c r="I37" s="181" t="str">
        <f>IFERROR(IF('Load Plan '!$N$53="LD-2",ROUND('Load Plan '!$N$57*2.205,0),""),"")</f>
        <v/>
      </c>
      <c r="J37" s="180">
        <f>'Load Plan '!$N$60</f>
        <v>5400.0450000000001</v>
      </c>
      <c r="K37" s="185">
        <f>IFERROR(ROUND('Load Plan '!$N$59,0),"")</f>
        <v>0</v>
      </c>
      <c r="L37" s="186"/>
      <c r="M37" s="186"/>
      <c r="N37" s="514" t="str">
        <f>Indeces!B116</f>
        <v>A11</v>
      </c>
      <c r="O37" s="515"/>
      <c r="P37" s="512">
        <f>IFERROR(ROUND(VLOOKUP(N37,Indeces!$B$103:$E$119,4,FALSE),1),"")</f>
        <v>20.2</v>
      </c>
      <c r="Q37" s="513"/>
      <c r="R37" s="309"/>
      <c r="S37" s="177" t="str">
        <f>$G$38</f>
        <v>HOLD 41</v>
      </c>
      <c r="T37" s="394">
        <f>IFERROR(ROUND(VLOOKUP(S37,Indeces!$K$103:$M$118,3,FALSE),1),"")</f>
        <v>4.4000000000000004</v>
      </c>
      <c r="V37" s="187"/>
    </row>
    <row r="38" spans="1:22" ht="16.399999999999999" customHeight="1" thickBot="1" x14ac:dyDescent="0.3">
      <c r="A38" s="128"/>
      <c r="B38" s="171" t="str">
        <f>'Load Plan '!$P$17</f>
        <v>A11R</v>
      </c>
      <c r="C38" s="172">
        <f>IF(B38=" "," ",IF(LEFT(B38,1)&lt;&gt;"A",0,ROUND('Load Plan '!$P$23,0)))</f>
        <v>4247</v>
      </c>
      <c r="D38" s="366">
        <f>IF(B38=" "," ",IF(LEFT(B38,1)&lt;&gt;"A",,'Load Plan '!$P$31))</f>
        <v>4247</v>
      </c>
      <c r="E38" s="173">
        <f>IF($F$38="","",'Load Plan '!$P$40)</f>
        <v>10700</v>
      </c>
      <c r="F38" s="174">
        <f>IFERROR(ROUND('Load Plan '!$P$39,0),"")</f>
        <v>8494</v>
      </c>
      <c r="G38" s="179" t="s">
        <v>23325</v>
      </c>
      <c r="H38" s="180" t="str">
        <f>IFERROR(IF('Load Plan '!$O$46="LD-2",ROUND('Load Plan '!$O$50*2.205,0),""),"")</f>
        <v/>
      </c>
      <c r="I38" s="181" t="str">
        <f>IFERROR(IF('Load Plan '!$O$53="LD-2",ROUND('Load Plan '!$O$57*2.205,0),""),"")</f>
        <v/>
      </c>
      <c r="J38" s="180">
        <f>'Load Plan '!$O$60</f>
        <v>5400.0450000000001</v>
      </c>
      <c r="K38" s="185">
        <f>IFERROR(ROUND('Load Plan '!$O$59,0),"")</f>
        <v>2194</v>
      </c>
      <c r="L38" s="186"/>
      <c r="M38" s="186"/>
      <c r="N38" s="514" t="str">
        <f>Indeces!B117</f>
        <v>A12</v>
      </c>
      <c r="O38" s="515"/>
      <c r="P38" s="512">
        <f>IFERROR(ROUND(VLOOKUP(N38,Indeces!$B$103:$E$119,4,FALSE),1),"")</f>
        <v>25.6</v>
      </c>
      <c r="Q38" s="513"/>
      <c r="R38" s="309"/>
      <c r="S38" s="177" t="str">
        <f>$G$39</f>
        <v>HOLD 42</v>
      </c>
      <c r="T38" s="394">
        <f>IFERROR(ROUND(VLOOKUP(S38,Indeces!$K$103:$M$118,3,FALSE),1),"")</f>
        <v>5.0999999999999996</v>
      </c>
      <c r="V38" s="189"/>
    </row>
    <row r="39" spans="1:22" ht="16.399999999999999" customHeight="1" thickBot="1" x14ac:dyDescent="0.3">
      <c r="A39" s="128"/>
      <c r="B39" s="171" t="str">
        <f>'Load Plan '!$Q$17</f>
        <v>A12R</v>
      </c>
      <c r="C39" s="172">
        <f>IF(B39=" "," ",IF(LEFT(B39,1)&lt;&gt;"A",0,ROUND('Load Plan '!$Q$23,0)))</f>
        <v>4247</v>
      </c>
      <c r="D39" s="366">
        <f>IF(B39=" "," ",IF(LEFT(B39,1)&lt;&gt;"A",,'Load Plan '!$Q$31))</f>
        <v>4247</v>
      </c>
      <c r="E39" s="173">
        <f>IF($F$39="","",'Load Plan '!$Q$40)</f>
        <v>10700</v>
      </c>
      <c r="F39" s="174">
        <f>IFERROR(ROUND('Load Plan '!$Q$39,0),"")</f>
        <v>8494</v>
      </c>
      <c r="G39" s="179" t="s">
        <v>23326</v>
      </c>
      <c r="H39" s="180" t="str">
        <f>IFERROR(IF('Load Plan '!$P$46="LD-2",ROUND('Load Plan '!$P$50*2.205,0),""),"")</f>
        <v/>
      </c>
      <c r="I39" s="181" t="str">
        <f>IFERROR(IF('Load Plan '!$P$53="LD-2",ROUND('Load Plan '!$P$57*2.205,0),""),"")</f>
        <v/>
      </c>
      <c r="J39" s="180">
        <f>'Load Plan '!$P$60</f>
        <v>5400.0450000000001</v>
      </c>
      <c r="K39" s="185">
        <f>IFERROR(ROUND('Load Plan '!$P$59,0),"")</f>
        <v>2194</v>
      </c>
      <c r="L39" s="186"/>
      <c r="M39" s="186"/>
      <c r="N39" s="514" t="str">
        <f>Indeces!B118</f>
        <v/>
      </c>
      <c r="O39" s="515"/>
      <c r="P39" s="512" t="str">
        <f>IFERROR(ROUND(VLOOKUP(N39,Indeces!$B$103:$E$119,4,FALSE),1),"")</f>
        <v/>
      </c>
      <c r="Q39" s="513"/>
      <c r="R39" s="309"/>
      <c r="S39" s="177" t="str">
        <f>$G$40</f>
        <v>HOLD 43</v>
      </c>
      <c r="T39" s="394">
        <f>IFERROR(ROUND(VLOOKUP(S39,Indeces!$K$103:$M$118,3,FALSE),1),"")</f>
        <v>5.8</v>
      </c>
      <c r="V39" s="33"/>
    </row>
    <row r="40" spans="1:22" ht="16.399999999999999" customHeight="1" thickBot="1" x14ac:dyDescent="0.3">
      <c r="A40" s="128"/>
      <c r="B40" s="171" t="str">
        <f>'Load Plan '!$R$17</f>
        <v xml:space="preserve"> </v>
      </c>
      <c r="C40" s="172" t="str">
        <f>IF(B40=" "," ",IF(LEFT(B40,1)&lt;&gt;"A",0,ROUND('Load Plan '!$R$23,0)))</f>
        <v xml:space="preserve"> </v>
      </c>
      <c r="D40" s="366" t="str">
        <f>IF(B40=" "," ",IF(LEFT(B40,1)&lt;&gt;"A",,'Load Plan '!$R$31))</f>
        <v xml:space="preserve"> </v>
      </c>
      <c r="E40" s="173" t="str">
        <f>IF($F$40="","",'Load Plan '!$R$40)</f>
        <v/>
      </c>
      <c r="F40" s="174" t="str">
        <f>IFERROR(ROUND('Load Plan '!$R$39,0),"")</f>
        <v/>
      </c>
      <c r="G40" s="179" t="s">
        <v>23394</v>
      </c>
      <c r="H40" s="180" t="str">
        <f>IFERROR(IF('Load Plan '!$Q$46="LD-2",ROUND('Load Plan '!$Q$50*2.205,0),""),"")</f>
        <v/>
      </c>
      <c r="I40" s="181" t="str">
        <f>IFERROR(IF('Load Plan '!$Q$53="LD-2",ROUND('Load Plan '!$Q$57*2.205,0),""),"")</f>
        <v/>
      </c>
      <c r="J40" s="180">
        <f>'Load Plan '!$Q$60</f>
        <v>5400.0450000000001</v>
      </c>
      <c r="K40" s="395">
        <f>IFERROR(ROUND('Load Plan '!$Q$59,0),"")</f>
        <v>2194</v>
      </c>
      <c r="L40" s="186"/>
      <c r="M40" s="186"/>
      <c r="N40" s="514" t="str">
        <f>Indeces!B119</f>
        <v>A13</v>
      </c>
      <c r="O40" s="515"/>
      <c r="P40" s="512">
        <f>IFERROR(ROUND(VLOOKUP(N40,Indeces!$B$103:$E$119,4,FALSE),1),"")</f>
        <v>11.3</v>
      </c>
      <c r="Q40" s="513"/>
      <c r="R40" s="309"/>
      <c r="S40" s="177" t="str">
        <f>$G$41</f>
        <v>BULK</v>
      </c>
      <c r="T40" s="394">
        <f>IFERROR(ROUND(VLOOKUP(S40,Indeces!$K$103:$M$118,3,FALSE),1),"")</f>
        <v>0</v>
      </c>
      <c r="V40" s="190"/>
    </row>
    <row r="41" spans="1:22" ht="16.399999999999999" customHeight="1" thickTop="1" thickBot="1" x14ac:dyDescent="0.4">
      <c r="A41" s="128"/>
      <c r="B41" s="171" t="str">
        <f>'Load Plan '!$S$17</f>
        <v>A13</v>
      </c>
      <c r="C41" s="172"/>
      <c r="D41" s="366"/>
      <c r="E41" s="173">
        <f>IF($F$41="","",'Load Plan '!$S$40)</f>
        <v>6000</v>
      </c>
      <c r="F41" s="174">
        <f>IFERROR(ROUND('Load Plan '!$S$39,0),"")</f>
        <v>3186</v>
      </c>
      <c r="G41" s="191" t="s">
        <v>105</v>
      </c>
      <c r="H41" s="501">
        <f>'Load Plan '!$R$60</f>
        <v>6449.625</v>
      </c>
      <c r="I41" s="502"/>
      <c r="J41" s="501">
        <f>IFERROR(ROUND('Load Plan '!$R$59,0),"")</f>
        <v>0</v>
      </c>
      <c r="K41" s="503"/>
      <c r="L41" s="186"/>
      <c r="M41" s="186"/>
      <c r="N41" s="483"/>
      <c r="O41" s="483"/>
      <c r="P41" s="483"/>
      <c r="Q41" s="483"/>
      <c r="R41" s="310"/>
      <c r="S41" s="351"/>
      <c r="T41" s="353"/>
      <c r="V41" s="192">
        <f>SUM($V$24:$V$38)</f>
        <v>0</v>
      </c>
    </row>
    <row r="42" spans="1:22" ht="17" customHeight="1" thickBot="1" x14ac:dyDescent="0.3">
      <c r="A42" s="128"/>
      <c r="B42" s="150"/>
      <c r="C42" s="509" t="s">
        <v>23439</v>
      </c>
      <c r="D42" s="509"/>
      <c r="E42" s="509"/>
      <c r="F42" s="509"/>
      <c r="G42" s="193" t="s">
        <v>532</v>
      </c>
      <c r="H42" s="479">
        <f>SUM($J$34:$J$40)</f>
        <v>37800.314999999995</v>
      </c>
      <c r="I42" s="510"/>
      <c r="J42" s="504">
        <f>IFERROR(ROUND(SUM($K$34:$K$40),0),"")</f>
        <v>6582</v>
      </c>
      <c r="K42" s="505"/>
      <c r="L42" s="511"/>
      <c r="M42" s="511"/>
      <c r="N42" s="484" t="s">
        <v>23327</v>
      </c>
      <c r="O42" s="485"/>
      <c r="P42" s="488">
        <f>ROUND(SUM($P$24:$Q$40),1)</f>
        <v>14.4</v>
      </c>
      <c r="Q42" s="489"/>
      <c r="R42" s="186"/>
      <c r="S42" s="352" t="s">
        <v>23327</v>
      </c>
      <c r="T42" s="401">
        <f>ROUND(SUM($T$24:$T$40),1)</f>
        <v>13</v>
      </c>
      <c r="U42" s="143"/>
    </row>
    <row r="43" spans="1:22" ht="17" customHeight="1" thickBot="1" x14ac:dyDescent="0.3">
      <c r="A43" s="128"/>
      <c r="B43" s="154"/>
      <c r="C43" s="486" t="s">
        <v>23328</v>
      </c>
      <c r="D43" s="486"/>
      <c r="E43" s="487" t="s">
        <v>23329</v>
      </c>
      <c r="F43" s="487"/>
      <c r="G43" s="380" t="s">
        <v>23443</v>
      </c>
      <c r="H43" s="490" t="s">
        <v>23328</v>
      </c>
      <c r="I43" s="490"/>
      <c r="J43" s="490" t="s">
        <v>23329</v>
      </c>
      <c r="K43" s="490"/>
      <c r="L43" s="196"/>
      <c r="M43" s="196"/>
      <c r="N43" s="308"/>
      <c r="O43" s="308"/>
      <c r="P43" s="482"/>
      <c r="Q43" s="482"/>
      <c r="R43" s="186"/>
      <c r="S43" s="186"/>
      <c r="T43" s="323"/>
      <c r="U43" s="143"/>
    </row>
    <row r="44" spans="1:22" ht="17" customHeight="1" thickBot="1" x14ac:dyDescent="0.35">
      <c r="A44" s="128"/>
      <c r="B44" s="154"/>
      <c r="C44" s="506">
        <f>ROUND(SUM($C$25:$C$41),0)</f>
        <v>41851</v>
      </c>
      <c r="D44" s="506"/>
      <c r="E44" s="506">
        <f>ROUND(SUM($D$25:$D$41),0)</f>
        <v>41851</v>
      </c>
      <c r="F44" s="506"/>
      <c r="G44" s="381" t="s">
        <v>23270</v>
      </c>
      <c r="H44" s="491">
        <f>SUM($H$25:$H$32,$H$34:$H$40)</f>
        <v>0</v>
      </c>
      <c r="I44" s="492"/>
      <c r="J44" s="491">
        <f>SUM($I$25:$I$32,$I$34:$I$40)</f>
        <v>0</v>
      </c>
      <c r="K44" s="492"/>
      <c r="L44" s="196"/>
      <c r="M44" s="493" t="s">
        <v>23436</v>
      </c>
      <c r="N44" s="494"/>
      <c r="O44" s="494"/>
      <c r="P44" s="497">
        <f>ROUND(SUM($P$42,$T$42),0)</f>
        <v>27</v>
      </c>
      <c r="Q44" s="498"/>
      <c r="R44" s="324"/>
      <c r="S44" s="186"/>
      <c r="T44" s="195"/>
      <c r="U44" s="143"/>
    </row>
    <row r="45" spans="1:22" ht="18" customHeight="1" thickBot="1" x14ac:dyDescent="0.6">
      <c r="A45" s="128"/>
      <c r="B45" s="379" t="s">
        <v>23442</v>
      </c>
      <c r="C45" s="507">
        <f>ABS(C44-E44)</f>
        <v>0</v>
      </c>
      <c r="D45" s="507"/>
      <c r="E45" s="507"/>
      <c r="F45" s="508"/>
      <c r="G45" s="382" t="s">
        <v>23442</v>
      </c>
      <c r="H45" s="507">
        <f>ABS($H$44-$J$44)</f>
        <v>0</v>
      </c>
      <c r="I45" s="507"/>
      <c r="J45" s="507"/>
      <c r="K45" s="508"/>
      <c r="L45" s="161"/>
      <c r="M45" s="495"/>
      <c r="N45" s="496"/>
      <c r="O45" s="496"/>
      <c r="P45" s="499"/>
      <c r="Q45" s="500"/>
      <c r="R45" s="186"/>
      <c r="S45" s="186"/>
      <c r="T45" s="195"/>
      <c r="U45" s="143"/>
    </row>
    <row r="46" spans="1:22" ht="18" customHeight="1" thickBot="1" x14ac:dyDescent="0.3">
      <c r="A46" s="128"/>
      <c r="B46" s="667" t="s">
        <v>23444</v>
      </c>
      <c r="C46" s="668"/>
      <c r="D46" s="668"/>
      <c r="E46" s="668"/>
      <c r="F46" s="666">
        <f>ABS($C$45+$H$45)</f>
        <v>0</v>
      </c>
      <c r="G46" s="508"/>
      <c r="K46" s="383"/>
      <c r="L46" s="306"/>
      <c r="M46" s="306"/>
      <c r="N46" s="655"/>
      <c r="O46" s="655"/>
      <c r="P46" s="186"/>
      <c r="Q46" s="186"/>
      <c r="R46" s="186"/>
      <c r="S46" s="186"/>
      <c r="T46" s="195"/>
      <c r="U46" s="143"/>
    </row>
    <row r="47" spans="1:22" ht="18" customHeight="1" thickBot="1" x14ac:dyDescent="0.4">
      <c r="A47" s="128"/>
      <c r="B47" s="661" t="s">
        <v>23440</v>
      </c>
      <c r="C47" s="662"/>
      <c r="D47" s="663">
        <f>ROUND(SUM($F$25:$F$41),0)</f>
        <v>87550</v>
      </c>
      <c r="E47" s="664"/>
      <c r="F47" s="665"/>
      <c r="G47" s="313" t="s">
        <v>23330</v>
      </c>
      <c r="H47" s="314"/>
      <c r="I47" s="666">
        <f>ROUND(SUM($K$25:$K$32,$K$34:$K$40,$J$41),0)</f>
        <v>8245</v>
      </c>
      <c r="J47" s="507"/>
      <c r="K47" s="508"/>
      <c r="L47" s="197"/>
      <c r="M47" s="197"/>
      <c r="N47" s="161"/>
      <c r="O47" s="161"/>
      <c r="P47" s="186"/>
      <c r="Q47" s="186"/>
      <c r="R47" s="186"/>
      <c r="S47" s="186"/>
      <c r="T47" s="195"/>
      <c r="U47" s="143"/>
    </row>
    <row r="48" spans="1:22" ht="14.9" customHeight="1" thickBot="1" x14ac:dyDescent="0.4">
      <c r="A48" s="128"/>
      <c r="B48" s="595" t="s">
        <v>23441</v>
      </c>
      <c r="C48" s="596"/>
      <c r="D48" s="596"/>
      <c r="E48" s="596"/>
      <c r="F48" s="656" t="s">
        <v>23331</v>
      </c>
      <c r="G48" s="620">
        <f>SUM($D$47,$I$47)</f>
        <v>95795</v>
      </c>
      <c r="H48" s="621"/>
      <c r="I48" s="658" t="s">
        <v>23332</v>
      </c>
      <c r="J48" s="659"/>
      <c r="K48" s="659"/>
      <c r="L48" s="659"/>
      <c r="M48" s="660" t="s">
        <v>23304</v>
      </c>
      <c r="N48" s="620">
        <f>IF($M$12&lt;"",$M$12,IF($P$12&lt;"",$P$12,IF($S$12&lt;"",$S$12,"")))</f>
        <v>120331</v>
      </c>
      <c r="O48" s="648"/>
      <c r="P48" s="198"/>
      <c r="Q48" s="199"/>
      <c r="R48" s="199"/>
      <c r="S48" s="186"/>
      <c r="T48" s="195"/>
      <c r="U48" s="128"/>
    </row>
    <row r="49" spans="1:22" ht="14.9" customHeight="1" thickBot="1" x14ac:dyDescent="0.3">
      <c r="A49" s="128"/>
      <c r="B49" s="618"/>
      <c r="C49" s="619"/>
      <c r="D49" s="619"/>
      <c r="E49" s="619"/>
      <c r="F49" s="657"/>
      <c r="G49" s="575">
        <f>IF(O80&gt;0,O80,0)</f>
        <v>0</v>
      </c>
      <c r="H49" s="576"/>
      <c r="I49" s="658"/>
      <c r="J49" s="659"/>
      <c r="K49" s="659"/>
      <c r="L49" s="659"/>
      <c r="M49" s="660"/>
      <c r="N49" s="589"/>
      <c r="O49" s="650"/>
      <c r="P49" s="200"/>
      <c r="Q49" s="143"/>
      <c r="R49" s="143"/>
      <c r="S49" s="186"/>
      <c r="T49" s="195"/>
      <c r="U49" s="128"/>
    </row>
    <row r="50" spans="1:22" ht="14.9" customHeight="1" x14ac:dyDescent="0.25">
      <c r="A50" s="128"/>
      <c r="B50" s="651" t="s">
        <v>23333</v>
      </c>
      <c r="C50" s="629"/>
      <c r="D50" s="629"/>
      <c r="E50" s="629"/>
      <c r="F50" s="599" t="s">
        <v>23334</v>
      </c>
      <c r="G50" s="620">
        <f>$E$18</f>
        <v>182769</v>
      </c>
      <c r="H50" s="621"/>
      <c r="I50" s="639" t="s">
        <v>23308</v>
      </c>
      <c r="J50" s="640"/>
      <c r="K50" s="640"/>
      <c r="L50" s="640"/>
      <c r="M50" s="645" t="s">
        <v>11</v>
      </c>
      <c r="N50" s="620">
        <f>$G$48</f>
        <v>95795</v>
      </c>
      <c r="O50" s="648"/>
      <c r="P50" s="201"/>
      <c r="Q50" s="143"/>
      <c r="R50" s="143"/>
      <c r="S50" s="186"/>
      <c r="T50" s="195"/>
      <c r="U50" s="128"/>
    </row>
    <row r="51" spans="1:22" ht="14.9" customHeight="1" x14ac:dyDescent="0.25">
      <c r="A51" s="128"/>
      <c r="B51" s="652"/>
      <c r="C51" s="630"/>
      <c r="D51" s="630"/>
      <c r="E51" s="630"/>
      <c r="F51" s="600"/>
      <c r="G51" s="587"/>
      <c r="H51" s="588"/>
      <c r="I51" s="641"/>
      <c r="J51" s="642"/>
      <c r="K51" s="642"/>
      <c r="L51" s="642"/>
      <c r="M51" s="646"/>
      <c r="N51" s="587"/>
      <c r="O51" s="649"/>
      <c r="P51" s="201"/>
      <c r="Q51" s="143"/>
      <c r="R51" s="203"/>
      <c r="S51" s="186"/>
      <c r="T51" s="195"/>
      <c r="U51" s="128"/>
    </row>
    <row r="52" spans="1:22" ht="14.9" customHeight="1" x14ac:dyDescent="0.35">
      <c r="A52" s="128"/>
      <c r="B52" s="652"/>
      <c r="C52" s="630"/>
      <c r="D52" s="630"/>
      <c r="E52" s="630"/>
      <c r="F52" s="600"/>
      <c r="G52" s="587"/>
      <c r="H52" s="588"/>
      <c r="I52" s="641"/>
      <c r="J52" s="642"/>
      <c r="K52" s="642"/>
      <c r="L52" s="642"/>
      <c r="M52" s="646"/>
      <c r="N52" s="587"/>
      <c r="O52" s="649"/>
      <c r="P52" s="201"/>
      <c r="Q52" s="203"/>
      <c r="R52" s="204"/>
      <c r="S52" s="186"/>
      <c r="T52" s="195"/>
      <c r="U52" s="128"/>
    </row>
    <row r="53" spans="1:22" ht="14.9" customHeight="1" x14ac:dyDescent="0.35">
      <c r="A53" s="128"/>
      <c r="B53" s="652"/>
      <c r="C53" s="630"/>
      <c r="D53" s="630"/>
      <c r="E53" s="630"/>
      <c r="F53" s="600"/>
      <c r="G53" s="587">
        <f>IF(O80="",0,IF(O80&gt;0,G48+G49,0))</f>
        <v>0</v>
      </c>
      <c r="H53" s="588"/>
      <c r="I53" s="641"/>
      <c r="J53" s="642"/>
      <c r="K53" s="642"/>
      <c r="L53" s="642"/>
      <c r="M53" s="646"/>
      <c r="N53" s="587" t="str">
        <f>IF(O80="","",IF(O80&gt;0,O80+N50,""))</f>
        <v/>
      </c>
      <c r="O53" s="649"/>
      <c r="P53" s="201"/>
      <c r="Q53" s="203"/>
      <c r="R53" s="204"/>
      <c r="S53" s="186"/>
      <c r="T53" s="195"/>
      <c r="U53" s="128"/>
    </row>
    <row r="54" spans="1:22" ht="14.9" customHeight="1" x14ac:dyDescent="0.35">
      <c r="A54" s="128"/>
      <c r="B54" s="652"/>
      <c r="C54" s="630"/>
      <c r="D54" s="630"/>
      <c r="E54" s="630"/>
      <c r="F54" s="600"/>
      <c r="G54" s="587"/>
      <c r="H54" s="588"/>
      <c r="I54" s="641"/>
      <c r="J54" s="642"/>
      <c r="K54" s="642"/>
      <c r="L54" s="642"/>
      <c r="M54" s="646"/>
      <c r="N54" s="587"/>
      <c r="O54" s="649"/>
      <c r="P54" s="201"/>
      <c r="Q54" s="203"/>
      <c r="R54" s="204"/>
      <c r="S54" s="205"/>
      <c r="T54" s="206"/>
      <c r="U54" s="128"/>
    </row>
    <row r="55" spans="1:22" ht="14.9" customHeight="1" thickBot="1" x14ac:dyDescent="0.4">
      <c r="A55" s="128"/>
      <c r="B55" s="653"/>
      <c r="C55" s="654"/>
      <c r="D55" s="654"/>
      <c r="E55" s="654"/>
      <c r="F55" s="601"/>
      <c r="G55" s="589"/>
      <c r="H55" s="590"/>
      <c r="I55" s="643"/>
      <c r="J55" s="644"/>
      <c r="K55" s="644"/>
      <c r="L55" s="644"/>
      <c r="M55" s="647"/>
      <c r="N55" s="589"/>
      <c r="O55" s="650"/>
      <c r="P55" s="201"/>
      <c r="Q55" s="203"/>
      <c r="R55" s="204"/>
      <c r="S55" s="205"/>
      <c r="T55" s="206"/>
      <c r="U55" s="128"/>
    </row>
    <row r="56" spans="1:22" ht="14.9" customHeight="1" x14ac:dyDescent="0.35">
      <c r="A56" s="128"/>
      <c r="B56" s="595" t="s">
        <v>8</v>
      </c>
      <c r="C56" s="596"/>
      <c r="D56" s="596"/>
      <c r="E56" s="596"/>
      <c r="F56" s="636" t="s">
        <v>23335</v>
      </c>
      <c r="G56" s="620">
        <f>IF(G48="",0,IF(SUM($E$10:$F$18)=0,$G$48+$G$50,IF($G$48+$G$50&gt;309000,"Can't exceed Kgs",$G$48+$G$50)))</f>
        <v>278564</v>
      </c>
      <c r="H56" s="621"/>
      <c r="I56" s="639" t="s">
        <v>23336</v>
      </c>
      <c r="J56" s="640"/>
      <c r="K56" s="640"/>
      <c r="L56" s="640"/>
      <c r="M56" s="645" t="s">
        <v>23304</v>
      </c>
      <c r="N56" s="620">
        <f>IFERROR($N$48-$N$50,0)</f>
        <v>24536</v>
      </c>
      <c r="O56" s="648"/>
      <c r="P56" s="201"/>
      <c r="Q56" s="203"/>
      <c r="R56" s="204"/>
      <c r="S56" s="205"/>
      <c r="T56" s="206"/>
      <c r="U56" s="128"/>
    </row>
    <row r="57" spans="1:22" ht="14.9" customHeight="1" x14ac:dyDescent="0.35">
      <c r="A57" s="128"/>
      <c r="B57" s="597"/>
      <c r="C57" s="598"/>
      <c r="D57" s="598"/>
      <c r="E57" s="598"/>
      <c r="F57" s="637"/>
      <c r="G57" s="587"/>
      <c r="H57" s="588"/>
      <c r="I57" s="641"/>
      <c r="J57" s="642"/>
      <c r="K57" s="642"/>
      <c r="L57" s="642"/>
      <c r="M57" s="646"/>
      <c r="N57" s="587"/>
      <c r="O57" s="649"/>
      <c r="P57" s="201"/>
      <c r="Q57" s="203"/>
      <c r="R57" s="204"/>
      <c r="S57" s="205"/>
      <c r="T57" s="206"/>
      <c r="U57" s="128"/>
    </row>
    <row r="58" spans="1:22" ht="14.9" customHeight="1" x14ac:dyDescent="0.35">
      <c r="A58" s="128"/>
      <c r="B58" s="597"/>
      <c r="C58" s="598"/>
      <c r="D58" s="598"/>
      <c r="E58" s="598"/>
      <c r="F58" s="637"/>
      <c r="G58" s="587"/>
      <c r="H58" s="588"/>
      <c r="I58" s="641"/>
      <c r="J58" s="642"/>
      <c r="K58" s="642"/>
      <c r="L58" s="642"/>
      <c r="M58" s="646"/>
      <c r="N58" s="587"/>
      <c r="O58" s="649"/>
      <c r="P58" s="201"/>
      <c r="Q58" s="203"/>
      <c r="R58" s="204"/>
      <c r="S58" s="205"/>
      <c r="T58" s="206"/>
      <c r="U58" s="128"/>
    </row>
    <row r="59" spans="1:22" ht="14.9" customHeight="1" x14ac:dyDescent="0.35">
      <c r="A59" s="128"/>
      <c r="B59" s="583" t="s">
        <v>23419</v>
      </c>
      <c r="C59" s="584"/>
      <c r="D59" s="202"/>
      <c r="E59" s="207">
        <v>83460</v>
      </c>
      <c r="F59" s="637"/>
      <c r="G59" s="587">
        <f>IF(O80="",0,IF(O80&gt;0,G53+G50,0))</f>
        <v>0</v>
      </c>
      <c r="H59" s="588"/>
      <c r="I59" s="641"/>
      <c r="J59" s="642"/>
      <c r="K59" s="642"/>
      <c r="L59" s="642"/>
      <c r="M59" s="646"/>
      <c r="N59" s="587" t="str">
        <f>IF(O80="","",IF(O80&gt;0,N56-O80," "))</f>
        <v xml:space="preserve"> </v>
      </c>
      <c r="O59" s="649"/>
      <c r="P59" s="201"/>
      <c r="Q59" s="203"/>
      <c r="R59" s="204"/>
      <c r="S59" s="205"/>
      <c r="T59" s="206"/>
      <c r="U59" s="128"/>
    </row>
    <row r="60" spans="1:22" ht="14.9" customHeight="1" x14ac:dyDescent="0.35">
      <c r="A60" s="128"/>
      <c r="B60" s="583"/>
      <c r="C60" s="584"/>
      <c r="D60" s="202"/>
      <c r="E60" s="202"/>
      <c r="F60" s="637"/>
      <c r="G60" s="587"/>
      <c r="H60" s="588"/>
      <c r="I60" s="641"/>
      <c r="J60" s="642"/>
      <c r="K60" s="642"/>
      <c r="L60" s="642"/>
      <c r="M60" s="646"/>
      <c r="N60" s="587"/>
      <c r="O60" s="649"/>
      <c r="P60" s="201"/>
      <c r="Q60" s="203"/>
      <c r="R60" s="204"/>
      <c r="S60" s="205"/>
      <c r="T60" s="206"/>
      <c r="U60" s="128"/>
    </row>
    <row r="61" spans="1:22" ht="14.9" customHeight="1" thickBot="1" x14ac:dyDescent="0.4">
      <c r="A61" s="128"/>
      <c r="B61" s="585"/>
      <c r="C61" s="586"/>
      <c r="D61" s="148"/>
      <c r="E61" s="148"/>
      <c r="F61" s="638"/>
      <c r="G61" s="589"/>
      <c r="H61" s="590"/>
      <c r="I61" s="643"/>
      <c r="J61" s="644"/>
      <c r="K61" s="644"/>
      <c r="L61" s="644"/>
      <c r="M61" s="647"/>
      <c r="N61" s="589"/>
      <c r="O61" s="650"/>
      <c r="P61" s="201"/>
      <c r="Q61" s="203"/>
      <c r="R61" s="204"/>
      <c r="S61" s="205"/>
      <c r="T61" s="206"/>
      <c r="U61" s="128"/>
    </row>
    <row r="62" spans="1:22" ht="14.9" customHeight="1" x14ac:dyDescent="0.35">
      <c r="A62" s="128"/>
      <c r="B62" s="597" t="s">
        <v>23296</v>
      </c>
      <c r="C62" s="598"/>
      <c r="D62" s="598"/>
      <c r="E62" s="598"/>
      <c r="F62" s="600" t="s">
        <v>23337</v>
      </c>
      <c r="G62" s="620">
        <f>$M$6</f>
        <v>108900</v>
      </c>
      <c r="H62" s="621"/>
      <c r="I62" s="631" t="s">
        <v>23338</v>
      </c>
      <c r="J62" s="632"/>
      <c r="K62" s="632"/>
      <c r="L62" s="632"/>
      <c r="M62" s="632"/>
      <c r="N62" s="632"/>
      <c r="O62" s="633"/>
      <c r="P62" s="201"/>
      <c r="Q62" s="203"/>
      <c r="R62" s="204"/>
      <c r="S62" s="205"/>
      <c r="T62" s="206"/>
      <c r="U62" s="128"/>
      <c r="V62" s="208"/>
    </row>
    <row r="63" spans="1:22" ht="14.9" customHeight="1" x14ac:dyDescent="0.35">
      <c r="A63" s="128"/>
      <c r="B63" s="597"/>
      <c r="C63" s="598"/>
      <c r="D63" s="598"/>
      <c r="E63" s="598"/>
      <c r="F63" s="600"/>
      <c r="G63" s="587"/>
      <c r="H63" s="588"/>
      <c r="I63" s="610"/>
      <c r="J63" s="612"/>
      <c r="K63" s="612"/>
      <c r="L63" s="612"/>
      <c r="M63" s="612"/>
      <c r="N63" s="612"/>
      <c r="O63" s="614"/>
      <c r="P63" s="201"/>
      <c r="Q63" s="203"/>
      <c r="R63" s="204"/>
      <c r="S63" s="205"/>
      <c r="T63" s="206"/>
      <c r="U63" s="128"/>
    </row>
    <row r="64" spans="1:22" ht="14.9" customHeight="1" x14ac:dyDescent="0.35">
      <c r="A64" s="128"/>
      <c r="B64" s="597"/>
      <c r="C64" s="598"/>
      <c r="D64" s="598"/>
      <c r="E64" s="598"/>
      <c r="F64" s="600"/>
      <c r="G64" s="587"/>
      <c r="H64" s="588"/>
      <c r="I64" s="610"/>
      <c r="J64" s="612"/>
      <c r="K64" s="612"/>
      <c r="L64" s="612"/>
      <c r="M64" s="612"/>
      <c r="N64" s="612"/>
      <c r="O64" s="614"/>
      <c r="P64" s="201"/>
      <c r="Q64" s="203"/>
      <c r="R64" s="204"/>
      <c r="S64" s="205"/>
      <c r="T64" s="206"/>
      <c r="U64" s="128"/>
    </row>
    <row r="65" spans="1:21" ht="14.9" customHeight="1" x14ac:dyDescent="0.35">
      <c r="A65" s="128"/>
      <c r="B65" s="597"/>
      <c r="C65" s="598"/>
      <c r="D65" s="598"/>
      <c r="E65" s="598"/>
      <c r="F65" s="600"/>
      <c r="G65" s="587"/>
      <c r="H65" s="588"/>
      <c r="I65" s="634" t="s">
        <v>23339</v>
      </c>
      <c r="J65" s="635" t="s">
        <v>23241</v>
      </c>
      <c r="K65" s="635"/>
      <c r="L65" s="622" t="s">
        <v>111</v>
      </c>
      <c r="M65" s="622"/>
      <c r="N65" s="622" t="s">
        <v>23340</v>
      </c>
      <c r="O65" s="614" t="s">
        <v>23341</v>
      </c>
      <c r="P65" s="201"/>
      <c r="Q65" s="203"/>
      <c r="R65" s="204"/>
      <c r="S65" s="205"/>
      <c r="T65" s="206"/>
      <c r="U65" s="128"/>
    </row>
    <row r="66" spans="1:21" ht="14.9" customHeight="1" x14ac:dyDescent="0.25">
      <c r="A66" s="128"/>
      <c r="B66" s="597"/>
      <c r="C66" s="598"/>
      <c r="D66" s="598"/>
      <c r="E66" s="598"/>
      <c r="F66" s="600"/>
      <c r="G66" s="587"/>
      <c r="H66" s="588"/>
      <c r="I66" s="634"/>
      <c r="J66" s="635"/>
      <c r="K66" s="635"/>
      <c r="L66" s="622"/>
      <c r="M66" s="622"/>
      <c r="N66" s="622"/>
      <c r="O66" s="614"/>
      <c r="P66" s="201"/>
      <c r="Q66" s="143"/>
      <c r="R66" s="143"/>
      <c r="S66" s="143"/>
      <c r="T66" s="140"/>
      <c r="U66" s="128"/>
    </row>
    <row r="67" spans="1:21" ht="14.9" customHeight="1" thickBot="1" x14ac:dyDescent="0.4">
      <c r="A67" s="128"/>
      <c r="B67" s="618"/>
      <c r="C67" s="619"/>
      <c r="D67" s="619"/>
      <c r="E67" s="619"/>
      <c r="F67" s="601"/>
      <c r="G67" s="589"/>
      <c r="H67" s="590"/>
      <c r="I67" s="634"/>
      <c r="J67" s="635"/>
      <c r="K67" s="635"/>
      <c r="L67" s="622"/>
      <c r="M67" s="622"/>
      <c r="N67" s="622"/>
      <c r="O67" s="614"/>
      <c r="P67" s="201"/>
      <c r="Q67" s="209"/>
      <c r="R67" s="210"/>
      <c r="S67" s="205"/>
      <c r="T67" s="206"/>
      <c r="U67" s="128"/>
    </row>
    <row r="68" spans="1:21" ht="14.9" customHeight="1" x14ac:dyDescent="0.35">
      <c r="A68" s="128"/>
      <c r="B68" s="595" t="s">
        <v>9</v>
      </c>
      <c r="C68" s="596"/>
      <c r="D68" s="629"/>
      <c r="E68" s="629"/>
      <c r="F68" s="599" t="s">
        <v>23342</v>
      </c>
      <c r="G68" s="620">
        <f>IF(G62=0,"FUEL!",IFERROR(IF($G$56+$G$62&gt;MIN($N$8,$Q$8,$T$8),"Can't exceed Restricted TOW",$G$56+$G$62),"NEGATIVE UNDERLOADS"))</f>
        <v>387464</v>
      </c>
      <c r="H68" s="621"/>
      <c r="I68" s="610"/>
      <c r="J68" s="612"/>
      <c r="K68" s="612"/>
      <c r="L68" s="622"/>
      <c r="M68" s="622"/>
      <c r="N68" s="622"/>
      <c r="O68" s="614"/>
      <c r="P68" s="201"/>
      <c r="Q68" s="211"/>
      <c r="R68" s="210"/>
      <c r="S68" s="205"/>
      <c r="T68" s="206"/>
      <c r="U68" s="128"/>
    </row>
    <row r="69" spans="1:21" ht="14.9" customHeight="1" x14ac:dyDescent="0.35">
      <c r="A69" s="128"/>
      <c r="B69" s="597"/>
      <c r="C69" s="598"/>
      <c r="D69" s="630"/>
      <c r="E69" s="630"/>
      <c r="F69" s="600"/>
      <c r="G69" s="587"/>
      <c r="H69" s="588"/>
      <c r="I69" s="610"/>
      <c r="J69" s="612"/>
      <c r="K69" s="612"/>
      <c r="L69" s="622"/>
      <c r="M69" s="622"/>
      <c r="N69" s="622"/>
      <c r="O69" s="614"/>
      <c r="P69" s="201"/>
      <c r="Q69" s="211"/>
      <c r="R69" s="210"/>
      <c r="S69" s="205"/>
      <c r="T69" s="206"/>
      <c r="U69" s="128"/>
    </row>
    <row r="70" spans="1:21" ht="14.9" customHeight="1" x14ac:dyDescent="0.35">
      <c r="A70" s="128"/>
      <c r="B70" s="597"/>
      <c r="C70" s="598"/>
      <c r="D70" s="630"/>
      <c r="E70" s="630"/>
      <c r="F70" s="600"/>
      <c r="G70" s="587"/>
      <c r="H70" s="588"/>
      <c r="I70" s="610"/>
      <c r="J70" s="612"/>
      <c r="K70" s="612"/>
      <c r="L70" s="622"/>
      <c r="M70" s="622"/>
      <c r="N70" s="622"/>
      <c r="O70" s="614"/>
      <c r="P70" s="201"/>
      <c r="Q70" s="211"/>
      <c r="R70" s="210"/>
      <c r="S70" s="205"/>
      <c r="T70" s="206"/>
      <c r="U70" s="128"/>
    </row>
    <row r="71" spans="1:21" ht="14.9" customHeight="1" x14ac:dyDescent="0.35">
      <c r="A71" s="128"/>
      <c r="B71" s="623" t="str">
        <f>"MAX. "&amp;"412,000 "</f>
        <v xml:space="preserve">MAX. 412,000 </v>
      </c>
      <c r="C71" s="624"/>
      <c r="D71" s="624" t="str">
        <f>"Restricted TOW. "&amp;TEXT(MIN(N8,Q8,T8),"#,###")</f>
        <v>Restricted TOW. 412,000</v>
      </c>
      <c r="E71" s="624"/>
      <c r="F71" s="600"/>
      <c r="G71" s="587">
        <f>IF(O80="",0,IF(O80&gt;0,G59+G62,0))</f>
        <v>0</v>
      </c>
      <c r="H71" s="588"/>
      <c r="I71" s="610"/>
      <c r="J71" s="612"/>
      <c r="K71" s="612"/>
      <c r="L71" s="612"/>
      <c r="M71" s="612"/>
      <c r="N71" s="612"/>
      <c r="O71" s="614"/>
      <c r="P71" s="201"/>
      <c r="Q71" s="211"/>
      <c r="R71" s="210"/>
      <c r="S71" s="205"/>
      <c r="T71" s="206"/>
      <c r="U71" s="128"/>
    </row>
    <row r="72" spans="1:21" ht="14.9" customHeight="1" x14ac:dyDescent="0.35">
      <c r="A72" s="128"/>
      <c r="B72" s="623"/>
      <c r="C72" s="624"/>
      <c r="D72" s="624"/>
      <c r="E72" s="624"/>
      <c r="F72" s="600"/>
      <c r="G72" s="587"/>
      <c r="H72" s="588"/>
      <c r="I72" s="610"/>
      <c r="J72" s="612"/>
      <c r="K72" s="612"/>
      <c r="L72" s="612"/>
      <c r="M72" s="612"/>
      <c r="N72" s="612"/>
      <c r="O72" s="614"/>
      <c r="P72" s="201"/>
      <c r="Q72" s="211"/>
      <c r="R72" s="210"/>
      <c r="S72" s="205"/>
      <c r="T72" s="206"/>
      <c r="U72" s="128"/>
    </row>
    <row r="73" spans="1:21" ht="14.9" customHeight="1" thickBot="1" x14ac:dyDescent="0.4">
      <c r="A73" s="128"/>
      <c r="B73" s="625"/>
      <c r="C73" s="626"/>
      <c r="D73" s="626"/>
      <c r="E73" s="626"/>
      <c r="F73" s="600"/>
      <c r="G73" s="627"/>
      <c r="H73" s="628"/>
      <c r="I73" s="610"/>
      <c r="J73" s="612"/>
      <c r="K73" s="612"/>
      <c r="L73" s="612"/>
      <c r="M73" s="612"/>
      <c r="N73" s="612"/>
      <c r="O73" s="614"/>
      <c r="P73" s="201"/>
      <c r="Q73" s="211"/>
      <c r="R73" s="210"/>
      <c r="S73" s="205"/>
      <c r="T73" s="206"/>
      <c r="U73" s="128"/>
    </row>
    <row r="74" spans="1:21" ht="14.9" customHeight="1" x14ac:dyDescent="0.35">
      <c r="A74" s="128"/>
      <c r="B74" s="595" t="s">
        <v>23297</v>
      </c>
      <c r="C74" s="596"/>
      <c r="D74" s="596"/>
      <c r="E74" s="596"/>
      <c r="F74" s="599" t="s">
        <v>23343</v>
      </c>
      <c r="G74" s="620">
        <f>$S$6</f>
        <v>100000</v>
      </c>
      <c r="H74" s="621"/>
      <c r="I74" s="610"/>
      <c r="J74" s="612"/>
      <c r="K74" s="612"/>
      <c r="L74" s="612"/>
      <c r="M74" s="612"/>
      <c r="N74" s="612"/>
      <c r="O74" s="614"/>
      <c r="P74" s="201"/>
      <c r="Q74" s="211"/>
      <c r="R74" s="210"/>
      <c r="S74" s="205"/>
      <c r="T74" s="206"/>
      <c r="U74" s="128"/>
    </row>
    <row r="75" spans="1:21" ht="14.9" customHeight="1" x14ac:dyDescent="0.35">
      <c r="A75" s="128"/>
      <c r="B75" s="597"/>
      <c r="C75" s="598"/>
      <c r="D75" s="598"/>
      <c r="E75" s="598"/>
      <c r="F75" s="600"/>
      <c r="G75" s="587"/>
      <c r="H75" s="588"/>
      <c r="I75" s="610"/>
      <c r="J75" s="612"/>
      <c r="K75" s="612"/>
      <c r="L75" s="612"/>
      <c r="M75" s="612"/>
      <c r="N75" s="612"/>
      <c r="O75" s="614"/>
      <c r="P75" s="201"/>
      <c r="Q75" s="211"/>
      <c r="R75" s="210"/>
      <c r="S75" s="205"/>
      <c r="T75" s="206"/>
      <c r="U75" s="128"/>
    </row>
    <row r="76" spans="1:21" ht="14.9" customHeight="1" x14ac:dyDescent="0.35">
      <c r="A76" s="128"/>
      <c r="B76" s="597"/>
      <c r="C76" s="598"/>
      <c r="D76" s="598"/>
      <c r="E76" s="598"/>
      <c r="F76" s="600"/>
      <c r="G76" s="587"/>
      <c r="H76" s="588"/>
      <c r="I76" s="610"/>
      <c r="J76" s="612"/>
      <c r="K76" s="612"/>
      <c r="L76" s="612"/>
      <c r="M76" s="612"/>
      <c r="N76" s="612"/>
      <c r="O76" s="614"/>
      <c r="P76" s="201"/>
      <c r="Q76" s="211"/>
      <c r="R76" s="210"/>
      <c r="S76" s="205"/>
      <c r="T76" s="206"/>
      <c r="U76" s="128"/>
    </row>
    <row r="77" spans="1:21" ht="12.15" customHeight="1" x14ac:dyDescent="0.35">
      <c r="A77" s="128"/>
      <c r="B77" s="597"/>
      <c r="C77" s="598"/>
      <c r="D77" s="598"/>
      <c r="E77" s="598"/>
      <c r="F77" s="600"/>
      <c r="G77" s="587"/>
      <c r="H77" s="588"/>
      <c r="I77" s="610"/>
      <c r="J77" s="612"/>
      <c r="K77" s="612"/>
      <c r="L77" s="612"/>
      <c r="M77" s="612"/>
      <c r="N77" s="612"/>
      <c r="O77" s="614"/>
      <c r="P77" s="201"/>
      <c r="Q77" s="211"/>
      <c r="R77" s="210"/>
      <c r="S77" s="205"/>
      <c r="T77" s="206"/>
      <c r="U77" s="128"/>
    </row>
    <row r="78" spans="1:21" ht="12.15" customHeight="1" x14ac:dyDescent="0.35">
      <c r="A78" s="128"/>
      <c r="B78" s="597"/>
      <c r="C78" s="598"/>
      <c r="D78" s="598"/>
      <c r="E78" s="598"/>
      <c r="F78" s="600"/>
      <c r="G78" s="587"/>
      <c r="H78" s="588"/>
      <c r="I78" s="610"/>
      <c r="J78" s="612"/>
      <c r="K78" s="612"/>
      <c r="L78" s="612"/>
      <c r="M78" s="612"/>
      <c r="N78" s="612"/>
      <c r="O78" s="614"/>
      <c r="P78" s="201"/>
      <c r="Q78" s="211"/>
      <c r="R78" s="210"/>
      <c r="S78" s="205"/>
      <c r="T78" s="206"/>
      <c r="U78" s="128"/>
    </row>
    <row r="79" spans="1:21" ht="12.15" customHeight="1" thickBot="1" x14ac:dyDescent="0.4">
      <c r="A79" s="128"/>
      <c r="B79" s="618"/>
      <c r="C79" s="619"/>
      <c r="D79" s="619"/>
      <c r="E79" s="619"/>
      <c r="F79" s="601"/>
      <c r="G79" s="589"/>
      <c r="H79" s="590"/>
      <c r="I79" s="611"/>
      <c r="J79" s="613"/>
      <c r="K79" s="613"/>
      <c r="L79" s="613"/>
      <c r="M79" s="613"/>
      <c r="N79" s="613"/>
      <c r="O79" s="615"/>
      <c r="P79" s="201"/>
      <c r="Q79" s="211"/>
      <c r="R79" s="210"/>
      <c r="S79" s="616"/>
      <c r="T79" s="617"/>
      <c r="U79" s="128"/>
    </row>
    <row r="80" spans="1:21" ht="12.15" customHeight="1" x14ac:dyDescent="0.25">
      <c r="A80" s="128"/>
      <c r="B80" s="595" t="s">
        <v>10</v>
      </c>
      <c r="C80" s="596"/>
      <c r="D80" s="596"/>
      <c r="E80" s="596"/>
      <c r="F80" s="599" t="s">
        <v>23344</v>
      </c>
      <c r="G80" s="602">
        <f>IF(G48="",0,IFERROR(IF($G$68-$G$74&gt;326000,"Can't exceed 326,000 Lbs",$G$68-$G$74),"INCOMPLETE!"))</f>
        <v>287464</v>
      </c>
      <c r="H80" s="603"/>
      <c r="I80" s="604"/>
      <c r="J80" s="607" t="s">
        <v>23345</v>
      </c>
      <c r="K80" s="607"/>
      <c r="L80" s="568"/>
      <c r="M80" s="568"/>
      <c r="N80" s="568"/>
      <c r="O80" s="571">
        <f>IF(SUM($O$68:$O$79)=0,0,SUM($O$68:$O$79))</f>
        <v>0</v>
      </c>
      <c r="P80" s="201"/>
      <c r="Q80" s="212"/>
      <c r="R80" s="212"/>
      <c r="S80" s="212"/>
      <c r="T80" s="213"/>
      <c r="U80" s="128"/>
    </row>
    <row r="81" spans="1:21" ht="12.15" customHeight="1" x14ac:dyDescent="0.25">
      <c r="A81" s="128"/>
      <c r="B81" s="597"/>
      <c r="C81" s="598"/>
      <c r="D81" s="598"/>
      <c r="E81" s="598"/>
      <c r="F81" s="600"/>
      <c r="G81" s="587"/>
      <c r="H81" s="588"/>
      <c r="I81" s="605"/>
      <c r="J81" s="608"/>
      <c r="K81" s="608"/>
      <c r="L81" s="569"/>
      <c r="M81" s="569"/>
      <c r="N81" s="569"/>
      <c r="O81" s="572"/>
      <c r="P81" s="201"/>
      <c r="Q81" s="575" t="s">
        <v>23346</v>
      </c>
      <c r="R81" s="576"/>
      <c r="S81" s="579">
        <f>'Load Plan '!$K$9</f>
        <v>108900</v>
      </c>
      <c r="T81" s="581">
        <f>IFERROR(IF(S81=0,0,VLOOKUP($S$81,Indeces!$Q$103:$U$442,5,TRUE)),0)</f>
        <v>5.9</v>
      </c>
      <c r="U81" s="128"/>
    </row>
    <row r="82" spans="1:21" ht="12.15" customHeight="1" thickBot="1" x14ac:dyDescent="0.3">
      <c r="A82" s="128"/>
      <c r="B82" s="597"/>
      <c r="C82" s="598"/>
      <c r="D82" s="598"/>
      <c r="E82" s="598"/>
      <c r="F82" s="600"/>
      <c r="G82" s="587"/>
      <c r="H82" s="588"/>
      <c r="I82" s="605"/>
      <c r="J82" s="608"/>
      <c r="K82" s="608"/>
      <c r="L82" s="569"/>
      <c r="M82" s="569"/>
      <c r="N82" s="569"/>
      <c r="O82" s="572"/>
      <c r="P82" s="201"/>
      <c r="Q82" s="577"/>
      <c r="R82" s="578"/>
      <c r="S82" s="580"/>
      <c r="T82" s="582"/>
      <c r="U82" s="128"/>
    </row>
    <row r="83" spans="1:21" ht="12.15" customHeight="1" x14ac:dyDescent="0.25">
      <c r="A83" s="128"/>
      <c r="B83" s="583" t="s">
        <v>23420</v>
      </c>
      <c r="C83" s="584"/>
      <c r="D83" s="202"/>
      <c r="E83" s="207">
        <v>89811</v>
      </c>
      <c r="F83" s="600"/>
      <c r="G83" s="587">
        <f>IF(O80="",0,IF(O80&gt;0,G71-G74,0))</f>
        <v>0</v>
      </c>
      <c r="H83" s="588"/>
      <c r="I83" s="605"/>
      <c r="J83" s="608"/>
      <c r="K83" s="608"/>
      <c r="L83" s="569"/>
      <c r="M83" s="569"/>
      <c r="N83" s="569"/>
      <c r="O83" s="572"/>
      <c r="P83" s="201"/>
      <c r="Q83" s="591" t="s">
        <v>23347</v>
      </c>
      <c r="R83" s="592"/>
      <c r="S83" s="593">
        <f>$S$81-'Load Plan '!$K$10</f>
        <v>8900</v>
      </c>
      <c r="T83" s="594">
        <f>IFERROR(IF(S83=0,0,VLOOKUP($S$83,Indeces!$Q$103:$U$442,5,TRUE)),0)</f>
        <v>-2.1</v>
      </c>
      <c r="U83" s="128"/>
    </row>
    <row r="84" spans="1:21" ht="12.15" customHeight="1" thickBot="1" x14ac:dyDescent="0.3">
      <c r="A84" s="128"/>
      <c r="B84" s="583"/>
      <c r="C84" s="584"/>
      <c r="D84" s="202"/>
      <c r="E84" s="202"/>
      <c r="F84" s="600"/>
      <c r="G84" s="587"/>
      <c r="H84" s="588"/>
      <c r="I84" s="605"/>
      <c r="J84" s="608"/>
      <c r="K84" s="608"/>
      <c r="L84" s="569"/>
      <c r="M84" s="569"/>
      <c r="N84" s="569"/>
      <c r="O84" s="573"/>
      <c r="P84" s="201"/>
      <c r="Q84" s="577"/>
      <c r="R84" s="578"/>
      <c r="S84" s="580"/>
      <c r="T84" s="582"/>
      <c r="U84" s="128"/>
    </row>
    <row r="85" spans="1:21" ht="12.15" customHeight="1" thickBot="1" x14ac:dyDescent="0.3">
      <c r="A85" s="128"/>
      <c r="B85" s="585"/>
      <c r="C85" s="586"/>
      <c r="D85" s="148"/>
      <c r="E85" s="148"/>
      <c r="F85" s="601"/>
      <c r="G85" s="589"/>
      <c r="H85" s="590"/>
      <c r="I85" s="606"/>
      <c r="J85" s="609"/>
      <c r="K85" s="609"/>
      <c r="L85" s="570"/>
      <c r="M85" s="570"/>
      <c r="N85" s="570"/>
      <c r="O85" s="574"/>
      <c r="P85" s="214"/>
      <c r="Q85" s="194"/>
      <c r="R85" s="194"/>
      <c r="S85" s="194"/>
      <c r="T85" s="215"/>
      <c r="U85" s="128"/>
    </row>
    <row r="86" spans="1:21" ht="16.399999999999999" customHeight="1" thickBot="1" x14ac:dyDescent="0.3">
      <c r="A86" s="128"/>
      <c r="B86" s="548" t="s">
        <v>23425</v>
      </c>
      <c r="C86" s="549"/>
      <c r="D86" s="549"/>
      <c r="E86" s="549"/>
      <c r="F86" s="549"/>
      <c r="G86" s="549"/>
      <c r="H86" s="549"/>
      <c r="I86" s="549"/>
      <c r="J86" s="549"/>
      <c r="K86" s="549"/>
      <c r="L86" s="549"/>
      <c r="M86" s="549"/>
      <c r="N86" s="549"/>
      <c r="O86" s="552" t="s">
        <v>23254</v>
      </c>
      <c r="P86" s="553"/>
      <c r="Q86" s="553"/>
      <c r="R86" s="554" t="str">
        <f>IF('Load Plan '!$Q$9=TRUE,"YES","NO")</f>
        <v>YES</v>
      </c>
      <c r="S86" s="554"/>
      <c r="T86" s="555"/>
      <c r="U86" s="128"/>
    </row>
    <row r="87" spans="1:21" ht="16.399999999999999" customHeight="1" thickBot="1" x14ac:dyDescent="0.3">
      <c r="A87" s="128"/>
      <c r="B87" s="550"/>
      <c r="C87" s="551"/>
      <c r="D87" s="551"/>
      <c r="E87" s="551"/>
      <c r="F87" s="551"/>
      <c r="G87" s="551"/>
      <c r="H87" s="551"/>
      <c r="I87" s="551"/>
      <c r="J87" s="551"/>
      <c r="K87" s="551"/>
      <c r="L87" s="551"/>
      <c r="M87" s="551"/>
      <c r="N87" s="551"/>
      <c r="O87" s="556" t="s">
        <v>23256</v>
      </c>
      <c r="P87" s="557"/>
      <c r="Q87" s="557"/>
      <c r="R87" s="558" t="str">
        <f>IF('Load Plan '!$Q$10=TRUE,"YES","NO")</f>
        <v>YES</v>
      </c>
      <c r="S87" s="558"/>
      <c r="T87" s="559"/>
      <c r="U87" s="128"/>
    </row>
    <row r="88" spans="1:21" ht="16.399999999999999" customHeight="1" thickBot="1" x14ac:dyDescent="0.3">
      <c r="A88" s="128"/>
      <c r="B88" s="550"/>
      <c r="C88" s="551"/>
      <c r="D88" s="551"/>
      <c r="E88" s="551"/>
      <c r="F88" s="551"/>
      <c r="G88" s="551"/>
      <c r="H88" s="551"/>
      <c r="I88" s="551"/>
      <c r="J88" s="551"/>
      <c r="K88" s="551"/>
      <c r="L88" s="551"/>
      <c r="M88" s="551"/>
      <c r="N88" s="551"/>
      <c r="O88" s="552" t="s">
        <v>23257</v>
      </c>
      <c r="P88" s="553"/>
      <c r="Q88" s="553"/>
      <c r="R88" s="554" t="str">
        <f>IF('Load Plan '!$Q$11=TRUE,"YES","NO")</f>
        <v>YES</v>
      </c>
      <c r="S88" s="554"/>
      <c r="T88" s="555"/>
      <c r="U88" s="128"/>
    </row>
    <row r="89" spans="1:21" ht="16.399999999999999" customHeight="1" x14ac:dyDescent="0.55000000000000004">
      <c r="A89" s="128"/>
      <c r="B89" s="550"/>
      <c r="C89" s="551"/>
      <c r="D89" s="551"/>
      <c r="E89" s="551"/>
      <c r="F89" s="551"/>
      <c r="G89" s="551"/>
      <c r="H89" s="551"/>
      <c r="I89" s="551"/>
      <c r="J89" s="551"/>
      <c r="K89" s="551"/>
      <c r="L89" s="551"/>
      <c r="M89" s="551"/>
      <c r="N89" s="551"/>
      <c r="O89" s="216"/>
      <c r="P89" s="560" t="str">
        <f>'Load Plan '!$B$2</f>
        <v>CAPTAIN</v>
      </c>
      <c r="Q89" s="560"/>
      <c r="R89" s="561"/>
      <c r="S89" s="564" t="str">
        <f>'Load Plan '!$B$3</f>
        <v>FIRST OFFICER</v>
      </c>
      <c r="T89" s="565"/>
      <c r="U89" s="128"/>
    </row>
    <row r="90" spans="1:21" ht="7.5" customHeight="1" thickBot="1" x14ac:dyDescent="0.6">
      <c r="A90" s="128"/>
      <c r="B90" s="217"/>
      <c r="C90" s="218"/>
      <c r="D90" s="218"/>
      <c r="E90" s="218"/>
      <c r="F90" s="218"/>
      <c r="G90" s="218"/>
      <c r="H90" s="218"/>
      <c r="I90" s="218"/>
      <c r="J90" s="218"/>
      <c r="K90" s="218"/>
      <c r="L90" s="218"/>
      <c r="M90" s="218"/>
      <c r="N90" s="218"/>
      <c r="O90" s="219"/>
      <c r="P90" s="562"/>
      <c r="Q90" s="562"/>
      <c r="R90" s="563"/>
      <c r="S90" s="566"/>
      <c r="T90" s="567"/>
      <c r="U90" s="128"/>
    </row>
    <row r="91" spans="1:21" ht="23.5" customHeight="1" x14ac:dyDescent="0.55000000000000004">
      <c r="A91" s="128"/>
      <c r="B91" s="516" t="s">
        <v>23238</v>
      </c>
      <c r="C91" s="517"/>
      <c r="D91" s="517"/>
      <c r="E91" s="517"/>
      <c r="F91" s="517"/>
      <c r="G91" s="517"/>
      <c r="H91" s="517"/>
      <c r="I91" s="517" t="s">
        <v>23348</v>
      </c>
      <c r="J91" s="517"/>
      <c r="K91" s="517"/>
      <c r="L91" s="517"/>
      <c r="M91" s="517"/>
      <c r="N91" s="518"/>
      <c r="O91" s="519" t="s">
        <v>23349</v>
      </c>
      <c r="P91" s="521" t="str">
        <f>IF('Load Plan '!$C$2="","",'Load Plan '!$C$2)</f>
        <v/>
      </c>
      <c r="Q91" s="521"/>
      <c r="R91" s="522"/>
      <c r="S91" s="525" t="str">
        <f>IF('Load Plan '!$C$3="","",'Load Plan '!$C$3)</f>
        <v/>
      </c>
      <c r="T91" s="526"/>
      <c r="U91" s="128"/>
    </row>
    <row r="92" spans="1:21" ht="16.399999999999999" customHeight="1" x14ac:dyDescent="0.25">
      <c r="A92" s="128"/>
      <c r="B92" s="529" t="str">
        <f>IF('Load Plan '!$C$4="","",'Load Plan '!$C$4)</f>
        <v/>
      </c>
      <c r="C92" s="530"/>
      <c r="D92" s="530"/>
      <c r="E92" s="530"/>
      <c r="F92" s="530"/>
      <c r="G92" s="530"/>
      <c r="H92" s="530"/>
      <c r="I92" s="533"/>
      <c r="J92" s="534"/>
      <c r="K92" s="534"/>
      <c r="L92" s="534"/>
      <c r="M92" s="534"/>
      <c r="N92" s="535"/>
      <c r="O92" s="520"/>
      <c r="P92" s="523"/>
      <c r="Q92" s="523"/>
      <c r="R92" s="524"/>
      <c r="S92" s="527"/>
      <c r="T92" s="528"/>
      <c r="U92" s="128"/>
    </row>
    <row r="93" spans="1:21" ht="16.399999999999999" customHeight="1" x14ac:dyDescent="0.25">
      <c r="A93" s="128"/>
      <c r="B93" s="529"/>
      <c r="C93" s="530"/>
      <c r="D93" s="530"/>
      <c r="E93" s="530"/>
      <c r="F93" s="530"/>
      <c r="G93" s="530"/>
      <c r="H93" s="530"/>
      <c r="I93" s="536"/>
      <c r="J93" s="537"/>
      <c r="K93" s="537"/>
      <c r="L93" s="537"/>
      <c r="M93" s="537"/>
      <c r="N93" s="538"/>
      <c r="O93" s="542" t="s">
        <v>23350</v>
      </c>
      <c r="P93" s="220"/>
      <c r="Q93" s="220"/>
      <c r="R93" s="221"/>
      <c r="S93" s="544"/>
      <c r="T93" s="545"/>
      <c r="U93" s="128"/>
    </row>
    <row r="94" spans="1:21" ht="16.399999999999999" customHeight="1" thickBot="1" x14ac:dyDescent="0.3">
      <c r="A94" s="128"/>
      <c r="B94" s="531"/>
      <c r="C94" s="532"/>
      <c r="D94" s="532"/>
      <c r="E94" s="532"/>
      <c r="F94" s="532"/>
      <c r="G94" s="532"/>
      <c r="H94" s="532"/>
      <c r="I94" s="539"/>
      <c r="J94" s="540"/>
      <c r="K94" s="540"/>
      <c r="L94" s="540"/>
      <c r="M94" s="540"/>
      <c r="N94" s="541"/>
      <c r="O94" s="543"/>
      <c r="P94" s="222"/>
      <c r="Q94" s="222"/>
      <c r="R94" s="223"/>
      <c r="S94" s="546"/>
      <c r="T94" s="547"/>
      <c r="U94" s="128"/>
    </row>
    <row r="95" spans="1:21" ht="16.399999999999999" customHeight="1" x14ac:dyDescent="0.25">
      <c r="A95" s="128"/>
      <c r="B95" s="128"/>
      <c r="C95" s="128"/>
      <c r="D95" s="128"/>
      <c r="E95" s="128"/>
      <c r="F95" s="128"/>
      <c r="G95" s="128"/>
      <c r="H95" s="128"/>
      <c r="I95" s="128"/>
      <c r="J95" s="128"/>
      <c r="K95" s="128"/>
      <c r="L95" s="128"/>
      <c r="M95" s="128"/>
      <c r="N95" s="128"/>
      <c r="O95" s="128"/>
      <c r="P95" s="128"/>
      <c r="Q95" s="128"/>
      <c r="R95" s="128"/>
      <c r="S95" s="128"/>
      <c r="T95" s="128"/>
      <c r="U95" s="128"/>
    </row>
    <row r="96" spans="1:21" ht="16.399999999999999" customHeight="1" x14ac:dyDescent="0.25"/>
    <row r="97" ht="16.399999999999999" customHeight="1" x14ac:dyDescent="0.25"/>
    <row r="98" ht="16.399999999999999" customHeight="1" x14ac:dyDescent="0.25"/>
    <row r="99" ht="16.399999999999999" customHeight="1" x14ac:dyDescent="0.25"/>
    <row r="100" ht="16.399999999999999" customHeight="1" x14ac:dyDescent="0.25"/>
    <row r="101" ht="16.399999999999999" customHeight="1" x14ac:dyDescent="0.25"/>
    <row r="102" ht="16.399999999999999" customHeight="1" x14ac:dyDescent="0.25"/>
  </sheetData>
  <sheetProtection algorithmName="SHA-512" hashValue="UpzFc5QQM3ULO+9E5WTJSPfr3WevhFjKeOCtRHxVp2OaaADj962scVDwKVz6zd9Oaj7+iT29NHCkJbS6lobvNg==" saltValue="D/1RwFowSBn89gzqUcnrxg==" spinCount="100000" sheet="1" objects="1" scenarios="1"/>
  <mergeCells count="266">
    <mergeCell ref="D2:E2"/>
    <mergeCell ref="G2:I2"/>
    <mergeCell ref="M2:O2"/>
    <mergeCell ref="P2:T3"/>
    <mergeCell ref="D3:E3"/>
    <mergeCell ref="G3:I3"/>
    <mergeCell ref="M3:O3"/>
    <mergeCell ref="S6:T6"/>
    <mergeCell ref="M7:O7"/>
    <mergeCell ref="S7:T7"/>
    <mergeCell ref="B4:F4"/>
    <mergeCell ref="G4:L5"/>
    <mergeCell ref="M4:O4"/>
    <mergeCell ref="P4:P7"/>
    <mergeCell ref="Q4:R4"/>
    <mergeCell ref="S4:T4"/>
    <mergeCell ref="B5:F8"/>
    <mergeCell ref="M5:O5"/>
    <mergeCell ref="Q5:R5"/>
    <mergeCell ref="S5:T5"/>
    <mergeCell ref="G8:L8"/>
    <mergeCell ref="N8:O8"/>
    <mergeCell ref="Q8:R8"/>
    <mergeCell ref="G6:K7"/>
    <mergeCell ref="G10:K11"/>
    <mergeCell ref="L10:L11"/>
    <mergeCell ref="M10:O10"/>
    <mergeCell ref="P10:R10"/>
    <mergeCell ref="S10:T10"/>
    <mergeCell ref="B11:C11"/>
    <mergeCell ref="E11:F11"/>
    <mergeCell ref="B9:F9"/>
    <mergeCell ref="G9:L9"/>
    <mergeCell ref="M9:O9"/>
    <mergeCell ref="P9:R9"/>
    <mergeCell ref="L6:L7"/>
    <mergeCell ref="M6:O6"/>
    <mergeCell ref="Q6:Q7"/>
    <mergeCell ref="R6:R7"/>
    <mergeCell ref="B13:C13"/>
    <mergeCell ref="E13:F13"/>
    <mergeCell ref="M13:O14"/>
    <mergeCell ref="P13:R14"/>
    <mergeCell ref="S13:T14"/>
    <mergeCell ref="B14:C14"/>
    <mergeCell ref="E14:F14"/>
    <mergeCell ref="M11:O11"/>
    <mergeCell ref="P11:R11"/>
    <mergeCell ref="S11:T11"/>
    <mergeCell ref="B12:C12"/>
    <mergeCell ref="E12:F12"/>
    <mergeCell ref="G12:K14"/>
    <mergeCell ref="L12:L14"/>
    <mergeCell ref="M12:O12"/>
    <mergeCell ref="P12:R12"/>
    <mergeCell ref="S12:T12"/>
    <mergeCell ref="S9:T9"/>
    <mergeCell ref="B10:C10"/>
    <mergeCell ref="E10:F10"/>
    <mergeCell ref="S15:T15"/>
    <mergeCell ref="B16:C16"/>
    <mergeCell ref="E16:F16"/>
    <mergeCell ref="M16:O16"/>
    <mergeCell ref="P16:R16"/>
    <mergeCell ref="S16:T16"/>
    <mergeCell ref="B15:C15"/>
    <mergeCell ref="E15:F15"/>
    <mergeCell ref="G15:K16"/>
    <mergeCell ref="L15:L16"/>
    <mergeCell ref="M15:O15"/>
    <mergeCell ref="P15:R15"/>
    <mergeCell ref="S17:T17"/>
    <mergeCell ref="B18:C18"/>
    <mergeCell ref="E18:F18"/>
    <mergeCell ref="M18:O18"/>
    <mergeCell ref="P18:R18"/>
    <mergeCell ref="S18:T18"/>
    <mergeCell ref="B17:C17"/>
    <mergeCell ref="E17:F17"/>
    <mergeCell ref="G17:K18"/>
    <mergeCell ref="L17:L18"/>
    <mergeCell ref="M17:O17"/>
    <mergeCell ref="P17:R17"/>
    <mergeCell ref="B23:B24"/>
    <mergeCell ref="E23:F23"/>
    <mergeCell ref="J23:K23"/>
    <mergeCell ref="B21:C21"/>
    <mergeCell ref="E21:F21"/>
    <mergeCell ref="B22:F22"/>
    <mergeCell ref="G22:K22"/>
    <mergeCell ref="S22:T22"/>
    <mergeCell ref="B19:C20"/>
    <mergeCell ref="D19:D20"/>
    <mergeCell ref="E19:F20"/>
    <mergeCell ref="K20:L20"/>
    <mergeCell ref="M20:N20"/>
    <mergeCell ref="O20:P20"/>
    <mergeCell ref="N22:Q22"/>
    <mergeCell ref="N23:O23"/>
    <mergeCell ref="P23:Q23"/>
    <mergeCell ref="N24:O24"/>
    <mergeCell ref="B50:E55"/>
    <mergeCell ref="F50:F55"/>
    <mergeCell ref="G50:H52"/>
    <mergeCell ref="I50:L55"/>
    <mergeCell ref="M50:M55"/>
    <mergeCell ref="N50:O52"/>
    <mergeCell ref="G53:H55"/>
    <mergeCell ref="N53:O55"/>
    <mergeCell ref="N46:O46"/>
    <mergeCell ref="B48:E49"/>
    <mergeCell ref="F48:F49"/>
    <mergeCell ref="G48:H48"/>
    <mergeCell ref="I48:L49"/>
    <mergeCell ref="M48:M49"/>
    <mergeCell ref="N48:O48"/>
    <mergeCell ref="G49:H49"/>
    <mergeCell ref="N49:O49"/>
    <mergeCell ref="B47:C47"/>
    <mergeCell ref="D47:F47"/>
    <mergeCell ref="I47:K47"/>
    <mergeCell ref="F46:G46"/>
    <mergeCell ref="B46:E46"/>
    <mergeCell ref="B56:E58"/>
    <mergeCell ref="F56:F61"/>
    <mergeCell ref="G56:H58"/>
    <mergeCell ref="I56:L61"/>
    <mergeCell ref="M56:M61"/>
    <mergeCell ref="N56:O58"/>
    <mergeCell ref="B59:C61"/>
    <mergeCell ref="G59:H61"/>
    <mergeCell ref="N59:O61"/>
    <mergeCell ref="B62:E67"/>
    <mergeCell ref="F62:F67"/>
    <mergeCell ref="G62:H64"/>
    <mergeCell ref="I62:O64"/>
    <mergeCell ref="G65:H67"/>
    <mergeCell ref="I65:I67"/>
    <mergeCell ref="J65:K67"/>
    <mergeCell ref="L65:M67"/>
    <mergeCell ref="N65:N67"/>
    <mergeCell ref="O65:O67"/>
    <mergeCell ref="L68:M70"/>
    <mergeCell ref="N68:N70"/>
    <mergeCell ref="O68:O70"/>
    <mergeCell ref="B71:C73"/>
    <mergeCell ref="D71:E73"/>
    <mergeCell ref="G71:H73"/>
    <mergeCell ref="I71:I73"/>
    <mergeCell ref="J71:K73"/>
    <mergeCell ref="L71:M73"/>
    <mergeCell ref="N71:N73"/>
    <mergeCell ref="B68:C70"/>
    <mergeCell ref="D68:E70"/>
    <mergeCell ref="F68:F73"/>
    <mergeCell ref="G68:H70"/>
    <mergeCell ref="I68:I70"/>
    <mergeCell ref="J68:K70"/>
    <mergeCell ref="I77:I79"/>
    <mergeCell ref="J77:K79"/>
    <mergeCell ref="L77:M79"/>
    <mergeCell ref="N77:N79"/>
    <mergeCell ref="O77:O79"/>
    <mergeCell ref="S79:T79"/>
    <mergeCell ref="O71:O73"/>
    <mergeCell ref="B74:E79"/>
    <mergeCell ref="F74:F79"/>
    <mergeCell ref="G74:H76"/>
    <mergeCell ref="I74:I76"/>
    <mergeCell ref="J74:K76"/>
    <mergeCell ref="L74:M76"/>
    <mergeCell ref="N74:N76"/>
    <mergeCell ref="O74:O76"/>
    <mergeCell ref="G77:H79"/>
    <mergeCell ref="N80:N85"/>
    <mergeCell ref="O80:O85"/>
    <mergeCell ref="Q81:R82"/>
    <mergeCell ref="S81:S82"/>
    <mergeCell ref="T81:T82"/>
    <mergeCell ref="B83:C85"/>
    <mergeCell ref="G83:H85"/>
    <mergeCell ref="Q83:R84"/>
    <mergeCell ref="S83:S84"/>
    <mergeCell ref="T83:T84"/>
    <mergeCell ref="B80:E82"/>
    <mergeCell ref="F80:F85"/>
    <mergeCell ref="G80:H82"/>
    <mergeCell ref="I80:I85"/>
    <mergeCell ref="J80:K85"/>
    <mergeCell ref="L80:M85"/>
    <mergeCell ref="B86:N89"/>
    <mergeCell ref="O86:Q86"/>
    <mergeCell ref="R86:T86"/>
    <mergeCell ref="O87:Q87"/>
    <mergeCell ref="R87:T87"/>
    <mergeCell ref="O88:Q88"/>
    <mergeCell ref="R88:T88"/>
    <mergeCell ref="P89:R90"/>
    <mergeCell ref="S89:T90"/>
    <mergeCell ref="B91:H91"/>
    <mergeCell ref="I91:N91"/>
    <mergeCell ref="O91:O92"/>
    <mergeCell ref="P91:R92"/>
    <mergeCell ref="S91:T92"/>
    <mergeCell ref="B92:H94"/>
    <mergeCell ref="I92:N94"/>
    <mergeCell ref="O93:O94"/>
    <mergeCell ref="S93:T94"/>
    <mergeCell ref="N25:O25"/>
    <mergeCell ref="N26:O26"/>
    <mergeCell ref="N27:O27"/>
    <mergeCell ref="N28:O28"/>
    <mergeCell ref="N29:O29"/>
    <mergeCell ref="N30:O30"/>
    <mergeCell ref="P24:Q24"/>
    <mergeCell ref="P25:Q25"/>
    <mergeCell ref="P26:Q26"/>
    <mergeCell ref="P27:Q27"/>
    <mergeCell ref="P28:Q28"/>
    <mergeCell ref="P29:Q29"/>
    <mergeCell ref="P30:Q30"/>
    <mergeCell ref="N31:O31"/>
    <mergeCell ref="N32:O32"/>
    <mergeCell ref="N33:O33"/>
    <mergeCell ref="N34:O34"/>
    <mergeCell ref="N35:O35"/>
    <mergeCell ref="N36:O36"/>
    <mergeCell ref="N37:O37"/>
    <mergeCell ref="N38:O38"/>
    <mergeCell ref="N40:O40"/>
    <mergeCell ref="N39:O39"/>
    <mergeCell ref="P31:Q31"/>
    <mergeCell ref="P32:Q32"/>
    <mergeCell ref="P33:Q33"/>
    <mergeCell ref="P34:Q34"/>
    <mergeCell ref="P35:Q35"/>
    <mergeCell ref="P36:Q36"/>
    <mergeCell ref="P37:Q37"/>
    <mergeCell ref="P38:Q38"/>
    <mergeCell ref="P40:Q40"/>
    <mergeCell ref="P39:Q39"/>
    <mergeCell ref="H44:I44"/>
    <mergeCell ref="J44:K44"/>
    <mergeCell ref="M44:O45"/>
    <mergeCell ref="P44:Q45"/>
    <mergeCell ref="H41:I41"/>
    <mergeCell ref="J41:K41"/>
    <mergeCell ref="J42:K42"/>
    <mergeCell ref="C44:D44"/>
    <mergeCell ref="E44:F44"/>
    <mergeCell ref="C45:F45"/>
    <mergeCell ref="C42:F42"/>
    <mergeCell ref="H42:I42"/>
    <mergeCell ref="L42:M42"/>
    <mergeCell ref="H45:K45"/>
    <mergeCell ref="J33:K33"/>
    <mergeCell ref="H33:I33"/>
    <mergeCell ref="P43:Q43"/>
    <mergeCell ref="P41:Q41"/>
    <mergeCell ref="N42:O42"/>
    <mergeCell ref="C43:D43"/>
    <mergeCell ref="E43:F43"/>
    <mergeCell ref="N41:O41"/>
    <mergeCell ref="P42:Q42"/>
    <mergeCell ref="H43:I43"/>
    <mergeCell ref="J43:K43"/>
  </mergeCells>
  <conditionalFormatting sqref="C45:F45">
    <cfRule type="cellIs" dxfId="59" priority="24" operator="greaterThan">
      <formula>6615</formula>
    </cfRule>
    <cfRule type="cellIs" dxfId="58" priority="25" operator="lessThan">
      <formula>4410</formula>
    </cfRule>
    <cfRule type="cellIs" dxfId="57" priority="26" operator="between">
      <formula>4410</formula>
      <formula>6615</formula>
    </cfRule>
  </conditionalFormatting>
  <conditionalFormatting sqref="D26:D41">
    <cfRule type="containsText" dxfId="56" priority="29" operator="containsText" text="Error">
      <formula>NOT(ISERROR(SEARCH("Error",D26)))</formula>
    </cfRule>
  </conditionalFormatting>
  <conditionalFormatting sqref="F25:F41">
    <cfRule type="containsText" dxfId="55" priority="27" operator="containsText" text="Error">
      <formula>NOT(ISERROR(SEARCH("Error",F25)))</formula>
    </cfRule>
  </conditionalFormatting>
  <conditionalFormatting sqref="G80">
    <cfRule type="cellIs" dxfId="54" priority="44" operator="greaterThan">
      <formula>$S$5</formula>
    </cfRule>
  </conditionalFormatting>
  <conditionalFormatting sqref="G56:H58">
    <cfRule type="cellIs" dxfId="53" priority="28" operator="equal">
      <formula>0</formula>
    </cfRule>
    <cfRule type="cellIs" dxfId="52" priority="43" operator="greaterThan">
      <formula>$M$5</formula>
    </cfRule>
  </conditionalFormatting>
  <conditionalFormatting sqref="G68:H70">
    <cfRule type="cellIs" dxfId="51" priority="38" operator="greaterThan">
      <formula>$Q$5</formula>
    </cfRule>
  </conditionalFormatting>
  <conditionalFormatting sqref="M17">
    <cfRule type="containsBlanks" dxfId="50" priority="36">
      <formula>LEN(TRIM(M17))=0</formula>
    </cfRule>
    <cfRule type="containsText" dxfId="49" priority="37" operator="containsText" text="Load Aircraft">
      <formula>NOT(ISERROR(SEARCH("Load Aircraft",M17)))</formula>
    </cfRule>
    <cfRule type="cellIs" dxfId="48" priority="39" operator="lessThan">
      <formula>0</formula>
    </cfRule>
    <cfRule type="cellIs" dxfId="47" priority="40" operator="greaterThan">
      <formula>0</formula>
    </cfRule>
  </conditionalFormatting>
  <conditionalFormatting sqref="P17">
    <cfRule type="containsBlanks" dxfId="46" priority="33">
      <formula>LEN(TRIM(P17))=0</formula>
    </cfRule>
    <cfRule type="containsText" dxfId="45" priority="34" operator="containsText" text="Load Aircraft">
      <formula>NOT(ISERROR(SEARCH("Load Aircraft",P17)))</formula>
    </cfRule>
    <cfRule type="cellIs" dxfId="44" priority="35" operator="lessThan">
      <formula>0</formula>
    </cfRule>
    <cfRule type="cellIs" dxfId="43" priority="41" operator="greaterThan">
      <formula>0</formula>
    </cfRule>
  </conditionalFormatting>
  <conditionalFormatting sqref="S17">
    <cfRule type="containsBlanks" dxfId="42" priority="30">
      <formula>LEN(TRIM(S17))=0</formula>
    </cfRule>
    <cfRule type="containsText" dxfId="41" priority="31" operator="containsText" text="Load Aircraft">
      <formula>NOT(ISERROR(SEARCH("Load Aircraft",S17)))</formula>
    </cfRule>
    <cfRule type="cellIs" dxfId="40" priority="32" operator="lessThan">
      <formula>0</formula>
    </cfRule>
    <cfRule type="cellIs" dxfId="39" priority="42" operator="greaterThan">
      <formula>0</formula>
    </cfRule>
  </conditionalFormatting>
  <conditionalFormatting sqref="H45:K45">
    <cfRule type="cellIs" dxfId="38" priority="21" operator="greaterThan">
      <formula>6615</formula>
    </cfRule>
    <cfRule type="cellIs" dxfId="37" priority="22" operator="lessThan">
      <formula>4410</formula>
    </cfRule>
    <cfRule type="cellIs" dxfId="36" priority="23" operator="between">
      <formula>4410</formula>
      <formula>6615</formula>
    </cfRule>
  </conditionalFormatting>
  <conditionalFormatting sqref="F46:G46">
    <cfRule type="cellIs" dxfId="35" priority="18" operator="greaterThan">
      <formula>6615</formula>
    </cfRule>
    <cfRule type="cellIs" dxfId="34" priority="19" operator="lessThan">
      <formula>4410</formula>
    </cfRule>
    <cfRule type="cellIs" dxfId="33" priority="20" operator="between">
      <formula>4410</formula>
      <formula>6615</formula>
    </cfRule>
  </conditionalFormatting>
  <conditionalFormatting sqref="F25">
    <cfRule type="cellIs" dxfId="32" priority="17" operator="greaterThan">
      <formula>$E$25</formula>
    </cfRule>
  </conditionalFormatting>
  <conditionalFormatting sqref="F26">
    <cfRule type="cellIs" dxfId="31" priority="16" operator="greaterThan">
      <formula>$E$26</formula>
    </cfRule>
  </conditionalFormatting>
  <conditionalFormatting sqref="F27">
    <cfRule type="cellIs" dxfId="30" priority="15" operator="greaterThan">
      <formula>$E$27</formula>
    </cfRule>
  </conditionalFormatting>
  <conditionalFormatting sqref="F28">
    <cfRule type="cellIs" dxfId="29" priority="14" operator="greaterThan">
      <formula>$E$28</formula>
    </cfRule>
  </conditionalFormatting>
  <conditionalFormatting sqref="F29">
    <cfRule type="cellIs" dxfId="28" priority="13" operator="greaterThan">
      <formula>$E$29</formula>
    </cfRule>
  </conditionalFormatting>
  <conditionalFormatting sqref="F30">
    <cfRule type="cellIs" dxfId="27" priority="12" operator="greaterThan">
      <formula>$E$30</formula>
    </cfRule>
  </conditionalFormatting>
  <conditionalFormatting sqref="F31">
    <cfRule type="cellIs" dxfId="26" priority="11" operator="greaterThan">
      <formula>$E$31</formula>
    </cfRule>
  </conditionalFormatting>
  <conditionalFormatting sqref="F32">
    <cfRule type="cellIs" dxfId="25" priority="10" operator="greaterThan">
      <formula>$E$32</formula>
    </cfRule>
  </conditionalFormatting>
  <conditionalFormatting sqref="F33">
    <cfRule type="cellIs" dxfId="24" priority="9" operator="greaterThan">
      <formula>$E$33</formula>
    </cfRule>
  </conditionalFormatting>
  <conditionalFormatting sqref="F34">
    <cfRule type="cellIs" dxfId="23" priority="8" operator="greaterThan">
      <formula>$E$34</formula>
    </cfRule>
  </conditionalFormatting>
  <conditionalFormatting sqref="F35">
    <cfRule type="cellIs" dxfId="22" priority="7" operator="greaterThan">
      <formula>$E$35</formula>
    </cfRule>
  </conditionalFormatting>
  <conditionalFormatting sqref="F36">
    <cfRule type="cellIs" dxfId="21" priority="6" operator="greaterThan">
      <formula>$E$36</formula>
    </cfRule>
  </conditionalFormatting>
  <conditionalFormatting sqref="F37">
    <cfRule type="cellIs" dxfId="20" priority="5" operator="greaterThan">
      <formula>$E$37</formula>
    </cfRule>
  </conditionalFormatting>
  <conditionalFormatting sqref="F38">
    <cfRule type="cellIs" dxfId="19" priority="4" operator="greaterThan">
      <formula>$E$38</formula>
    </cfRule>
  </conditionalFormatting>
  <conditionalFormatting sqref="F39">
    <cfRule type="cellIs" dxfId="18" priority="3" operator="greaterThan">
      <formula>$E$39</formula>
    </cfRule>
  </conditionalFormatting>
  <conditionalFormatting sqref="F40">
    <cfRule type="cellIs" dxfId="17" priority="2" operator="greaterThan">
      <formula>$E$40</formula>
    </cfRule>
  </conditionalFormatting>
  <conditionalFormatting sqref="F41">
    <cfRule type="cellIs" dxfId="16" priority="1" operator="greaterThan">
      <formula>$E$41</formula>
    </cfRule>
  </conditionalFormatting>
  <dataValidations disablePrompts="1" count="1">
    <dataValidation type="decimal" operator="equal" allowBlank="1" showInputMessage="1" showErrorMessage="1" errorTitle="Alert!" error="Dry Operating weight is 71990 Lbs." sqref="E10:F10" xr:uid="{DBEE7E20-B6E2-4DDF-9D38-250BAD389F5F}">
      <formula1>181600</formula1>
    </dataValidation>
  </dataValidations>
  <printOptions horizontalCentered="1" verticalCentered="1"/>
  <pageMargins left="0.23622047244094491" right="0.23622047244094491" top="0.74803149606299213" bottom="0.74803149606299213" header="0.31496062992125984" footer="0.31496062992125984"/>
  <pageSetup paperSize="9" scale="46" orientation="portrait" r:id="rId1"/>
  <headerFooter>
    <oddHeader>&amp;L&amp;"-,Bold"&amp;24B767-200&amp;C&amp;"-,Bold"&amp;24LOAD SHEET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9D05A-A3D7-4D88-A31B-E154C4AE9E63}">
  <sheetPr codeName="Sheet8">
    <pageSetUpPr fitToPage="1"/>
  </sheetPr>
  <dimension ref="A1:XFC88"/>
  <sheetViews>
    <sheetView showGridLines="0" zoomScale="98" zoomScaleNormal="98" workbookViewId="0">
      <selection activeCell="J14" sqref="J14"/>
    </sheetView>
  </sheetViews>
  <sheetFormatPr defaultColWidth="0" defaultRowHeight="14.5" customHeight="1" zeroHeight="1" x14ac:dyDescent="0.35"/>
  <cols>
    <col min="1" max="1" width="2.81640625" style="225" customWidth="1"/>
    <col min="2" max="2" width="7.81640625" style="225" customWidth="1"/>
    <col min="3" max="3" width="13" style="225" customWidth="1"/>
    <col min="4" max="4" width="9.54296875" style="225" bestFit="1" customWidth="1"/>
    <col min="5" max="5" width="5.6328125" style="225" customWidth="1"/>
    <col min="6" max="6" width="9.6328125" style="225" bestFit="1" customWidth="1"/>
    <col min="7" max="7" width="8" style="225" bestFit="1" customWidth="1"/>
    <col min="8" max="8" width="10.6328125" style="225" bestFit="1" customWidth="1"/>
    <col min="9" max="9" width="10.36328125" style="225" bestFit="1" customWidth="1"/>
    <col min="10" max="10" width="14.6328125" style="225" bestFit="1" customWidth="1"/>
    <col min="11" max="11" width="12.6328125" style="225" bestFit="1" customWidth="1"/>
    <col min="12" max="12" width="10.6328125" style="225" bestFit="1" customWidth="1"/>
    <col min="13" max="13" width="9.26953125" style="225" bestFit="1" customWidth="1"/>
    <col min="14" max="14" width="8.90625" style="225" customWidth="1"/>
    <col min="15" max="15" width="9.08984375" style="225" customWidth="1"/>
    <col min="16" max="16" width="2.81640625" style="225" customWidth="1"/>
    <col min="17" max="21" width="0" style="225" hidden="1"/>
    <col min="22" max="16383" width="8.90625" style="225" hidden="1"/>
    <col min="16384" max="16384" width="51.1796875" style="225" hidden="1" customWidth="1"/>
  </cols>
  <sheetData>
    <row r="1" spans="2:17" ht="15" thickBot="1" x14ac:dyDescent="0.4">
      <c r="B1" s="224"/>
      <c r="C1" s="224"/>
      <c r="D1" s="224"/>
      <c r="E1" s="224"/>
      <c r="F1" s="224"/>
      <c r="G1" s="224"/>
      <c r="H1" s="224"/>
      <c r="I1" s="224"/>
      <c r="J1" s="224"/>
      <c r="K1" s="224"/>
      <c r="L1" s="224"/>
      <c r="M1" s="224"/>
      <c r="N1" s="224"/>
      <c r="O1" s="224"/>
    </row>
    <row r="2" spans="2:17" x14ac:dyDescent="0.35">
      <c r="B2" s="226" t="s">
        <v>0</v>
      </c>
      <c r="C2" s="227" t="s">
        <v>1</v>
      </c>
      <c r="D2" s="227" t="s">
        <v>2</v>
      </c>
      <c r="E2" s="227" t="s">
        <v>3</v>
      </c>
      <c r="F2" s="228" t="s">
        <v>4</v>
      </c>
      <c r="G2" s="11"/>
      <c r="H2" s="11"/>
      <c r="I2" s="11"/>
      <c r="J2" s="11"/>
      <c r="K2" s="11"/>
      <c r="L2" s="11"/>
      <c r="M2" s="802" t="s">
        <v>23423</v>
      </c>
      <c r="N2" s="803"/>
      <c r="O2" s="804"/>
    </row>
    <row r="3" spans="2:17" ht="15" thickBot="1" x14ac:dyDescent="0.4">
      <c r="B3" s="229" t="str">
        <f>'Load Sheet'!$D$3</f>
        <v/>
      </c>
      <c r="C3" s="230" t="str">
        <f>'Load Sheet'!$F$3</f>
        <v>B767-300</v>
      </c>
      <c r="D3" s="231" t="str">
        <f>'Load Sheet'!$B$3</f>
        <v>NBO</v>
      </c>
      <c r="E3" s="231" t="str">
        <f>'Load Sheet'!$C$3</f>
        <v>SHJ</v>
      </c>
      <c r="F3" s="232">
        <f>'Load Sheet'!$M$3</f>
        <v>45790</v>
      </c>
      <c r="G3" s="12"/>
      <c r="H3" s="12"/>
      <c r="I3" s="12"/>
      <c r="J3" s="12"/>
      <c r="K3" s="12"/>
      <c r="L3" s="12"/>
      <c r="M3" s="805"/>
      <c r="N3" s="806"/>
      <c r="O3" s="807"/>
    </row>
    <row r="4" spans="2:17" ht="15" thickBot="1" x14ac:dyDescent="0.4">
      <c r="B4" s="31"/>
      <c r="C4" s="32"/>
      <c r="D4" s="233" t="s">
        <v>23434</v>
      </c>
      <c r="E4" s="234" t="s">
        <v>11</v>
      </c>
      <c r="F4" s="234" t="s">
        <v>12</v>
      </c>
      <c r="G4" s="13"/>
      <c r="H4" s="13"/>
      <c r="I4" s="808" t="s">
        <v>114</v>
      </c>
      <c r="J4" s="809"/>
      <c r="K4" s="808" t="s">
        <v>23351</v>
      </c>
      <c r="L4" s="809"/>
      <c r="M4" s="14" t="s">
        <v>115</v>
      </c>
      <c r="N4" s="15" t="s">
        <v>7</v>
      </c>
      <c r="O4" s="16"/>
    </row>
    <row r="5" spans="2:17" ht="11.5" customHeight="1" x14ac:dyDescent="0.35">
      <c r="B5" s="810" t="s">
        <v>13</v>
      </c>
      <c r="C5" s="811"/>
      <c r="D5" s="235">
        <f>'Load Sheet'!$E$10</f>
        <v>181600</v>
      </c>
      <c r="E5" s="236"/>
      <c r="F5" s="237">
        <f>ROUND((((D5)*(-35.19))/200000)+75,1)</f>
        <v>43</v>
      </c>
      <c r="G5" s="13"/>
      <c r="H5" s="17" t="s">
        <v>116</v>
      </c>
      <c r="I5" s="812">
        <v>309000</v>
      </c>
      <c r="J5" s="813"/>
      <c r="K5" s="814">
        <f>IFERROR(IF('Load Sheet'!$G$56&gt;$I$5,"Weight Exceeded",'Load Sheet'!$G$56),0)</f>
        <v>278564</v>
      </c>
      <c r="L5" s="815"/>
      <c r="M5" s="18">
        <f>IFERROR(SUM(ROUND($F$13,1),ROUND($I$14,0)),0)</f>
        <v>65</v>
      </c>
      <c r="N5" s="349">
        <f>'INDEX n LBS Chart Build'!$AA$4</f>
        <v>0.21987503731543495</v>
      </c>
      <c r="O5" s="16"/>
    </row>
    <row r="6" spans="2:17" x14ac:dyDescent="0.35">
      <c r="B6" s="790" t="s">
        <v>14</v>
      </c>
      <c r="C6" s="791"/>
      <c r="D6" s="355">
        <f>'Load Sheet'!$E$11</f>
        <v>370</v>
      </c>
      <c r="E6" s="238">
        <f>IFERROR(ROUND((((D6)*(-912.5))/200000),1),0)</f>
        <v>-1.7</v>
      </c>
      <c r="F6" s="239"/>
      <c r="G6" s="13"/>
      <c r="H6" s="19" t="s">
        <v>117</v>
      </c>
      <c r="I6" s="792">
        <v>412000</v>
      </c>
      <c r="J6" s="793"/>
      <c r="K6" s="794">
        <f>IFERROR(IF('Load Sheet'!$G$68&gt;$I$6,"Weight Exceeded",'Load Sheet'!$G$68),0)</f>
        <v>387464</v>
      </c>
      <c r="L6" s="795"/>
      <c r="M6" s="20">
        <f>IFERROR(SUM(ROUND($F$13,1),ROUND($I$14,0),ROUND($O$10,2)),0)</f>
        <v>70.900000000000006</v>
      </c>
      <c r="N6" s="349">
        <f>'INDEX n LBS Chart Build'!$AA$5</f>
        <v>0.24119441833373698</v>
      </c>
      <c r="O6" s="21"/>
    </row>
    <row r="7" spans="2:17" ht="15" thickBot="1" x14ac:dyDescent="0.4">
      <c r="B7" s="796" t="s">
        <v>15</v>
      </c>
      <c r="C7" s="797"/>
      <c r="D7" s="240">
        <f>'Load Sheet'!$E$15</f>
        <v>370</v>
      </c>
      <c r="E7" s="238">
        <f>IFERROR(ROUND((((D7)*(-829.6))/200000),1),0)</f>
        <v>-1.5</v>
      </c>
      <c r="F7" s="241"/>
      <c r="G7" s="13"/>
      <c r="H7" s="22" t="s">
        <v>118</v>
      </c>
      <c r="I7" s="798">
        <v>326000</v>
      </c>
      <c r="J7" s="799"/>
      <c r="K7" s="800">
        <f>IFERROR(IF('Load Sheet'!$G$80&gt;$I$7,"Weight Exeeded",'Load Sheet'!$G$80),0)</f>
        <v>287464</v>
      </c>
      <c r="L7" s="801"/>
      <c r="M7" s="23">
        <f>ROUND(M5,1)+ROUND(O11,2)</f>
        <v>62.9</v>
      </c>
      <c r="N7" s="350">
        <f>'INDEX n LBS Chart Build'!$AA$6</f>
        <v>0.21465917709421201</v>
      </c>
      <c r="O7" s="21"/>
    </row>
    <row r="8" spans="2:17" ht="15" thickBot="1" x14ac:dyDescent="0.4">
      <c r="B8" s="776" t="s">
        <v>23250</v>
      </c>
      <c r="C8" s="777"/>
      <c r="D8" s="242">
        <f>'Load Sheet'!$E$16</f>
        <v>185</v>
      </c>
      <c r="E8" s="238">
        <f>IFERROR(ROUND((((D8)*(-873.6))/200000),1),0)</f>
        <v>-0.8</v>
      </c>
      <c r="F8" s="241"/>
      <c r="G8" s="13"/>
      <c r="H8" s="24"/>
      <c r="I8" s="13"/>
      <c r="J8" s="13"/>
      <c r="K8" s="243"/>
      <c r="L8" s="24"/>
      <c r="M8" s="24"/>
      <c r="N8" s="13"/>
      <c r="O8" s="21"/>
    </row>
    <row r="9" spans="2:17" ht="15" thickBot="1" x14ac:dyDescent="0.4">
      <c r="B9" s="778" t="s">
        <v>23306</v>
      </c>
      <c r="C9" s="779"/>
      <c r="D9" s="240">
        <f>'Load Sheet'!$E$12</f>
        <v>67</v>
      </c>
      <c r="E9" s="238">
        <f>IFERROR(ROUND((((D9)*(-834.6))/200000),1),0)</f>
        <v>-0.3</v>
      </c>
      <c r="F9" s="241"/>
      <c r="G9" s="13"/>
      <c r="H9" s="677" t="s">
        <v>23352</v>
      </c>
      <c r="I9" s="678"/>
      <c r="J9" s="679"/>
      <c r="K9" s="30"/>
      <c r="L9" s="24"/>
      <c r="M9" s="244" t="s">
        <v>23353</v>
      </c>
      <c r="N9" s="245" t="s">
        <v>112</v>
      </c>
      <c r="O9" s="246" t="s">
        <v>115</v>
      </c>
    </row>
    <row r="10" spans="2:17" ht="16.5" x14ac:dyDescent="0.35">
      <c r="B10" s="368" t="s">
        <v>23437</v>
      </c>
      <c r="C10" s="369"/>
      <c r="D10" s="240">
        <f>'Load Sheet'!$E$13</f>
        <v>67</v>
      </c>
      <c r="E10" s="238">
        <f>IFERROR(ROUND((((D10)*(-823.6))/200000),1),0)</f>
        <v>-0.3</v>
      </c>
      <c r="F10" s="241"/>
      <c r="G10" s="13"/>
      <c r="H10" s="247" t="s">
        <v>23354</v>
      </c>
      <c r="I10" s="788" t="s">
        <v>23438</v>
      </c>
      <c r="J10" s="789"/>
      <c r="K10" s="30"/>
      <c r="L10" s="13"/>
      <c r="M10" s="248" t="s">
        <v>23355</v>
      </c>
      <c r="N10" s="249">
        <f>IFERROR('Load Plan '!K9,0)</f>
        <v>108900</v>
      </c>
      <c r="O10" s="250" cm="1">
        <f t="array" ref="O10">SUM(ROUND('Load Sheet'!$T$81:$T$82,2))</f>
        <v>5.9</v>
      </c>
    </row>
    <row r="11" spans="2:17" ht="17" thickBot="1" x14ac:dyDescent="0.4">
      <c r="B11" s="778" t="s">
        <v>23247</v>
      </c>
      <c r="C11" s="779"/>
      <c r="D11" s="240">
        <f>'Load Sheet'!$E$14</f>
        <v>110</v>
      </c>
      <c r="E11" s="238">
        <f>IFERROR(ROUND((((D11)*(-745.6))/200000),1),0)</f>
        <v>-0.4</v>
      </c>
      <c r="F11" s="241"/>
      <c r="G11" s="13"/>
      <c r="H11" s="251" t="s">
        <v>113</v>
      </c>
      <c r="I11" s="784">
        <f>$N$6</f>
        <v>0.24119441833373698</v>
      </c>
      <c r="J11" s="785"/>
      <c r="K11" s="30"/>
      <c r="L11" s="13"/>
      <c r="M11" s="188" t="s">
        <v>23356</v>
      </c>
      <c r="N11" s="252">
        <f>IFERROR(N10-'Load Sheet'!S6,0)</f>
        <v>8900</v>
      </c>
      <c r="O11" s="253" cm="1">
        <f t="array" ref="O11">SUM(ROUND('Load Sheet'!$T$83:$T$84,2))</f>
        <v>-2.1</v>
      </c>
    </row>
    <row r="12" spans="2:17" ht="17" thickBot="1" x14ac:dyDescent="0.4">
      <c r="B12" s="778"/>
      <c r="C12" s="779"/>
      <c r="D12" s="240"/>
      <c r="E12" s="238"/>
      <c r="F12" s="241"/>
      <c r="G12" s="13"/>
      <c r="H12" s="254" t="s">
        <v>23357</v>
      </c>
      <c r="I12" s="786">
        <f>IFERROR(INDEX('Stab Trim Table'!$DV$16:$IM$156, MATCH(ROUND($I$11, 2),'Stab Trim Table'!$B$16:$B$156, 0), MATCH(MROUND(($K$6/2.205)/ 1000, 1),'Stab Trim Table'!$DV$15:$IM$15, 0) ), "" )</f>
        <v>4.4062669284338742</v>
      </c>
      <c r="J12" s="787"/>
      <c r="K12" s="30"/>
      <c r="L12" s="13"/>
      <c r="M12" s="13"/>
      <c r="N12" s="13"/>
      <c r="O12" s="21"/>
    </row>
    <row r="13" spans="2:17" ht="15" thickBot="1" x14ac:dyDescent="0.4">
      <c r="B13" s="780" t="s">
        <v>17</v>
      </c>
      <c r="C13" s="781"/>
      <c r="D13" s="781"/>
      <c r="E13" s="255"/>
      <c r="F13" s="256" cm="1">
        <f t="array" ref="F13">IFERROR(SUM(ROUND($F$5,1),ROUND($E$6:$E$12,1)),0)</f>
        <v>38.000000000000007</v>
      </c>
      <c r="G13" s="13"/>
      <c r="H13" s="13"/>
      <c r="I13" s="13"/>
      <c r="J13" s="13"/>
      <c r="K13" s="243"/>
      <c r="L13" s="13"/>
      <c r="M13" s="13"/>
      <c r="N13" s="13"/>
      <c r="O13" s="21"/>
    </row>
    <row r="14" spans="2:17" ht="21.5" thickBot="1" x14ac:dyDescent="0.4">
      <c r="B14" s="27"/>
      <c r="C14"/>
      <c r="D14"/>
      <c r="E14" s="13"/>
      <c r="F14" s="28"/>
      <c r="G14" s="29"/>
      <c r="H14" s="25" t="s">
        <v>23358</v>
      </c>
      <c r="I14" s="26">
        <f>IFERROR(SUM('Load Sheet'!$P$44:$Q$45),0)</f>
        <v>27</v>
      </c>
      <c r="J14" s="29"/>
      <c r="K14" s="29"/>
      <c r="L14" s="13"/>
      <c r="M14" s="13"/>
      <c r="N14" s="13"/>
      <c r="O14" s="21"/>
    </row>
    <row r="15" spans="2:17" x14ac:dyDescent="0.35">
      <c r="B15" s="27"/>
      <c r="C15"/>
      <c r="D15"/>
      <c r="E15" s="13"/>
      <c r="F15" s="13"/>
      <c r="G15" s="29"/>
      <c r="H15" s="257" t="s">
        <v>116</v>
      </c>
      <c r="I15" s="258">
        <v>93899</v>
      </c>
      <c r="J15" s="29"/>
      <c r="K15" s="259"/>
      <c r="L15" s="13"/>
      <c r="M15" s="13"/>
      <c r="N15" s="13"/>
      <c r="O15" s="21"/>
    </row>
    <row r="16" spans="2:17" x14ac:dyDescent="0.35">
      <c r="B16" s="27"/>
      <c r="C16"/>
      <c r="D16"/>
      <c r="E16" s="13"/>
      <c r="F16" s="13"/>
      <c r="G16" s="29"/>
      <c r="H16" s="260" t="s">
        <v>117</v>
      </c>
      <c r="I16" s="258">
        <v>115899</v>
      </c>
      <c r="J16" s="29"/>
      <c r="K16" s="259"/>
      <c r="L16" s="13"/>
      <c r="M16" s="13"/>
      <c r="N16" s="13"/>
      <c r="O16" s="21"/>
      <c r="Q16" s="261"/>
    </row>
    <row r="17" spans="2:21" x14ac:dyDescent="0.35">
      <c r="B17" s="262"/>
      <c r="C17" s="30"/>
      <c r="D17" s="30"/>
      <c r="E17" s="243"/>
      <c r="F17" s="243"/>
      <c r="G17" s="29"/>
      <c r="H17" s="263" t="s">
        <v>118</v>
      </c>
      <c r="I17" s="258">
        <v>109699</v>
      </c>
      <c r="J17" s="29"/>
      <c r="K17" s="259"/>
      <c r="L17" s="243"/>
      <c r="M17" s="243"/>
      <c r="N17" s="243"/>
      <c r="O17" s="264"/>
    </row>
    <row r="18" spans="2:21" x14ac:dyDescent="0.35">
      <c r="B18" s="262"/>
      <c r="C18" s="30"/>
      <c r="D18" s="30"/>
      <c r="E18" s="243"/>
      <c r="F18" s="243"/>
      <c r="G18" s="29"/>
      <c r="H18" s="782"/>
      <c r="I18" s="782"/>
      <c r="J18" s="29"/>
      <c r="K18" s="259"/>
      <c r="L18" s="243"/>
      <c r="M18" s="243"/>
      <c r="N18" s="243"/>
      <c r="O18" s="264"/>
    </row>
    <row r="19" spans="2:21" x14ac:dyDescent="0.35">
      <c r="B19" s="262"/>
      <c r="C19" s="30"/>
      <c r="D19" s="30"/>
      <c r="E19" s="243"/>
      <c r="F19" s="243"/>
      <c r="G19" s="29"/>
      <c r="H19" s="29"/>
      <c r="I19" s="29"/>
      <c r="J19" s="29"/>
      <c r="K19" s="29"/>
      <c r="L19" s="243"/>
      <c r="M19" s="243"/>
      <c r="N19" s="243"/>
      <c r="O19" s="264"/>
    </row>
    <row r="20" spans="2:21" x14ac:dyDescent="0.35">
      <c r="B20" s="262"/>
      <c r="C20" s="30"/>
      <c r="D20" s="30"/>
      <c r="E20" s="243"/>
      <c r="F20" s="243"/>
      <c r="G20" s="30"/>
      <c r="H20" s="30"/>
      <c r="I20" s="30"/>
      <c r="J20" s="30"/>
      <c r="K20" s="30"/>
      <c r="L20" s="30"/>
      <c r="M20" s="30"/>
      <c r="N20" s="243"/>
      <c r="O20" s="264"/>
    </row>
    <row r="21" spans="2:21" x14ac:dyDescent="0.35">
      <c r="B21" s="262"/>
      <c r="C21" s="30"/>
      <c r="D21" s="30"/>
      <c r="E21" s="243"/>
      <c r="F21" s="243"/>
      <c r="G21" s="30"/>
      <c r="H21" s="30"/>
      <c r="I21" s="30"/>
      <c r="J21" s="30"/>
      <c r="K21" s="30"/>
      <c r="L21" s="30"/>
      <c r="M21" s="30"/>
      <c r="N21" s="243"/>
      <c r="O21" s="264"/>
      <c r="U21" s="265"/>
    </row>
    <row r="22" spans="2:21" x14ac:dyDescent="0.35">
      <c r="B22" s="262"/>
      <c r="C22" s="30"/>
      <c r="D22" s="30"/>
      <c r="E22" s="243"/>
      <c r="F22" s="243"/>
      <c r="G22" s="30"/>
      <c r="H22" s="30"/>
      <c r="I22" s="30"/>
      <c r="J22" s="30"/>
      <c r="K22" s="30"/>
      <c r="L22" s="30"/>
      <c r="M22" s="30"/>
      <c r="N22" s="243"/>
      <c r="O22" s="264"/>
    </row>
    <row r="23" spans="2:21" x14ac:dyDescent="0.35">
      <c r="B23" s="262"/>
      <c r="C23" s="30"/>
      <c r="D23" s="30"/>
      <c r="E23" s="243"/>
      <c r="F23" s="243"/>
      <c r="G23" s="30"/>
      <c r="H23" s="30"/>
      <c r="I23" s="30"/>
      <c r="J23" s="30"/>
      <c r="K23" s="30"/>
      <c r="L23" s="30"/>
      <c r="M23" s="30"/>
      <c r="N23" s="243"/>
      <c r="O23" s="264"/>
    </row>
    <row r="24" spans="2:21" x14ac:dyDescent="0.35">
      <c r="B24" s="262"/>
      <c r="C24" s="30"/>
      <c r="D24" s="30"/>
      <c r="E24" s="243"/>
      <c r="F24" s="243"/>
      <c r="G24" s="243"/>
      <c r="H24" s="243"/>
      <c r="I24" s="243"/>
      <c r="J24" s="243"/>
      <c r="K24" s="243"/>
      <c r="L24" s="243"/>
      <c r="M24" s="243"/>
      <c r="N24" s="243"/>
      <c r="O24" s="264"/>
    </row>
    <row r="25" spans="2:21" x14ac:dyDescent="0.35">
      <c r="B25" s="262"/>
      <c r="C25" s="30"/>
      <c r="D25" s="30"/>
      <c r="E25" s="243"/>
      <c r="F25" s="243"/>
      <c r="G25" s="30"/>
      <c r="H25" s="30"/>
      <c r="I25" s="30"/>
      <c r="J25" s="243"/>
      <c r="K25" s="30"/>
      <c r="L25" s="30"/>
      <c r="M25" s="30"/>
      <c r="N25" s="243"/>
      <c r="O25" s="264"/>
    </row>
    <row r="26" spans="2:21" x14ac:dyDescent="0.35">
      <c r="B26" s="262"/>
      <c r="C26" s="30"/>
      <c r="D26" s="30"/>
      <c r="E26" s="243"/>
      <c r="F26" s="243"/>
      <c r="G26" s="30"/>
      <c r="H26" s="30"/>
      <c r="I26" s="30"/>
      <c r="J26" s="243"/>
      <c r="K26" s="30"/>
      <c r="L26" s="30"/>
      <c r="M26" s="30"/>
      <c r="N26" s="243"/>
      <c r="O26" s="264"/>
    </row>
    <row r="27" spans="2:21" x14ac:dyDescent="0.35">
      <c r="B27" s="262"/>
      <c r="C27" s="30"/>
      <c r="D27" s="30"/>
      <c r="E27" s="243"/>
      <c r="F27" s="243"/>
      <c r="G27" s="30"/>
      <c r="H27" s="30"/>
      <c r="I27" s="30"/>
      <c r="J27" s="243"/>
      <c r="K27" s="30"/>
      <c r="L27" s="30"/>
      <c r="M27" s="30"/>
      <c r="N27" s="259"/>
      <c r="O27" s="266"/>
    </row>
    <row r="28" spans="2:21" ht="16.5" x14ac:dyDescent="0.35">
      <c r="B28" s="262"/>
      <c r="C28" s="30"/>
      <c r="D28" s="30"/>
      <c r="E28" s="243"/>
      <c r="F28" s="267"/>
      <c r="G28" s="30"/>
      <c r="H28" s="30"/>
      <c r="I28" s="30"/>
      <c r="J28" s="243"/>
      <c r="K28" s="268"/>
      <c r="L28" s="269"/>
      <c r="M28" s="259"/>
      <c r="N28" s="259"/>
      <c r="O28" s="266"/>
    </row>
    <row r="29" spans="2:21" x14ac:dyDescent="0.35">
      <c r="B29" s="262"/>
      <c r="C29" s="30"/>
      <c r="D29" s="30"/>
      <c r="E29" s="243"/>
      <c r="F29" s="267"/>
      <c r="G29" s="243"/>
      <c r="H29" s="29" t="s">
        <v>11996</v>
      </c>
      <c r="I29" s="260" t="s">
        <v>11996</v>
      </c>
      <c r="J29" s="243"/>
      <c r="K29" s="259"/>
      <c r="L29" s="259"/>
      <c r="M29" s="259"/>
      <c r="N29" s="259"/>
      <c r="O29" s="266"/>
      <c r="T29" s="265"/>
    </row>
    <row r="30" spans="2:21" x14ac:dyDescent="0.35">
      <c r="B30" s="262"/>
      <c r="C30" s="30"/>
      <c r="D30" s="30"/>
      <c r="E30" s="362"/>
      <c r="F30" s="243"/>
      <c r="G30" s="24"/>
      <c r="H30" s="24"/>
      <c r="I30" s="24"/>
      <c r="J30" s="24"/>
      <c r="K30" s="24"/>
      <c r="L30" s="24"/>
      <c r="M30" s="24"/>
      <c r="N30" s="24"/>
      <c r="O30" s="270"/>
    </row>
    <row r="31" spans="2:21" x14ac:dyDescent="0.35">
      <c r="B31" s="262"/>
      <c r="C31" s="30"/>
      <c r="D31" s="30"/>
      <c r="E31" s="259"/>
      <c r="F31" s="243"/>
      <c r="G31" s="24"/>
      <c r="H31" s="24"/>
      <c r="I31" s="24"/>
      <c r="J31" s="24"/>
      <c r="K31" s="24"/>
      <c r="L31" s="24"/>
      <c r="M31" s="24"/>
      <c r="N31" s="24"/>
      <c r="O31" s="270"/>
    </row>
    <row r="32" spans="2:21" x14ac:dyDescent="0.35">
      <c r="B32" s="262"/>
      <c r="C32" s="30"/>
      <c r="D32" s="30"/>
      <c r="E32" s="259"/>
      <c r="F32" s="243"/>
      <c r="G32" s="24"/>
      <c r="H32" s="24"/>
      <c r="I32" s="24"/>
      <c r="J32" s="24"/>
      <c r="K32" s="24"/>
      <c r="L32" s="24"/>
      <c r="M32" s="24"/>
      <c r="N32" s="24"/>
      <c r="O32" s="270"/>
    </row>
    <row r="33" spans="2:15" x14ac:dyDescent="0.35">
      <c r="B33" s="262"/>
      <c r="C33" s="243"/>
      <c r="D33" s="243"/>
      <c r="E33" s="243"/>
      <c r="F33" s="243"/>
      <c r="G33" s="24"/>
      <c r="H33" s="24"/>
      <c r="I33" s="24"/>
      <c r="J33" s="24"/>
      <c r="K33" s="24"/>
      <c r="L33" s="13"/>
      <c r="M33" s="13"/>
      <c r="N33" s="13"/>
      <c r="O33" s="270"/>
    </row>
    <row r="34" spans="2:15" x14ac:dyDescent="0.35">
      <c r="B34" s="262"/>
      <c r="C34" s="259"/>
      <c r="D34" s="259"/>
      <c r="E34" s="363"/>
      <c r="F34" s="364"/>
      <c r="G34" s="13"/>
      <c r="H34" s="13"/>
      <c r="I34" s="13"/>
      <c r="J34" s="13"/>
      <c r="K34" s="13"/>
      <c r="L34" s="13"/>
      <c r="M34" s="13"/>
      <c r="N34" s="13"/>
      <c r="O34" s="270"/>
    </row>
    <row r="35" spans="2:15" x14ac:dyDescent="0.35">
      <c r="B35" s="262"/>
      <c r="C35" s="259"/>
      <c r="D35" s="259"/>
      <c r="E35" s="363"/>
      <c r="F35" s="364"/>
      <c r="G35" s="13"/>
      <c r="H35" s="13"/>
      <c r="I35" s="13"/>
      <c r="J35" s="13"/>
      <c r="K35" s="13"/>
      <c r="L35" s="13"/>
      <c r="M35" s="24"/>
      <c r="N35" s="24"/>
      <c r="O35" s="270"/>
    </row>
    <row r="36" spans="2:15" x14ac:dyDescent="0.35">
      <c r="B36" s="262"/>
      <c r="C36" s="243"/>
      <c r="D36" s="243"/>
      <c r="E36" s="783"/>
      <c r="F36" s="364"/>
      <c r="G36" s="24"/>
      <c r="H36" s="24"/>
      <c r="I36" s="24"/>
      <c r="J36" s="24"/>
      <c r="K36" s="24"/>
      <c r="L36" s="24"/>
      <c r="M36" s="24"/>
      <c r="N36" s="24"/>
      <c r="O36" s="21"/>
    </row>
    <row r="37" spans="2:15" x14ac:dyDescent="0.35">
      <c r="B37" s="262"/>
      <c r="C37" s="243"/>
      <c r="D37" s="243"/>
      <c r="E37" s="783"/>
      <c r="F37" s="364"/>
      <c r="G37" s="24"/>
      <c r="H37" s="24"/>
      <c r="I37" s="24"/>
      <c r="J37" s="24"/>
      <c r="K37" s="24"/>
      <c r="L37" s="24"/>
      <c r="M37" s="13"/>
      <c r="N37" s="13"/>
      <c r="O37" s="21"/>
    </row>
    <row r="38" spans="2:15" x14ac:dyDescent="0.35">
      <c r="B38" s="365"/>
      <c r="C38" s="363"/>
      <c r="D38" s="364"/>
      <c r="E38" s="783"/>
      <c r="F38" s="364"/>
      <c r="G38" s="13"/>
      <c r="H38" s="13"/>
      <c r="I38" s="13"/>
      <c r="J38" s="13"/>
      <c r="K38" s="13"/>
      <c r="L38" s="13"/>
      <c r="M38" s="13"/>
      <c r="N38" s="13"/>
      <c r="O38" s="21"/>
    </row>
    <row r="39" spans="2:15" x14ac:dyDescent="0.35">
      <c r="B39" s="273"/>
      <c r="C39" s="271"/>
      <c r="D39" s="272"/>
      <c r="E39" s="272"/>
      <c r="F39" s="13"/>
      <c r="G39" s="13"/>
      <c r="H39" s="13"/>
      <c r="I39" s="13"/>
      <c r="J39" s="13"/>
      <c r="K39" s="13"/>
      <c r="L39" s="13"/>
      <c r="M39" s="13"/>
      <c r="N39" s="13"/>
      <c r="O39" s="21"/>
    </row>
    <row r="40" spans="2:15" x14ac:dyDescent="0.35">
      <c r="B40" s="273"/>
      <c r="C40" s="775"/>
      <c r="D40" s="272"/>
      <c r="E40" s="272"/>
      <c r="F40" s="13"/>
      <c r="G40" s="13"/>
      <c r="H40" s="13"/>
      <c r="I40" s="13"/>
      <c r="J40" s="13"/>
      <c r="K40" s="13"/>
      <c r="L40" s="13"/>
      <c r="M40" s="13"/>
      <c r="N40" s="13"/>
      <c r="O40" s="21"/>
    </row>
    <row r="41" spans="2:15" x14ac:dyDescent="0.35">
      <c r="B41" s="273"/>
      <c r="C41" s="775"/>
      <c r="D41" s="272"/>
      <c r="E41" s="272"/>
      <c r="F41" s="13"/>
      <c r="G41" s="13"/>
      <c r="H41" s="13"/>
      <c r="I41" s="13"/>
      <c r="J41" s="13"/>
      <c r="K41" s="13"/>
      <c r="L41" s="13"/>
      <c r="M41" s="13"/>
      <c r="N41" s="13"/>
      <c r="O41" s="21"/>
    </row>
    <row r="42" spans="2:15" x14ac:dyDescent="0.35">
      <c r="B42" s="273"/>
      <c r="C42" s="775"/>
      <c r="D42" s="272"/>
      <c r="E42" s="272"/>
      <c r="F42" s="13"/>
      <c r="G42" s="13"/>
      <c r="H42" s="272"/>
      <c r="I42" s="13"/>
      <c r="J42" s="272"/>
      <c r="K42" s="13"/>
      <c r="L42" s="13"/>
      <c r="M42" s="13"/>
      <c r="N42" s="13"/>
      <c r="O42" s="21"/>
    </row>
    <row r="43" spans="2:15" x14ac:dyDescent="0.35">
      <c r="B43" s="774"/>
      <c r="C43" s="775"/>
      <c r="D43" s="272"/>
      <c r="E43" s="272"/>
      <c r="F43" s="13"/>
      <c r="G43" s="13"/>
      <c r="H43" s="272"/>
      <c r="I43" s="13"/>
      <c r="J43" s="272"/>
      <c r="K43" s="13"/>
      <c r="L43" s="13"/>
      <c r="M43" s="13"/>
      <c r="N43" s="13"/>
      <c r="O43" s="21"/>
    </row>
    <row r="44" spans="2:15" x14ac:dyDescent="0.35">
      <c r="B44" s="774"/>
      <c r="C44" s="775"/>
      <c r="D44" s="272"/>
      <c r="E44" s="272"/>
      <c r="F44" s="13"/>
      <c r="G44" s="13"/>
      <c r="H44" s="272"/>
      <c r="I44" s="13"/>
      <c r="J44" s="272"/>
      <c r="K44" s="13"/>
      <c r="L44" s="13"/>
      <c r="M44" s="13"/>
      <c r="N44" s="13"/>
      <c r="O44" s="21"/>
    </row>
    <row r="45" spans="2:15" x14ac:dyDescent="0.35">
      <c r="B45" s="774"/>
      <c r="C45" s="775"/>
      <c r="D45" s="272"/>
      <c r="E45" s="272"/>
      <c r="F45" s="13"/>
      <c r="G45" s="13"/>
      <c r="H45" s="272"/>
      <c r="I45" s="13"/>
      <c r="J45" s="272"/>
      <c r="K45" s="13"/>
      <c r="L45" s="13"/>
      <c r="M45" s="13"/>
      <c r="N45" s="13"/>
      <c r="O45" s="21"/>
    </row>
    <row r="46" spans="2:15" x14ac:dyDescent="0.35">
      <c r="B46" s="774"/>
      <c r="C46" s="775"/>
      <c r="D46" s="272"/>
      <c r="E46" s="272"/>
      <c r="F46" s="272"/>
      <c r="G46" s="272"/>
      <c r="H46" s="272"/>
      <c r="I46" s="272"/>
      <c r="J46" s="272"/>
      <c r="K46" s="13"/>
      <c r="L46" s="13"/>
      <c r="M46" s="13"/>
      <c r="N46" s="13"/>
      <c r="O46" s="21"/>
    </row>
    <row r="47" spans="2:15" x14ac:dyDescent="0.35">
      <c r="B47" s="774"/>
      <c r="C47" s="775"/>
      <c r="D47" s="272"/>
      <c r="E47" s="272"/>
      <c r="F47" s="272"/>
      <c r="G47" s="272"/>
      <c r="H47" s="272"/>
      <c r="I47" s="272"/>
      <c r="J47" s="272"/>
      <c r="K47" s="13"/>
      <c r="L47" s="13"/>
      <c r="M47" s="13"/>
      <c r="N47" s="13"/>
      <c r="O47" s="21"/>
    </row>
    <row r="48" spans="2:15" x14ac:dyDescent="0.35">
      <c r="B48" s="774"/>
      <c r="C48" s="775"/>
      <c r="D48" s="272"/>
      <c r="E48" s="272"/>
      <c r="F48" s="272"/>
      <c r="G48" s="272"/>
      <c r="H48" s="272"/>
      <c r="I48" s="272"/>
      <c r="J48" s="272"/>
      <c r="K48" s="13"/>
      <c r="L48" s="13"/>
      <c r="M48" s="13"/>
      <c r="N48" s="13"/>
      <c r="O48" s="21"/>
    </row>
    <row r="49" spans="2:15" x14ac:dyDescent="0.35">
      <c r="B49" s="774"/>
      <c r="C49" s="775"/>
      <c r="D49" s="272"/>
      <c r="E49" s="272"/>
      <c r="F49" s="272"/>
      <c r="G49" s="272"/>
      <c r="H49" s="272"/>
      <c r="I49" s="272"/>
      <c r="J49" s="272"/>
      <c r="K49" s="13"/>
      <c r="L49" s="13"/>
      <c r="M49" s="13"/>
      <c r="N49" s="13"/>
      <c r="O49" s="21"/>
    </row>
    <row r="50" spans="2:15" x14ac:dyDescent="0.35">
      <c r="B50" s="774"/>
      <c r="C50" s="775"/>
      <c r="D50" s="272"/>
      <c r="E50" s="272"/>
      <c r="F50" s="272"/>
      <c r="G50" s="272"/>
      <c r="H50" s="272"/>
      <c r="I50" s="272"/>
      <c r="J50" s="272"/>
      <c r="K50" s="13"/>
      <c r="L50" s="13"/>
      <c r="M50" s="13"/>
      <c r="N50" s="13"/>
      <c r="O50" s="21"/>
    </row>
    <row r="51" spans="2:15" x14ac:dyDescent="0.35">
      <c r="B51" s="774"/>
      <c r="C51" s="775"/>
      <c r="D51" s="272"/>
      <c r="E51" s="272"/>
      <c r="F51" s="272"/>
      <c r="G51" s="272"/>
      <c r="H51" s="272"/>
      <c r="I51" s="272"/>
      <c r="J51" s="272"/>
      <c r="K51" s="13"/>
      <c r="L51" s="13"/>
      <c r="M51" s="13"/>
      <c r="N51" s="13"/>
      <c r="O51" s="21"/>
    </row>
    <row r="52" spans="2:15" x14ac:dyDescent="0.35">
      <c r="B52" s="774"/>
      <c r="C52" s="775"/>
      <c r="D52" s="272"/>
      <c r="E52" s="272"/>
      <c r="F52" s="272"/>
      <c r="G52" s="272"/>
      <c r="H52" s="272"/>
      <c r="I52" s="272"/>
      <c r="J52" s="272"/>
      <c r="K52" s="13"/>
      <c r="L52" s="13"/>
      <c r="M52" s="13"/>
      <c r="N52" s="13"/>
      <c r="O52" s="21"/>
    </row>
    <row r="53" spans="2:15" x14ac:dyDescent="0.35">
      <c r="B53" s="774"/>
      <c r="C53" s="775"/>
      <c r="D53" s="272"/>
      <c r="E53" s="272"/>
      <c r="F53" s="272"/>
      <c r="G53" s="272"/>
      <c r="H53" s="272"/>
      <c r="I53" s="272"/>
      <c r="J53" s="272"/>
      <c r="K53" s="13"/>
      <c r="L53" s="13"/>
      <c r="M53" s="13"/>
      <c r="N53" s="13"/>
      <c r="O53" s="21"/>
    </row>
    <row r="54" spans="2:15" x14ac:dyDescent="0.35">
      <c r="B54" s="774"/>
      <c r="C54" s="775"/>
      <c r="D54" s="272"/>
      <c r="E54" s="272"/>
      <c r="F54" s="272"/>
      <c r="G54" s="272"/>
      <c r="H54" s="272"/>
      <c r="I54" s="272"/>
      <c r="J54" s="272"/>
      <c r="K54" s="13"/>
      <c r="L54" s="13"/>
      <c r="M54" s="13"/>
      <c r="N54" s="13"/>
      <c r="O54" s="21"/>
    </row>
    <row r="55" spans="2:15" x14ac:dyDescent="0.35">
      <c r="B55" s="774"/>
      <c r="C55" s="775"/>
      <c r="D55" s="272"/>
      <c r="E55" s="272"/>
      <c r="F55" s="272"/>
      <c r="G55" s="272"/>
      <c r="H55" s="272"/>
      <c r="I55" s="272"/>
      <c r="J55" s="272"/>
      <c r="K55" s="13"/>
      <c r="L55" s="13"/>
      <c r="M55" s="13"/>
      <c r="N55" s="13"/>
      <c r="O55" s="21"/>
    </row>
    <row r="56" spans="2:15" x14ac:dyDescent="0.35">
      <c r="B56" s="774"/>
      <c r="C56" s="775"/>
      <c r="D56" s="272"/>
      <c r="E56" s="272"/>
      <c r="F56" s="272"/>
      <c r="G56" s="272"/>
      <c r="H56" s="272"/>
      <c r="I56" s="272"/>
      <c r="J56" s="272"/>
      <c r="K56" s="13"/>
      <c r="L56" s="13"/>
      <c r="M56" s="13"/>
      <c r="N56" s="13"/>
      <c r="O56" s="21"/>
    </row>
    <row r="57" spans="2:15" x14ac:dyDescent="0.35">
      <c r="B57" s="774"/>
      <c r="C57" s="775"/>
      <c r="D57" s="272"/>
      <c r="E57" s="272"/>
      <c r="F57" s="272"/>
      <c r="G57" s="272"/>
      <c r="H57" s="272"/>
      <c r="I57" s="272"/>
      <c r="J57" s="272"/>
      <c r="K57" s="13"/>
      <c r="L57" s="13"/>
      <c r="M57" s="13"/>
      <c r="N57" s="13"/>
      <c r="O57" s="21"/>
    </row>
    <row r="58" spans="2:15" x14ac:dyDescent="0.35">
      <c r="B58" s="27"/>
      <c r="C58" s="13"/>
      <c r="D58" s="13"/>
      <c r="E58" s="13"/>
      <c r="F58" s="13"/>
      <c r="G58" s="13"/>
      <c r="H58" s="13"/>
      <c r="I58" s="13"/>
      <c r="J58" s="13"/>
      <c r="K58" s="13"/>
      <c r="L58" s="13"/>
      <c r="M58" s="13"/>
      <c r="N58" s="13"/>
      <c r="O58" s="21"/>
    </row>
    <row r="59" spans="2:15" ht="15" thickBot="1" x14ac:dyDescent="0.4">
      <c r="B59" s="27"/>
      <c r="C59" s="13"/>
      <c r="D59" s="13"/>
      <c r="E59" s="13"/>
      <c r="F59" s="13"/>
      <c r="G59" s="13"/>
      <c r="H59" s="13"/>
      <c r="I59" s="13"/>
      <c r="J59" s="13"/>
      <c r="K59" s="13"/>
      <c r="L59" s="13"/>
      <c r="M59" s="13"/>
      <c r="N59" s="13"/>
      <c r="O59" s="21"/>
    </row>
    <row r="60" spans="2:15" x14ac:dyDescent="0.35">
      <c r="B60" s="758" t="s">
        <v>23359</v>
      </c>
      <c r="C60" s="759"/>
      <c r="D60" s="759"/>
      <c r="E60" s="759"/>
      <c r="F60" s="759"/>
      <c r="G60" s="762" t="s">
        <v>186</v>
      </c>
      <c r="H60" s="762"/>
      <c r="I60" s="762"/>
      <c r="J60" s="762"/>
      <c r="K60" s="762"/>
      <c r="L60" s="764" t="s">
        <v>23360</v>
      </c>
      <c r="M60" s="764"/>
      <c r="N60" s="764"/>
      <c r="O60" s="765"/>
    </row>
    <row r="61" spans="2:15" ht="15" thickBot="1" x14ac:dyDescent="0.4">
      <c r="B61" s="760"/>
      <c r="C61" s="761"/>
      <c r="D61" s="761"/>
      <c r="E61" s="761"/>
      <c r="F61" s="761"/>
      <c r="G61" s="763"/>
      <c r="H61" s="763"/>
      <c r="I61" s="763"/>
      <c r="J61" s="763"/>
      <c r="K61" s="763"/>
      <c r="L61" s="766"/>
      <c r="M61" s="766"/>
      <c r="N61" s="766"/>
      <c r="O61" s="767"/>
    </row>
    <row r="62" spans="2:15" x14ac:dyDescent="0.35">
      <c r="B62" s="752" t="str">
        <f>'Load Plan '!$B$2</f>
        <v>CAPTAIN</v>
      </c>
      <c r="C62" s="752"/>
      <c r="D62" s="752"/>
      <c r="E62" s="752"/>
      <c r="F62" s="752"/>
      <c r="G62" s="768" t="str">
        <f>IF('Load Plan '!$C$2="","",'Load Plan '!$C$2)</f>
        <v/>
      </c>
      <c r="H62" s="769"/>
      <c r="I62" s="769"/>
      <c r="J62" s="769"/>
      <c r="K62" s="770"/>
      <c r="L62" s="771"/>
      <c r="M62" s="772"/>
      <c r="N62" s="772"/>
      <c r="O62" s="773"/>
    </row>
    <row r="63" spans="2:15" x14ac:dyDescent="0.35">
      <c r="B63" s="751" t="str">
        <f>'Load Plan '!$B$3</f>
        <v>FIRST OFFICER</v>
      </c>
      <c r="C63" s="751"/>
      <c r="D63" s="751"/>
      <c r="E63" s="751"/>
      <c r="F63" s="751"/>
      <c r="G63" s="752" t="str">
        <f>IF('Load Plan '!$C$3="","",'Load Plan '!$C$3)</f>
        <v/>
      </c>
      <c r="H63" s="752"/>
      <c r="I63" s="752"/>
      <c r="J63" s="752"/>
      <c r="K63" s="752"/>
      <c r="L63" s="753"/>
      <c r="M63" s="753"/>
      <c r="N63" s="753"/>
      <c r="O63" s="754"/>
    </row>
    <row r="64" spans="2:15" ht="15" thickBot="1" x14ac:dyDescent="0.4">
      <c r="B64" s="755" t="str">
        <f>'Load Plan '!$B$4</f>
        <v>Load Master</v>
      </c>
      <c r="C64" s="755"/>
      <c r="D64" s="755"/>
      <c r="E64" s="755"/>
      <c r="F64" s="755"/>
      <c r="G64" s="752" t="str">
        <f>IF('Load Plan '!$C$4="","",'Load Plan '!$C$4)</f>
        <v/>
      </c>
      <c r="H64" s="752"/>
      <c r="I64" s="752"/>
      <c r="J64" s="752"/>
      <c r="K64" s="752"/>
      <c r="L64" s="756"/>
      <c r="M64" s="756"/>
      <c r="N64" s="756"/>
      <c r="O64" s="757"/>
    </row>
    <row r="65" spans="2:15" ht="15" thickBot="1" x14ac:dyDescent="0.4">
      <c r="B65" s="274"/>
      <c r="C65" s="275"/>
      <c r="D65" s="275"/>
      <c r="E65" s="275"/>
      <c r="F65" s="275"/>
      <c r="G65" s="32"/>
      <c r="H65" s="32"/>
      <c r="I65" s="32"/>
      <c r="J65" s="32"/>
      <c r="K65" s="32"/>
      <c r="L65" s="32"/>
      <c r="M65" s="32"/>
      <c r="N65" s="32"/>
      <c r="O65" s="33"/>
    </row>
    <row r="66" spans="2:15" hidden="1" x14ac:dyDescent="0.35">
      <c r="B66" s="276"/>
      <c r="C66" s="276"/>
      <c r="D66" s="277"/>
      <c r="E66" s="277"/>
      <c r="F66" s="277"/>
      <c r="G66" s="277"/>
      <c r="H66" s="277"/>
      <c r="I66" s="277"/>
      <c r="J66" s="277"/>
      <c r="K66" s="224"/>
      <c r="L66" s="224"/>
      <c r="M66" s="224"/>
      <c r="N66" s="224"/>
      <c r="O66" s="224"/>
    </row>
    <row r="67" spans="2:15" hidden="1" x14ac:dyDescent="0.35">
      <c r="B67" s="276"/>
      <c r="C67" s="224"/>
      <c r="D67" s="277"/>
      <c r="E67" s="277"/>
      <c r="F67" s="277"/>
      <c r="G67" s="277"/>
      <c r="H67" s="277"/>
      <c r="I67" s="277"/>
      <c r="J67" s="277"/>
      <c r="K67" s="224"/>
      <c r="L67" s="224"/>
      <c r="M67" s="224"/>
      <c r="N67" s="224"/>
      <c r="O67" s="224"/>
    </row>
    <row r="68" spans="2:15" hidden="1" x14ac:dyDescent="0.35">
      <c r="B68" s="276"/>
      <c r="C68" s="224"/>
      <c r="D68" s="277"/>
      <c r="E68" s="277"/>
      <c r="F68" s="277"/>
      <c r="G68" s="277"/>
      <c r="H68" s="277"/>
      <c r="I68" s="277"/>
      <c r="J68" s="277"/>
      <c r="K68" s="224"/>
      <c r="L68" s="224"/>
      <c r="M68" s="224"/>
      <c r="N68" s="224"/>
      <c r="O68" s="224"/>
    </row>
    <row r="69" spans="2:15" hidden="1" x14ac:dyDescent="0.35">
      <c r="B69" s="276"/>
      <c r="C69" s="224"/>
      <c r="D69" s="277"/>
      <c r="E69" s="277"/>
      <c r="F69" s="277"/>
      <c r="G69" s="277"/>
      <c r="H69" s="277"/>
      <c r="I69" s="277"/>
      <c r="J69" s="277"/>
      <c r="K69" s="224"/>
      <c r="L69" s="224"/>
      <c r="M69" s="224"/>
      <c r="N69" s="224"/>
      <c r="O69" s="224"/>
    </row>
    <row r="70" spans="2:15" hidden="1" x14ac:dyDescent="0.35">
      <c r="B70" s="224"/>
      <c r="C70" s="224"/>
      <c r="D70" s="277"/>
      <c r="E70" s="277"/>
      <c r="F70" s="277"/>
      <c r="G70" s="277"/>
      <c r="H70" s="277"/>
      <c r="I70" s="277"/>
      <c r="J70" s="277"/>
      <c r="K70" s="224"/>
      <c r="L70" s="224"/>
      <c r="M70" s="224"/>
      <c r="N70" s="224"/>
      <c r="O70" s="224"/>
    </row>
    <row r="71" spans="2:15" hidden="1" x14ac:dyDescent="0.35">
      <c r="B71" s="224"/>
      <c r="C71" s="224"/>
      <c r="D71" s="277"/>
      <c r="E71" s="277"/>
      <c r="F71" s="277"/>
      <c r="G71" s="277"/>
      <c r="H71" s="277"/>
      <c r="I71" s="277"/>
      <c r="J71" s="277"/>
      <c r="K71" s="224"/>
      <c r="L71" s="224"/>
      <c r="M71" s="224"/>
      <c r="N71" s="224"/>
      <c r="O71" s="224"/>
    </row>
    <row r="72" spans="2:15" hidden="1" x14ac:dyDescent="0.35">
      <c r="B72" s="224"/>
      <c r="C72" s="224"/>
      <c r="D72" s="277"/>
      <c r="E72" s="277"/>
      <c r="F72" s="277"/>
      <c r="G72" s="277"/>
      <c r="H72" s="277"/>
      <c r="I72" s="277"/>
      <c r="J72" s="277"/>
      <c r="K72" s="224"/>
      <c r="L72" s="224"/>
      <c r="M72" s="224"/>
      <c r="N72" s="224"/>
      <c r="O72" s="224"/>
    </row>
    <row r="73" spans="2:15" hidden="1" x14ac:dyDescent="0.35">
      <c r="B73" s="224"/>
      <c r="C73" s="224"/>
      <c r="D73" s="277"/>
      <c r="E73" s="277"/>
      <c r="F73" s="277"/>
      <c r="G73" s="277"/>
      <c r="H73" s="277"/>
      <c r="I73" s="277"/>
      <c r="J73" s="277"/>
      <c r="K73" s="224"/>
      <c r="L73" s="224"/>
      <c r="M73" s="224"/>
      <c r="N73" s="224"/>
      <c r="O73" s="224"/>
    </row>
    <row r="74" spans="2:15" hidden="1" x14ac:dyDescent="0.35">
      <c r="B74" s="224"/>
      <c r="C74" s="224"/>
      <c r="D74" s="277"/>
      <c r="E74" s="277"/>
      <c r="F74" s="277"/>
      <c r="G74" s="277"/>
      <c r="H74" s="277"/>
      <c r="I74" s="277"/>
      <c r="J74" s="277"/>
      <c r="K74" s="224"/>
      <c r="L74" s="224"/>
      <c r="M74" s="224"/>
      <c r="N74" s="224"/>
      <c r="O74" s="224"/>
    </row>
    <row r="75" spans="2:15" hidden="1" x14ac:dyDescent="0.35">
      <c r="B75" s="224"/>
      <c r="C75" s="224"/>
      <c r="D75" s="277"/>
      <c r="E75" s="277"/>
      <c r="F75" s="277"/>
      <c r="G75" s="277"/>
      <c r="H75" s="277"/>
      <c r="I75" s="277"/>
      <c r="J75" s="277"/>
      <c r="K75" s="224"/>
      <c r="L75" s="224"/>
      <c r="M75" s="224"/>
      <c r="N75" s="224"/>
      <c r="O75" s="224"/>
    </row>
    <row r="76" spans="2:15" hidden="1" x14ac:dyDescent="0.35">
      <c r="B76" s="224"/>
      <c r="C76" s="224"/>
      <c r="D76" s="277"/>
      <c r="E76" s="277"/>
      <c r="F76" s="277"/>
      <c r="G76" s="277"/>
      <c r="H76" s="277"/>
      <c r="I76" s="277"/>
      <c r="J76" s="277"/>
      <c r="K76" s="224"/>
      <c r="L76" s="224"/>
      <c r="M76" s="224"/>
      <c r="N76" s="224"/>
      <c r="O76" s="224"/>
    </row>
    <row r="77" spans="2:15" hidden="1" x14ac:dyDescent="0.35">
      <c r="B77" s="224"/>
      <c r="C77" s="224"/>
      <c r="D77" s="277"/>
      <c r="E77" s="277"/>
      <c r="F77" s="277"/>
      <c r="G77" s="277"/>
      <c r="H77" s="277"/>
      <c r="I77" s="277"/>
      <c r="J77" s="277"/>
      <c r="K77" s="224"/>
      <c r="L77" s="224"/>
      <c r="M77" s="224"/>
      <c r="N77" s="224"/>
      <c r="O77" s="224"/>
    </row>
    <row r="78" spans="2:15" hidden="1" x14ac:dyDescent="0.35">
      <c r="B78" s="224"/>
      <c r="C78" s="224"/>
      <c r="D78" s="277"/>
      <c r="E78" s="277"/>
      <c r="F78" s="277"/>
      <c r="G78" s="277"/>
      <c r="H78" s="277"/>
      <c r="I78" s="277"/>
      <c r="J78" s="277"/>
      <c r="K78" s="224"/>
      <c r="L78" s="224"/>
      <c r="M78" s="224"/>
      <c r="N78" s="224"/>
      <c r="O78" s="224"/>
    </row>
    <row r="79" spans="2:15" hidden="1" x14ac:dyDescent="0.35">
      <c r="B79" s="224"/>
      <c r="C79" s="224"/>
      <c r="D79" s="277"/>
      <c r="E79" s="277"/>
      <c r="F79" s="277"/>
      <c r="G79" s="277"/>
      <c r="H79" s="277"/>
      <c r="I79" s="277"/>
      <c r="J79" s="277"/>
      <c r="K79" s="224"/>
      <c r="L79" s="224"/>
      <c r="M79" s="224"/>
      <c r="N79" s="224"/>
      <c r="O79" s="224"/>
    </row>
    <row r="80" spans="2:15" hidden="1" x14ac:dyDescent="0.35">
      <c r="B80" s="224"/>
      <c r="C80" s="224"/>
      <c r="D80" s="277"/>
      <c r="E80" s="277"/>
      <c r="F80" s="277"/>
      <c r="G80" s="277"/>
      <c r="H80" s="277"/>
      <c r="I80" s="277"/>
      <c r="J80" s="277"/>
      <c r="K80" s="224"/>
      <c r="L80" s="224"/>
      <c r="M80" s="224"/>
      <c r="N80" s="224"/>
      <c r="O80" s="224"/>
    </row>
    <row r="81" spans="2:15" hidden="1" x14ac:dyDescent="0.35">
      <c r="B81" s="224"/>
      <c r="C81" s="224"/>
      <c r="D81" s="277"/>
      <c r="E81" s="277"/>
      <c r="F81" s="277"/>
      <c r="G81" s="277"/>
      <c r="H81" s="277"/>
      <c r="I81" s="277"/>
      <c r="J81" s="277"/>
      <c r="K81" s="224"/>
      <c r="L81" s="224"/>
      <c r="M81" s="224"/>
      <c r="N81" s="224"/>
      <c r="O81" s="224"/>
    </row>
    <row r="82" spans="2:15" hidden="1" x14ac:dyDescent="0.35">
      <c r="B82" s="224"/>
      <c r="C82" s="224"/>
      <c r="D82" s="277"/>
      <c r="E82" s="277"/>
      <c r="F82" s="277"/>
      <c r="G82" s="277"/>
      <c r="H82" s="277"/>
      <c r="I82" s="277"/>
      <c r="J82" s="277"/>
      <c r="K82" s="224"/>
      <c r="L82" s="224"/>
      <c r="M82" s="224"/>
      <c r="N82" s="224"/>
      <c r="O82" s="224"/>
    </row>
    <row r="83" spans="2:15" hidden="1" x14ac:dyDescent="0.35">
      <c r="B83" s="224"/>
      <c r="C83" s="224"/>
      <c r="D83" s="277"/>
      <c r="E83" s="277"/>
      <c r="F83" s="277"/>
      <c r="G83" s="277"/>
      <c r="H83" s="277"/>
      <c r="I83" s="277"/>
      <c r="J83" s="277"/>
      <c r="K83" s="224"/>
      <c r="L83" s="224"/>
      <c r="M83" s="224"/>
      <c r="N83" s="224"/>
      <c r="O83" s="224"/>
    </row>
    <row r="84" spans="2:15" hidden="1" x14ac:dyDescent="0.35">
      <c r="B84" s="224"/>
      <c r="C84" s="224"/>
      <c r="D84" s="277"/>
      <c r="E84" s="277"/>
      <c r="F84" s="277"/>
      <c r="G84" s="277"/>
      <c r="H84" s="277"/>
      <c r="I84" s="277"/>
      <c r="J84" s="277"/>
      <c r="K84" s="224"/>
      <c r="L84" s="224"/>
      <c r="M84" s="224"/>
      <c r="N84" s="224"/>
      <c r="O84" s="224"/>
    </row>
    <row r="85" spans="2:15" hidden="1" x14ac:dyDescent="0.35">
      <c r="B85" s="224"/>
      <c r="C85" s="224"/>
      <c r="D85" s="277"/>
      <c r="E85" s="277"/>
      <c r="F85" s="277"/>
      <c r="G85" s="277"/>
      <c r="H85" s="277"/>
      <c r="I85" s="277"/>
      <c r="J85" s="277"/>
      <c r="K85" s="224"/>
      <c r="L85" s="224"/>
      <c r="M85" s="224"/>
      <c r="N85" s="224"/>
      <c r="O85" s="224"/>
    </row>
    <row r="86" spans="2:15" hidden="1" x14ac:dyDescent="0.35">
      <c r="B86" s="224"/>
      <c r="C86" s="224"/>
      <c r="D86" s="224"/>
      <c r="E86" s="224"/>
      <c r="F86" s="277"/>
      <c r="G86" s="277"/>
      <c r="H86" s="277"/>
      <c r="I86" s="277"/>
      <c r="J86" s="277"/>
      <c r="K86" s="224"/>
      <c r="L86" s="224"/>
      <c r="M86" s="224"/>
      <c r="N86" s="224"/>
      <c r="O86" s="224"/>
    </row>
    <row r="87" spans="2:15" hidden="1" x14ac:dyDescent="0.35">
      <c r="B87" s="224"/>
      <c r="C87" s="224"/>
      <c r="D87" s="224"/>
      <c r="E87" s="224"/>
      <c r="F87" s="277"/>
      <c r="G87" s="277"/>
      <c r="H87" s="224"/>
      <c r="I87" s="277"/>
      <c r="J87" s="224"/>
      <c r="K87" s="224"/>
      <c r="L87" s="224"/>
      <c r="M87" s="224"/>
      <c r="N87" s="224"/>
      <c r="O87" s="224"/>
    </row>
    <row r="88" spans="2:15" hidden="1" x14ac:dyDescent="0.35">
      <c r="B88" s="224"/>
      <c r="C88" s="224"/>
      <c r="D88" s="224"/>
      <c r="E88" s="224"/>
      <c r="F88" s="277"/>
      <c r="G88" s="277"/>
      <c r="H88" s="224"/>
      <c r="I88" s="277"/>
      <c r="J88" s="224"/>
      <c r="K88" s="224"/>
      <c r="L88" s="224"/>
      <c r="M88" s="224"/>
      <c r="N88" s="224"/>
      <c r="O88" s="224"/>
    </row>
  </sheetData>
  <sheetProtection algorithmName="SHA-512" hashValue="ed0iY8g+7zq/zvXM9+qoJEBimYDVt928llzdkhrGCVT6TneaSeqNgnvDuhIK3t3hfQ8fcMtfKPNZPPw5flJ5uA==" saltValue="p/7PH0vkEKTt4xX/q0qPeA==" spinCount="100000" sheet="1" objects="1" scenarios="1"/>
  <mergeCells count="46">
    <mergeCell ref="M2:O3"/>
    <mergeCell ref="I4:J4"/>
    <mergeCell ref="K4:L4"/>
    <mergeCell ref="B5:C5"/>
    <mergeCell ref="I5:J5"/>
    <mergeCell ref="K5:L5"/>
    <mergeCell ref="B6:C6"/>
    <mergeCell ref="I6:J6"/>
    <mergeCell ref="K6:L6"/>
    <mergeCell ref="B7:C7"/>
    <mergeCell ref="I7:J7"/>
    <mergeCell ref="K7:L7"/>
    <mergeCell ref="B46:B48"/>
    <mergeCell ref="C46:C48"/>
    <mergeCell ref="B8:C8"/>
    <mergeCell ref="B9:C9"/>
    <mergeCell ref="H9:J9"/>
    <mergeCell ref="B11:C11"/>
    <mergeCell ref="B12:C12"/>
    <mergeCell ref="B13:D13"/>
    <mergeCell ref="H18:I18"/>
    <mergeCell ref="E36:E38"/>
    <mergeCell ref="C40:C42"/>
    <mergeCell ref="B43:B45"/>
    <mergeCell ref="C43:C45"/>
    <mergeCell ref="I11:J11"/>
    <mergeCell ref="I12:J12"/>
    <mergeCell ref="I10:J10"/>
    <mergeCell ref="B49:B51"/>
    <mergeCell ref="C49:C51"/>
    <mergeCell ref="B52:B54"/>
    <mergeCell ref="C52:C54"/>
    <mergeCell ref="B55:B57"/>
    <mergeCell ref="C55:C57"/>
    <mergeCell ref="B60:F61"/>
    <mergeCell ref="G60:K61"/>
    <mergeCell ref="L60:O61"/>
    <mergeCell ref="B62:F62"/>
    <mergeCell ref="G62:K62"/>
    <mergeCell ref="L62:O62"/>
    <mergeCell ref="B63:F63"/>
    <mergeCell ref="G63:K63"/>
    <mergeCell ref="L63:O63"/>
    <mergeCell ref="B64:F64"/>
    <mergeCell ref="G64:K64"/>
    <mergeCell ref="L64:O64"/>
  </mergeCells>
  <conditionalFormatting sqref="I5:I7">
    <cfRule type="containsText" dxfId="15" priority="4" operator="containsText" text="ERROR">
      <formula>NOT(ISERROR(SEARCH("ERROR",I5)))</formula>
    </cfRule>
  </conditionalFormatting>
  <conditionalFormatting sqref="I15:I17">
    <cfRule type="containsText" dxfId="14" priority="5" operator="containsText" text="ERROR">
      <formula>NOT(ISERROR(SEARCH("ERROR",I15)))</formula>
    </cfRule>
  </conditionalFormatting>
  <conditionalFormatting sqref="I12">
    <cfRule type="expression" dxfId="13" priority="6">
      <formula>$M$6&gt;100</formula>
    </cfRule>
    <cfRule type="expression" dxfId="12" priority="7">
      <formula>$M$6&lt;6</formula>
    </cfRule>
  </conditionalFormatting>
  <conditionalFormatting sqref="K5:K7">
    <cfRule type="cellIs" dxfId="11" priority="1" operator="greaterThan">
      <formula>0</formula>
    </cfRule>
    <cfRule type="containsText" dxfId="10" priority="2" operator="containsText" text="Weight Exceeded">
      <formula>NOT(ISERROR(SEARCH("Weight Exceeded",K5)))</formula>
    </cfRule>
    <cfRule type="containsText" dxfId="9" priority="3" operator="containsText" text="ERROR">
      <formula>NOT(ISERROR(SEARCH("ERROR",K5)))</formula>
    </cfRule>
  </conditionalFormatting>
  <printOptions horizontalCentered="1" verticalCentered="1"/>
  <pageMargins left="0.23622047244094491" right="0.23622047244094491" top="0.74803149606299213" bottom="0.74803149606299213" header="0.31496062992125984" footer="0.31496062992125984"/>
  <pageSetup paperSize="9" scale="68" orientation="portrait" r:id="rId1"/>
  <headerFooter>
    <oddHeader xml:space="preserve">&amp;L&amp;"-,Bold"&amp;22B767-300&amp;C&amp;"-,Bold"&amp;22TRIM SHEET&amp;R
</oddHeader>
    <oddFooter xml:space="preserve">&amp;L
&amp;R&amp;"-,Bold"&amp;16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4C680-EAD3-4378-8A33-BFF9A0207AB8}">
  <sheetPr codeName="Sheet1">
    <tabColor rgb="FFFF0000"/>
  </sheetPr>
  <dimension ref="B1:Q72"/>
  <sheetViews>
    <sheetView zoomScale="72" zoomScaleNormal="81" workbookViewId="0">
      <selection activeCell="C27" sqref="C27"/>
    </sheetView>
  </sheetViews>
  <sheetFormatPr defaultRowHeight="14.5" x14ac:dyDescent="0.35"/>
  <cols>
    <col min="1" max="1" width="2.54296875" bestFit="1" customWidth="1"/>
    <col min="2" max="2" width="6.08984375" bestFit="1" customWidth="1"/>
    <col min="3" max="3" width="6.90625" bestFit="1" customWidth="1"/>
    <col min="4" max="4" width="11.26953125" bestFit="1" customWidth="1"/>
    <col min="5" max="5" width="11.6328125" bestFit="1" customWidth="1"/>
    <col min="6" max="6" width="20" bestFit="1" customWidth="1"/>
    <col min="7" max="7" width="16.6328125" bestFit="1" customWidth="1"/>
    <col min="10" max="10" width="6" bestFit="1" customWidth="1"/>
    <col min="11" max="11" width="11.81640625" customWidth="1"/>
    <col min="12" max="12" width="24" bestFit="1" customWidth="1"/>
  </cols>
  <sheetData>
    <row r="1" spans="2:17" ht="15" thickBot="1" x14ac:dyDescent="0.4"/>
    <row r="2" spans="2:17" ht="15" thickBot="1" x14ac:dyDescent="0.4">
      <c r="B2" s="817" t="s">
        <v>20</v>
      </c>
      <c r="C2" s="818" t="s">
        <v>23224</v>
      </c>
      <c r="D2" s="818" t="s">
        <v>23225</v>
      </c>
      <c r="E2" s="818" t="s">
        <v>23226</v>
      </c>
      <c r="F2" s="818" t="s">
        <v>23227</v>
      </c>
      <c r="G2" s="818" t="s">
        <v>23228</v>
      </c>
    </row>
    <row r="3" spans="2:17" ht="15" thickBot="1" x14ac:dyDescent="0.4">
      <c r="B3" s="817"/>
      <c r="C3" s="818"/>
      <c r="D3" s="818"/>
      <c r="E3" s="818"/>
      <c r="F3" s="818"/>
      <c r="G3" s="818"/>
      <c r="I3" s="816" t="s">
        <v>23229</v>
      </c>
      <c r="J3" s="816"/>
      <c r="K3" s="816"/>
      <c r="L3" s="816"/>
      <c r="M3" s="816"/>
      <c r="N3" s="816"/>
      <c r="O3" s="816"/>
      <c r="P3" s="816"/>
    </row>
    <row r="4" spans="2:17" ht="15" thickBot="1" x14ac:dyDescent="0.4">
      <c r="B4" s="62" t="s">
        <v>22</v>
      </c>
      <c r="C4" s="62">
        <v>2268</v>
      </c>
      <c r="D4" s="62">
        <v>2268</v>
      </c>
      <c r="E4" s="62">
        <v>2201</v>
      </c>
      <c r="F4" s="62">
        <v>1854</v>
      </c>
      <c r="G4" s="62">
        <v>1835</v>
      </c>
    </row>
    <row r="5" spans="2:17" ht="15" thickBot="1" x14ac:dyDescent="0.4">
      <c r="B5" s="62" t="s">
        <v>23</v>
      </c>
      <c r="C5" s="62">
        <v>3429</v>
      </c>
      <c r="D5" s="62">
        <v>3208</v>
      </c>
      <c r="E5" s="62">
        <v>2418</v>
      </c>
      <c r="F5" s="62">
        <v>2431</v>
      </c>
      <c r="G5" s="62">
        <v>1857</v>
      </c>
      <c r="K5" t="s">
        <v>23230</v>
      </c>
      <c r="L5" t="s">
        <v>23231</v>
      </c>
    </row>
    <row r="6" spans="2:17" ht="15" thickBot="1" x14ac:dyDescent="0.4">
      <c r="B6" s="62" t="s">
        <v>24</v>
      </c>
      <c r="C6" s="62">
        <v>3429</v>
      </c>
      <c r="D6" s="62">
        <v>2358</v>
      </c>
      <c r="E6" s="62">
        <v>1972</v>
      </c>
      <c r="F6" s="62">
        <v>2393</v>
      </c>
      <c r="G6" s="62">
        <v>2049</v>
      </c>
      <c r="J6" t="s">
        <v>23232</v>
      </c>
      <c r="K6">
        <v>2338</v>
      </c>
      <c r="L6">
        <v>1587</v>
      </c>
    </row>
    <row r="7" spans="2:17" ht="15" thickBot="1" x14ac:dyDescent="0.4">
      <c r="B7" s="62" t="s">
        <v>25</v>
      </c>
      <c r="C7" s="62">
        <v>3429</v>
      </c>
      <c r="D7" s="62">
        <v>2640</v>
      </c>
      <c r="E7" s="62">
        <v>2935</v>
      </c>
      <c r="F7" s="62">
        <v>2828</v>
      </c>
      <c r="G7" s="62">
        <v>2048</v>
      </c>
      <c r="J7" t="s">
        <v>23233</v>
      </c>
      <c r="K7">
        <v>1787</v>
      </c>
      <c r="L7">
        <v>1224</v>
      </c>
    </row>
    <row r="8" spans="2:17" ht="15" thickBot="1" x14ac:dyDescent="0.4">
      <c r="B8" s="62" t="s">
        <v>26</v>
      </c>
      <c r="C8" s="62">
        <v>3429</v>
      </c>
      <c r="D8" s="62">
        <v>3429</v>
      </c>
      <c r="E8" s="62">
        <v>3231</v>
      </c>
      <c r="F8" s="62">
        <v>3429</v>
      </c>
      <c r="G8" s="62">
        <v>2061</v>
      </c>
      <c r="J8" t="s">
        <v>23234</v>
      </c>
      <c r="K8">
        <v>2338</v>
      </c>
      <c r="L8">
        <v>1587</v>
      </c>
    </row>
    <row r="9" spans="2:17" ht="15" thickBot="1" x14ac:dyDescent="0.4">
      <c r="B9" s="62" t="s">
        <v>27</v>
      </c>
      <c r="C9" s="62">
        <v>4627</v>
      </c>
      <c r="D9" s="62">
        <v>3414</v>
      </c>
      <c r="E9" s="62">
        <v>3648</v>
      </c>
      <c r="F9" s="62">
        <v>3635</v>
      </c>
      <c r="G9" s="62">
        <v>2287</v>
      </c>
      <c r="J9" t="s">
        <v>23235</v>
      </c>
      <c r="K9">
        <v>3651</v>
      </c>
      <c r="L9">
        <v>2449</v>
      </c>
    </row>
    <row r="10" spans="2:17" ht="15" thickBot="1" x14ac:dyDescent="0.4">
      <c r="B10" s="62" t="s">
        <v>28</v>
      </c>
      <c r="C10" s="62">
        <v>4627</v>
      </c>
      <c r="D10" s="62">
        <v>2669</v>
      </c>
      <c r="E10" s="62">
        <v>3282</v>
      </c>
      <c r="F10" s="62">
        <v>3262</v>
      </c>
      <c r="G10" s="62">
        <v>2454</v>
      </c>
      <c r="J10" t="s">
        <v>23236</v>
      </c>
      <c r="K10">
        <v>2651</v>
      </c>
      <c r="L10">
        <v>2449</v>
      </c>
      <c r="P10">
        <v>5102</v>
      </c>
      <c r="Q10" t="s">
        <v>23429</v>
      </c>
    </row>
    <row r="11" spans="2:17" ht="15" thickBot="1" x14ac:dyDescent="0.4">
      <c r="B11" s="62" t="s">
        <v>29</v>
      </c>
      <c r="C11" s="62">
        <v>3429</v>
      </c>
      <c r="D11" s="62">
        <v>2895</v>
      </c>
      <c r="E11" s="62">
        <v>1855</v>
      </c>
      <c r="F11" s="62">
        <v>3126</v>
      </c>
      <c r="G11" s="62">
        <v>1420</v>
      </c>
      <c r="J11" t="s">
        <v>23395</v>
      </c>
      <c r="K11">
        <v>5102</v>
      </c>
      <c r="L11">
        <v>5102</v>
      </c>
      <c r="P11">
        <f>P10*2.205</f>
        <v>11249.91</v>
      </c>
    </row>
    <row r="12" spans="2:17" ht="15" thickBot="1" x14ac:dyDescent="0.4">
      <c r="B12" s="62" t="s">
        <v>30</v>
      </c>
      <c r="C12" s="62">
        <v>3429</v>
      </c>
      <c r="D12" s="62">
        <v>2738</v>
      </c>
      <c r="E12" s="62">
        <v>2026</v>
      </c>
      <c r="F12" s="62">
        <v>3049</v>
      </c>
      <c r="G12" s="62">
        <v>1489</v>
      </c>
    </row>
    <row r="13" spans="2:17" ht="15" thickBot="1" x14ac:dyDescent="0.4">
      <c r="B13" s="62" t="s">
        <v>31</v>
      </c>
      <c r="C13" s="62">
        <v>3429</v>
      </c>
      <c r="D13" s="62">
        <v>2407</v>
      </c>
      <c r="E13" s="62">
        <v>2859</v>
      </c>
      <c r="F13" s="62">
        <v>2862</v>
      </c>
      <c r="G13" s="62">
        <v>1656</v>
      </c>
      <c r="P13" s="5">
        <v>11249.91</v>
      </c>
      <c r="Q13" s="61"/>
    </row>
    <row r="14" spans="2:17" ht="15" thickBot="1" x14ac:dyDescent="0.4">
      <c r="B14" s="62" t="s">
        <v>32</v>
      </c>
      <c r="C14" s="62">
        <v>3429</v>
      </c>
      <c r="D14" s="62">
        <v>2368</v>
      </c>
      <c r="E14" s="62">
        <v>2745</v>
      </c>
      <c r="F14" s="62">
        <v>2755</v>
      </c>
      <c r="G14" s="62">
        <v>1799</v>
      </c>
      <c r="Q14" s="61"/>
    </row>
    <row r="15" spans="2:17" ht="15" thickBot="1" x14ac:dyDescent="0.4">
      <c r="B15" s="62" t="s">
        <v>33</v>
      </c>
      <c r="C15" s="62">
        <v>3429</v>
      </c>
      <c r="D15" s="62">
        <v>2369</v>
      </c>
      <c r="E15" s="62">
        <v>1977</v>
      </c>
      <c r="F15" s="62">
        <v>2539</v>
      </c>
      <c r="G15" s="62">
        <v>1370</v>
      </c>
      <c r="J15" t="s">
        <v>22</v>
      </c>
      <c r="K15" s="5">
        <v>5000</v>
      </c>
      <c r="Q15" s="61"/>
    </row>
    <row r="16" spans="2:17" ht="15" thickBot="1" x14ac:dyDescent="0.4">
      <c r="B16" s="62" t="s">
        <v>23367</v>
      </c>
      <c r="C16" s="62">
        <v>3429</v>
      </c>
      <c r="D16" s="62">
        <v>3282</v>
      </c>
      <c r="E16" s="62">
        <v>2315</v>
      </c>
      <c r="F16" s="62">
        <v>2286</v>
      </c>
      <c r="G16" s="62">
        <v>1504</v>
      </c>
      <c r="J16" t="s">
        <v>23</v>
      </c>
      <c r="K16" s="5">
        <v>10700</v>
      </c>
      <c r="Q16" s="61"/>
    </row>
    <row r="17" spans="2:17" ht="15" thickBot="1" x14ac:dyDescent="0.4">
      <c r="B17" s="62" t="s">
        <v>23368</v>
      </c>
      <c r="C17" s="62">
        <v>3429</v>
      </c>
      <c r="D17" s="62">
        <v>2992</v>
      </c>
      <c r="E17" s="62">
        <v>2390</v>
      </c>
      <c r="F17" s="62">
        <v>2589</v>
      </c>
      <c r="G17" s="62">
        <v>2248</v>
      </c>
      <c r="J17" t="s">
        <v>24</v>
      </c>
      <c r="K17" s="5">
        <v>10700</v>
      </c>
      <c r="Q17" s="61"/>
    </row>
    <row r="18" spans="2:17" ht="15" thickBot="1" x14ac:dyDescent="0.4">
      <c r="B18" s="62" t="s">
        <v>23369</v>
      </c>
      <c r="C18" s="62">
        <v>3429</v>
      </c>
      <c r="D18" s="62">
        <v>3319</v>
      </c>
      <c r="E18" s="62">
        <v>3189</v>
      </c>
      <c r="F18" s="62">
        <v>2555</v>
      </c>
      <c r="G18" s="62">
        <v>2048</v>
      </c>
      <c r="J18" t="s">
        <v>25</v>
      </c>
      <c r="K18" s="5">
        <v>10700</v>
      </c>
      <c r="Q18" s="61"/>
    </row>
    <row r="19" spans="2:17" ht="15" thickBot="1" x14ac:dyDescent="0.4">
      <c r="B19" s="62" t="s">
        <v>23370</v>
      </c>
      <c r="C19" s="62">
        <v>3429</v>
      </c>
      <c r="D19" s="62">
        <v>3429</v>
      </c>
      <c r="E19" s="62">
        <v>3429</v>
      </c>
      <c r="F19" s="62">
        <v>3429</v>
      </c>
      <c r="G19" s="62">
        <v>2061</v>
      </c>
      <c r="J19" t="s">
        <v>26</v>
      </c>
      <c r="K19" s="5">
        <v>10700</v>
      </c>
      <c r="Q19" s="61"/>
    </row>
    <row r="20" spans="2:17" ht="15" thickBot="1" x14ac:dyDescent="0.4">
      <c r="B20" s="62" t="s">
        <v>23371</v>
      </c>
      <c r="C20" s="62">
        <v>4627</v>
      </c>
      <c r="D20" s="62">
        <v>3327</v>
      </c>
      <c r="E20" s="62">
        <v>3757</v>
      </c>
      <c r="F20" s="62">
        <v>3635</v>
      </c>
      <c r="G20" s="62">
        <v>2281</v>
      </c>
      <c r="J20" t="s">
        <v>27</v>
      </c>
      <c r="K20" s="5">
        <v>15000</v>
      </c>
      <c r="Q20" s="61"/>
    </row>
    <row r="21" spans="2:17" ht="15" thickBot="1" x14ac:dyDescent="0.4">
      <c r="B21" s="62" t="s">
        <v>23372</v>
      </c>
      <c r="C21" s="62">
        <v>4627</v>
      </c>
      <c r="D21" s="62">
        <v>2669</v>
      </c>
      <c r="E21" s="62">
        <v>3282</v>
      </c>
      <c r="F21" s="62">
        <v>3262</v>
      </c>
      <c r="G21" s="62">
        <v>2454</v>
      </c>
      <c r="J21" t="s">
        <v>28</v>
      </c>
      <c r="K21" s="5">
        <v>15000</v>
      </c>
      <c r="Q21" s="61"/>
    </row>
    <row r="22" spans="2:17" ht="15" thickBot="1" x14ac:dyDescent="0.4">
      <c r="B22" s="62" t="s">
        <v>23373</v>
      </c>
      <c r="C22" s="62">
        <v>3429</v>
      </c>
      <c r="D22" s="62">
        <v>2895</v>
      </c>
      <c r="E22" s="62">
        <v>1855</v>
      </c>
      <c r="F22" s="62">
        <v>3126</v>
      </c>
      <c r="G22" s="62">
        <v>1420</v>
      </c>
      <c r="J22" t="s">
        <v>29</v>
      </c>
      <c r="K22" s="5">
        <v>10700</v>
      </c>
      <c r="Q22" s="61"/>
    </row>
    <row r="23" spans="2:17" ht="15" thickBot="1" x14ac:dyDescent="0.4">
      <c r="B23" s="62" t="s">
        <v>23374</v>
      </c>
      <c r="C23" s="62">
        <v>3429</v>
      </c>
      <c r="D23" s="62">
        <v>2738</v>
      </c>
      <c r="E23" s="62">
        <v>2026</v>
      </c>
      <c r="F23" s="62">
        <v>3049</v>
      </c>
      <c r="G23" s="62">
        <v>1489</v>
      </c>
      <c r="J23" t="s">
        <v>30</v>
      </c>
      <c r="K23" s="5">
        <v>10700</v>
      </c>
      <c r="Q23" s="61"/>
    </row>
    <row r="24" spans="2:17" ht="15" thickBot="1" x14ac:dyDescent="0.4">
      <c r="B24" s="62" t="s">
        <v>23375</v>
      </c>
      <c r="C24" s="62">
        <v>3429</v>
      </c>
      <c r="D24" s="62">
        <v>2407</v>
      </c>
      <c r="E24" s="62">
        <v>2859</v>
      </c>
      <c r="F24" s="62">
        <v>2862</v>
      </c>
      <c r="G24" s="62">
        <v>1656</v>
      </c>
      <c r="J24" t="s">
        <v>31</v>
      </c>
      <c r="K24" s="5">
        <v>10700</v>
      </c>
      <c r="Q24" s="61"/>
    </row>
    <row r="25" spans="2:17" ht="15" thickBot="1" x14ac:dyDescent="0.4">
      <c r="B25" s="62" t="s">
        <v>23376</v>
      </c>
      <c r="C25" s="62">
        <v>3429</v>
      </c>
      <c r="D25" s="62">
        <v>2368</v>
      </c>
      <c r="E25" s="62">
        <v>2745</v>
      </c>
      <c r="F25" s="62">
        <v>2755</v>
      </c>
      <c r="G25" s="62">
        <v>1799</v>
      </c>
      <c r="J25" t="s">
        <v>32</v>
      </c>
      <c r="K25" s="5">
        <v>10700</v>
      </c>
      <c r="Q25" s="61"/>
    </row>
    <row r="26" spans="2:17" ht="15" thickBot="1" x14ac:dyDescent="0.4">
      <c r="B26" s="62" t="s">
        <v>23377</v>
      </c>
      <c r="C26" s="62">
        <v>3429</v>
      </c>
      <c r="D26" s="62">
        <v>2369</v>
      </c>
      <c r="E26" s="62">
        <v>1977</v>
      </c>
      <c r="F26" s="62">
        <v>2309</v>
      </c>
      <c r="G26" s="62">
        <v>1370</v>
      </c>
      <c r="J26" t="s">
        <v>33</v>
      </c>
      <c r="K26" s="5">
        <v>10700</v>
      </c>
      <c r="Q26" s="61"/>
    </row>
    <row r="27" spans="2:17" ht="15" thickBot="1" x14ac:dyDescent="0.4">
      <c r="B27" s="62" t="s">
        <v>34</v>
      </c>
      <c r="C27" s="62">
        <v>2722</v>
      </c>
      <c r="D27" s="62">
        <v>1698</v>
      </c>
      <c r="E27" s="62">
        <v>1050</v>
      </c>
      <c r="F27" s="62">
        <v>1585</v>
      </c>
      <c r="G27" s="62">
        <v>1346</v>
      </c>
      <c r="J27" t="s">
        <v>34</v>
      </c>
      <c r="K27" s="5"/>
      <c r="Q27" s="61"/>
    </row>
    <row r="28" spans="2:17" ht="15" thickBot="1" x14ac:dyDescent="0.4">
      <c r="B28" s="62" t="s">
        <v>49</v>
      </c>
      <c r="C28" s="62">
        <v>4853</v>
      </c>
      <c r="D28" s="62">
        <v>3334</v>
      </c>
      <c r="E28" s="62">
        <v>2394</v>
      </c>
      <c r="F28" s="62">
        <v>3732</v>
      </c>
      <c r="G28" s="62">
        <v>2187</v>
      </c>
      <c r="Q28" s="61"/>
    </row>
    <row r="29" spans="2:17" ht="15" thickBot="1" x14ac:dyDescent="0.4">
      <c r="B29" s="62" t="s">
        <v>50</v>
      </c>
      <c r="C29" s="62">
        <v>4853</v>
      </c>
      <c r="D29" s="62">
        <v>3848</v>
      </c>
      <c r="E29" s="62">
        <v>2390</v>
      </c>
      <c r="F29" s="62">
        <v>2700</v>
      </c>
      <c r="G29" s="62">
        <v>2362</v>
      </c>
      <c r="Q29" s="61"/>
    </row>
    <row r="30" spans="2:17" ht="15" thickBot="1" x14ac:dyDescent="0.4">
      <c r="B30" s="62" t="s">
        <v>51</v>
      </c>
      <c r="C30" s="62">
        <v>4853</v>
      </c>
      <c r="D30" s="62">
        <v>3233</v>
      </c>
      <c r="E30" s="62">
        <v>2816</v>
      </c>
      <c r="F30" s="62">
        <v>3732</v>
      </c>
      <c r="G30" s="62">
        <v>2187</v>
      </c>
      <c r="Q30" s="61"/>
    </row>
    <row r="31" spans="2:17" ht="15" thickBot="1" x14ac:dyDescent="0.4">
      <c r="B31" s="62" t="s">
        <v>52</v>
      </c>
      <c r="C31" s="62">
        <v>4853</v>
      </c>
      <c r="D31" s="62">
        <v>4853</v>
      </c>
      <c r="E31" s="62">
        <v>4076</v>
      </c>
      <c r="F31" s="62">
        <v>4823</v>
      </c>
      <c r="G31" s="62">
        <v>2826</v>
      </c>
      <c r="Q31" s="61"/>
    </row>
    <row r="32" spans="2:17" ht="15" thickBot="1" x14ac:dyDescent="0.4">
      <c r="B32" s="62" t="s">
        <v>53</v>
      </c>
      <c r="C32" s="62">
        <v>6804</v>
      </c>
      <c r="D32" s="62">
        <v>4344</v>
      </c>
      <c r="E32" s="62">
        <v>3623</v>
      </c>
      <c r="F32" s="62">
        <v>4823</v>
      </c>
      <c r="G32" s="62">
        <v>2826</v>
      </c>
      <c r="Q32" s="61"/>
    </row>
    <row r="33" spans="2:17" ht="15" thickBot="1" x14ac:dyDescent="0.4">
      <c r="B33" s="62" t="s">
        <v>54</v>
      </c>
      <c r="C33" s="62">
        <v>6804</v>
      </c>
      <c r="D33" s="62">
        <v>4828</v>
      </c>
      <c r="E33" s="62">
        <v>3689</v>
      </c>
      <c r="F33" s="62">
        <v>4823</v>
      </c>
      <c r="G33" s="62">
        <v>2134</v>
      </c>
      <c r="Q33" s="61"/>
    </row>
    <row r="34" spans="2:17" ht="15" thickBot="1" x14ac:dyDescent="0.4">
      <c r="B34" s="62" t="s">
        <v>55</v>
      </c>
      <c r="C34" s="62">
        <v>4853</v>
      </c>
      <c r="D34" s="62">
        <v>4715</v>
      </c>
      <c r="E34" s="62">
        <v>3660</v>
      </c>
      <c r="F34" s="62">
        <v>4823</v>
      </c>
      <c r="G34" s="62">
        <v>2134</v>
      </c>
      <c r="Q34" s="61"/>
    </row>
    <row r="35" spans="2:17" ht="15" thickBot="1" x14ac:dyDescent="0.4">
      <c r="B35" s="62" t="s">
        <v>56</v>
      </c>
      <c r="C35" s="62">
        <v>4853</v>
      </c>
      <c r="D35" s="62">
        <v>4500</v>
      </c>
      <c r="E35" s="62">
        <v>3149</v>
      </c>
      <c r="F35" s="62">
        <v>4286</v>
      </c>
      <c r="G35" s="62">
        <v>2826</v>
      </c>
      <c r="Q35" s="61"/>
    </row>
    <row r="36" spans="2:17" ht="15" thickBot="1" x14ac:dyDescent="0.4">
      <c r="B36" s="62" t="s">
        <v>57</v>
      </c>
      <c r="C36" s="62">
        <v>4853</v>
      </c>
      <c r="D36" s="62">
        <v>4283</v>
      </c>
      <c r="E36" s="62">
        <v>3311</v>
      </c>
      <c r="F36" s="62">
        <v>4538</v>
      </c>
      <c r="G36" s="62">
        <v>2826</v>
      </c>
      <c r="Q36" s="61"/>
    </row>
    <row r="37" spans="2:17" ht="15" thickBot="1" x14ac:dyDescent="0.4">
      <c r="B37" s="62" t="s">
        <v>58</v>
      </c>
      <c r="C37" s="62">
        <v>4853</v>
      </c>
      <c r="D37" s="62">
        <v>4245</v>
      </c>
      <c r="E37" s="62">
        <v>3329</v>
      </c>
      <c r="F37" s="62">
        <v>4450</v>
      </c>
      <c r="G37" s="62">
        <v>2826</v>
      </c>
    </row>
    <row r="38" spans="2:17" ht="15" thickBot="1" x14ac:dyDescent="0.4">
      <c r="B38" s="62" t="s">
        <v>59</v>
      </c>
      <c r="C38" s="62">
        <v>4853</v>
      </c>
      <c r="D38" s="62">
        <v>3352</v>
      </c>
      <c r="E38" s="62">
        <v>2668</v>
      </c>
      <c r="F38" s="62">
        <v>3910</v>
      </c>
      <c r="G38" s="62">
        <v>2826</v>
      </c>
    </row>
    <row r="39" spans="2:17" ht="15" thickBot="1" x14ac:dyDescent="0.4">
      <c r="B39" s="62" t="s">
        <v>60</v>
      </c>
      <c r="C39" s="62">
        <v>3431</v>
      </c>
      <c r="D39" s="62">
        <v>3431</v>
      </c>
      <c r="E39" s="62">
        <v>2812</v>
      </c>
      <c r="F39" s="62">
        <v>2929</v>
      </c>
      <c r="G39" s="62">
        <v>2822</v>
      </c>
    </row>
    <row r="40" spans="2:17" ht="15" thickBot="1" x14ac:dyDescent="0.4">
      <c r="B40" s="62" t="s">
        <v>61</v>
      </c>
      <c r="C40" s="62">
        <v>3431</v>
      </c>
      <c r="D40" s="62">
        <v>2687</v>
      </c>
      <c r="E40" s="62">
        <v>2064</v>
      </c>
      <c r="F40" s="62">
        <v>2474</v>
      </c>
      <c r="G40" s="62">
        <v>2165</v>
      </c>
    </row>
    <row r="41" spans="2:17" ht="15" thickBot="1" x14ac:dyDescent="0.4">
      <c r="B41" s="62" t="s">
        <v>62</v>
      </c>
      <c r="C41" s="62">
        <v>3431</v>
      </c>
      <c r="D41" s="62">
        <v>3431</v>
      </c>
      <c r="E41" s="62">
        <v>2628</v>
      </c>
      <c r="F41" s="62">
        <v>3431</v>
      </c>
      <c r="G41" s="62">
        <v>2451</v>
      </c>
    </row>
    <row r="42" spans="2:17" ht="15" thickBot="1" x14ac:dyDescent="0.4">
      <c r="B42" s="62" t="s">
        <v>63</v>
      </c>
      <c r="C42" s="62">
        <v>3431</v>
      </c>
      <c r="D42" s="62">
        <v>3431</v>
      </c>
      <c r="E42" s="62">
        <v>3431</v>
      </c>
      <c r="F42" s="62">
        <v>2931</v>
      </c>
      <c r="G42" s="62">
        <v>2591</v>
      </c>
    </row>
    <row r="43" spans="2:17" ht="15" thickBot="1" x14ac:dyDescent="0.4">
      <c r="B43" s="62" t="s">
        <v>64</v>
      </c>
      <c r="C43" s="62">
        <v>3431</v>
      </c>
      <c r="D43" s="62">
        <v>3431</v>
      </c>
      <c r="E43" s="62">
        <v>3431</v>
      </c>
      <c r="F43" s="62">
        <v>2903</v>
      </c>
      <c r="G43" s="62">
        <v>2290</v>
      </c>
    </row>
    <row r="44" spans="2:17" ht="15" thickBot="1" x14ac:dyDescent="0.4">
      <c r="B44" s="62" t="s">
        <v>65</v>
      </c>
      <c r="C44" s="62">
        <v>4844</v>
      </c>
      <c r="D44" s="62">
        <v>3827</v>
      </c>
      <c r="E44" s="62">
        <v>4370</v>
      </c>
      <c r="F44" s="62">
        <v>2943</v>
      </c>
      <c r="G44" s="62">
        <v>2350</v>
      </c>
    </row>
    <row r="45" spans="2:17" ht="15" thickBot="1" x14ac:dyDescent="0.4">
      <c r="B45" s="62" t="s">
        <v>66</v>
      </c>
      <c r="C45" s="62">
        <v>4844</v>
      </c>
      <c r="D45" s="62">
        <v>3321</v>
      </c>
      <c r="E45" s="62">
        <v>4763</v>
      </c>
      <c r="F45" s="62">
        <v>3800</v>
      </c>
      <c r="G45" s="62">
        <v>2646</v>
      </c>
    </row>
    <row r="46" spans="2:17" ht="15" thickBot="1" x14ac:dyDescent="0.4">
      <c r="B46" s="62" t="s">
        <v>67</v>
      </c>
      <c r="C46" s="62">
        <v>3431</v>
      </c>
      <c r="D46" s="62">
        <v>3431</v>
      </c>
      <c r="E46" s="62">
        <v>3431</v>
      </c>
      <c r="F46" s="62">
        <v>3383</v>
      </c>
      <c r="G46" s="62">
        <v>1998</v>
      </c>
    </row>
    <row r="47" spans="2:17" ht="15" thickBot="1" x14ac:dyDescent="0.4">
      <c r="B47" s="62" t="s">
        <v>68</v>
      </c>
      <c r="C47" s="62">
        <v>3431</v>
      </c>
      <c r="D47" s="62">
        <v>3431</v>
      </c>
      <c r="E47" s="62">
        <v>3298</v>
      </c>
      <c r="F47" s="62">
        <v>3196</v>
      </c>
      <c r="G47" s="62">
        <v>1998</v>
      </c>
    </row>
    <row r="48" spans="2:17" ht="15" thickBot="1" x14ac:dyDescent="0.4">
      <c r="B48" s="62" t="s">
        <v>69</v>
      </c>
      <c r="C48" s="62">
        <v>3431</v>
      </c>
      <c r="D48" s="62">
        <v>3246</v>
      </c>
      <c r="E48" s="62">
        <v>2889</v>
      </c>
      <c r="F48" s="62">
        <v>3311</v>
      </c>
      <c r="G48" s="62">
        <v>1994</v>
      </c>
    </row>
    <row r="49" spans="2:7" ht="15" thickBot="1" x14ac:dyDescent="0.4">
      <c r="B49" s="62" t="s">
        <v>70</v>
      </c>
      <c r="C49" s="62">
        <v>3431</v>
      </c>
      <c r="D49" s="62">
        <v>3075</v>
      </c>
      <c r="E49" s="62">
        <v>2589</v>
      </c>
      <c r="F49" s="62">
        <v>3169</v>
      </c>
      <c r="G49" s="62">
        <v>1865</v>
      </c>
    </row>
    <row r="50" spans="2:7" ht="15" thickBot="1" x14ac:dyDescent="0.4">
      <c r="B50" s="62" t="s">
        <v>71</v>
      </c>
      <c r="C50" s="62">
        <v>3431</v>
      </c>
      <c r="D50" s="62">
        <v>2940</v>
      </c>
      <c r="E50" s="62">
        <v>2330</v>
      </c>
      <c r="F50" s="62">
        <v>3053</v>
      </c>
      <c r="G50" s="62">
        <v>1755</v>
      </c>
    </row>
    <row r="51" spans="2:7" ht="15" thickBot="1" x14ac:dyDescent="0.4">
      <c r="B51" s="62" t="s">
        <v>72</v>
      </c>
      <c r="C51" s="62">
        <v>3431</v>
      </c>
      <c r="D51" s="62">
        <v>2841</v>
      </c>
      <c r="E51" s="62">
        <v>2132</v>
      </c>
      <c r="F51" s="62">
        <v>2956</v>
      </c>
      <c r="G51" s="62">
        <v>1660</v>
      </c>
    </row>
    <row r="52" spans="2:7" ht="15" thickBot="1" x14ac:dyDescent="0.4">
      <c r="B52" s="62" t="s">
        <v>73</v>
      </c>
      <c r="C52" s="62">
        <v>3431</v>
      </c>
      <c r="D52" s="62">
        <v>2702</v>
      </c>
      <c r="E52" s="62">
        <v>1953</v>
      </c>
      <c r="F52" s="62">
        <v>2686</v>
      </c>
      <c r="G52" s="62">
        <v>1516</v>
      </c>
    </row>
    <row r="53" spans="2:7" ht="15" thickBot="1" x14ac:dyDescent="0.4">
      <c r="B53" s="62" t="s">
        <v>74</v>
      </c>
      <c r="C53" s="62">
        <v>3431</v>
      </c>
      <c r="D53" s="62">
        <v>2598</v>
      </c>
      <c r="E53" s="62">
        <v>1811</v>
      </c>
      <c r="F53" s="62">
        <v>2579</v>
      </c>
      <c r="G53" s="62">
        <v>1474</v>
      </c>
    </row>
    <row r="54" spans="2:7" ht="15" thickBot="1" x14ac:dyDescent="0.4">
      <c r="B54" s="62" t="s">
        <v>89</v>
      </c>
      <c r="C54" s="62">
        <v>6803</v>
      </c>
      <c r="D54" s="62">
        <v>6803</v>
      </c>
      <c r="E54" s="62">
        <v>6803</v>
      </c>
      <c r="F54" s="62">
        <v>6803</v>
      </c>
      <c r="G54" s="62">
        <v>6803</v>
      </c>
    </row>
    <row r="55" spans="2:7" ht="15" thickBot="1" x14ac:dyDescent="0.4">
      <c r="B55" s="62" t="s">
        <v>90</v>
      </c>
      <c r="C55" s="62">
        <v>6803</v>
      </c>
      <c r="D55" s="62">
        <v>6803</v>
      </c>
      <c r="E55" s="62">
        <v>6803</v>
      </c>
      <c r="F55" s="62">
        <v>6803</v>
      </c>
      <c r="G55" s="62">
        <v>6803</v>
      </c>
    </row>
    <row r="56" spans="2:7" ht="15" thickBot="1" x14ac:dyDescent="0.4">
      <c r="B56" s="62" t="s">
        <v>91</v>
      </c>
      <c r="C56" s="62">
        <v>6803</v>
      </c>
      <c r="D56" s="62">
        <v>6803</v>
      </c>
      <c r="E56" s="62">
        <v>6803</v>
      </c>
      <c r="F56" s="62">
        <v>6803</v>
      </c>
      <c r="G56" s="62">
        <v>6803</v>
      </c>
    </row>
    <row r="57" spans="2:7" ht="15" thickBot="1" x14ac:dyDescent="0.4">
      <c r="B57" s="62" t="s">
        <v>92</v>
      </c>
      <c r="C57" s="62">
        <v>6803</v>
      </c>
      <c r="D57" s="62">
        <v>6803</v>
      </c>
      <c r="E57" s="62">
        <v>6803</v>
      </c>
      <c r="F57" s="62">
        <v>6803</v>
      </c>
      <c r="G57" s="62">
        <v>6803</v>
      </c>
    </row>
    <row r="58" spans="2:7" ht="15" thickBot="1" x14ac:dyDescent="0.4">
      <c r="B58" s="62" t="s">
        <v>23430</v>
      </c>
      <c r="C58" s="62">
        <v>6803</v>
      </c>
      <c r="D58" s="62">
        <v>6803</v>
      </c>
      <c r="E58" s="62">
        <v>6803</v>
      </c>
      <c r="F58" s="62">
        <v>6803</v>
      </c>
      <c r="G58" s="62">
        <v>6803</v>
      </c>
    </row>
    <row r="59" spans="2:7" ht="15" thickBot="1" x14ac:dyDescent="0.4">
      <c r="B59" s="62" t="s">
        <v>75</v>
      </c>
      <c r="C59" s="62">
        <v>3740</v>
      </c>
      <c r="D59" s="62">
        <v>3740</v>
      </c>
      <c r="E59" s="62">
        <v>2924</v>
      </c>
      <c r="F59" s="62">
        <v>3033</v>
      </c>
      <c r="G59" s="62">
        <v>2970</v>
      </c>
    </row>
    <row r="60" spans="2:7" ht="15" thickBot="1" x14ac:dyDescent="0.4">
      <c r="B60" s="62" t="s">
        <v>76</v>
      </c>
      <c r="C60" s="62">
        <v>3740</v>
      </c>
      <c r="D60" s="62">
        <v>2903</v>
      </c>
      <c r="E60" s="62">
        <v>2064</v>
      </c>
      <c r="F60" s="62">
        <v>2474</v>
      </c>
      <c r="G60" s="62">
        <v>2165</v>
      </c>
    </row>
    <row r="61" spans="2:7" ht="15" thickBot="1" x14ac:dyDescent="0.4">
      <c r="B61" s="62" t="s">
        <v>77</v>
      </c>
      <c r="C61" s="62">
        <v>3740</v>
      </c>
      <c r="D61" s="62">
        <v>3654</v>
      </c>
      <c r="E61" s="62">
        <v>2599</v>
      </c>
      <c r="F61" s="62">
        <v>3740</v>
      </c>
      <c r="G61" s="62">
        <v>2522</v>
      </c>
    </row>
    <row r="62" spans="2:7" ht="15" thickBot="1" x14ac:dyDescent="0.4">
      <c r="B62" s="62" t="s">
        <v>78</v>
      </c>
      <c r="C62" s="62">
        <v>3740</v>
      </c>
      <c r="D62" s="62">
        <v>3740</v>
      </c>
      <c r="E62" s="62">
        <v>3740</v>
      </c>
      <c r="F62" s="62">
        <v>3740</v>
      </c>
      <c r="G62" s="62">
        <v>2646</v>
      </c>
    </row>
    <row r="63" spans="2:7" ht="15" thickBot="1" x14ac:dyDescent="0.4">
      <c r="B63" s="62" t="s">
        <v>79</v>
      </c>
      <c r="C63" s="62">
        <v>3740</v>
      </c>
      <c r="D63" s="62">
        <v>3740</v>
      </c>
      <c r="E63" s="62">
        <v>3740</v>
      </c>
      <c r="F63" s="62">
        <v>3073</v>
      </c>
      <c r="G63" s="62">
        <v>2134</v>
      </c>
    </row>
    <row r="64" spans="2:7" ht="15" thickBot="1" x14ac:dyDescent="0.4">
      <c r="B64" s="62" t="s">
        <v>80</v>
      </c>
      <c r="C64" s="62">
        <v>5262</v>
      </c>
      <c r="D64" s="62">
        <v>4065</v>
      </c>
      <c r="E64" s="62">
        <v>4472</v>
      </c>
      <c r="F64" s="62">
        <v>3016</v>
      </c>
      <c r="G64" s="62">
        <v>2486</v>
      </c>
    </row>
    <row r="65" spans="2:7" ht="15" thickBot="1" x14ac:dyDescent="0.4">
      <c r="B65" s="62" t="s">
        <v>81</v>
      </c>
      <c r="C65" s="62">
        <v>5262</v>
      </c>
      <c r="D65" s="62">
        <v>3417</v>
      </c>
      <c r="E65" s="62">
        <v>4343</v>
      </c>
      <c r="F65" s="62">
        <v>3855</v>
      </c>
      <c r="G65" s="62">
        <v>2458</v>
      </c>
    </row>
    <row r="66" spans="2:7" ht="15" thickBot="1" x14ac:dyDescent="0.4">
      <c r="B66" s="62" t="s">
        <v>82</v>
      </c>
      <c r="C66" s="62">
        <v>5262</v>
      </c>
      <c r="D66" s="62">
        <v>4101</v>
      </c>
      <c r="E66" s="62">
        <v>4424</v>
      </c>
      <c r="F66" s="62">
        <v>3692</v>
      </c>
      <c r="G66" s="62">
        <v>2520</v>
      </c>
    </row>
    <row r="67" spans="2:7" ht="15" thickBot="1" x14ac:dyDescent="0.4">
      <c r="B67" s="62" t="s">
        <v>83</v>
      </c>
      <c r="C67" s="62">
        <v>3740</v>
      </c>
      <c r="D67" s="62">
        <v>3552</v>
      </c>
      <c r="E67" s="62">
        <v>3067</v>
      </c>
      <c r="F67" s="62">
        <v>3483</v>
      </c>
      <c r="G67" s="62">
        <v>1934</v>
      </c>
    </row>
    <row r="68" spans="2:7" ht="15" thickBot="1" x14ac:dyDescent="0.4">
      <c r="B68" s="62" t="s">
        <v>84</v>
      </c>
      <c r="C68" s="62">
        <v>3740</v>
      </c>
      <c r="D68" s="62">
        <v>3471</v>
      </c>
      <c r="E68" s="62">
        <v>2689</v>
      </c>
      <c r="F68" s="62">
        <v>3320</v>
      </c>
      <c r="G68" s="62">
        <v>1804</v>
      </c>
    </row>
    <row r="69" spans="2:7" ht="15" thickBot="1" x14ac:dyDescent="0.4">
      <c r="B69" s="62" t="s">
        <v>85</v>
      </c>
      <c r="C69" s="62">
        <v>3740</v>
      </c>
      <c r="D69" s="62">
        <v>3437</v>
      </c>
      <c r="E69" s="62">
        <v>2394</v>
      </c>
      <c r="F69" s="62">
        <v>3205</v>
      </c>
      <c r="G69" s="62">
        <v>1917</v>
      </c>
    </row>
    <row r="70" spans="2:7" ht="15" thickBot="1" x14ac:dyDescent="0.4">
      <c r="B70" s="62" t="s">
        <v>86</v>
      </c>
      <c r="C70" s="62">
        <v>3740</v>
      </c>
      <c r="D70" s="62">
        <v>3066</v>
      </c>
      <c r="E70" s="62">
        <v>3740</v>
      </c>
      <c r="F70" s="62">
        <v>3064</v>
      </c>
      <c r="G70" s="62">
        <v>2646</v>
      </c>
    </row>
    <row r="71" spans="2:7" ht="15" thickBot="1" x14ac:dyDescent="0.4">
      <c r="B71" s="62" t="s">
        <v>87</v>
      </c>
      <c r="C71" s="62">
        <v>3740</v>
      </c>
      <c r="D71" s="62">
        <v>3189</v>
      </c>
      <c r="E71" s="62">
        <v>1975</v>
      </c>
      <c r="F71" s="62">
        <v>2742</v>
      </c>
      <c r="G71" s="62">
        <v>1779</v>
      </c>
    </row>
    <row r="72" spans="2:7" ht="15" thickBot="1" x14ac:dyDescent="0.4">
      <c r="B72" s="62" t="s">
        <v>88</v>
      </c>
      <c r="C72" s="62">
        <v>3740</v>
      </c>
      <c r="D72" s="62">
        <v>2985</v>
      </c>
      <c r="E72" s="62">
        <v>2797</v>
      </c>
      <c r="F72" s="62">
        <v>2602</v>
      </c>
      <c r="G72" s="62">
        <v>1998</v>
      </c>
    </row>
  </sheetData>
  <mergeCells count="7">
    <mergeCell ref="I3:P3"/>
    <mergeCell ref="B2:B3"/>
    <mergeCell ref="C2:C3"/>
    <mergeCell ref="D2:D3"/>
    <mergeCell ref="E2:E3"/>
    <mergeCell ref="F2:F3"/>
    <mergeCell ref="G2:G3"/>
  </mergeCells>
  <pageMargins left="0.7" right="0.7" top="0.75" bottom="0.75" header="0.3" footer="0.3"/>
  <pageSetup paperSize="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0B8E4-B498-474D-8CBC-D30AD12AAF41}">
  <sheetPr codeName="Sheet2">
    <tabColor rgb="FFFFC000"/>
  </sheetPr>
  <dimension ref="B2:D7807"/>
  <sheetViews>
    <sheetView workbookViewId="0">
      <selection activeCell="C27" sqref="C27"/>
    </sheetView>
  </sheetViews>
  <sheetFormatPr defaultRowHeight="14.5" x14ac:dyDescent="0.35"/>
  <cols>
    <col min="1" max="1" width="2.36328125" customWidth="1"/>
    <col min="2" max="2" width="7" bestFit="1" customWidth="1"/>
    <col min="3" max="3" width="7.81640625" bestFit="1" customWidth="1"/>
    <col min="4" max="4" width="60.81640625" bestFit="1" customWidth="1"/>
  </cols>
  <sheetData>
    <row r="2" spans="2:4" x14ac:dyDescent="0.35">
      <c r="B2" s="59" t="s">
        <v>184</v>
      </c>
      <c r="C2" s="59" t="s">
        <v>185</v>
      </c>
      <c r="D2" s="59" t="s">
        <v>186</v>
      </c>
    </row>
    <row r="3" spans="2:4" x14ac:dyDescent="0.35">
      <c r="B3" s="60" t="s">
        <v>187</v>
      </c>
      <c r="C3" s="60" t="s">
        <v>188</v>
      </c>
      <c r="D3" s="60" t="s">
        <v>189</v>
      </c>
    </row>
    <row r="4" spans="2:4" x14ac:dyDescent="0.35">
      <c r="B4" s="60" t="s">
        <v>190</v>
      </c>
      <c r="C4" s="60" t="s">
        <v>191</v>
      </c>
      <c r="D4" s="60" t="s">
        <v>192</v>
      </c>
    </row>
    <row r="5" spans="2:4" x14ac:dyDescent="0.35">
      <c r="B5" s="60" t="s">
        <v>193</v>
      </c>
      <c r="C5" s="60" t="s">
        <v>194</v>
      </c>
      <c r="D5" s="60" t="s">
        <v>195</v>
      </c>
    </row>
    <row r="6" spans="2:4" x14ac:dyDescent="0.35">
      <c r="B6" s="60" t="s">
        <v>196</v>
      </c>
      <c r="C6" s="60" t="s">
        <v>197</v>
      </c>
      <c r="D6" s="60" t="s">
        <v>198</v>
      </c>
    </row>
    <row r="7" spans="2:4" x14ac:dyDescent="0.35">
      <c r="B7" s="60" t="s">
        <v>199</v>
      </c>
      <c r="C7" s="60" t="s">
        <v>200</v>
      </c>
      <c r="D7" s="60" t="s">
        <v>201</v>
      </c>
    </row>
    <row r="8" spans="2:4" x14ac:dyDescent="0.35">
      <c r="B8" s="60" t="s">
        <v>202</v>
      </c>
      <c r="C8" s="60" t="s">
        <v>203</v>
      </c>
      <c r="D8" s="60" t="s">
        <v>204</v>
      </c>
    </row>
    <row r="9" spans="2:4" x14ac:dyDescent="0.35">
      <c r="B9" s="60" t="s">
        <v>205</v>
      </c>
      <c r="C9" s="60" t="s">
        <v>206</v>
      </c>
      <c r="D9" s="60" t="s">
        <v>207</v>
      </c>
    </row>
    <row r="10" spans="2:4" x14ac:dyDescent="0.35">
      <c r="B10" s="60" t="s">
        <v>208</v>
      </c>
      <c r="C10" s="60" t="s">
        <v>209</v>
      </c>
      <c r="D10" s="60" t="s">
        <v>210</v>
      </c>
    </row>
    <row r="11" spans="2:4" x14ac:dyDescent="0.35">
      <c r="B11" s="60" t="s">
        <v>211</v>
      </c>
      <c r="C11" s="60" t="s">
        <v>212</v>
      </c>
      <c r="D11" s="60" t="s">
        <v>213</v>
      </c>
    </row>
    <row r="12" spans="2:4" x14ac:dyDescent="0.35">
      <c r="B12" s="60" t="s">
        <v>214</v>
      </c>
      <c r="C12" s="60" t="s">
        <v>215</v>
      </c>
      <c r="D12" s="60" t="s">
        <v>216</v>
      </c>
    </row>
    <row r="13" spans="2:4" x14ac:dyDescent="0.35">
      <c r="B13" s="60" t="s">
        <v>217</v>
      </c>
      <c r="C13" s="60" t="s">
        <v>218</v>
      </c>
      <c r="D13" s="60" t="s">
        <v>219</v>
      </c>
    </row>
    <row r="14" spans="2:4" x14ac:dyDescent="0.35">
      <c r="B14" s="60" t="s">
        <v>220</v>
      </c>
      <c r="C14" s="60" t="s">
        <v>221</v>
      </c>
      <c r="D14" s="60" t="s">
        <v>222</v>
      </c>
    </row>
    <row r="15" spans="2:4" x14ac:dyDescent="0.35">
      <c r="B15" s="60" t="s">
        <v>223</v>
      </c>
      <c r="C15" s="60" t="s">
        <v>224</v>
      </c>
      <c r="D15" s="60" t="s">
        <v>225</v>
      </c>
    </row>
    <row r="16" spans="2:4" x14ac:dyDescent="0.35">
      <c r="B16" s="60" t="s">
        <v>226</v>
      </c>
      <c r="C16" s="60" t="s">
        <v>227</v>
      </c>
      <c r="D16" s="60" t="s">
        <v>228</v>
      </c>
    </row>
    <row r="17" spans="2:4" x14ac:dyDescent="0.35">
      <c r="B17" s="60" t="s">
        <v>229</v>
      </c>
      <c r="C17" s="60" t="s">
        <v>230</v>
      </c>
      <c r="D17" s="60" t="s">
        <v>231</v>
      </c>
    </row>
    <row r="18" spans="2:4" x14ac:dyDescent="0.35">
      <c r="B18" s="60" t="s">
        <v>232</v>
      </c>
      <c r="C18" s="60" t="s">
        <v>233</v>
      </c>
      <c r="D18" s="60" t="s">
        <v>234</v>
      </c>
    </row>
    <row r="19" spans="2:4" x14ac:dyDescent="0.35">
      <c r="B19" s="60" t="s">
        <v>235</v>
      </c>
      <c r="C19" s="60" t="s">
        <v>236</v>
      </c>
      <c r="D19" s="60" t="s">
        <v>237</v>
      </c>
    </row>
    <row r="20" spans="2:4" x14ac:dyDescent="0.35">
      <c r="B20" s="60" t="s">
        <v>238</v>
      </c>
      <c r="C20" s="60" t="s">
        <v>239</v>
      </c>
      <c r="D20" s="60" t="s">
        <v>240</v>
      </c>
    </row>
    <row r="21" spans="2:4" x14ac:dyDescent="0.35">
      <c r="B21" s="60" t="s">
        <v>241</v>
      </c>
      <c r="C21" s="60" t="s">
        <v>242</v>
      </c>
      <c r="D21" s="60" t="s">
        <v>243</v>
      </c>
    </row>
    <row r="22" spans="2:4" x14ac:dyDescent="0.35">
      <c r="B22" s="60" t="s">
        <v>244</v>
      </c>
      <c r="C22" s="60" t="s">
        <v>245</v>
      </c>
      <c r="D22" s="60" t="s">
        <v>246</v>
      </c>
    </row>
    <row r="23" spans="2:4" x14ac:dyDescent="0.35">
      <c r="B23" s="60" t="s">
        <v>247</v>
      </c>
      <c r="C23" s="60" t="s">
        <v>248</v>
      </c>
      <c r="D23" s="60" t="s">
        <v>249</v>
      </c>
    </row>
    <row r="24" spans="2:4" x14ac:dyDescent="0.35">
      <c r="B24" s="60" t="s">
        <v>250</v>
      </c>
      <c r="C24" s="60" t="s">
        <v>251</v>
      </c>
      <c r="D24" s="60" t="s">
        <v>252</v>
      </c>
    </row>
    <row r="25" spans="2:4" x14ac:dyDescent="0.35">
      <c r="B25" s="60" t="s">
        <v>253</v>
      </c>
      <c r="C25" s="60" t="s">
        <v>254</v>
      </c>
      <c r="D25" s="60" t="s">
        <v>255</v>
      </c>
    </row>
    <row r="26" spans="2:4" x14ac:dyDescent="0.35">
      <c r="B26" s="60" t="s">
        <v>256</v>
      </c>
      <c r="C26" s="60" t="s">
        <v>257</v>
      </c>
      <c r="D26" s="60" t="s">
        <v>258</v>
      </c>
    </row>
    <row r="27" spans="2:4" x14ac:dyDescent="0.35">
      <c r="B27" s="60" t="s">
        <v>259</v>
      </c>
      <c r="C27" s="60" t="s">
        <v>260</v>
      </c>
      <c r="D27" s="60" t="s">
        <v>261</v>
      </c>
    </row>
    <row r="28" spans="2:4" x14ac:dyDescent="0.35">
      <c r="B28" s="60" t="s">
        <v>259</v>
      </c>
      <c r="C28" s="60" t="s">
        <v>262</v>
      </c>
      <c r="D28" s="60" t="s">
        <v>263</v>
      </c>
    </row>
    <row r="29" spans="2:4" x14ac:dyDescent="0.35">
      <c r="B29" s="60" t="s">
        <v>264</v>
      </c>
      <c r="C29" s="60" t="s">
        <v>265</v>
      </c>
      <c r="D29" s="60" t="s">
        <v>266</v>
      </c>
    </row>
    <row r="30" spans="2:4" x14ac:dyDescent="0.35">
      <c r="B30" s="60" t="s">
        <v>267</v>
      </c>
      <c r="C30" s="60" t="s">
        <v>268</v>
      </c>
      <c r="D30" s="60" t="s">
        <v>269</v>
      </c>
    </row>
    <row r="31" spans="2:4" x14ac:dyDescent="0.35">
      <c r="B31" s="60" t="s">
        <v>270</v>
      </c>
      <c r="C31" s="60" t="s">
        <v>271</v>
      </c>
      <c r="D31" s="60" t="s">
        <v>272</v>
      </c>
    </row>
    <row r="32" spans="2:4" x14ac:dyDescent="0.35">
      <c r="B32" s="60" t="s">
        <v>273</v>
      </c>
      <c r="C32" s="60" t="s">
        <v>274</v>
      </c>
      <c r="D32" s="60" t="s">
        <v>275</v>
      </c>
    </row>
    <row r="33" spans="2:4" x14ac:dyDescent="0.35">
      <c r="B33" s="60" t="s">
        <v>276</v>
      </c>
      <c r="C33" s="60" t="s">
        <v>277</v>
      </c>
      <c r="D33" s="60" t="s">
        <v>278</v>
      </c>
    </row>
    <row r="34" spans="2:4" x14ac:dyDescent="0.35">
      <c r="B34" s="60" t="s">
        <v>279</v>
      </c>
      <c r="C34" s="60" t="s">
        <v>280</v>
      </c>
      <c r="D34" s="60" t="s">
        <v>281</v>
      </c>
    </row>
    <row r="35" spans="2:4" x14ac:dyDescent="0.35">
      <c r="B35" s="60" t="s">
        <v>282</v>
      </c>
      <c r="C35" s="60" t="s">
        <v>283</v>
      </c>
      <c r="D35" s="60" t="s">
        <v>284</v>
      </c>
    </row>
    <row r="36" spans="2:4" x14ac:dyDescent="0.35">
      <c r="B36" s="60" t="s">
        <v>285</v>
      </c>
      <c r="C36" s="60" t="s">
        <v>286</v>
      </c>
      <c r="D36" s="60" t="s">
        <v>287</v>
      </c>
    </row>
    <row r="37" spans="2:4" x14ac:dyDescent="0.35">
      <c r="B37" s="60" t="s">
        <v>288</v>
      </c>
      <c r="C37" s="60" t="s">
        <v>289</v>
      </c>
      <c r="D37" s="60" t="s">
        <v>290</v>
      </c>
    </row>
    <row r="38" spans="2:4" x14ac:dyDescent="0.35">
      <c r="B38" s="60" t="s">
        <v>291</v>
      </c>
      <c r="C38" s="60" t="s">
        <v>292</v>
      </c>
      <c r="D38" s="60" t="s">
        <v>293</v>
      </c>
    </row>
    <row r="39" spans="2:4" x14ac:dyDescent="0.35">
      <c r="B39" s="60" t="s">
        <v>294</v>
      </c>
      <c r="C39" s="60" t="s">
        <v>295</v>
      </c>
      <c r="D39" s="60" t="s">
        <v>296</v>
      </c>
    </row>
    <row r="40" spans="2:4" x14ac:dyDescent="0.35">
      <c r="B40" s="60" t="s">
        <v>297</v>
      </c>
      <c r="C40" s="60" t="s">
        <v>298</v>
      </c>
      <c r="D40" s="60" t="s">
        <v>299</v>
      </c>
    </row>
    <row r="41" spans="2:4" x14ac:dyDescent="0.35">
      <c r="B41" s="60" t="s">
        <v>300</v>
      </c>
      <c r="C41" s="60" t="s">
        <v>301</v>
      </c>
      <c r="D41" s="60" t="s">
        <v>302</v>
      </c>
    </row>
    <row r="42" spans="2:4" x14ac:dyDescent="0.35">
      <c r="B42" s="60" t="s">
        <v>303</v>
      </c>
      <c r="C42" s="60" t="s">
        <v>304</v>
      </c>
      <c r="D42" s="60" t="s">
        <v>305</v>
      </c>
    </row>
    <row r="43" spans="2:4" x14ac:dyDescent="0.35">
      <c r="B43" s="60" t="s">
        <v>306</v>
      </c>
      <c r="C43" s="60" t="s">
        <v>307</v>
      </c>
      <c r="D43" s="60" t="s">
        <v>308</v>
      </c>
    </row>
    <row r="44" spans="2:4" x14ac:dyDescent="0.35">
      <c r="B44" s="60" t="s">
        <v>309</v>
      </c>
      <c r="C44" s="60" t="s">
        <v>310</v>
      </c>
      <c r="D44" s="60" t="s">
        <v>311</v>
      </c>
    </row>
    <row r="45" spans="2:4" x14ac:dyDescent="0.35">
      <c r="B45" s="60" t="s">
        <v>312</v>
      </c>
      <c r="C45" s="60" t="s">
        <v>313</v>
      </c>
      <c r="D45" s="60" t="s">
        <v>314</v>
      </c>
    </row>
    <row r="46" spans="2:4" x14ac:dyDescent="0.35">
      <c r="B46" s="60" t="s">
        <v>315</v>
      </c>
      <c r="C46" s="60" t="s">
        <v>316</v>
      </c>
      <c r="D46" s="60" t="s">
        <v>317</v>
      </c>
    </row>
    <row r="47" spans="2:4" x14ac:dyDescent="0.35">
      <c r="B47" s="60" t="s">
        <v>318</v>
      </c>
      <c r="C47" s="60" t="s">
        <v>319</v>
      </c>
      <c r="D47" s="60" t="s">
        <v>320</v>
      </c>
    </row>
    <row r="48" spans="2:4" x14ac:dyDescent="0.35">
      <c r="B48" s="60" t="s">
        <v>321</v>
      </c>
      <c r="C48" s="60" t="s">
        <v>322</v>
      </c>
      <c r="D48" s="60" t="s">
        <v>323</v>
      </c>
    </row>
    <row r="49" spans="2:4" x14ac:dyDescent="0.35">
      <c r="B49" s="60" t="s">
        <v>324</v>
      </c>
      <c r="C49" s="60" t="s">
        <v>325</v>
      </c>
      <c r="D49" s="60" t="s">
        <v>326</v>
      </c>
    </row>
    <row r="50" spans="2:4" x14ac:dyDescent="0.35">
      <c r="B50" s="60" t="s">
        <v>327</v>
      </c>
      <c r="C50" s="60" t="s">
        <v>328</v>
      </c>
      <c r="D50" s="60" t="s">
        <v>329</v>
      </c>
    </row>
    <row r="51" spans="2:4" x14ac:dyDescent="0.35">
      <c r="B51" s="60" t="s">
        <v>330</v>
      </c>
      <c r="C51" s="60" t="s">
        <v>331</v>
      </c>
      <c r="D51" s="60" t="s">
        <v>332</v>
      </c>
    </row>
    <row r="52" spans="2:4" x14ac:dyDescent="0.35">
      <c r="B52" s="60" t="s">
        <v>333</v>
      </c>
      <c r="C52" s="60" t="s">
        <v>334</v>
      </c>
      <c r="D52" s="60" t="s">
        <v>335</v>
      </c>
    </row>
    <row r="53" spans="2:4" x14ac:dyDescent="0.35">
      <c r="B53" s="60" t="s">
        <v>336</v>
      </c>
      <c r="C53" s="60" t="s">
        <v>337</v>
      </c>
      <c r="D53" s="60" t="s">
        <v>338</v>
      </c>
    </row>
    <row r="54" spans="2:4" x14ac:dyDescent="0.35">
      <c r="B54" s="60" t="s">
        <v>339</v>
      </c>
      <c r="C54" s="60" t="s">
        <v>340</v>
      </c>
      <c r="D54" s="60" t="s">
        <v>341</v>
      </c>
    </row>
    <row r="55" spans="2:4" x14ac:dyDescent="0.35">
      <c r="B55" s="60" t="s">
        <v>342</v>
      </c>
      <c r="C55" s="60" t="s">
        <v>343</v>
      </c>
      <c r="D55" s="60" t="s">
        <v>344</v>
      </c>
    </row>
    <row r="56" spans="2:4" x14ac:dyDescent="0.35">
      <c r="B56" s="60" t="s">
        <v>345</v>
      </c>
      <c r="C56" s="60" t="s">
        <v>346</v>
      </c>
      <c r="D56" s="60" t="s">
        <v>347</v>
      </c>
    </row>
    <row r="57" spans="2:4" x14ac:dyDescent="0.35">
      <c r="B57" s="60" t="s">
        <v>348</v>
      </c>
      <c r="C57" s="60" t="s">
        <v>349</v>
      </c>
      <c r="D57" s="60" t="s">
        <v>350</v>
      </c>
    </row>
    <row r="58" spans="2:4" x14ac:dyDescent="0.35">
      <c r="B58" s="60" t="s">
        <v>351</v>
      </c>
      <c r="C58" s="60" t="s">
        <v>352</v>
      </c>
      <c r="D58" s="60" t="s">
        <v>353</v>
      </c>
    </row>
    <row r="59" spans="2:4" x14ac:dyDescent="0.35">
      <c r="B59" s="60" t="s">
        <v>354</v>
      </c>
      <c r="C59" s="60" t="s">
        <v>355</v>
      </c>
      <c r="D59" s="60" t="s">
        <v>356</v>
      </c>
    </row>
    <row r="60" spans="2:4" x14ac:dyDescent="0.35">
      <c r="B60" s="60" t="s">
        <v>357</v>
      </c>
      <c r="C60" s="60" t="s">
        <v>358</v>
      </c>
      <c r="D60" s="60" t="s">
        <v>359</v>
      </c>
    </row>
    <row r="61" spans="2:4" x14ac:dyDescent="0.35">
      <c r="B61" s="60" t="s">
        <v>360</v>
      </c>
      <c r="C61" s="60" t="s">
        <v>361</v>
      </c>
      <c r="D61" s="60" t="s">
        <v>362</v>
      </c>
    </row>
    <row r="62" spans="2:4" x14ac:dyDescent="0.35">
      <c r="B62" s="60" t="s">
        <v>363</v>
      </c>
      <c r="C62" s="60" t="s">
        <v>364</v>
      </c>
      <c r="D62" s="60" t="s">
        <v>365</v>
      </c>
    </row>
    <row r="63" spans="2:4" x14ac:dyDescent="0.35">
      <c r="B63" s="60" t="s">
        <v>366</v>
      </c>
      <c r="C63" s="60" t="s">
        <v>367</v>
      </c>
      <c r="D63" s="60" t="s">
        <v>368</v>
      </c>
    </row>
    <row r="64" spans="2:4" x14ac:dyDescent="0.35">
      <c r="B64" s="60" t="s">
        <v>369</v>
      </c>
      <c r="C64" s="60" t="s">
        <v>370</v>
      </c>
      <c r="D64" s="60" t="s">
        <v>371</v>
      </c>
    </row>
    <row r="65" spans="2:4" x14ac:dyDescent="0.35">
      <c r="B65" s="60" t="s">
        <v>372</v>
      </c>
      <c r="C65" s="60" t="s">
        <v>373</v>
      </c>
      <c r="D65" s="60" t="s">
        <v>374</v>
      </c>
    </row>
    <row r="66" spans="2:4" x14ac:dyDescent="0.35">
      <c r="B66" s="60" t="s">
        <v>375</v>
      </c>
      <c r="C66" s="60" t="s">
        <v>376</v>
      </c>
      <c r="D66" s="60" t="s">
        <v>377</v>
      </c>
    </row>
    <row r="67" spans="2:4" x14ac:dyDescent="0.35">
      <c r="B67" s="60" t="s">
        <v>378</v>
      </c>
      <c r="C67" s="60" t="s">
        <v>379</v>
      </c>
      <c r="D67" s="60" t="s">
        <v>380</v>
      </c>
    </row>
    <row r="68" spans="2:4" x14ac:dyDescent="0.35">
      <c r="B68" s="60" t="s">
        <v>381</v>
      </c>
      <c r="C68" s="60" t="s">
        <v>382</v>
      </c>
      <c r="D68" s="60" t="s">
        <v>383</v>
      </c>
    </row>
    <row r="69" spans="2:4" x14ac:dyDescent="0.35">
      <c r="B69" s="60" t="s">
        <v>384</v>
      </c>
      <c r="C69" s="60" t="s">
        <v>385</v>
      </c>
      <c r="D69" s="60" t="s">
        <v>386</v>
      </c>
    </row>
    <row r="70" spans="2:4" x14ac:dyDescent="0.35">
      <c r="B70" s="60" t="s">
        <v>387</v>
      </c>
      <c r="C70" s="60" t="s">
        <v>388</v>
      </c>
      <c r="D70" s="60" t="s">
        <v>389</v>
      </c>
    </row>
    <row r="71" spans="2:4" x14ac:dyDescent="0.35">
      <c r="B71" s="60" t="s">
        <v>390</v>
      </c>
      <c r="C71" s="60" t="s">
        <v>391</v>
      </c>
      <c r="D71" s="60" t="s">
        <v>392</v>
      </c>
    </row>
    <row r="72" spans="2:4" x14ac:dyDescent="0.35">
      <c r="B72" s="60" t="s">
        <v>393</v>
      </c>
      <c r="C72" s="60" t="s">
        <v>394</v>
      </c>
      <c r="D72" s="60" t="s">
        <v>395</v>
      </c>
    </row>
    <row r="73" spans="2:4" x14ac:dyDescent="0.35">
      <c r="B73" s="60" t="s">
        <v>396</v>
      </c>
      <c r="C73" s="60" t="s">
        <v>397</v>
      </c>
      <c r="D73" s="60" t="s">
        <v>398</v>
      </c>
    </row>
    <row r="74" spans="2:4" x14ac:dyDescent="0.35">
      <c r="B74" s="60" t="s">
        <v>399</v>
      </c>
      <c r="C74" s="60" t="s">
        <v>400</v>
      </c>
      <c r="D74" s="60" t="s">
        <v>401</v>
      </c>
    </row>
    <row r="75" spans="2:4" x14ac:dyDescent="0.35">
      <c r="B75" s="60" t="s">
        <v>402</v>
      </c>
      <c r="C75" s="60" t="s">
        <v>403</v>
      </c>
      <c r="D75" s="60" t="s">
        <v>404</v>
      </c>
    </row>
    <row r="76" spans="2:4" x14ac:dyDescent="0.35">
      <c r="B76" s="60" t="s">
        <v>402</v>
      </c>
      <c r="C76" s="60" t="s">
        <v>405</v>
      </c>
      <c r="D76" s="60" t="s">
        <v>404</v>
      </c>
    </row>
    <row r="77" spans="2:4" x14ac:dyDescent="0.35">
      <c r="B77" s="60" t="s">
        <v>406</v>
      </c>
      <c r="C77" s="60" t="s">
        <v>407</v>
      </c>
      <c r="D77" s="60" t="s">
        <v>408</v>
      </c>
    </row>
    <row r="78" spans="2:4" x14ac:dyDescent="0.35">
      <c r="B78" s="60" t="s">
        <v>409</v>
      </c>
      <c r="C78" s="60" t="s">
        <v>410</v>
      </c>
      <c r="D78" s="60" t="s">
        <v>411</v>
      </c>
    </row>
    <row r="79" spans="2:4" x14ac:dyDescent="0.35">
      <c r="B79" s="60" t="s">
        <v>412</v>
      </c>
      <c r="C79" s="60" t="s">
        <v>413</v>
      </c>
      <c r="D79" s="60" t="s">
        <v>414</v>
      </c>
    </row>
    <row r="80" spans="2:4" x14ac:dyDescent="0.35">
      <c r="B80" s="60" t="s">
        <v>415</v>
      </c>
      <c r="C80" s="60" t="s">
        <v>416</v>
      </c>
      <c r="D80" s="60" t="s">
        <v>417</v>
      </c>
    </row>
    <row r="81" spans="2:4" x14ac:dyDescent="0.35">
      <c r="B81" s="60" t="s">
        <v>418</v>
      </c>
      <c r="C81" s="60" t="s">
        <v>419</v>
      </c>
      <c r="D81" s="60" t="s">
        <v>420</v>
      </c>
    </row>
    <row r="82" spans="2:4" x14ac:dyDescent="0.35">
      <c r="B82" s="60" t="s">
        <v>421</v>
      </c>
      <c r="C82" s="60" t="s">
        <v>422</v>
      </c>
      <c r="D82" s="60" t="s">
        <v>423</v>
      </c>
    </row>
    <row r="83" spans="2:4" x14ac:dyDescent="0.35">
      <c r="B83" s="60" t="s">
        <v>424</v>
      </c>
      <c r="C83" s="60" t="s">
        <v>425</v>
      </c>
      <c r="D83" s="60" t="s">
        <v>426</v>
      </c>
    </row>
    <row r="84" spans="2:4" x14ac:dyDescent="0.35">
      <c r="B84" s="60" t="s">
        <v>427</v>
      </c>
      <c r="C84" s="60" t="s">
        <v>428</v>
      </c>
      <c r="D84" s="60" t="s">
        <v>429</v>
      </c>
    </row>
    <row r="85" spans="2:4" x14ac:dyDescent="0.35">
      <c r="B85" s="60" t="s">
        <v>430</v>
      </c>
      <c r="C85" s="60" t="s">
        <v>431</v>
      </c>
      <c r="D85" s="60" t="s">
        <v>432</v>
      </c>
    </row>
    <row r="86" spans="2:4" x14ac:dyDescent="0.35">
      <c r="B86" s="60" t="s">
        <v>433</v>
      </c>
      <c r="C86" s="60" t="s">
        <v>434</v>
      </c>
      <c r="D86" s="60" t="s">
        <v>435</v>
      </c>
    </row>
    <row r="87" spans="2:4" x14ac:dyDescent="0.35">
      <c r="B87" s="60" t="s">
        <v>436</v>
      </c>
      <c r="C87" s="60" t="s">
        <v>437</v>
      </c>
      <c r="D87" s="60" t="s">
        <v>438</v>
      </c>
    </row>
    <row r="88" spans="2:4" x14ac:dyDescent="0.35">
      <c r="B88" s="60" t="s">
        <v>439</v>
      </c>
      <c r="C88" s="60" t="s">
        <v>440</v>
      </c>
      <c r="D88" s="60" t="s">
        <v>441</v>
      </c>
    </row>
    <row r="89" spans="2:4" x14ac:dyDescent="0.35">
      <c r="B89" s="60" t="s">
        <v>442</v>
      </c>
      <c r="C89" s="60" t="s">
        <v>443</v>
      </c>
      <c r="D89" s="60" t="s">
        <v>444</v>
      </c>
    </row>
    <row r="90" spans="2:4" x14ac:dyDescent="0.35">
      <c r="B90" s="60" t="s">
        <v>445</v>
      </c>
      <c r="C90" s="60" t="s">
        <v>446</v>
      </c>
      <c r="D90" s="60" t="s">
        <v>447</v>
      </c>
    </row>
    <row r="91" spans="2:4" x14ac:dyDescent="0.35">
      <c r="B91" s="60" t="s">
        <v>448</v>
      </c>
      <c r="C91" s="60" t="s">
        <v>449</v>
      </c>
      <c r="D91" s="60" t="s">
        <v>450</v>
      </c>
    </row>
    <row r="92" spans="2:4" x14ac:dyDescent="0.35">
      <c r="B92" s="60" t="s">
        <v>451</v>
      </c>
      <c r="C92" s="60" t="s">
        <v>452</v>
      </c>
      <c r="D92" s="60" t="s">
        <v>453</v>
      </c>
    </row>
    <row r="93" spans="2:4" x14ac:dyDescent="0.35">
      <c r="B93" s="60" t="s">
        <v>454</v>
      </c>
      <c r="C93" s="60" t="s">
        <v>455</v>
      </c>
      <c r="D93" s="60" t="s">
        <v>456</v>
      </c>
    </row>
    <row r="94" spans="2:4" x14ac:dyDescent="0.35">
      <c r="B94" s="60" t="s">
        <v>457</v>
      </c>
      <c r="C94" s="60" t="s">
        <v>458</v>
      </c>
      <c r="D94" s="60" t="s">
        <v>459</v>
      </c>
    </row>
    <row r="95" spans="2:4" x14ac:dyDescent="0.35">
      <c r="B95" s="60" t="s">
        <v>460</v>
      </c>
      <c r="C95" s="60" t="s">
        <v>461</v>
      </c>
      <c r="D95" s="60" t="s">
        <v>462</v>
      </c>
    </row>
    <row r="96" spans="2:4" x14ac:dyDescent="0.35">
      <c r="B96" s="60" t="s">
        <v>463</v>
      </c>
      <c r="C96" s="60" t="s">
        <v>464</v>
      </c>
      <c r="D96" s="60" t="s">
        <v>465</v>
      </c>
    </row>
    <row r="97" spans="2:4" x14ac:dyDescent="0.35">
      <c r="B97" s="60" t="s">
        <v>466</v>
      </c>
      <c r="C97" s="60" t="s">
        <v>467</v>
      </c>
      <c r="D97" s="60" t="s">
        <v>468</v>
      </c>
    </row>
    <row r="98" spans="2:4" x14ac:dyDescent="0.35">
      <c r="B98" s="60" t="s">
        <v>469</v>
      </c>
      <c r="C98" s="60" t="s">
        <v>470</v>
      </c>
      <c r="D98" s="60" t="s">
        <v>471</v>
      </c>
    </row>
    <row r="99" spans="2:4" x14ac:dyDescent="0.35">
      <c r="B99" s="60" t="s">
        <v>472</v>
      </c>
      <c r="C99" s="60" t="s">
        <v>473</v>
      </c>
      <c r="D99" s="60" t="s">
        <v>474</v>
      </c>
    </row>
    <row r="100" spans="2:4" x14ac:dyDescent="0.35">
      <c r="B100" s="60" t="s">
        <v>475</v>
      </c>
      <c r="C100" s="60" t="s">
        <v>476</v>
      </c>
      <c r="D100" s="60" t="s">
        <v>477</v>
      </c>
    </row>
    <row r="101" spans="2:4" x14ac:dyDescent="0.35">
      <c r="B101" s="60" t="s">
        <v>478</v>
      </c>
      <c r="C101" s="60" t="s">
        <v>479</v>
      </c>
      <c r="D101" s="60" t="s">
        <v>480</v>
      </c>
    </row>
    <row r="102" spans="2:4" x14ac:dyDescent="0.35">
      <c r="B102" s="60" t="s">
        <v>481</v>
      </c>
      <c r="C102" s="60" t="s">
        <v>482</v>
      </c>
      <c r="D102" s="60" t="s">
        <v>483</v>
      </c>
    </row>
    <row r="103" spans="2:4" x14ac:dyDescent="0.35">
      <c r="B103" s="60" t="s">
        <v>484</v>
      </c>
      <c r="C103" s="60" t="s">
        <v>485</v>
      </c>
      <c r="D103" s="60" t="s">
        <v>486</v>
      </c>
    </row>
    <row r="104" spans="2:4" x14ac:dyDescent="0.35">
      <c r="B104" s="60" t="s">
        <v>487</v>
      </c>
      <c r="C104" s="60" t="s">
        <v>488</v>
      </c>
      <c r="D104" s="60" t="s">
        <v>489</v>
      </c>
    </row>
    <row r="105" spans="2:4" x14ac:dyDescent="0.35">
      <c r="B105" s="60" t="s">
        <v>490</v>
      </c>
      <c r="C105" s="60" t="s">
        <v>491</v>
      </c>
      <c r="D105" s="60" t="s">
        <v>492</v>
      </c>
    </row>
    <row r="106" spans="2:4" x14ac:dyDescent="0.35">
      <c r="B106" s="60" t="s">
        <v>493</v>
      </c>
      <c r="C106" s="60" t="s">
        <v>494</v>
      </c>
      <c r="D106" s="60" t="s">
        <v>495</v>
      </c>
    </row>
    <row r="107" spans="2:4" x14ac:dyDescent="0.35">
      <c r="B107" s="60" t="s">
        <v>496</v>
      </c>
      <c r="C107" s="60" t="s">
        <v>497</v>
      </c>
      <c r="D107" s="60" t="s">
        <v>498</v>
      </c>
    </row>
    <row r="108" spans="2:4" x14ac:dyDescent="0.35">
      <c r="B108" s="60" t="s">
        <v>499</v>
      </c>
      <c r="C108" s="60" t="s">
        <v>500</v>
      </c>
      <c r="D108" s="60" t="s">
        <v>501</v>
      </c>
    </row>
    <row r="109" spans="2:4" x14ac:dyDescent="0.35">
      <c r="B109" s="60" t="s">
        <v>502</v>
      </c>
      <c r="C109" s="60" t="s">
        <v>503</v>
      </c>
      <c r="D109" s="60" t="s">
        <v>504</v>
      </c>
    </row>
    <row r="110" spans="2:4" x14ac:dyDescent="0.35">
      <c r="B110" s="60" t="s">
        <v>505</v>
      </c>
      <c r="C110" s="60" t="s">
        <v>506</v>
      </c>
      <c r="D110" s="60" t="s">
        <v>507</v>
      </c>
    </row>
    <row r="111" spans="2:4" x14ac:dyDescent="0.35">
      <c r="B111" s="60" t="s">
        <v>508</v>
      </c>
      <c r="C111" s="60" t="s">
        <v>509</v>
      </c>
      <c r="D111" s="60" t="s">
        <v>510</v>
      </c>
    </row>
    <row r="112" spans="2:4" x14ac:dyDescent="0.35">
      <c r="B112" s="60" t="s">
        <v>511</v>
      </c>
      <c r="C112" s="60" t="s">
        <v>512</v>
      </c>
      <c r="D112" s="60" t="s">
        <v>513</v>
      </c>
    </row>
    <row r="113" spans="2:4" x14ac:dyDescent="0.35">
      <c r="B113" s="60" t="s">
        <v>514</v>
      </c>
      <c r="C113" s="60" t="s">
        <v>515</v>
      </c>
      <c r="D113" s="60" t="s">
        <v>516</v>
      </c>
    </row>
    <row r="114" spans="2:4" x14ac:dyDescent="0.35">
      <c r="B114" s="60" t="s">
        <v>517</v>
      </c>
      <c r="C114" s="60" t="s">
        <v>518</v>
      </c>
      <c r="D114" s="60" t="s">
        <v>519</v>
      </c>
    </row>
    <row r="115" spans="2:4" x14ac:dyDescent="0.35">
      <c r="B115" s="60" t="s">
        <v>520</v>
      </c>
      <c r="C115" s="60" t="s">
        <v>521</v>
      </c>
      <c r="D115" s="60" t="s">
        <v>522</v>
      </c>
    </row>
    <row r="116" spans="2:4" x14ac:dyDescent="0.35">
      <c r="B116" s="60" t="s">
        <v>523</v>
      </c>
      <c r="C116" s="60" t="s">
        <v>524</v>
      </c>
      <c r="D116" s="60" t="s">
        <v>525</v>
      </c>
    </row>
    <row r="117" spans="2:4" x14ac:dyDescent="0.35">
      <c r="B117" s="60" t="s">
        <v>526</v>
      </c>
      <c r="C117" s="60" t="s">
        <v>527</v>
      </c>
      <c r="D117" s="60" t="s">
        <v>528</v>
      </c>
    </row>
    <row r="118" spans="2:4" x14ac:dyDescent="0.35">
      <c r="B118" s="60" t="s">
        <v>529</v>
      </c>
      <c r="C118" s="60" t="s">
        <v>530</v>
      </c>
      <c r="D118" s="60" t="s">
        <v>531</v>
      </c>
    </row>
    <row r="119" spans="2:4" x14ac:dyDescent="0.35">
      <c r="B119" s="60" t="s">
        <v>532</v>
      </c>
      <c r="C119" s="60" t="s">
        <v>533</v>
      </c>
      <c r="D119" s="60" t="s">
        <v>534</v>
      </c>
    </row>
    <row r="120" spans="2:4" x14ac:dyDescent="0.35">
      <c r="B120" s="60" t="s">
        <v>535</v>
      </c>
      <c r="C120" s="60" t="s">
        <v>536</v>
      </c>
      <c r="D120" s="60" t="s">
        <v>537</v>
      </c>
    </row>
    <row r="121" spans="2:4" x14ac:dyDescent="0.35">
      <c r="B121" s="60" t="s">
        <v>538</v>
      </c>
      <c r="C121" s="60" t="s">
        <v>539</v>
      </c>
      <c r="D121" s="60" t="s">
        <v>540</v>
      </c>
    </row>
    <row r="122" spans="2:4" x14ac:dyDescent="0.35">
      <c r="B122" s="60" t="s">
        <v>541</v>
      </c>
      <c r="C122" s="60" t="s">
        <v>542</v>
      </c>
      <c r="D122" s="60" t="s">
        <v>543</v>
      </c>
    </row>
    <row r="123" spans="2:4" x14ac:dyDescent="0.35">
      <c r="B123" s="60" t="s">
        <v>544</v>
      </c>
      <c r="C123" s="60" t="s">
        <v>545</v>
      </c>
      <c r="D123" s="60" t="s">
        <v>546</v>
      </c>
    </row>
    <row r="124" spans="2:4" x14ac:dyDescent="0.35">
      <c r="B124" s="60" t="s">
        <v>547</v>
      </c>
      <c r="C124" s="60" t="s">
        <v>548</v>
      </c>
      <c r="D124" s="60" t="s">
        <v>549</v>
      </c>
    </row>
    <row r="125" spans="2:4" x14ac:dyDescent="0.35">
      <c r="B125" s="60" t="s">
        <v>550</v>
      </c>
      <c r="C125" s="60" t="s">
        <v>551</v>
      </c>
      <c r="D125" s="60" t="s">
        <v>552</v>
      </c>
    </row>
    <row r="126" spans="2:4" x14ac:dyDescent="0.35">
      <c r="B126" s="60" t="s">
        <v>553</v>
      </c>
      <c r="C126" s="60" t="s">
        <v>554</v>
      </c>
      <c r="D126" s="60" t="s">
        <v>555</v>
      </c>
    </row>
    <row r="127" spans="2:4" x14ac:dyDescent="0.35">
      <c r="B127" s="60" t="s">
        <v>556</v>
      </c>
      <c r="C127" s="60" t="s">
        <v>557</v>
      </c>
      <c r="D127" s="60" t="s">
        <v>558</v>
      </c>
    </row>
    <row r="128" spans="2:4" x14ac:dyDescent="0.35">
      <c r="B128" s="60" t="s">
        <v>559</v>
      </c>
      <c r="C128" s="60" t="s">
        <v>560</v>
      </c>
      <c r="D128" s="60" t="s">
        <v>561</v>
      </c>
    </row>
    <row r="129" spans="2:4" x14ac:dyDescent="0.35">
      <c r="B129" s="60" t="s">
        <v>562</v>
      </c>
      <c r="C129" s="60" t="s">
        <v>563</v>
      </c>
      <c r="D129" s="60" t="s">
        <v>564</v>
      </c>
    </row>
    <row r="130" spans="2:4" x14ac:dyDescent="0.35">
      <c r="B130" s="60" t="s">
        <v>565</v>
      </c>
      <c r="C130" s="60" t="s">
        <v>566</v>
      </c>
      <c r="D130" s="60" t="s">
        <v>567</v>
      </c>
    </row>
    <row r="131" spans="2:4" x14ac:dyDescent="0.35">
      <c r="B131" s="60" t="s">
        <v>568</v>
      </c>
      <c r="C131" s="60" t="s">
        <v>569</v>
      </c>
      <c r="D131" s="60" t="s">
        <v>570</v>
      </c>
    </row>
    <row r="132" spans="2:4" x14ac:dyDescent="0.35">
      <c r="B132" s="60" t="s">
        <v>571</v>
      </c>
      <c r="C132" s="60" t="s">
        <v>572</v>
      </c>
      <c r="D132" s="60" t="s">
        <v>573</v>
      </c>
    </row>
    <row r="133" spans="2:4" x14ac:dyDescent="0.35">
      <c r="B133" s="60" t="s">
        <v>574</v>
      </c>
      <c r="C133" s="60" t="s">
        <v>575</v>
      </c>
      <c r="D133" s="60" t="s">
        <v>576</v>
      </c>
    </row>
    <row r="134" spans="2:4" x14ac:dyDescent="0.35">
      <c r="B134" s="60" t="s">
        <v>577</v>
      </c>
      <c r="C134" s="60" t="s">
        <v>578</v>
      </c>
      <c r="D134" s="60" t="s">
        <v>579</v>
      </c>
    </row>
    <row r="135" spans="2:4" x14ac:dyDescent="0.35">
      <c r="B135" s="60" t="s">
        <v>580</v>
      </c>
      <c r="C135" s="60" t="s">
        <v>581</v>
      </c>
      <c r="D135" s="60" t="s">
        <v>582</v>
      </c>
    </row>
    <row r="136" spans="2:4" x14ac:dyDescent="0.35">
      <c r="B136" s="60" t="s">
        <v>583</v>
      </c>
      <c r="C136" s="60" t="s">
        <v>584</v>
      </c>
      <c r="D136" s="60" t="s">
        <v>585</v>
      </c>
    </row>
    <row r="137" spans="2:4" x14ac:dyDescent="0.35">
      <c r="B137" s="60" t="s">
        <v>586</v>
      </c>
      <c r="C137" s="60" t="s">
        <v>587</v>
      </c>
      <c r="D137" s="60" t="s">
        <v>588</v>
      </c>
    </row>
    <row r="138" spans="2:4" x14ac:dyDescent="0.35">
      <c r="B138" s="60" t="s">
        <v>589</v>
      </c>
      <c r="C138" s="60" t="s">
        <v>590</v>
      </c>
      <c r="D138" s="60" t="s">
        <v>591</v>
      </c>
    </row>
    <row r="139" spans="2:4" x14ac:dyDescent="0.35">
      <c r="B139" s="60" t="s">
        <v>592</v>
      </c>
      <c r="C139" s="60" t="s">
        <v>593</v>
      </c>
      <c r="D139" s="60" t="s">
        <v>594</v>
      </c>
    </row>
    <row r="140" spans="2:4" x14ac:dyDescent="0.35">
      <c r="B140" s="60" t="s">
        <v>595</v>
      </c>
      <c r="C140" s="60" t="s">
        <v>596</v>
      </c>
      <c r="D140" s="60" t="s">
        <v>597</v>
      </c>
    </row>
    <row r="141" spans="2:4" x14ac:dyDescent="0.35">
      <c r="B141" s="60" t="s">
        <v>598</v>
      </c>
      <c r="C141" s="60" t="s">
        <v>599</v>
      </c>
      <c r="D141" s="60" t="s">
        <v>600</v>
      </c>
    </row>
    <row r="142" spans="2:4" x14ac:dyDescent="0.35">
      <c r="B142" s="60" t="s">
        <v>601</v>
      </c>
      <c r="C142" s="60" t="s">
        <v>602</v>
      </c>
      <c r="D142" s="60" t="s">
        <v>603</v>
      </c>
    </row>
    <row r="143" spans="2:4" x14ac:dyDescent="0.35">
      <c r="B143" s="60" t="s">
        <v>604</v>
      </c>
      <c r="C143" s="60" t="s">
        <v>605</v>
      </c>
      <c r="D143" s="60" t="s">
        <v>606</v>
      </c>
    </row>
    <row r="144" spans="2:4" x14ac:dyDescent="0.35">
      <c r="B144" s="60" t="s">
        <v>607</v>
      </c>
      <c r="C144" s="60" t="s">
        <v>608</v>
      </c>
      <c r="D144" s="60" t="s">
        <v>609</v>
      </c>
    </row>
    <row r="145" spans="2:4" x14ac:dyDescent="0.35">
      <c r="B145" s="60" t="s">
        <v>610</v>
      </c>
      <c r="C145" s="60" t="s">
        <v>611</v>
      </c>
      <c r="D145" s="60" t="s">
        <v>612</v>
      </c>
    </row>
    <row r="146" spans="2:4" x14ac:dyDescent="0.35">
      <c r="B146" s="60" t="s">
        <v>613</v>
      </c>
      <c r="C146" s="60" t="s">
        <v>614</v>
      </c>
      <c r="D146" s="60" t="s">
        <v>615</v>
      </c>
    </row>
    <row r="147" spans="2:4" x14ac:dyDescent="0.35">
      <c r="B147" s="60" t="s">
        <v>616</v>
      </c>
      <c r="C147" s="60" t="s">
        <v>617</v>
      </c>
      <c r="D147" s="60" t="s">
        <v>618</v>
      </c>
    </row>
    <row r="148" spans="2:4" x14ac:dyDescent="0.35">
      <c r="B148" s="60" t="s">
        <v>619</v>
      </c>
      <c r="C148" s="60" t="s">
        <v>620</v>
      </c>
      <c r="D148" s="60" t="s">
        <v>621</v>
      </c>
    </row>
    <row r="149" spans="2:4" x14ac:dyDescent="0.35">
      <c r="B149" s="60" t="s">
        <v>622</v>
      </c>
      <c r="C149" s="60" t="s">
        <v>623</v>
      </c>
      <c r="D149" s="60" t="s">
        <v>624</v>
      </c>
    </row>
    <row r="150" spans="2:4" x14ac:dyDescent="0.35">
      <c r="B150" s="60" t="s">
        <v>625</v>
      </c>
      <c r="C150" s="60" t="s">
        <v>626</v>
      </c>
      <c r="D150" s="60" t="s">
        <v>627</v>
      </c>
    </row>
    <row r="151" spans="2:4" x14ac:dyDescent="0.35">
      <c r="B151" s="60" t="s">
        <v>628</v>
      </c>
      <c r="C151" s="60" t="s">
        <v>629</v>
      </c>
      <c r="D151" s="60" t="s">
        <v>630</v>
      </c>
    </row>
    <row r="152" spans="2:4" x14ac:dyDescent="0.35">
      <c r="B152" s="60" t="s">
        <v>631</v>
      </c>
      <c r="C152" s="60" t="s">
        <v>632</v>
      </c>
      <c r="D152" s="60" t="s">
        <v>633</v>
      </c>
    </row>
    <row r="153" spans="2:4" x14ac:dyDescent="0.35">
      <c r="B153" s="60" t="s">
        <v>634</v>
      </c>
      <c r="C153" s="60" t="s">
        <v>635</v>
      </c>
      <c r="D153" s="60" t="s">
        <v>636</v>
      </c>
    </row>
    <row r="154" spans="2:4" x14ac:dyDescent="0.35">
      <c r="B154" s="60" t="s">
        <v>637</v>
      </c>
      <c r="C154" s="60" t="s">
        <v>638</v>
      </c>
      <c r="D154" s="60" t="s">
        <v>639</v>
      </c>
    </row>
    <row r="155" spans="2:4" x14ac:dyDescent="0.35">
      <c r="B155" s="60" t="s">
        <v>640</v>
      </c>
      <c r="C155" s="60" t="s">
        <v>641</v>
      </c>
      <c r="D155" s="60" t="s">
        <v>642</v>
      </c>
    </row>
    <row r="156" spans="2:4" x14ac:dyDescent="0.35">
      <c r="B156" s="60" t="s">
        <v>643</v>
      </c>
      <c r="C156" s="60" t="s">
        <v>644</v>
      </c>
      <c r="D156" s="60" t="s">
        <v>645</v>
      </c>
    </row>
    <row r="157" spans="2:4" x14ac:dyDescent="0.35">
      <c r="B157" s="60" t="s">
        <v>646</v>
      </c>
      <c r="C157" s="60" t="s">
        <v>647</v>
      </c>
      <c r="D157" s="60" t="s">
        <v>648</v>
      </c>
    </row>
    <row r="158" spans="2:4" x14ac:dyDescent="0.35">
      <c r="B158" s="60" t="s">
        <v>649</v>
      </c>
      <c r="C158" s="60" t="s">
        <v>650</v>
      </c>
      <c r="D158" s="60" t="s">
        <v>651</v>
      </c>
    </row>
    <row r="159" spans="2:4" x14ac:dyDescent="0.35">
      <c r="B159" s="60" t="s">
        <v>652</v>
      </c>
      <c r="C159" s="60" t="s">
        <v>653</v>
      </c>
      <c r="D159" s="60" t="s">
        <v>654</v>
      </c>
    </row>
    <row r="160" spans="2:4" x14ac:dyDescent="0.35">
      <c r="B160" s="60" t="s">
        <v>655</v>
      </c>
      <c r="C160" s="60" t="s">
        <v>656</v>
      </c>
      <c r="D160" s="60" t="s">
        <v>657</v>
      </c>
    </row>
    <row r="161" spans="2:4" x14ac:dyDescent="0.35">
      <c r="B161" s="60" t="s">
        <v>658</v>
      </c>
      <c r="C161" s="60" t="s">
        <v>659</v>
      </c>
      <c r="D161" s="60" t="s">
        <v>660</v>
      </c>
    </row>
    <row r="162" spans="2:4" x14ac:dyDescent="0.35">
      <c r="B162" s="60" t="s">
        <v>658</v>
      </c>
      <c r="C162" s="60" t="s">
        <v>661</v>
      </c>
      <c r="D162" s="60" t="s">
        <v>660</v>
      </c>
    </row>
    <row r="163" spans="2:4" x14ac:dyDescent="0.35">
      <c r="B163" s="60" t="s">
        <v>662</v>
      </c>
      <c r="C163" s="60" t="s">
        <v>663</v>
      </c>
      <c r="D163" s="60" t="s">
        <v>664</v>
      </c>
    </row>
    <row r="164" spans="2:4" x14ac:dyDescent="0.35">
      <c r="B164" s="60" t="s">
        <v>665</v>
      </c>
      <c r="C164" s="60" t="s">
        <v>666</v>
      </c>
      <c r="D164" s="60" t="s">
        <v>667</v>
      </c>
    </row>
    <row r="165" spans="2:4" x14ac:dyDescent="0.35">
      <c r="B165" s="60" t="s">
        <v>668</v>
      </c>
      <c r="C165" s="60" t="s">
        <v>669</v>
      </c>
      <c r="D165" s="60" t="s">
        <v>670</v>
      </c>
    </row>
    <row r="166" spans="2:4" x14ac:dyDescent="0.35">
      <c r="B166" s="60" t="s">
        <v>671</v>
      </c>
      <c r="C166" s="60" t="s">
        <v>672</v>
      </c>
      <c r="D166" s="60" t="s">
        <v>673</v>
      </c>
    </row>
    <row r="167" spans="2:4" x14ac:dyDescent="0.35">
      <c r="B167" s="60" t="s">
        <v>674</v>
      </c>
      <c r="C167" s="60" t="s">
        <v>675</v>
      </c>
      <c r="D167" s="60" t="s">
        <v>676</v>
      </c>
    </row>
    <row r="168" spans="2:4" x14ac:dyDescent="0.35">
      <c r="B168" s="60" t="s">
        <v>677</v>
      </c>
      <c r="C168" s="60" t="s">
        <v>678</v>
      </c>
      <c r="D168" s="60" t="s">
        <v>679</v>
      </c>
    </row>
    <row r="169" spans="2:4" x14ac:dyDescent="0.35">
      <c r="B169" s="60" t="s">
        <v>680</v>
      </c>
      <c r="C169" s="60" t="s">
        <v>681</v>
      </c>
      <c r="D169" s="60" t="s">
        <v>682</v>
      </c>
    </row>
    <row r="170" spans="2:4" x14ac:dyDescent="0.35">
      <c r="B170" s="60" t="s">
        <v>683</v>
      </c>
      <c r="C170" s="60" t="s">
        <v>684</v>
      </c>
      <c r="D170" s="60" t="s">
        <v>685</v>
      </c>
    </row>
    <row r="171" spans="2:4" x14ac:dyDescent="0.35">
      <c r="B171" s="60" t="s">
        <v>686</v>
      </c>
      <c r="C171" s="60" t="s">
        <v>687</v>
      </c>
      <c r="D171" s="60" t="s">
        <v>688</v>
      </c>
    </row>
    <row r="172" spans="2:4" x14ac:dyDescent="0.35">
      <c r="B172" s="60" t="s">
        <v>689</v>
      </c>
      <c r="C172" s="60" t="s">
        <v>690</v>
      </c>
      <c r="D172" s="60" t="s">
        <v>691</v>
      </c>
    </row>
    <row r="173" spans="2:4" x14ac:dyDescent="0.35">
      <c r="B173" s="60" t="s">
        <v>692</v>
      </c>
      <c r="C173" s="60" t="s">
        <v>693</v>
      </c>
      <c r="D173" s="60" t="s">
        <v>694</v>
      </c>
    </row>
    <row r="174" spans="2:4" x14ac:dyDescent="0.35">
      <c r="B174" s="60" t="s">
        <v>695</v>
      </c>
      <c r="C174" s="60" t="s">
        <v>696</v>
      </c>
      <c r="D174" s="60" t="s">
        <v>697</v>
      </c>
    </row>
    <row r="175" spans="2:4" x14ac:dyDescent="0.35">
      <c r="B175" s="60" t="s">
        <v>698</v>
      </c>
      <c r="C175" s="60" t="s">
        <v>699</v>
      </c>
      <c r="D175" s="60" t="s">
        <v>700</v>
      </c>
    </row>
    <row r="176" spans="2:4" x14ac:dyDescent="0.35">
      <c r="B176" s="60" t="s">
        <v>701</v>
      </c>
      <c r="C176" s="60" t="s">
        <v>702</v>
      </c>
      <c r="D176" s="60" t="s">
        <v>703</v>
      </c>
    </row>
    <row r="177" spans="2:4" x14ac:dyDescent="0.35">
      <c r="B177" s="60" t="s">
        <v>701</v>
      </c>
      <c r="C177" s="60" t="s">
        <v>704</v>
      </c>
      <c r="D177" s="60" t="s">
        <v>705</v>
      </c>
    </row>
    <row r="178" spans="2:4" x14ac:dyDescent="0.35">
      <c r="B178" s="60" t="s">
        <v>706</v>
      </c>
      <c r="C178" s="60" t="s">
        <v>707</v>
      </c>
      <c r="D178" s="60" t="s">
        <v>708</v>
      </c>
    </row>
    <row r="179" spans="2:4" x14ac:dyDescent="0.35">
      <c r="B179" s="60" t="s">
        <v>709</v>
      </c>
      <c r="C179" s="60" t="s">
        <v>710</v>
      </c>
      <c r="D179" s="60" t="s">
        <v>711</v>
      </c>
    </row>
    <row r="180" spans="2:4" x14ac:dyDescent="0.35">
      <c r="B180" s="60" t="s">
        <v>712</v>
      </c>
      <c r="C180" s="60" t="s">
        <v>713</v>
      </c>
      <c r="D180" s="60" t="s">
        <v>714</v>
      </c>
    </row>
    <row r="181" spans="2:4" x14ac:dyDescent="0.35">
      <c r="B181" s="60" t="s">
        <v>715</v>
      </c>
      <c r="C181" s="60" t="s">
        <v>716</v>
      </c>
      <c r="D181" s="60" t="s">
        <v>717</v>
      </c>
    </row>
    <row r="182" spans="2:4" x14ac:dyDescent="0.35">
      <c r="B182" s="60" t="s">
        <v>718</v>
      </c>
      <c r="C182" s="60" t="s">
        <v>719</v>
      </c>
      <c r="D182" s="60" t="s">
        <v>720</v>
      </c>
    </row>
    <row r="183" spans="2:4" x14ac:dyDescent="0.35">
      <c r="B183" s="60" t="s">
        <v>721</v>
      </c>
      <c r="C183" s="60" t="s">
        <v>722</v>
      </c>
      <c r="D183" s="60" t="s">
        <v>723</v>
      </c>
    </row>
    <row r="184" spans="2:4" x14ac:dyDescent="0.35">
      <c r="B184" s="60" t="s">
        <v>724</v>
      </c>
      <c r="C184" s="60" t="s">
        <v>725</v>
      </c>
      <c r="D184" s="60" t="s">
        <v>726</v>
      </c>
    </row>
    <row r="185" spans="2:4" x14ac:dyDescent="0.35">
      <c r="B185" s="60" t="s">
        <v>727</v>
      </c>
      <c r="C185" s="60" t="s">
        <v>728</v>
      </c>
      <c r="D185" s="60" t="s">
        <v>729</v>
      </c>
    </row>
    <row r="186" spans="2:4" x14ac:dyDescent="0.35">
      <c r="B186" s="60" t="s">
        <v>730</v>
      </c>
      <c r="C186" s="60" t="s">
        <v>731</v>
      </c>
      <c r="D186" s="60" t="s">
        <v>732</v>
      </c>
    </row>
    <row r="187" spans="2:4" x14ac:dyDescent="0.35">
      <c r="B187" s="60" t="s">
        <v>733</v>
      </c>
      <c r="C187" s="60" t="s">
        <v>734</v>
      </c>
      <c r="D187" s="60" t="s">
        <v>735</v>
      </c>
    </row>
    <row r="188" spans="2:4" x14ac:dyDescent="0.35">
      <c r="B188" s="60" t="s">
        <v>736</v>
      </c>
      <c r="C188" s="60" t="s">
        <v>737</v>
      </c>
      <c r="D188" s="60" t="s">
        <v>738</v>
      </c>
    </row>
    <row r="189" spans="2:4" x14ac:dyDescent="0.35">
      <c r="B189" s="60" t="s">
        <v>739</v>
      </c>
      <c r="C189" s="60" t="s">
        <v>740</v>
      </c>
      <c r="D189" s="60" t="s">
        <v>741</v>
      </c>
    </row>
    <row r="190" spans="2:4" x14ac:dyDescent="0.35">
      <c r="B190" s="60" t="s">
        <v>742</v>
      </c>
      <c r="C190" s="60" t="s">
        <v>743</v>
      </c>
      <c r="D190" s="60" t="s">
        <v>744</v>
      </c>
    </row>
    <row r="191" spans="2:4" x14ac:dyDescent="0.35">
      <c r="B191" s="60" t="s">
        <v>745</v>
      </c>
      <c r="C191" s="60" t="s">
        <v>746</v>
      </c>
      <c r="D191" s="60" t="s">
        <v>747</v>
      </c>
    </row>
    <row r="192" spans="2:4" x14ac:dyDescent="0.35">
      <c r="B192" s="60" t="s">
        <v>748</v>
      </c>
      <c r="C192" s="60" t="s">
        <v>749</v>
      </c>
      <c r="D192" s="60" t="s">
        <v>750</v>
      </c>
    </row>
    <row r="193" spans="2:4" x14ac:dyDescent="0.35">
      <c r="B193" s="60" t="s">
        <v>751</v>
      </c>
      <c r="C193" s="60" t="s">
        <v>752</v>
      </c>
      <c r="D193" s="60" t="s">
        <v>753</v>
      </c>
    </row>
    <row r="194" spans="2:4" x14ac:dyDescent="0.35">
      <c r="B194" s="60" t="s">
        <v>754</v>
      </c>
      <c r="C194" s="60" t="s">
        <v>755</v>
      </c>
      <c r="D194" s="60" t="s">
        <v>756</v>
      </c>
    </row>
    <row r="195" spans="2:4" x14ac:dyDescent="0.35">
      <c r="B195" s="60" t="s">
        <v>757</v>
      </c>
      <c r="C195" s="60" t="s">
        <v>758</v>
      </c>
      <c r="D195" s="60" t="s">
        <v>759</v>
      </c>
    </row>
    <row r="196" spans="2:4" x14ac:dyDescent="0.35">
      <c r="B196" s="60" t="s">
        <v>760</v>
      </c>
      <c r="C196" s="60" t="s">
        <v>761</v>
      </c>
      <c r="D196" s="60" t="s">
        <v>762</v>
      </c>
    </row>
    <row r="197" spans="2:4" x14ac:dyDescent="0.35">
      <c r="B197" s="60" t="s">
        <v>763</v>
      </c>
      <c r="C197" s="60" t="s">
        <v>764</v>
      </c>
      <c r="D197" s="60" t="s">
        <v>765</v>
      </c>
    </row>
    <row r="198" spans="2:4" x14ac:dyDescent="0.35">
      <c r="B198" s="60" t="s">
        <v>766</v>
      </c>
      <c r="C198" s="60" t="s">
        <v>767</v>
      </c>
      <c r="D198" s="60" t="s">
        <v>768</v>
      </c>
    </row>
    <row r="199" spans="2:4" x14ac:dyDescent="0.35">
      <c r="B199" s="60" t="s">
        <v>769</v>
      </c>
      <c r="C199" s="60" t="s">
        <v>770</v>
      </c>
      <c r="D199" s="60" t="s">
        <v>771</v>
      </c>
    </row>
    <row r="200" spans="2:4" x14ac:dyDescent="0.35">
      <c r="B200" s="60" t="s">
        <v>772</v>
      </c>
      <c r="C200" s="60" t="s">
        <v>773</v>
      </c>
      <c r="D200" s="60" t="s">
        <v>774</v>
      </c>
    </row>
    <row r="201" spans="2:4" x14ac:dyDescent="0.35">
      <c r="B201" s="60" t="s">
        <v>775</v>
      </c>
      <c r="C201" s="60" t="s">
        <v>776</v>
      </c>
      <c r="D201" s="60" t="s">
        <v>777</v>
      </c>
    </row>
    <row r="202" spans="2:4" x14ac:dyDescent="0.35">
      <c r="B202" s="60" t="s">
        <v>778</v>
      </c>
      <c r="C202" s="60" t="s">
        <v>779</v>
      </c>
      <c r="D202" s="60" t="s">
        <v>780</v>
      </c>
    </row>
    <row r="203" spans="2:4" x14ac:dyDescent="0.35">
      <c r="B203" s="60" t="s">
        <v>781</v>
      </c>
      <c r="C203" s="60" t="s">
        <v>782</v>
      </c>
      <c r="D203" s="60" t="s">
        <v>783</v>
      </c>
    </row>
    <row r="204" spans="2:4" x14ac:dyDescent="0.35">
      <c r="B204" s="60" t="s">
        <v>784</v>
      </c>
      <c r="C204" s="60" t="s">
        <v>785</v>
      </c>
      <c r="D204" s="60" t="s">
        <v>786</v>
      </c>
    </row>
    <row r="205" spans="2:4" x14ac:dyDescent="0.35">
      <c r="B205" s="60" t="s">
        <v>787</v>
      </c>
      <c r="C205" s="60" t="s">
        <v>788</v>
      </c>
      <c r="D205" s="60" t="s">
        <v>789</v>
      </c>
    </row>
    <row r="206" spans="2:4" x14ac:dyDescent="0.35">
      <c r="B206" s="60" t="s">
        <v>790</v>
      </c>
      <c r="C206" s="60" t="s">
        <v>791</v>
      </c>
      <c r="D206" s="60" t="s">
        <v>792</v>
      </c>
    </row>
    <row r="207" spans="2:4" x14ac:dyDescent="0.35">
      <c r="B207" s="60" t="s">
        <v>793</v>
      </c>
      <c r="C207" s="60" t="s">
        <v>794</v>
      </c>
      <c r="D207" s="60" t="s">
        <v>795</v>
      </c>
    </row>
    <row r="208" spans="2:4" x14ac:dyDescent="0.35">
      <c r="B208" s="60" t="s">
        <v>796</v>
      </c>
      <c r="C208" s="60" t="s">
        <v>797</v>
      </c>
      <c r="D208" s="60" t="s">
        <v>798</v>
      </c>
    </row>
    <row r="209" spans="2:4" x14ac:dyDescent="0.35">
      <c r="B209" s="60" t="s">
        <v>799</v>
      </c>
      <c r="C209" s="60" t="s">
        <v>800</v>
      </c>
      <c r="D209" s="60" t="s">
        <v>801</v>
      </c>
    </row>
    <row r="210" spans="2:4" x14ac:dyDescent="0.35">
      <c r="B210" s="60" t="s">
        <v>802</v>
      </c>
      <c r="C210" s="60" t="s">
        <v>803</v>
      </c>
      <c r="D210" s="60" t="s">
        <v>804</v>
      </c>
    </row>
    <row r="211" spans="2:4" x14ac:dyDescent="0.35">
      <c r="B211" s="60" t="s">
        <v>805</v>
      </c>
      <c r="C211" s="60" t="s">
        <v>806</v>
      </c>
      <c r="D211" s="60" t="s">
        <v>807</v>
      </c>
    </row>
    <row r="212" spans="2:4" x14ac:dyDescent="0.35">
      <c r="B212" s="60" t="s">
        <v>808</v>
      </c>
      <c r="C212" s="60" t="s">
        <v>809</v>
      </c>
      <c r="D212" s="60" t="s">
        <v>810</v>
      </c>
    </row>
    <row r="213" spans="2:4" x14ac:dyDescent="0.35">
      <c r="B213" s="60" t="s">
        <v>811</v>
      </c>
      <c r="C213" s="60" t="s">
        <v>812</v>
      </c>
      <c r="D213" s="60" t="s">
        <v>813</v>
      </c>
    </row>
    <row r="214" spans="2:4" x14ac:dyDescent="0.35">
      <c r="B214" s="60" t="s">
        <v>814</v>
      </c>
      <c r="C214" s="60" t="s">
        <v>815</v>
      </c>
      <c r="D214" s="60" t="s">
        <v>816</v>
      </c>
    </row>
    <row r="215" spans="2:4" x14ac:dyDescent="0.35">
      <c r="B215" s="60" t="s">
        <v>817</v>
      </c>
      <c r="C215" s="60" t="s">
        <v>818</v>
      </c>
      <c r="D215" s="60" t="s">
        <v>819</v>
      </c>
    </row>
    <row r="216" spans="2:4" x14ac:dyDescent="0.35">
      <c r="B216" s="60" t="s">
        <v>820</v>
      </c>
      <c r="C216" s="60" t="s">
        <v>821</v>
      </c>
      <c r="D216" s="60" t="s">
        <v>822</v>
      </c>
    </row>
    <row r="217" spans="2:4" x14ac:dyDescent="0.35">
      <c r="B217" s="60" t="s">
        <v>823</v>
      </c>
      <c r="C217" s="60" t="s">
        <v>824</v>
      </c>
      <c r="D217" s="60" t="s">
        <v>825</v>
      </c>
    </row>
    <row r="218" spans="2:4" x14ac:dyDescent="0.35">
      <c r="B218" s="60" t="s">
        <v>826</v>
      </c>
      <c r="C218" s="60" t="s">
        <v>827</v>
      </c>
      <c r="D218" s="60" t="s">
        <v>828</v>
      </c>
    </row>
    <row r="219" spans="2:4" x14ac:dyDescent="0.35">
      <c r="B219" s="60" t="s">
        <v>829</v>
      </c>
      <c r="C219" s="60" t="s">
        <v>830</v>
      </c>
      <c r="D219" s="60" t="s">
        <v>831</v>
      </c>
    </row>
    <row r="220" spans="2:4" x14ac:dyDescent="0.35">
      <c r="B220" s="60" t="s">
        <v>832</v>
      </c>
      <c r="C220" s="60" t="s">
        <v>833</v>
      </c>
      <c r="D220" s="60" t="s">
        <v>834</v>
      </c>
    </row>
    <row r="221" spans="2:4" x14ac:dyDescent="0.35">
      <c r="B221" s="60" t="s">
        <v>835</v>
      </c>
      <c r="C221" s="60" t="s">
        <v>836</v>
      </c>
      <c r="D221" s="60" t="s">
        <v>837</v>
      </c>
    </row>
    <row r="222" spans="2:4" x14ac:dyDescent="0.35">
      <c r="B222" s="60" t="s">
        <v>838</v>
      </c>
      <c r="C222" s="60" t="s">
        <v>839</v>
      </c>
      <c r="D222" s="60" t="s">
        <v>840</v>
      </c>
    </row>
    <row r="223" spans="2:4" x14ac:dyDescent="0.35">
      <c r="B223" s="60" t="s">
        <v>841</v>
      </c>
      <c r="C223" s="60" t="s">
        <v>842</v>
      </c>
      <c r="D223" s="60" t="s">
        <v>843</v>
      </c>
    </row>
    <row r="224" spans="2:4" x14ac:dyDescent="0.35">
      <c r="B224" s="60" t="s">
        <v>844</v>
      </c>
      <c r="C224" s="60" t="s">
        <v>845</v>
      </c>
      <c r="D224" s="60" t="s">
        <v>846</v>
      </c>
    </row>
    <row r="225" spans="2:4" x14ac:dyDescent="0.35">
      <c r="B225" s="60" t="s">
        <v>847</v>
      </c>
      <c r="C225" s="60" t="s">
        <v>848</v>
      </c>
      <c r="D225" s="60" t="s">
        <v>849</v>
      </c>
    </row>
    <row r="226" spans="2:4" x14ac:dyDescent="0.35">
      <c r="B226" s="60" t="s">
        <v>847</v>
      </c>
      <c r="C226" s="60" t="s">
        <v>850</v>
      </c>
      <c r="D226" s="60" t="s">
        <v>851</v>
      </c>
    </row>
    <row r="227" spans="2:4" x14ac:dyDescent="0.35">
      <c r="B227" s="60" t="s">
        <v>852</v>
      </c>
      <c r="C227" s="60" t="s">
        <v>853</v>
      </c>
      <c r="D227" s="60" t="s">
        <v>854</v>
      </c>
    </row>
    <row r="228" spans="2:4" x14ac:dyDescent="0.35">
      <c r="B228" s="60" t="s">
        <v>855</v>
      </c>
      <c r="C228" s="60" t="s">
        <v>856</v>
      </c>
      <c r="D228" s="60" t="s">
        <v>857</v>
      </c>
    </row>
    <row r="229" spans="2:4" x14ac:dyDescent="0.35">
      <c r="B229" s="60" t="s">
        <v>858</v>
      </c>
      <c r="C229" s="60" t="s">
        <v>859</v>
      </c>
      <c r="D229" s="60" t="s">
        <v>860</v>
      </c>
    </row>
    <row r="230" spans="2:4" x14ac:dyDescent="0.35">
      <c r="B230" s="60" t="s">
        <v>861</v>
      </c>
      <c r="C230" s="60" t="s">
        <v>862</v>
      </c>
      <c r="D230" s="60" t="s">
        <v>863</v>
      </c>
    </row>
    <row r="231" spans="2:4" x14ac:dyDescent="0.35">
      <c r="B231" s="60" t="s">
        <v>864</v>
      </c>
      <c r="C231" s="60" t="s">
        <v>865</v>
      </c>
      <c r="D231" s="60" t="s">
        <v>866</v>
      </c>
    </row>
    <row r="232" spans="2:4" x14ac:dyDescent="0.35">
      <c r="B232" s="60" t="s">
        <v>867</v>
      </c>
      <c r="C232" s="60" t="s">
        <v>868</v>
      </c>
      <c r="D232" s="60" t="s">
        <v>869</v>
      </c>
    </row>
    <row r="233" spans="2:4" x14ac:dyDescent="0.35">
      <c r="B233" s="60" t="s">
        <v>870</v>
      </c>
      <c r="C233" s="60" t="s">
        <v>871</v>
      </c>
      <c r="D233" s="60" t="s">
        <v>872</v>
      </c>
    </row>
    <row r="234" spans="2:4" x14ac:dyDescent="0.35">
      <c r="B234" s="60" t="s">
        <v>873</v>
      </c>
      <c r="C234" s="60" t="s">
        <v>874</v>
      </c>
      <c r="D234" s="60" t="s">
        <v>875</v>
      </c>
    </row>
    <row r="235" spans="2:4" x14ac:dyDescent="0.35">
      <c r="B235" s="60" t="s">
        <v>876</v>
      </c>
      <c r="C235" s="60" t="s">
        <v>877</v>
      </c>
      <c r="D235" s="60" t="s">
        <v>878</v>
      </c>
    </row>
    <row r="236" spans="2:4" x14ac:dyDescent="0.35">
      <c r="B236" s="60" t="s">
        <v>879</v>
      </c>
      <c r="C236" s="60" t="s">
        <v>880</v>
      </c>
      <c r="D236" s="60" t="s">
        <v>881</v>
      </c>
    </row>
    <row r="237" spans="2:4" x14ac:dyDescent="0.35">
      <c r="B237" s="60" t="s">
        <v>882</v>
      </c>
      <c r="C237" s="60" t="s">
        <v>883</v>
      </c>
      <c r="D237" s="60" t="s">
        <v>884</v>
      </c>
    </row>
    <row r="238" spans="2:4" x14ac:dyDescent="0.35">
      <c r="B238" s="60" t="s">
        <v>885</v>
      </c>
      <c r="C238" s="60" t="s">
        <v>886</v>
      </c>
      <c r="D238" s="60" t="s">
        <v>887</v>
      </c>
    </row>
    <row r="239" spans="2:4" x14ac:dyDescent="0.35">
      <c r="B239" s="60" t="s">
        <v>888</v>
      </c>
      <c r="C239" s="60" t="s">
        <v>889</v>
      </c>
      <c r="D239" s="60" t="s">
        <v>890</v>
      </c>
    </row>
    <row r="240" spans="2:4" x14ac:dyDescent="0.35">
      <c r="B240" s="60" t="s">
        <v>891</v>
      </c>
      <c r="C240" s="60" t="s">
        <v>892</v>
      </c>
      <c r="D240" s="60" t="s">
        <v>893</v>
      </c>
    </row>
    <row r="241" spans="2:4" x14ac:dyDescent="0.35">
      <c r="B241" s="60" t="s">
        <v>894</v>
      </c>
      <c r="C241" s="60" t="s">
        <v>895</v>
      </c>
      <c r="D241" s="60" t="s">
        <v>896</v>
      </c>
    </row>
    <row r="242" spans="2:4" x14ac:dyDescent="0.35">
      <c r="B242" s="60" t="s">
        <v>897</v>
      </c>
      <c r="C242" s="60" t="s">
        <v>898</v>
      </c>
      <c r="D242" s="60" t="s">
        <v>899</v>
      </c>
    </row>
    <row r="243" spans="2:4" x14ac:dyDescent="0.35">
      <c r="B243" s="60" t="s">
        <v>900</v>
      </c>
      <c r="C243" s="60" t="s">
        <v>901</v>
      </c>
      <c r="D243" s="60" t="s">
        <v>902</v>
      </c>
    </row>
    <row r="244" spans="2:4" x14ac:dyDescent="0.35">
      <c r="B244" s="60" t="s">
        <v>903</v>
      </c>
      <c r="C244" s="60" t="s">
        <v>904</v>
      </c>
      <c r="D244" s="60" t="s">
        <v>905</v>
      </c>
    </row>
    <row r="245" spans="2:4" x14ac:dyDescent="0.35">
      <c r="B245" s="60" t="s">
        <v>906</v>
      </c>
      <c r="C245" s="60" t="s">
        <v>907</v>
      </c>
      <c r="D245" s="60" t="s">
        <v>908</v>
      </c>
    </row>
    <row r="246" spans="2:4" x14ac:dyDescent="0.35">
      <c r="B246" s="60" t="s">
        <v>909</v>
      </c>
      <c r="C246" s="60" t="s">
        <v>910</v>
      </c>
      <c r="D246" s="60" t="s">
        <v>911</v>
      </c>
    </row>
    <row r="247" spans="2:4" x14ac:dyDescent="0.35">
      <c r="B247" s="60" t="s">
        <v>912</v>
      </c>
      <c r="C247" s="60" t="s">
        <v>913</v>
      </c>
      <c r="D247" s="60" t="s">
        <v>914</v>
      </c>
    </row>
    <row r="248" spans="2:4" x14ac:dyDescent="0.35">
      <c r="B248" s="60" t="s">
        <v>915</v>
      </c>
      <c r="C248" s="60" t="s">
        <v>916</v>
      </c>
      <c r="D248" s="60" t="s">
        <v>917</v>
      </c>
    </row>
    <row r="249" spans="2:4" x14ac:dyDescent="0.35">
      <c r="B249" s="60" t="s">
        <v>918</v>
      </c>
      <c r="C249" s="60" t="s">
        <v>919</v>
      </c>
      <c r="D249" s="60" t="s">
        <v>920</v>
      </c>
    </row>
    <row r="250" spans="2:4" x14ac:dyDescent="0.35">
      <c r="B250" s="60" t="s">
        <v>921</v>
      </c>
      <c r="C250" s="60" t="s">
        <v>922</v>
      </c>
      <c r="D250" s="60" t="s">
        <v>923</v>
      </c>
    </row>
    <row r="251" spans="2:4" x14ac:dyDescent="0.35">
      <c r="B251" s="60" t="s">
        <v>921</v>
      </c>
      <c r="C251" s="60" t="s">
        <v>924</v>
      </c>
      <c r="D251" s="60" t="s">
        <v>925</v>
      </c>
    </row>
    <row r="252" spans="2:4" x14ac:dyDescent="0.35">
      <c r="B252" s="60" t="s">
        <v>926</v>
      </c>
      <c r="C252" s="60" t="s">
        <v>927</v>
      </c>
      <c r="D252" s="60" t="s">
        <v>928</v>
      </c>
    </row>
    <row r="253" spans="2:4" x14ac:dyDescent="0.35">
      <c r="B253" s="60" t="s">
        <v>929</v>
      </c>
      <c r="C253" s="60" t="s">
        <v>930</v>
      </c>
      <c r="D253" s="60" t="s">
        <v>931</v>
      </c>
    </row>
    <row r="254" spans="2:4" x14ac:dyDescent="0.35">
      <c r="B254" s="60" t="s">
        <v>932</v>
      </c>
      <c r="C254" s="60" t="s">
        <v>933</v>
      </c>
      <c r="D254" s="60" t="s">
        <v>934</v>
      </c>
    </row>
    <row r="255" spans="2:4" x14ac:dyDescent="0.35">
      <c r="B255" s="60" t="s">
        <v>935</v>
      </c>
      <c r="C255" s="60" t="s">
        <v>936</v>
      </c>
      <c r="D255" s="60" t="s">
        <v>937</v>
      </c>
    </row>
    <row r="256" spans="2:4" x14ac:dyDescent="0.35">
      <c r="B256" s="60" t="s">
        <v>938</v>
      </c>
      <c r="C256" s="60" t="s">
        <v>939</v>
      </c>
      <c r="D256" s="60" t="s">
        <v>940</v>
      </c>
    </row>
    <row r="257" spans="2:4" x14ac:dyDescent="0.35">
      <c r="B257" s="60" t="s">
        <v>941</v>
      </c>
      <c r="C257" s="60" t="s">
        <v>942</v>
      </c>
      <c r="D257" s="60" t="s">
        <v>943</v>
      </c>
    </row>
    <row r="258" spans="2:4" x14ac:dyDescent="0.35">
      <c r="B258" s="60" t="s">
        <v>944</v>
      </c>
      <c r="C258" s="60" t="s">
        <v>945</v>
      </c>
      <c r="D258" s="60" t="s">
        <v>946</v>
      </c>
    </row>
    <row r="259" spans="2:4" x14ac:dyDescent="0.35">
      <c r="B259" s="60" t="s">
        <v>947</v>
      </c>
      <c r="C259" s="60" t="s">
        <v>948</v>
      </c>
      <c r="D259" s="60" t="s">
        <v>949</v>
      </c>
    </row>
    <row r="260" spans="2:4" x14ac:dyDescent="0.35">
      <c r="B260" s="60" t="s">
        <v>950</v>
      </c>
      <c r="C260" s="60" t="s">
        <v>951</v>
      </c>
      <c r="D260" s="60" t="s">
        <v>952</v>
      </c>
    </row>
    <row r="261" spans="2:4" x14ac:dyDescent="0.35">
      <c r="B261" s="60" t="s">
        <v>953</v>
      </c>
      <c r="C261" s="60" t="s">
        <v>954</v>
      </c>
      <c r="D261" s="60" t="s">
        <v>955</v>
      </c>
    </row>
    <row r="262" spans="2:4" x14ac:dyDescent="0.35">
      <c r="B262" s="60" t="s">
        <v>956</v>
      </c>
      <c r="C262" s="60" t="s">
        <v>957</v>
      </c>
      <c r="D262" s="60" t="s">
        <v>958</v>
      </c>
    </row>
    <row r="263" spans="2:4" x14ac:dyDescent="0.35">
      <c r="B263" s="60" t="s">
        <v>959</v>
      </c>
      <c r="C263" s="60" t="s">
        <v>960</v>
      </c>
      <c r="D263" s="60" t="s">
        <v>961</v>
      </c>
    </row>
    <row r="264" spans="2:4" x14ac:dyDescent="0.35">
      <c r="B264" s="60" t="s">
        <v>962</v>
      </c>
      <c r="C264" s="60" t="s">
        <v>963</v>
      </c>
      <c r="D264" s="60" t="s">
        <v>964</v>
      </c>
    </row>
    <row r="265" spans="2:4" x14ac:dyDescent="0.35">
      <c r="B265" s="60" t="s">
        <v>965</v>
      </c>
      <c r="C265" s="60" t="s">
        <v>966</v>
      </c>
      <c r="D265" s="60" t="s">
        <v>967</v>
      </c>
    </row>
    <row r="266" spans="2:4" x14ac:dyDescent="0.35">
      <c r="B266" s="60" t="s">
        <v>968</v>
      </c>
      <c r="C266" s="60" t="s">
        <v>969</v>
      </c>
      <c r="D266" s="60" t="s">
        <v>970</v>
      </c>
    </row>
    <row r="267" spans="2:4" x14ac:dyDescent="0.35">
      <c r="B267" s="60" t="s">
        <v>971</v>
      </c>
      <c r="C267" s="60" t="s">
        <v>972</v>
      </c>
      <c r="D267" s="60" t="s">
        <v>973</v>
      </c>
    </row>
    <row r="268" spans="2:4" x14ac:dyDescent="0.35">
      <c r="B268" s="60" t="s">
        <v>974</v>
      </c>
      <c r="C268" s="60" t="s">
        <v>975</v>
      </c>
      <c r="D268" s="60" t="s">
        <v>976</v>
      </c>
    </row>
    <row r="269" spans="2:4" x14ac:dyDescent="0.35">
      <c r="B269" s="60" t="s">
        <v>977</v>
      </c>
      <c r="C269" s="60" t="s">
        <v>978</v>
      </c>
      <c r="D269" s="60" t="s">
        <v>979</v>
      </c>
    </row>
    <row r="270" spans="2:4" x14ac:dyDescent="0.35">
      <c r="B270" s="60" t="s">
        <v>980</v>
      </c>
      <c r="C270" s="60" t="s">
        <v>981</v>
      </c>
      <c r="D270" s="60" t="s">
        <v>982</v>
      </c>
    </row>
    <row r="271" spans="2:4" x14ac:dyDescent="0.35">
      <c r="B271" s="60" t="s">
        <v>983</v>
      </c>
      <c r="C271" s="60" t="s">
        <v>984</v>
      </c>
      <c r="D271" s="60" t="s">
        <v>985</v>
      </c>
    </row>
    <row r="272" spans="2:4" x14ac:dyDescent="0.35">
      <c r="B272" s="60" t="s">
        <v>986</v>
      </c>
      <c r="C272" s="60" t="s">
        <v>987</v>
      </c>
      <c r="D272" s="60" t="s">
        <v>988</v>
      </c>
    </row>
    <row r="273" spans="2:4" x14ac:dyDescent="0.35">
      <c r="B273" s="60" t="s">
        <v>989</v>
      </c>
      <c r="C273" s="60" t="s">
        <v>990</v>
      </c>
      <c r="D273" s="60" t="s">
        <v>991</v>
      </c>
    </row>
    <row r="274" spans="2:4" x14ac:dyDescent="0.35">
      <c r="B274" s="60" t="s">
        <v>992</v>
      </c>
      <c r="C274" s="60" t="s">
        <v>993</v>
      </c>
      <c r="D274" s="60" t="s">
        <v>994</v>
      </c>
    </row>
    <row r="275" spans="2:4" x14ac:dyDescent="0.35">
      <c r="B275" s="60" t="s">
        <v>995</v>
      </c>
      <c r="C275" s="60" t="s">
        <v>996</v>
      </c>
      <c r="D275" s="60" t="s">
        <v>997</v>
      </c>
    </row>
    <row r="276" spans="2:4" x14ac:dyDescent="0.35">
      <c r="B276" s="60" t="s">
        <v>998</v>
      </c>
      <c r="C276" s="60" t="s">
        <v>999</v>
      </c>
      <c r="D276" s="60" t="s">
        <v>1000</v>
      </c>
    </row>
    <row r="277" spans="2:4" x14ac:dyDescent="0.35">
      <c r="B277" s="60" t="s">
        <v>1001</v>
      </c>
      <c r="C277" s="60" t="s">
        <v>1002</v>
      </c>
      <c r="D277" s="60" t="s">
        <v>1003</v>
      </c>
    </row>
    <row r="278" spans="2:4" x14ac:dyDescent="0.35">
      <c r="B278" s="60" t="s">
        <v>1004</v>
      </c>
      <c r="C278" s="60" t="s">
        <v>1005</v>
      </c>
      <c r="D278" s="60" t="s">
        <v>1006</v>
      </c>
    </row>
    <row r="279" spans="2:4" x14ac:dyDescent="0.35">
      <c r="B279" s="60" t="s">
        <v>1007</v>
      </c>
      <c r="C279" s="60" t="s">
        <v>1008</v>
      </c>
      <c r="D279" s="60" t="s">
        <v>1009</v>
      </c>
    </row>
    <row r="280" spans="2:4" x14ac:dyDescent="0.35">
      <c r="B280" s="60" t="s">
        <v>1010</v>
      </c>
      <c r="C280" s="60" t="s">
        <v>1011</v>
      </c>
      <c r="D280" s="60" t="s">
        <v>1012</v>
      </c>
    </row>
    <row r="281" spans="2:4" x14ac:dyDescent="0.35">
      <c r="B281" s="60" t="s">
        <v>1013</v>
      </c>
      <c r="C281" s="60" t="s">
        <v>1014</v>
      </c>
      <c r="D281" s="60" t="s">
        <v>1015</v>
      </c>
    </row>
    <row r="282" spans="2:4" x14ac:dyDescent="0.35">
      <c r="B282" s="60" t="s">
        <v>1016</v>
      </c>
      <c r="C282" s="60" t="s">
        <v>1017</v>
      </c>
      <c r="D282" s="60" t="s">
        <v>1018</v>
      </c>
    </row>
    <row r="283" spans="2:4" x14ac:dyDescent="0.35">
      <c r="B283" s="60" t="s">
        <v>1019</v>
      </c>
      <c r="C283" s="60" t="s">
        <v>1020</v>
      </c>
      <c r="D283" s="60" t="s">
        <v>1021</v>
      </c>
    </row>
    <row r="284" spans="2:4" x14ac:dyDescent="0.35">
      <c r="B284" s="60" t="s">
        <v>1022</v>
      </c>
      <c r="C284" s="60" t="s">
        <v>1023</v>
      </c>
      <c r="D284" s="60" t="s">
        <v>1024</v>
      </c>
    </row>
    <row r="285" spans="2:4" x14ac:dyDescent="0.35">
      <c r="B285" s="60" t="s">
        <v>1025</v>
      </c>
      <c r="C285" s="60" t="s">
        <v>1026</v>
      </c>
      <c r="D285" s="60" t="s">
        <v>1027</v>
      </c>
    </row>
    <row r="286" spans="2:4" x14ac:dyDescent="0.35">
      <c r="B286" s="60" t="s">
        <v>1028</v>
      </c>
      <c r="C286" s="60" t="s">
        <v>1029</v>
      </c>
      <c r="D286" s="60" t="s">
        <v>1030</v>
      </c>
    </row>
    <row r="287" spans="2:4" x14ac:dyDescent="0.35">
      <c r="B287" s="60" t="s">
        <v>1031</v>
      </c>
      <c r="C287" s="60" t="s">
        <v>1032</v>
      </c>
      <c r="D287" s="60" t="s">
        <v>1033</v>
      </c>
    </row>
    <row r="288" spans="2:4" x14ac:dyDescent="0.35">
      <c r="B288" s="60" t="s">
        <v>1034</v>
      </c>
      <c r="C288" s="60" t="s">
        <v>1035</v>
      </c>
      <c r="D288" s="60" t="s">
        <v>1036</v>
      </c>
    </row>
    <row r="289" spans="2:4" x14ac:dyDescent="0.35">
      <c r="B289" s="60" t="s">
        <v>1037</v>
      </c>
      <c r="C289" s="60" t="s">
        <v>1038</v>
      </c>
      <c r="D289" s="60" t="s">
        <v>1039</v>
      </c>
    </row>
    <row r="290" spans="2:4" x14ac:dyDescent="0.35">
      <c r="B290" s="60" t="s">
        <v>1040</v>
      </c>
      <c r="C290" s="60" t="s">
        <v>1041</v>
      </c>
      <c r="D290" s="60" t="s">
        <v>1042</v>
      </c>
    </row>
    <row r="291" spans="2:4" x14ac:dyDescent="0.35">
      <c r="B291" s="60" t="s">
        <v>1043</v>
      </c>
      <c r="C291" s="60" t="s">
        <v>1044</v>
      </c>
      <c r="D291" s="60" t="s">
        <v>1045</v>
      </c>
    </row>
    <row r="292" spans="2:4" x14ac:dyDescent="0.35">
      <c r="B292" s="60" t="s">
        <v>1046</v>
      </c>
      <c r="C292" s="60" t="s">
        <v>1047</v>
      </c>
      <c r="D292" s="60" t="s">
        <v>1048</v>
      </c>
    </row>
    <row r="293" spans="2:4" x14ac:dyDescent="0.35">
      <c r="B293" s="60" t="s">
        <v>1049</v>
      </c>
      <c r="C293" s="60" t="s">
        <v>1050</v>
      </c>
      <c r="D293" s="60" t="s">
        <v>1051</v>
      </c>
    </row>
    <row r="294" spans="2:4" x14ac:dyDescent="0.35">
      <c r="B294" s="60" t="s">
        <v>1052</v>
      </c>
      <c r="C294" s="60" t="s">
        <v>1053</v>
      </c>
      <c r="D294" s="60" t="s">
        <v>1054</v>
      </c>
    </row>
    <row r="295" spans="2:4" x14ac:dyDescent="0.35">
      <c r="B295" s="60" t="s">
        <v>1055</v>
      </c>
      <c r="C295" s="60" t="s">
        <v>1056</v>
      </c>
      <c r="D295" s="60" t="s">
        <v>1057</v>
      </c>
    </row>
    <row r="296" spans="2:4" x14ac:dyDescent="0.35">
      <c r="B296" s="60" t="s">
        <v>1055</v>
      </c>
      <c r="C296" s="60" t="s">
        <v>1058</v>
      </c>
      <c r="D296" s="60" t="s">
        <v>1059</v>
      </c>
    </row>
    <row r="297" spans="2:4" x14ac:dyDescent="0.35">
      <c r="B297" s="60" t="s">
        <v>1060</v>
      </c>
      <c r="C297" s="60" t="s">
        <v>1061</v>
      </c>
      <c r="D297" s="60" t="s">
        <v>1062</v>
      </c>
    </row>
    <row r="298" spans="2:4" x14ac:dyDescent="0.35">
      <c r="B298" s="60" t="s">
        <v>1063</v>
      </c>
      <c r="C298" s="60" t="s">
        <v>1064</v>
      </c>
      <c r="D298" s="60" t="s">
        <v>1065</v>
      </c>
    </row>
    <row r="299" spans="2:4" x14ac:dyDescent="0.35">
      <c r="B299" s="60" t="s">
        <v>1066</v>
      </c>
      <c r="C299" s="60" t="s">
        <v>1067</v>
      </c>
      <c r="D299" s="60" t="s">
        <v>1068</v>
      </c>
    </row>
    <row r="300" spans="2:4" x14ac:dyDescent="0.35">
      <c r="B300" s="60" t="s">
        <v>1069</v>
      </c>
      <c r="C300" s="60" t="s">
        <v>1070</v>
      </c>
      <c r="D300" s="60" t="s">
        <v>1071</v>
      </c>
    </row>
    <row r="301" spans="2:4" x14ac:dyDescent="0.35">
      <c r="B301" s="60" t="s">
        <v>1072</v>
      </c>
      <c r="C301" s="60" t="s">
        <v>1073</v>
      </c>
      <c r="D301" s="60" t="s">
        <v>1074</v>
      </c>
    </row>
    <row r="302" spans="2:4" x14ac:dyDescent="0.35">
      <c r="B302" s="60" t="s">
        <v>1075</v>
      </c>
      <c r="C302" s="60" t="s">
        <v>1076</v>
      </c>
      <c r="D302" s="60" t="s">
        <v>1077</v>
      </c>
    </row>
    <row r="303" spans="2:4" x14ac:dyDescent="0.35">
      <c r="B303" s="60" t="s">
        <v>1075</v>
      </c>
      <c r="C303" s="60" t="s">
        <v>1038</v>
      </c>
      <c r="D303" s="60" t="s">
        <v>1078</v>
      </c>
    </row>
    <row r="304" spans="2:4" x14ac:dyDescent="0.35">
      <c r="B304" s="60" t="s">
        <v>1079</v>
      </c>
      <c r="C304" s="60" t="s">
        <v>1080</v>
      </c>
      <c r="D304" s="60" t="s">
        <v>1081</v>
      </c>
    </row>
    <row r="305" spans="2:4" x14ac:dyDescent="0.35">
      <c r="B305" s="60" t="s">
        <v>1082</v>
      </c>
      <c r="C305" s="60" t="s">
        <v>1083</v>
      </c>
      <c r="D305" s="60" t="s">
        <v>1084</v>
      </c>
    </row>
    <row r="306" spans="2:4" x14ac:dyDescent="0.35">
      <c r="B306" s="60" t="s">
        <v>1085</v>
      </c>
      <c r="C306" s="60" t="s">
        <v>1086</v>
      </c>
      <c r="D306" s="60" t="s">
        <v>1087</v>
      </c>
    </row>
    <row r="307" spans="2:4" x14ac:dyDescent="0.35">
      <c r="B307" s="60" t="s">
        <v>1088</v>
      </c>
      <c r="C307" s="60" t="s">
        <v>1089</v>
      </c>
      <c r="D307" s="60" t="s">
        <v>1090</v>
      </c>
    </row>
    <row r="308" spans="2:4" x14ac:dyDescent="0.35">
      <c r="B308" s="60" t="s">
        <v>1091</v>
      </c>
      <c r="C308" s="60" t="s">
        <v>1092</v>
      </c>
      <c r="D308" s="60" t="s">
        <v>1093</v>
      </c>
    </row>
    <row r="309" spans="2:4" x14ac:dyDescent="0.35">
      <c r="B309" s="60" t="s">
        <v>1094</v>
      </c>
      <c r="C309" s="60" t="s">
        <v>1095</v>
      </c>
      <c r="D309" s="60" t="s">
        <v>1096</v>
      </c>
    </row>
    <row r="310" spans="2:4" x14ac:dyDescent="0.35">
      <c r="B310" s="60" t="s">
        <v>1097</v>
      </c>
      <c r="C310" s="60" t="s">
        <v>1098</v>
      </c>
      <c r="D310" s="60" t="s">
        <v>1099</v>
      </c>
    </row>
    <row r="311" spans="2:4" x14ac:dyDescent="0.35">
      <c r="B311" s="60" t="s">
        <v>1100</v>
      </c>
      <c r="C311" s="60" t="s">
        <v>1101</v>
      </c>
      <c r="D311" s="60" t="s">
        <v>1102</v>
      </c>
    </row>
    <row r="312" spans="2:4" x14ac:dyDescent="0.35">
      <c r="B312" s="60" t="s">
        <v>1103</v>
      </c>
      <c r="C312" s="60" t="s">
        <v>1104</v>
      </c>
      <c r="D312" s="60" t="s">
        <v>1105</v>
      </c>
    </row>
    <row r="313" spans="2:4" x14ac:dyDescent="0.35">
      <c r="B313" s="60" t="s">
        <v>1106</v>
      </c>
      <c r="C313" s="60" t="s">
        <v>1106</v>
      </c>
      <c r="D313" s="60" t="s">
        <v>1107</v>
      </c>
    </row>
    <row r="314" spans="2:4" x14ac:dyDescent="0.35">
      <c r="B314" s="60" t="s">
        <v>1108</v>
      </c>
      <c r="C314" s="60" t="s">
        <v>1109</v>
      </c>
      <c r="D314" s="60" t="s">
        <v>1110</v>
      </c>
    </row>
    <row r="315" spans="2:4" x14ac:dyDescent="0.35">
      <c r="B315" s="60" t="s">
        <v>1111</v>
      </c>
      <c r="C315" s="60" t="s">
        <v>1112</v>
      </c>
      <c r="D315" s="60" t="s">
        <v>1113</v>
      </c>
    </row>
    <row r="316" spans="2:4" x14ac:dyDescent="0.35">
      <c r="B316" s="60" t="s">
        <v>1114</v>
      </c>
      <c r="C316" s="60" t="s">
        <v>1115</v>
      </c>
      <c r="D316" s="60" t="s">
        <v>1116</v>
      </c>
    </row>
    <row r="317" spans="2:4" x14ac:dyDescent="0.35">
      <c r="B317" s="60" t="s">
        <v>1117</v>
      </c>
      <c r="C317" s="60" t="s">
        <v>1118</v>
      </c>
      <c r="D317" s="60" t="s">
        <v>1119</v>
      </c>
    </row>
    <row r="318" spans="2:4" x14ac:dyDescent="0.35">
      <c r="B318" s="60" t="s">
        <v>1120</v>
      </c>
      <c r="C318" s="60" t="s">
        <v>1121</v>
      </c>
      <c r="D318" s="60" t="s">
        <v>1122</v>
      </c>
    </row>
    <row r="319" spans="2:4" x14ac:dyDescent="0.35">
      <c r="B319" s="60" t="s">
        <v>1123</v>
      </c>
      <c r="C319" s="60" t="s">
        <v>1124</v>
      </c>
      <c r="D319" s="60" t="s">
        <v>1125</v>
      </c>
    </row>
    <row r="320" spans="2:4" x14ac:dyDescent="0.35">
      <c r="B320" s="60" t="s">
        <v>1126</v>
      </c>
      <c r="C320" s="60" t="s">
        <v>1127</v>
      </c>
      <c r="D320" s="60" t="s">
        <v>1128</v>
      </c>
    </row>
    <row r="321" spans="2:4" x14ac:dyDescent="0.35">
      <c r="B321" s="60" t="s">
        <v>1129</v>
      </c>
      <c r="C321" s="60" t="s">
        <v>1130</v>
      </c>
      <c r="D321" s="60" t="s">
        <v>1131</v>
      </c>
    </row>
    <row r="322" spans="2:4" x14ac:dyDescent="0.35">
      <c r="B322" s="60" t="s">
        <v>1132</v>
      </c>
      <c r="C322" s="60" t="s">
        <v>1133</v>
      </c>
      <c r="D322" s="60" t="s">
        <v>1134</v>
      </c>
    </row>
    <row r="323" spans="2:4" x14ac:dyDescent="0.35">
      <c r="B323" s="60" t="s">
        <v>1135</v>
      </c>
      <c r="C323" s="60" t="s">
        <v>1136</v>
      </c>
      <c r="D323" s="60" t="s">
        <v>1137</v>
      </c>
    </row>
    <row r="324" spans="2:4" x14ac:dyDescent="0.35">
      <c r="B324" s="60" t="s">
        <v>1138</v>
      </c>
      <c r="C324" s="60" t="s">
        <v>1139</v>
      </c>
      <c r="D324" s="60" t="s">
        <v>1140</v>
      </c>
    </row>
    <row r="325" spans="2:4" x14ac:dyDescent="0.35">
      <c r="B325" s="60" t="s">
        <v>1141</v>
      </c>
      <c r="C325" s="60" t="s">
        <v>1142</v>
      </c>
      <c r="D325" s="60" t="s">
        <v>1143</v>
      </c>
    </row>
    <row r="326" spans="2:4" x14ac:dyDescent="0.35">
      <c r="B326" s="60" t="s">
        <v>1144</v>
      </c>
      <c r="C326" s="60" t="s">
        <v>1145</v>
      </c>
      <c r="D326" s="60" t="s">
        <v>1146</v>
      </c>
    </row>
    <row r="327" spans="2:4" x14ac:dyDescent="0.35">
      <c r="B327" s="60" t="s">
        <v>1147</v>
      </c>
      <c r="C327" s="60" t="s">
        <v>1148</v>
      </c>
      <c r="D327" s="60" t="s">
        <v>1149</v>
      </c>
    </row>
    <row r="328" spans="2:4" x14ac:dyDescent="0.35">
      <c r="B328" s="60" t="s">
        <v>1150</v>
      </c>
      <c r="C328" s="60" t="s">
        <v>1151</v>
      </c>
      <c r="D328" s="60" t="s">
        <v>1152</v>
      </c>
    </row>
    <row r="329" spans="2:4" x14ac:dyDescent="0.35">
      <c r="B329" s="60" t="s">
        <v>1150</v>
      </c>
      <c r="C329" s="60" t="s">
        <v>1153</v>
      </c>
      <c r="D329" s="60" t="s">
        <v>1154</v>
      </c>
    </row>
    <row r="330" spans="2:4" x14ac:dyDescent="0.35">
      <c r="B330" s="60" t="s">
        <v>1155</v>
      </c>
      <c r="C330" s="60" t="s">
        <v>1156</v>
      </c>
      <c r="D330" s="60" t="s">
        <v>1157</v>
      </c>
    </row>
    <row r="331" spans="2:4" x14ac:dyDescent="0.35">
      <c r="B331" s="60" t="s">
        <v>1158</v>
      </c>
      <c r="C331" s="60" t="s">
        <v>1159</v>
      </c>
      <c r="D331" s="60" t="s">
        <v>1160</v>
      </c>
    </row>
    <row r="332" spans="2:4" x14ac:dyDescent="0.35">
      <c r="B332" s="60" t="s">
        <v>1161</v>
      </c>
      <c r="C332" s="60" t="s">
        <v>1162</v>
      </c>
      <c r="D332" s="60" t="s">
        <v>1163</v>
      </c>
    </row>
    <row r="333" spans="2:4" x14ac:dyDescent="0.35">
      <c r="B333" s="60" t="s">
        <v>1164</v>
      </c>
      <c r="C333" s="60" t="s">
        <v>1165</v>
      </c>
      <c r="D333" s="60" t="s">
        <v>1166</v>
      </c>
    </row>
    <row r="334" spans="2:4" x14ac:dyDescent="0.35">
      <c r="B334" s="60" t="s">
        <v>1167</v>
      </c>
      <c r="C334" s="60" t="s">
        <v>1168</v>
      </c>
      <c r="D334" s="60" t="s">
        <v>1169</v>
      </c>
    </row>
    <row r="335" spans="2:4" x14ac:dyDescent="0.35">
      <c r="B335" s="60" t="s">
        <v>1170</v>
      </c>
      <c r="C335" s="60" t="s">
        <v>1171</v>
      </c>
      <c r="D335" s="60" t="s">
        <v>1172</v>
      </c>
    </row>
    <row r="336" spans="2:4" x14ac:dyDescent="0.35">
      <c r="B336" s="60" t="s">
        <v>1173</v>
      </c>
      <c r="C336" s="60" t="s">
        <v>1174</v>
      </c>
      <c r="D336" s="60" t="s">
        <v>1175</v>
      </c>
    </row>
    <row r="337" spans="2:4" x14ac:dyDescent="0.35">
      <c r="B337" s="60" t="s">
        <v>1176</v>
      </c>
      <c r="C337" s="60" t="s">
        <v>1177</v>
      </c>
      <c r="D337" s="60" t="s">
        <v>1178</v>
      </c>
    </row>
    <row r="338" spans="2:4" x14ac:dyDescent="0.35">
      <c r="B338" s="60" t="s">
        <v>1179</v>
      </c>
      <c r="C338" s="60" t="s">
        <v>1180</v>
      </c>
      <c r="D338" s="60" t="s">
        <v>1181</v>
      </c>
    </row>
    <row r="339" spans="2:4" x14ac:dyDescent="0.35">
      <c r="B339" s="60" t="s">
        <v>1182</v>
      </c>
      <c r="C339" s="60" t="s">
        <v>1183</v>
      </c>
      <c r="D339" s="60" t="s">
        <v>1184</v>
      </c>
    </row>
    <row r="340" spans="2:4" x14ac:dyDescent="0.35">
      <c r="B340" s="60" t="s">
        <v>1185</v>
      </c>
      <c r="C340" s="60" t="s">
        <v>1186</v>
      </c>
      <c r="D340" s="60" t="s">
        <v>1187</v>
      </c>
    </row>
    <row r="341" spans="2:4" x14ac:dyDescent="0.35">
      <c r="B341" s="60" t="s">
        <v>1188</v>
      </c>
      <c r="C341" s="60" t="s">
        <v>1189</v>
      </c>
      <c r="D341" s="60" t="s">
        <v>1190</v>
      </c>
    </row>
    <row r="342" spans="2:4" x14ac:dyDescent="0.35">
      <c r="B342" s="60" t="s">
        <v>1191</v>
      </c>
      <c r="C342" s="60" t="s">
        <v>1192</v>
      </c>
      <c r="D342" s="60" t="s">
        <v>1193</v>
      </c>
    </row>
    <row r="343" spans="2:4" x14ac:dyDescent="0.35">
      <c r="B343" s="60" t="s">
        <v>1194</v>
      </c>
      <c r="C343" s="60" t="s">
        <v>1195</v>
      </c>
      <c r="D343" s="60" t="s">
        <v>1196</v>
      </c>
    </row>
    <row r="344" spans="2:4" x14ac:dyDescent="0.35">
      <c r="B344" s="60" t="s">
        <v>1197</v>
      </c>
      <c r="C344" s="60" t="s">
        <v>1198</v>
      </c>
      <c r="D344" s="60" t="s">
        <v>1199</v>
      </c>
    </row>
    <row r="345" spans="2:4" x14ac:dyDescent="0.35">
      <c r="B345" s="60" t="s">
        <v>1200</v>
      </c>
      <c r="C345" s="60" t="s">
        <v>1201</v>
      </c>
      <c r="D345" s="60" t="s">
        <v>1202</v>
      </c>
    </row>
    <row r="346" spans="2:4" x14ac:dyDescent="0.35">
      <c r="B346" s="60" t="s">
        <v>1203</v>
      </c>
      <c r="C346" s="60" t="s">
        <v>1204</v>
      </c>
      <c r="D346" s="60" t="s">
        <v>1205</v>
      </c>
    </row>
    <row r="347" spans="2:4" x14ac:dyDescent="0.35">
      <c r="B347" s="60" t="s">
        <v>1206</v>
      </c>
      <c r="C347" s="60" t="s">
        <v>1207</v>
      </c>
      <c r="D347" s="60" t="s">
        <v>1208</v>
      </c>
    </row>
    <row r="348" spans="2:4" x14ac:dyDescent="0.35">
      <c r="B348" s="60" t="s">
        <v>1209</v>
      </c>
      <c r="C348" s="60" t="s">
        <v>1210</v>
      </c>
      <c r="D348" s="60" t="s">
        <v>1211</v>
      </c>
    </row>
    <row r="349" spans="2:4" x14ac:dyDescent="0.35">
      <c r="B349" s="60" t="s">
        <v>1212</v>
      </c>
      <c r="C349" s="60" t="s">
        <v>1213</v>
      </c>
      <c r="D349" s="60" t="s">
        <v>1214</v>
      </c>
    </row>
    <row r="350" spans="2:4" x14ac:dyDescent="0.35">
      <c r="B350" s="60" t="s">
        <v>1215</v>
      </c>
      <c r="C350" s="60" t="s">
        <v>1216</v>
      </c>
      <c r="D350" s="60" t="s">
        <v>1217</v>
      </c>
    </row>
    <row r="351" spans="2:4" x14ac:dyDescent="0.35">
      <c r="B351" s="60" t="s">
        <v>1218</v>
      </c>
      <c r="C351" s="60" t="s">
        <v>1219</v>
      </c>
      <c r="D351" s="60" t="s">
        <v>1220</v>
      </c>
    </row>
    <row r="352" spans="2:4" x14ac:dyDescent="0.35">
      <c r="B352" s="60" t="s">
        <v>1221</v>
      </c>
      <c r="C352" s="60" t="s">
        <v>1222</v>
      </c>
      <c r="D352" s="60" t="s">
        <v>1223</v>
      </c>
    </row>
    <row r="353" spans="2:4" x14ac:dyDescent="0.35">
      <c r="B353" s="60" t="s">
        <v>1224</v>
      </c>
      <c r="C353" s="60" t="s">
        <v>1225</v>
      </c>
      <c r="D353" s="60" t="s">
        <v>1226</v>
      </c>
    </row>
    <row r="354" spans="2:4" x14ac:dyDescent="0.35">
      <c r="B354" s="60" t="s">
        <v>1227</v>
      </c>
      <c r="C354" s="60" t="s">
        <v>1228</v>
      </c>
      <c r="D354" s="60" t="s">
        <v>1229</v>
      </c>
    </row>
    <row r="355" spans="2:4" x14ac:dyDescent="0.35">
      <c r="B355" s="60" t="s">
        <v>1230</v>
      </c>
      <c r="C355" s="60" t="s">
        <v>1231</v>
      </c>
      <c r="D355" s="60" t="s">
        <v>1232</v>
      </c>
    </row>
    <row r="356" spans="2:4" x14ac:dyDescent="0.35">
      <c r="B356" s="60" t="s">
        <v>1233</v>
      </c>
      <c r="C356" s="60" t="s">
        <v>1234</v>
      </c>
      <c r="D356" s="60" t="s">
        <v>1235</v>
      </c>
    </row>
    <row r="357" spans="2:4" x14ac:dyDescent="0.35">
      <c r="B357" s="60" t="s">
        <v>1236</v>
      </c>
      <c r="C357" s="60" t="s">
        <v>1237</v>
      </c>
      <c r="D357" s="60" t="s">
        <v>1238</v>
      </c>
    </row>
    <row r="358" spans="2:4" x14ac:dyDescent="0.35">
      <c r="B358" s="60" t="s">
        <v>1239</v>
      </c>
      <c r="C358" s="60" t="s">
        <v>1240</v>
      </c>
      <c r="D358" s="60" t="s">
        <v>1241</v>
      </c>
    </row>
    <row r="359" spans="2:4" x14ac:dyDescent="0.35">
      <c r="B359" s="60" t="s">
        <v>1242</v>
      </c>
      <c r="C359" s="60" t="s">
        <v>1243</v>
      </c>
      <c r="D359" s="60" t="s">
        <v>1244</v>
      </c>
    </row>
    <row r="360" spans="2:4" x14ac:dyDescent="0.35">
      <c r="B360" s="60" t="s">
        <v>1245</v>
      </c>
      <c r="C360" s="60" t="s">
        <v>1246</v>
      </c>
      <c r="D360" s="60" t="s">
        <v>1247</v>
      </c>
    </row>
    <row r="361" spans="2:4" x14ac:dyDescent="0.35">
      <c r="B361" s="60" t="s">
        <v>1248</v>
      </c>
      <c r="C361" s="60" t="s">
        <v>1249</v>
      </c>
      <c r="D361" s="60" t="s">
        <v>1250</v>
      </c>
    </row>
    <row r="362" spans="2:4" x14ac:dyDescent="0.35">
      <c r="B362" s="60" t="s">
        <v>1251</v>
      </c>
      <c r="C362" s="60" t="s">
        <v>1252</v>
      </c>
      <c r="D362" s="60" t="s">
        <v>1253</v>
      </c>
    </row>
    <row r="363" spans="2:4" x14ac:dyDescent="0.35">
      <c r="B363" s="60" t="s">
        <v>1254</v>
      </c>
      <c r="C363" s="60" t="s">
        <v>1255</v>
      </c>
      <c r="D363" s="60" t="s">
        <v>1256</v>
      </c>
    </row>
    <row r="364" spans="2:4" x14ac:dyDescent="0.35">
      <c r="B364" s="60" t="s">
        <v>1257</v>
      </c>
      <c r="C364" s="60" t="s">
        <v>1258</v>
      </c>
      <c r="D364" s="60" t="s">
        <v>1259</v>
      </c>
    </row>
    <row r="365" spans="2:4" x14ac:dyDescent="0.35">
      <c r="B365" s="60" t="s">
        <v>1260</v>
      </c>
      <c r="C365" s="60" t="s">
        <v>1261</v>
      </c>
      <c r="D365" s="60" t="s">
        <v>1262</v>
      </c>
    </row>
    <row r="366" spans="2:4" x14ac:dyDescent="0.35">
      <c r="B366" s="60" t="s">
        <v>1263</v>
      </c>
      <c r="C366" s="60" t="s">
        <v>1264</v>
      </c>
      <c r="D366" s="60" t="s">
        <v>1265</v>
      </c>
    </row>
    <row r="367" spans="2:4" x14ac:dyDescent="0.35">
      <c r="B367" s="60" t="s">
        <v>1266</v>
      </c>
      <c r="C367" s="60" t="s">
        <v>1267</v>
      </c>
      <c r="D367" s="60" t="s">
        <v>1268</v>
      </c>
    </row>
    <row r="368" spans="2:4" x14ac:dyDescent="0.35">
      <c r="B368" s="60" t="s">
        <v>1269</v>
      </c>
      <c r="C368" s="60" t="s">
        <v>1270</v>
      </c>
      <c r="D368" s="60" t="s">
        <v>1271</v>
      </c>
    </row>
    <row r="369" spans="2:4" x14ac:dyDescent="0.35">
      <c r="B369" s="60" t="s">
        <v>1272</v>
      </c>
      <c r="C369" s="60" t="s">
        <v>1273</v>
      </c>
      <c r="D369" s="60" t="s">
        <v>1274</v>
      </c>
    </row>
    <row r="370" spans="2:4" x14ac:dyDescent="0.35">
      <c r="B370" s="60" t="s">
        <v>1275</v>
      </c>
      <c r="C370" s="60" t="s">
        <v>1276</v>
      </c>
      <c r="D370" s="60" t="s">
        <v>1277</v>
      </c>
    </row>
    <row r="371" spans="2:4" x14ac:dyDescent="0.35">
      <c r="B371" s="60" t="s">
        <v>1278</v>
      </c>
      <c r="C371" s="60" t="s">
        <v>1279</v>
      </c>
      <c r="D371" s="60" t="s">
        <v>1280</v>
      </c>
    </row>
    <row r="372" spans="2:4" x14ac:dyDescent="0.35">
      <c r="B372" s="60" t="s">
        <v>1281</v>
      </c>
      <c r="C372" s="60" t="s">
        <v>1282</v>
      </c>
      <c r="D372" s="60" t="s">
        <v>1283</v>
      </c>
    </row>
    <row r="373" spans="2:4" x14ac:dyDescent="0.35">
      <c r="B373" s="60" t="s">
        <v>1284</v>
      </c>
      <c r="C373" s="60" t="s">
        <v>1285</v>
      </c>
      <c r="D373" s="60" t="s">
        <v>1286</v>
      </c>
    </row>
    <row r="374" spans="2:4" x14ac:dyDescent="0.35">
      <c r="B374" s="60" t="s">
        <v>1287</v>
      </c>
      <c r="C374" s="60" t="s">
        <v>1288</v>
      </c>
      <c r="D374" s="60" t="s">
        <v>1289</v>
      </c>
    </row>
    <row r="375" spans="2:4" x14ac:dyDescent="0.35">
      <c r="B375" s="60" t="s">
        <v>1290</v>
      </c>
      <c r="C375" s="60" t="s">
        <v>1291</v>
      </c>
      <c r="D375" s="60" t="s">
        <v>1292</v>
      </c>
    </row>
    <row r="376" spans="2:4" x14ac:dyDescent="0.35">
      <c r="B376" s="60" t="s">
        <v>1293</v>
      </c>
      <c r="C376" s="60" t="s">
        <v>1294</v>
      </c>
      <c r="D376" s="60" t="s">
        <v>1295</v>
      </c>
    </row>
    <row r="377" spans="2:4" x14ac:dyDescent="0.35">
      <c r="B377" s="60" t="s">
        <v>1296</v>
      </c>
      <c r="C377" s="60" t="s">
        <v>1297</v>
      </c>
      <c r="D377" s="60" t="s">
        <v>1298</v>
      </c>
    </row>
    <row r="378" spans="2:4" x14ac:dyDescent="0.35">
      <c r="B378" s="60" t="s">
        <v>1299</v>
      </c>
      <c r="C378" s="60" t="s">
        <v>1300</v>
      </c>
      <c r="D378" s="60" t="s">
        <v>1301</v>
      </c>
    </row>
    <row r="379" spans="2:4" x14ac:dyDescent="0.35">
      <c r="B379" s="60" t="s">
        <v>1302</v>
      </c>
      <c r="C379" s="60" t="s">
        <v>1303</v>
      </c>
      <c r="D379" s="60" t="s">
        <v>1304</v>
      </c>
    </row>
    <row r="380" spans="2:4" x14ac:dyDescent="0.35">
      <c r="B380" s="60" t="s">
        <v>1305</v>
      </c>
      <c r="C380" s="60" t="s">
        <v>1306</v>
      </c>
      <c r="D380" s="60" t="s">
        <v>1307</v>
      </c>
    </row>
    <row r="381" spans="2:4" x14ac:dyDescent="0.35">
      <c r="B381" s="60" t="s">
        <v>1308</v>
      </c>
      <c r="C381" s="60" t="s">
        <v>1309</v>
      </c>
      <c r="D381" s="60" t="s">
        <v>1310</v>
      </c>
    </row>
    <row r="382" spans="2:4" x14ac:dyDescent="0.35">
      <c r="B382" s="60" t="s">
        <v>1311</v>
      </c>
      <c r="C382" s="60" t="s">
        <v>1312</v>
      </c>
      <c r="D382" s="60" t="s">
        <v>1313</v>
      </c>
    </row>
    <row r="383" spans="2:4" x14ac:dyDescent="0.35">
      <c r="B383" s="60" t="s">
        <v>1314</v>
      </c>
      <c r="C383" s="60" t="s">
        <v>1315</v>
      </c>
      <c r="D383" s="60" t="s">
        <v>1316</v>
      </c>
    </row>
    <row r="384" spans="2:4" x14ac:dyDescent="0.35">
      <c r="B384" s="60" t="s">
        <v>1317</v>
      </c>
      <c r="C384" s="60" t="s">
        <v>1318</v>
      </c>
      <c r="D384" s="60" t="s">
        <v>1319</v>
      </c>
    </row>
    <row r="385" spans="2:4" x14ac:dyDescent="0.35">
      <c r="B385" s="60" t="s">
        <v>1320</v>
      </c>
      <c r="C385" s="60" t="s">
        <v>1321</v>
      </c>
      <c r="D385" s="60" t="s">
        <v>1322</v>
      </c>
    </row>
    <row r="386" spans="2:4" x14ac:dyDescent="0.35">
      <c r="B386" s="60" t="s">
        <v>1323</v>
      </c>
      <c r="C386" s="60" t="s">
        <v>1324</v>
      </c>
      <c r="D386" s="60" t="s">
        <v>1325</v>
      </c>
    </row>
    <row r="387" spans="2:4" x14ac:dyDescent="0.35">
      <c r="B387" s="60" t="s">
        <v>1326</v>
      </c>
      <c r="C387" s="60" t="s">
        <v>1327</v>
      </c>
      <c r="D387" s="60" t="s">
        <v>1328</v>
      </c>
    </row>
    <row r="388" spans="2:4" x14ac:dyDescent="0.35">
      <c r="B388" s="60" t="s">
        <v>1329</v>
      </c>
      <c r="C388" s="60" t="s">
        <v>1330</v>
      </c>
      <c r="D388" s="60" t="s">
        <v>1331</v>
      </c>
    </row>
    <row r="389" spans="2:4" x14ac:dyDescent="0.35">
      <c r="B389" s="60" t="s">
        <v>1332</v>
      </c>
      <c r="C389" s="60" t="s">
        <v>1333</v>
      </c>
      <c r="D389" s="60" t="s">
        <v>1334</v>
      </c>
    </row>
    <row r="390" spans="2:4" x14ac:dyDescent="0.35">
      <c r="B390" s="60" t="s">
        <v>1335</v>
      </c>
      <c r="C390" s="60" t="s">
        <v>1336</v>
      </c>
      <c r="D390" s="60" t="s">
        <v>1337</v>
      </c>
    </row>
    <row r="391" spans="2:4" x14ac:dyDescent="0.35">
      <c r="B391" s="60" t="s">
        <v>1338</v>
      </c>
      <c r="C391" s="60" t="s">
        <v>1339</v>
      </c>
      <c r="D391" s="60" t="s">
        <v>1340</v>
      </c>
    </row>
    <row r="392" spans="2:4" x14ac:dyDescent="0.35">
      <c r="B392" s="60" t="s">
        <v>1341</v>
      </c>
      <c r="C392" s="60" t="s">
        <v>1342</v>
      </c>
      <c r="D392" s="60" t="s">
        <v>1343</v>
      </c>
    </row>
    <row r="393" spans="2:4" x14ac:dyDescent="0.35">
      <c r="B393" s="60" t="s">
        <v>1344</v>
      </c>
      <c r="C393" s="60" t="s">
        <v>1345</v>
      </c>
      <c r="D393" s="60" t="s">
        <v>1346</v>
      </c>
    </row>
    <row r="394" spans="2:4" x14ac:dyDescent="0.35">
      <c r="B394" s="60" t="s">
        <v>1347</v>
      </c>
      <c r="C394" s="60" t="s">
        <v>1348</v>
      </c>
      <c r="D394" s="60" t="s">
        <v>1349</v>
      </c>
    </row>
    <row r="395" spans="2:4" x14ac:dyDescent="0.35">
      <c r="B395" s="60" t="s">
        <v>1350</v>
      </c>
      <c r="C395" s="60" t="s">
        <v>1351</v>
      </c>
      <c r="D395" s="60" t="s">
        <v>1352</v>
      </c>
    </row>
    <row r="396" spans="2:4" x14ac:dyDescent="0.35">
      <c r="B396" s="60" t="s">
        <v>1353</v>
      </c>
      <c r="C396" s="60" t="s">
        <v>1354</v>
      </c>
      <c r="D396" s="60" t="s">
        <v>1355</v>
      </c>
    </row>
    <row r="397" spans="2:4" x14ac:dyDescent="0.35">
      <c r="B397" s="60" t="s">
        <v>1356</v>
      </c>
      <c r="C397" s="60" t="s">
        <v>1357</v>
      </c>
      <c r="D397" s="60" t="s">
        <v>1358</v>
      </c>
    </row>
    <row r="398" spans="2:4" x14ac:dyDescent="0.35">
      <c r="B398" s="60" t="s">
        <v>1359</v>
      </c>
      <c r="C398" s="60" t="s">
        <v>1360</v>
      </c>
      <c r="D398" s="60" t="s">
        <v>1361</v>
      </c>
    </row>
    <row r="399" spans="2:4" x14ac:dyDescent="0.35">
      <c r="B399" s="60" t="s">
        <v>1362</v>
      </c>
      <c r="C399" s="60" t="s">
        <v>1363</v>
      </c>
      <c r="D399" s="60" t="s">
        <v>1364</v>
      </c>
    </row>
    <row r="400" spans="2:4" x14ac:dyDescent="0.35">
      <c r="B400" s="60" t="s">
        <v>1365</v>
      </c>
      <c r="C400" s="60" t="s">
        <v>1366</v>
      </c>
      <c r="D400" s="60" t="s">
        <v>1367</v>
      </c>
    </row>
    <row r="401" spans="2:4" x14ac:dyDescent="0.35">
      <c r="B401" s="60" t="s">
        <v>1368</v>
      </c>
      <c r="C401" s="60" t="s">
        <v>1369</v>
      </c>
      <c r="D401" s="60" t="s">
        <v>1370</v>
      </c>
    </row>
    <row r="402" spans="2:4" x14ac:dyDescent="0.35">
      <c r="B402" s="60" t="s">
        <v>1371</v>
      </c>
      <c r="C402" s="60" t="s">
        <v>1372</v>
      </c>
      <c r="D402" s="60" t="s">
        <v>1373</v>
      </c>
    </row>
    <row r="403" spans="2:4" x14ac:dyDescent="0.35">
      <c r="B403" s="60" t="s">
        <v>1374</v>
      </c>
      <c r="C403" s="60" t="s">
        <v>1375</v>
      </c>
      <c r="D403" s="60" t="s">
        <v>1376</v>
      </c>
    </row>
    <row r="404" spans="2:4" x14ac:dyDescent="0.35">
      <c r="B404" s="60" t="s">
        <v>1377</v>
      </c>
      <c r="C404" s="60" t="s">
        <v>1378</v>
      </c>
      <c r="D404" s="60" t="s">
        <v>1379</v>
      </c>
    </row>
    <row r="405" spans="2:4" x14ac:dyDescent="0.35">
      <c r="B405" s="60" t="s">
        <v>1380</v>
      </c>
      <c r="C405" s="60" t="s">
        <v>1381</v>
      </c>
      <c r="D405" s="60" t="s">
        <v>1382</v>
      </c>
    </row>
    <row r="406" spans="2:4" x14ac:dyDescent="0.35">
      <c r="B406" s="60" t="s">
        <v>1383</v>
      </c>
      <c r="C406" s="60" t="s">
        <v>1384</v>
      </c>
      <c r="D406" s="60" t="s">
        <v>1385</v>
      </c>
    </row>
    <row r="407" spans="2:4" x14ac:dyDescent="0.35">
      <c r="B407" s="60" t="s">
        <v>1386</v>
      </c>
      <c r="C407" s="60" t="s">
        <v>1387</v>
      </c>
      <c r="D407" s="60" t="s">
        <v>1388</v>
      </c>
    </row>
    <row r="408" spans="2:4" x14ac:dyDescent="0.35">
      <c r="B408" s="60" t="s">
        <v>1389</v>
      </c>
      <c r="C408" s="60" t="s">
        <v>1390</v>
      </c>
      <c r="D408" s="60" t="s">
        <v>1391</v>
      </c>
    </row>
    <row r="409" spans="2:4" x14ac:dyDescent="0.35">
      <c r="B409" s="60" t="s">
        <v>1392</v>
      </c>
      <c r="C409" s="60" t="s">
        <v>1393</v>
      </c>
      <c r="D409" s="60" t="s">
        <v>1394</v>
      </c>
    </row>
    <row r="410" spans="2:4" x14ac:dyDescent="0.35">
      <c r="B410" s="60" t="s">
        <v>1395</v>
      </c>
      <c r="C410" s="60" t="s">
        <v>1396</v>
      </c>
      <c r="D410" s="60" t="s">
        <v>1397</v>
      </c>
    </row>
    <row r="411" spans="2:4" x14ac:dyDescent="0.35">
      <c r="B411" s="60" t="s">
        <v>1398</v>
      </c>
      <c r="C411" s="60" t="s">
        <v>1399</v>
      </c>
      <c r="D411" s="60" t="s">
        <v>1400</v>
      </c>
    </row>
    <row r="412" spans="2:4" x14ac:dyDescent="0.35">
      <c r="B412" s="60" t="s">
        <v>1401</v>
      </c>
      <c r="C412" s="60" t="s">
        <v>1402</v>
      </c>
      <c r="D412" s="60" t="s">
        <v>1403</v>
      </c>
    </row>
    <row r="413" spans="2:4" x14ac:dyDescent="0.35">
      <c r="B413" s="60" t="s">
        <v>1404</v>
      </c>
      <c r="C413" s="60" t="s">
        <v>1405</v>
      </c>
      <c r="D413" s="60" t="s">
        <v>1406</v>
      </c>
    </row>
    <row r="414" spans="2:4" x14ac:dyDescent="0.35">
      <c r="B414" s="60" t="s">
        <v>1407</v>
      </c>
      <c r="C414" s="60" t="s">
        <v>1408</v>
      </c>
      <c r="D414" s="60" t="s">
        <v>1409</v>
      </c>
    </row>
    <row r="415" spans="2:4" x14ac:dyDescent="0.35">
      <c r="B415" s="60" t="s">
        <v>1410</v>
      </c>
      <c r="C415" s="60" t="s">
        <v>1411</v>
      </c>
      <c r="D415" s="60" t="s">
        <v>1412</v>
      </c>
    </row>
    <row r="416" spans="2:4" x14ac:dyDescent="0.35">
      <c r="B416" s="60" t="s">
        <v>1413</v>
      </c>
      <c r="C416" s="60" t="s">
        <v>1414</v>
      </c>
      <c r="D416" s="60" t="s">
        <v>1415</v>
      </c>
    </row>
    <row r="417" spans="2:4" x14ac:dyDescent="0.35">
      <c r="B417" s="60" t="s">
        <v>1416</v>
      </c>
      <c r="C417" s="60" t="s">
        <v>1417</v>
      </c>
      <c r="D417" s="60" t="s">
        <v>1418</v>
      </c>
    </row>
    <row r="418" spans="2:4" x14ac:dyDescent="0.35">
      <c r="B418" s="60" t="s">
        <v>1419</v>
      </c>
      <c r="C418" s="60" t="s">
        <v>1420</v>
      </c>
      <c r="D418" s="60" t="s">
        <v>1421</v>
      </c>
    </row>
    <row r="419" spans="2:4" x14ac:dyDescent="0.35">
      <c r="B419" s="60" t="s">
        <v>1422</v>
      </c>
      <c r="C419" s="60" t="s">
        <v>1423</v>
      </c>
      <c r="D419" s="60" t="s">
        <v>1424</v>
      </c>
    </row>
    <row r="420" spans="2:4" x14ac:dyDescent="0.35">
      <c r="B420" s="60" t="s">
        <v>1425</v>
      </c>
      <c r="C420" s="60" t="s">
        <v>1426</v>
      </c>
      <c r="D420" s="60" t="s">
        <v>1427</v>
      </c>
    </row>
    <row r="421" spans="2:4" x14ac:dyDescent="0.35">
      <c r="B421" s="60" t="s">
        <v>1428</v>
      </c>
      <c r="C421" s="60" t="s">
        <v>1429</v>
      </c>
      <c r="D421" s="60" t="s">
        <v>1430</v>
      </c>
    </row>
    <row r="422" spans="2:4" x14ac:dyDescent="0.35">
      <c r="B422" s="60" t="s">
        <v>1431</v>
      </c>
      <c r="C422" s="60" t="s">
        <v>1432</v>
      </c>
      <c r="D422" s="60" t="s">
        <v>1433</v>
      </c>
    </row>
    <row r="423" spans="2:4" x14ac:dyDescent="0.35">
      <c r="B423" s="60" t="s">
        <v>1434</v>
      </c>
      <c r="C423" s="60" t="s">
        <v>1435</v>
      </c>
      <c r="D423" s="60" t="s">
        <v>1436</v>
      </c>
    </row>
    <row r="424" spans="2:4" x14ac:dyDescent="0.35">
      <c r="B424" s="60" t="s">
        <v>1437</v>
      </c>
      <c r="C424" s="60" t="s">
        <v>1438</v>
      </c>
      <c r="D424" s="60" t="s">
        <v>1439</v>
      </c>
    </row>
    <row r="425" spans="2:4" x14ac:dyDescent="0.35">
      <c r="B425" s="60" t="s">
        <v>1440</v>
      </c>
      <c r="C425" s="60" t="s">
        <v>1441</v>
      </c>
      <c r="D425" s="60" t="s">
        <v>1442</v>
      </c>
    </row>
    <row r="426" spans="2:4" x14ac:dyDescent="0.35">
      <c r="B426" s="60" t="s">
        <v>1443</v>
      </c>
      <c r="C426" s="60" t="s">
        <v>1444</v>
      </c>
      <c r="D426" s="60" t="s">
        <v>1445</v>
      </c>
    </row>
    <row r="427" spans="2:4" x14ac:dyDescent="0.35">
      <c r="B427" s="60" t="s">
        <v>1446</v>
      </c>
      <c r="C427" s="60" t="s">
        <v>1447</v>
      </c>
      <c r="D427" s="60" t="s">
        <v>1448</v>
      </c>
    </row>
    <row r="428" spans="2:4" x14ac:dyDescent="0.35">
      <c r="B428" s="60" t="s">
        <v>1449</v>
      </c>
      <c r="C428" s="60" t="s">
        <v>1450</v>
      </c>
      <c r="D428" s="60" t="s">
        <v>1451</v>
      </c>
    </row>
    <row r="429" spans="2:4" x14ac:dyDescent="0.35">
      <c r="B429" s="60" t="s">
        <v>1452</v>
      </c>
      <c r="C429" s="60" t="s">
        <v>1453</v>
      </c>
      <c r="D429" s="60" t="s">
        <v>1454</v>
      </c>
    </row>
    <row r="430" spans="2:4" x14ac:dyDescent="0.35">
      <c r="B430" s="60" t="s">
        <v>1455</v>
      </c>
      <c r="C430" s="60" t="s">
        <v>1456</v>
      </c>
      <c r="D430" s="60" t="s">
        <v>1457</v>
      </c>
    </row>
    <row r="431" spans="2:4" x14ac:dyDescent="0.35">
      <c r="B431" s="60" t="s">
        <v>1458</v>
      </c>
      <c r="C431" s="60" t="s">
        <v>1459</v>
      </c>
      <c r="D431" s="60" t="s">
        <v>1460</v>
      </c>
    </row>
    <row r="432" spans="2:4" x14ac:dyDescent="0.35">
      <c r="B432" s="60" t="s">
        <v>1461</v>
      </c>
      <c r="C432" s="60" t="s">
        <v>1462</v>
      </c>
      <c r="D432" s="60" t="s">
        <v>1463</v>
      </c>
    </row>
    <row r="433" spans="2:4" x14ac:dyDescent="0.35">
      <c r="B433" s="60" t="s">
        <v>1464</v>
      </c>
      <c r="C433" s="60" t="s">
        <v>1465</v>
      </c>
      <c r="D433" s="60" t="s">
        <v>1466</v>
      </c>
    </row>
    <row r="434" spans="2:4" x14ac:dyDescent="0.35">
      <c r="B434" s="60" t="s">
        <v>1467</v>
      </c>
      <c r="C434" s="60" t="s">
        <v>1468</v>
      </c>
      <c r="D434" s="60" t="s">
        <v>1469</v>
      </c>
    </row>
    <row r="435" spans="2:4" x14ac:dyDescent="0.35">
      <c r="B435" s="60" t="s">
        <v>1470</v>
      </c>
      <c r="C435" s="60" t="s">
        <v>1471</v>
      </c>
      <c r="D435" s="60" t="s">
        <v>1472</v>
      </c>
    </row>
    <row r="436" spans="2:4" x14ac:dyDescent="0.35">
      <c r="B436" s="60" t="s">
        <v>1473</v>
      </c>
      <c r="C436" s="60" t="s">
        <v>1474</v>
      </c>
      <c r="D436" s="60" t="s">
        <v>1475</v>
      </c>
    </row>
    <row r="437" spans="2:4" x14ac:dyDescent="0.35">
      <c r="B437" s="60" t="s">
        <v>1476</v>
      </c>
      <c r="C437" s="60" t="s">
        <v>1477</v>
      </c>
      <c r="D437" s="60" t="s">
        <v>1478</v>
      </c>
    </row>
    <row r="438" spans="2:4" x14ac:dyDescent="0.35">
      <c r="B438" s="60" t="s">
        <v>1479</v>
      </c>
      <c r="C438" s="60" t="s">
        <v>1480</v>
      </c>
      <c r="D438" s="60" t="s">
        <v>1481</v>
      </c>
    </row>
    <row r="439" spans="2:4" x14ac:dyDescent="0.35">
      <c r="B439" s="60" t="s">
        <v>1482</v>
      </c>
      <c r="C439" s="60" t="s">
        <v>1483</v>
      </c>
      <c r="D439" s="60" t="s">
        <v>1484</v>
      </c>
    </row>
    <row r="440" spans="2:4" x14ac:dyDescent="0.35">
      <c r="B440" s="60" t="s">
        <v>1485</v>
      </c>
      <c r="C440" s="60" t="s">
        <v>1486</v>
      </c>
      <c r="D440" s="60" t="s">
        <v>1487</v>
      </c>
    </row>
    <row r="441" spans="2:4" x14ac:dyDescent="0.35">
      <c r="B441" s="60" t="s">
        <v>1488</v>
      </c>
      <c r="C441" s="60" t="s">
        <v>1489</v>
      </c>
      <c r="D441" s="60" t="s">
        <v>1490</v>
      </c>
    </row>
    <row r="442" spans="2:4" x14ac:dyDescent="0.35">
      <c r="B442" s="60" t="s">
        <v>1491</v>
      </c>
      <c r="C442" s="60" t="s">
        <v>1492</v>
      </c>
      <c r="D442" s="60" t="s">
        <v>1493</v>
      </c>
    </row>
    <row r="443" spans="2:4" x14ac:dyDescent="0.35">
      <c r="B443" s="60" t="s">
        <v>1494</v>
      </c>
      <c r="C443" s="60" t="s">
        <v>1495</v>
      </c>
      <c r="D443" s="60" t="s">
        <v>1496</v>
      </c>
    </row>
    <row r="444" spans="2:4" x14ac:dyDescent="0.35">
      <c r="B444" s="60" t="s">
        <v>1497</v>
      </c>
      <c r="C444" s="60" t="s">
        <v>1498</v>
      </c>
      <c r="D444" s="60" t="s">
        <v>1499</v>
      </c>
    </row>
    <row r="445" spans="2:4" x14ac:dyDescent="0.35">
      <c r="B445" s="60" t="s">
        <v>1500</v>
      </c>
      <c r="C445" s="60" t="s">
        <v>1501</v>
      </c>
      <c r="D445" s="60" t="s">
        <v>1502</v>
      </c>
    </row>
    <row r="446" spans="2:4" x14ac:dyDescent="0.35">
      <c r="B446" s="60" t="s">
        <v>1503</v>
      </c>
      <c r="C446" s="60" t="s">
        <v>1504</v>
      </c>
      <c r="D446" s="60" t="s">
        <v>1505</v>
      </c>
    </row>
    <row r="447" spans="2:4" x14ac:dyDescent="0.35">
      <c r="B447" s="60" t="s">
        <v>1506</v>
      </c>
      <c r="C447" s="60" t="s">
        <v>1507</v>
      </c>
      <c r="D447" s="60" t="s">
        <v>1508</v>
      </c>
    </row>
    <row r="448" spans="2:4" x14ac:dyDescent="0.35">
      <c r="B448" s="60" t="s">
        <v>1509</v>
      </c>
      <c r="C448" s="60" t="s">
        <v>1510</v>
      </c>
      <c r="D448" s="60" t="s">
        <v>1511</v>
      </c>
    </row>
    <row r="449" spans="2:4" x14ac:dyDescent="0.35">
      <c r="B449" s="60" t="s">
        <v>1512</v>
      </c>
      <c r="C449" s="60" t="s">
        <v>1513</v>
      </c>
      <c r="D449" s="60" t="s">
        <v>1514</v>
      </c>
    </row>
    <row r="450" spans="2:4" x14ac:dyDescent="0.35">
      <c r="B450" s="60" t="s">
        <v>1515</v>
      </c>
      <c r="C450" s="60" t="s">
        <v>1516</v>
      </c>
      <c r="D450" s="60" t="s">
        <v>1517</v>
      </c>
    </row>
    <row r="451" spans="2:4" x14ac:dyDescent="0.35">
      <c r="B451" s="60" t="s">
        <v>1518</v>
      </c>
      <c r="C451" s="60" t="s">
        <v>1519</v>
      </c>
      <c r="D451" s="60" t="s">
        <v>1520</v>
      </c>
    </row>
    <row r="452" spans="2:4" x14ac:dyDescent="0.35">
      <c r="B452" s="60" t="s">
        <v>1521</v>
      </c>
      <c r="C452" s="60" t="s">
        <v>1522</v>
      </c>
      <c r="D452" s="60" t="s">
        <v>1523</v>
      </c>
    </row>
    <row r="453" spans="2:4" x14ac:dyDescent="0.35">
      <c r="B453" s="60" t="s">
        <v>1524</v>
      </c>
      <c r="C453" s="60" t="s">
        <v>1525</v>
      </c>
      <c r="D453" s="60" t="s">
        <v>1526</v>
      </c>
    </row>
    <row r="454" spans="2:4" x14ac:dyDescent="0.35">
      <c r="B454" s="60" t="s">
        <v>1527</v>
      </c>
      <c r="C454" s="60" t="s">
        <v>1528</v>
      </c>
      <c r="D454" s="60" t="s">
        <v>1529</v>
      </c>
    </row>
    <row r="455" spans="2:4" x14ac:dyDescent="0.35">
      <c r="B455" s="60" t="s">
        <v>1530</v>
      </c>
      <c r="C455" s="60" t="s">
        <v>1531</v>
      </c>
      <c r="D455" s="60" t="s">
        <v>1532</v>
      </c>
    </row>
    <row r="456" spans="2:4" x14ac:dyDescent="0.35">
      <c r="B456" s="60" t="s">
        <v>1533</v>
      </c>
      <c r="C456" s="60" t="s">
        <v>1534</v>
      </c>
      <c r="D456" s="60" t="s">
        <v>1535</v>
      </c>
    </row>
    <row r="457" spans="2:4" x14ac:dyDescent="0.35">
      <c r="B457" s="60" t="s">
        <v>1536</v>
      </c>
      <c r="C457" s="60" t="s">
        <v>1537</v>
      </c>
      <c r="D457" s="60" t="s">
        <v>1538</v>
      </c>
    </row>
    <row r="458" spans="2:4" x14ac:dyDescent="0.35">
      <c r="B458" s="60" t="s">
        <v>1539</v>
      </c>
      <c r="C458" s="60" t="s">
        <v>1540</v>
      </c>
      <c r="D458" s="60" t="s">
        <v>1541</v>
      </c>
    </row>
    <row r="459" spans="2:4" x14ac:dyDescent="0.35">
      <c r="B459" s="60" t="s">
        <v>1542</v>
      </c>
      <c r="C459" s="60" t="s">
        <v>1543</v>
      </c>
      <c r="D459" s="60" t="s">
        <v>1544</v>
      </c>
    </row>
    <row r="460" spans="2:4" x14ac:dyDescent="0.35">
      <c r="B460" s="60" t="s">
        <v>1545</v>
      </c>
      <c r="C460" s="60" t="s">
        <v>1546</v>
      </c>
      <c r="D460" s="60" t="s">
        <v>1547</v>
      </c>
    </row>
    <row r="461" spans="2:4" x14ac:dyDescent="0.35">
      <c r="B461" s="60" t="s">
        <v>1548</v>
      </c>
      <c r="C461" s="60" t="s">
        <v>1549</v>
      </c>
      <c r="D461" s="60" t="s">
        <v>1550</v>
      </c>
    </row>
    <row r="462" spans="2:4" x14ac:dyDescent="0.35">
      <c r="B462" s="60" t="s">
        <v>1551</v>
      </c>
      <c r="C462" s="60" t="s">
        <v>1552</v>
      </c>
      <c r="D462" s="60" t="s">
        <v>1553</v>
      </c>
    </row>
    <row r="463" spans="2:4" x14ac:dyDescent="0.35">
      <c r="B463" s="60" t="s">
        <v>1554</v>
      </c>
      <c r="C463" s="60" t="s">
        <v>1555</v>
      </c>
      <c r="D463" s="60" t="s">
        <v>1556</v>
      </c>
    </row>
    <row r="464" spans="2:4" x14ac:dyDescent="0.35">
      <c r="B464" s="60" t="s">
        <v>1557</v>
      </c>
      <c r="C464" s="60" t="s">
        <v>1558</v>
      </c>
      <c r="D464" s="60" t="s">
        <v>1559</v>
      </c>
    </row>
    <row r="465" spans="2:4" x14ac:dyDescent="0.35">
      <c r="B465" s="60" t="s">
        <v>1560</v>
      </c>
      <c r="C465" s="60" t="s">
        <v>1561</v>
      </c>
      <c r="D465" s="60" t="s">
        <v>1562</v>
      </c>
    </row>
    <row r="466" spans="2:4" x14ac:dyDescent="0.35">
      <c r="B466" s="60" t="s">
        <v>1563</v>
      </c>
      <c r="C466" s="60" t="s">
        <v>1564</v>
      </c>
      <c r="D466" s="60" t="s">
        <v>1565</v>
      </c>
    </row>
    <row r="467" spans="2:4" x14ac:dyDescent="0.35">
      <c r="B467" s="60" t="s">
        <v>1566</v>
      </c>
      <c r="C467" s="60" t="s">
        <v>1567</v>
      </c>
      <c r="D467" s="60" t="s">
        <v>1568</v>
      </c>
    </row>
    <row r="468" spans="2:4" x14ac:dyDescent="0.35">
      <c r="B468" s="60" t="s">
        <v>1569</v>
      </c>
      <c r="C468" s="60" t="s">
        <v>1570</v>
      </c>
      <c r="D468" s="60" t="s">
        <v>1571</v>
      </c>
    </row>
    <row r="469" spans="2:4" x14ac:dyDescent="0.35">
      <c r="B469" s="60" t="s">
        <v>1572</v>
      </c>
      <c r="C469" s="60" t="s">
        <v>1573</v>
      </c>
      <c r="D469" s="60" t="s">
        <v>1574</v>
      </c>
    </row>
    <row r="470" spans="2:4" x14ac:dyDescent="0.35">
      <c r="B470" s="60" t="s">
        <v>1575</v>
      </c>
      <c r="C470" s="60" t="s">
        <v>1576</v>
      </c>
      <c r="D470" s="60" t="s">
        <v>1577</v>
      </c>
    </row>
    <row r="471" spans="2:4" x14ac:dyDescent="0.35">
      <c r="B471" s="60" t="s">
        <v>1578</v>
      </c>
      <c r="C471" s="60" t="s">
        <v>1579</v>
      </c>
      <c r="D471" s="60" t="s">
        <v>1580</v>
      </c>
    </row>
    <row r="472" spans="2:4" x14ac:dyDescent="0.35">
      <c r="B472" s="60" t="s">
        <v>1581</v>
      </c>
      <c r="C472" s="60" t="s">
        <v>1582</v>
      </c>
      <c r="D472" s="60" t="s">
        <v>1583</v>
      </c>
    </row>
    <row r="473" spans="2:4" x14ac:dyDescent="0.35">
      <c r="B473" s="60" t="s">
        <v>1584</v>
      </c>
      <c r="C473" s="60" t="s">
        <v>1585</v>
      </c>
      <c r="D473" s="60" t="s">
        <v>1586</v>
      </c>
    </row>
    <row r="474" spans="2:4" x14ac:dyDescent="0.35">
      <c r="B474" s="60" t="s">
        <v>1587</v>
      </c>
      <c r="C474" s="60" t="s">
        <v>1588</v>
      </c>
      <c r="D474" s="60" t="s">
        <v>1589</v>
      </c>
    </row>
    <row r="475" spans="2:4" x14ac:dyDescent="0.35">
      <c r="B475" s="60" t="s">
        <v>1590</v>
      </c>
      <c r="C475" s="60" t="s">
        <v>1591</v>
      </c>
      <c r="D475" s="60" t="s">
        <v>1592</v>
      </c>
    </row>
    <row r="476" spans="2:4" x14ac:dyDescent="0.35">
      <c r="B476" s="60" t="s">
        <v>1593</v>
      </c>
      <c r="C476" s="60" t="s">
        <v>1594</v>
      </c>
      <c r="D476" s="60" t="s">
        <v>1595</v>
      </c>
    </row>
    <row r="477" spans="2:4" x14ac:dyDescent="0.35">
      <c r="B477" s="60" t="s">
        <v>1596</v>
      </c>
      <c r="C477" s="60" t="s">
        <v>1597</v>
      </c>
      <c r="D477" s="60" t="s">
        <v>1598</v>
      </c>
    </row>
    <row r="478" spans="2:4" x14ac:dyDescent="0.35">
      <c r="B478" s="60" t="s">
        <v>1599</v>
      </c>
      <c r="C478" s="60" t="s">
        <v>1600</v>
      </c>
      <c r="D478" s="60" t="s">
        <v>1601</v>
      </c>
    </row>
    <row r="479" spans="2:4" x14ac:dyDescent="0.35">
      <c r="B479" s="60" t="s">
        <v>1602</v>
      </c>
      <c r="C479" s="60" t="s">
        <v>1603</v>
      </c>
      <c r="D479" s="60" t="s">
        <v>1604</v>
      </c>
    </row>
    <row r="480" spans="2:4" x14ac:dyDescent="0.35">
      <c r="B480" s="60" t="s">
        <v>1605</v>
      </c>
      <c r="C480" s="60" t="s">
        <v>1606</v>
      </c>
      <c r="D480" s="60" t="s">
        <v>1607</v>
      </c>
    </row>
    <row r="481" spans="2:4" x14ac:dyDescent="0.35">
      <c r="B481" s="60" t="s">
        <v>1608</v>
      </c>
      <c r="C481" s="60" t="s">
        <v>1609</v>
      </c>
      <c r="D481" s="60" t="s">
        <v>1610</v>
      </c>
    </row>
    <row r="482" spans="2:4" x14ac:dyDescent="0.35">
      <c r="B482" s="60" t="s">
        <v>1611</v>
      </c>
      <c r="C482" s="60" t="s">
        <v>1612</v>
      </c>
      <c r="D482" s="60" t="s">
        <v>1613</v>
      </c>
    </row>
    <row r="483" spans="2:4" x14ac:dyDescent="0.35">
      <c r="B483" s="60" t="s">
        <v>1614</v>
      </c>
      <c r="C483" s="60" t="s">
        <v>1615</v>
      </c>
      <c r="D483" s="60" t="s">
        <v>1616</v>
      </c>
    </row>
    <row r="484" spans="2:4" x14ac:dyDescent="0.35">
      <c r="B484" s="60" t="s">
        <v>1617</v>
      </c>
      <c r="C484" s="60" t="s">
        <v>1618</v>
      </c>
      <c r="D484" s="60" t="s">
        <v>1619</v>
      </c>
    </row>
    <row r="485" spans="2:4" x14ac:dyDescent="0.35">
      <c r="B485" s="60" t="s">
        <v>1620</v>
      </c>
      <c r="C485" s="60" t="s">
        <v>1621</v>
      </c>
      <c r="D485" s="60" t="s">
        <v>1622</v>
      </c>
    </row>
    <row r="486" spans="2:4" x14ac:dyDescent="0.35">
      <c r="B486" s="60" t="s">
        <v>1623</v>
      </c>
      <c r="C486" s="60" t="s">
        <v>1624</v>
      </c>
      <c r="D486" s="60" t="s">
        <v>1625</v>
      </c>
    </row>
    <row r="487" spans="2:4" x14ac:dyDescent="0.35">
      <c r="B487" s="60" t="s">
        <v>1626</v>
      </c>
      <c r="C487" s="60" t="s">
        <v>1627</v>
      </c>
      <c r="D487" s="60" t="s">
        <v>1628</v>
      </c>
    </row>
    <row r="488" spans="2:4" x14ac:dyDescent="0.35">
      <c r="B488" s="60" t="s">
        <v>1629</v>
      </c>
      <c r="C488" s="60" t="s">
        <v>1630</v>
      </c>
      <c r="D488" s="60" t="s">
        <v>1631</v>
      </c>
    </row>
    <row r="489" spans="2:4" x14ac:dyDescent="0.35">
      <c r="B489" s="60" t="s">
        <v>1632</v>
      </c>
      <c r="C489" s="60" t="s">
        <v>1633</v>
      </c>
      <c r="D489" s="60" t="s">
        <v>1634</v>
      </c>
    </row>
    <row r="490" spans="2:4" x14ac:dyDescent="0.35">
      <c r="B490" s="60" t="s">
        <v>1635</v>
      </c>
      <c r="C490" s="60" t="s">
        <v>1636</v>
      </c>
      <c r="D490" s="60" t="s">
        <v>1637</v>
      </c>
    </row>
    <row r="491" spans="2:4" x14ac:dyDescent="0.35">
      <c r="B491" s="60" t="s">
        <v>1638</v>
      </c>
      <c r="C491" s="60" t="s">
        <v>1639</v>
      </c>
      <c r="D491" s="60" t="s">
        <v>1640</v>
      </c>
    </row>
    <row r="492" spans="2:4" x14ac:dyDescent="0.35">
      <c r="B492" s="60" t="s">
        <v>1641</v>
      </c>
      <c r="C492" s="60" t="s">
        <v>1642</v>
      </c>
      <c r="D492" s="60" t="s">
        <v>1643</v>
      </c>
    </row>
    <row r="493" spans="2:4" x14ac:dyDescent="0.35">
      <c r="B493" s="60" t="s">
        <v>1644</v>
      </c>
      <c r="C493" s="60" t="s">
        <v>1645</v>
      </c>
      <c r="D493" s="60" t="s">
        <v>1646</v>
      </c>
    </row>
    <row r="494" spans="2:4" x14ac:dyDescent="0.35">
      <c r="B494" s="60" t="s">
        <v>1647</v>
      </c>
      <c r="C494" s="60" t="s">
        <v>1648</v>
      </c>
      <c r="D494" s="60" t="s">
        <v>1649</v>
      </c>
    </row>
    <row r="495" spans="2:4" x14ac:dyDescent="0.35">
      <c r="B495" s="60" t="s">
        <v>1650</v>
      </c>
      <c r="C495" s="60" t="s">
        <v>1651</v>
      </c>
      <c r="D495" s="60" t="s">
        <v>1652</v>
      </c>
    </row>
    <row r="496" spans="2:4" x14ac:dyDescent="0.35">
      <c r="B496" s="60" t="s">
        <v>1653</v>
      </c>
      <c r="C496" s="60" t="s">
        <v>1654</v>
      </c>
      <c r="D496" s="60" t="s">
        <v>1655</v>
      </c>
    </row>
    <row r="497" spans="2:4" x14ac:dyDescent="0.35">
      <c r="B497" s="60" t="s">
        <v>1656</v>
      </c>
      <c r="C497" s="60" t="s">
        <v>1657</v>
      </c>
      <c r="D497" s="60" t="s">
        <v>1658</v>
      </c>
    </row>
    <row r="498" spans="2:4" x14ac:dyDescent="0.35">
      <c r="B498" s="60" t="s">
        <v>1659</v>
      </c>
      <c r="C498" s="60" t="s">
        <v>1660</v>
      </c>
      <c r="D498" s="60" t="s">
        <v>1661</v>
      </c>
    </row>
    <row r="499" spans="2:4" x14ac:dyDescent="0.35">
      <c r="B499" s="60" t="s">
        <v>1662</v>
      </c>
      <c r="C499" s="60" t="s">
        <v>1663</v>
      </c>
      <c r="D499" s="60" t="s">
        <v>1664</v>
      </c>
    </row>
    <row r="500" spans="2:4" x14ac:dyDescent="0.35">
      <c r="B500" s="60" t="s">
        <v>1665</v>
      </c>
      <c r="C500" s="60" t="s">
        <v>1666</v>
      </c>
      <c r="D500" s="60" t="s">
        <v>1667</v>
      </c>
    </row>
    <row r="501" spans="2:4" x14ac:dyDescent="0.35">
      <c r="B501" s="60" t="s">
        <v>1668</v>
      </c>
      <c r="C501" s="60" t="s">
        <v>1669</v>
      </c>
      <c r="D501" s="60" t="s">
        <v>1670</v>
      </c>
    </row>
    <row r="502" spans="2:4" x14ac:dyDescent="0.35">
      <c r="B502" s="60" t="s">
        <v>1671</v>
      </c>
      <c r="C502" s="60" t="s">
        <v>1672</v>
      </c>
      <c r="D502" s="60" t="s">
        <v>1673</v>
      </c>
    </row>
    <row r="503" spans="2:4" x14ac:dyDescent="0.35">
      <c r="B503" s="60" t="s">
        <v>1674</v>
      </c>
      <c r="C503" s="60" t="s">
        <v>1675</v>
      </c>
      <c r="D503" s="60" t="s">
        <v>1676</v>
      </c>
    </row>
    <row r="504" spans="2:4" x14ac:dyDescent="0.35">
      <c r="B504" s="60" t="s">
        <v>1677</v>
      </c>
      <c r="C504" s="60" t="s">
        <v>1678</v>
      </c>
      <c r="D504" s="60" t="s">
        <v>1679</v>
      </c>
    </row>
    <row r="505" spans="2:4" x14ac:dyDescent="0.35">
      <c r="B505" s="60" t="s">
        <v>1680</v>
      </c>
      <c r="C505" s="60" t="s">
        <v>1681</v>
      </c>
      <c r="D505" s="60" t="s">
        <v>1682</v>
      </c>
    </row>
    <row r="506" spans="2:4" x14ac:dyDescent="0.35">
      <c r="B506" s="60" t="s">
        <v>1683</v>
      </c>
      <c r="C506" s="60" t="s">
        <v>1684</v>
      </c>
      <c r="D506" s="60" t="s">
        <v>1685</v>
      </c>
    </row>
    <row r="507" spans="2:4" x14ac:dyDescent="0.35">
      <c r="B507" s="60" t="s">
        <v>1686</v>
      </c>
      <c r="C507" s="60" t="s">
        <v>1687</v>
      </c>
      <c r="D507" s="60" t="s">
        <v>1688</v>
      </c>
    </row>
    <row r="508" spans="2:4" x14ac:dyDescent="0.35">
      <c r="B508" s="60" t="s">
        <v>1689</v>
      </c>
      <c r="C508" s="60" t="s">
        <v>1690</v>
      </c>
      <c r="D508" s="60" t="s">
        <v>1691</v>
      </c>
    </row>
    <row r="509" spans="2:4" x14ac:dyDescent="0.35">
      <c r="B509" s="60" t="s">
        <v>1692</v>
      </c>
      <c r="C509" s="60" t="s">
        <v>1693</v>
      </c>
      <c r="D509" s="60" t="s">
        <v>1694</v>
      </c>
    </row>
    <row r="510" spans="2:4" x14ac:dyDescent="0.35">
      <c r="B510" s="60" t="s">
        <v>1695</v>
      </c>
      <c r="C510" s="60" t="s">
        <v>1696</v>
      </c>
      <c r="D510" s="60" t="s">
        <v>1697</v>
      </c>
    </row>
    <row r="511" spans="2:4" x14ac:dyDescent="0.35">
      <c r="B511" s="60" t="s">
        <v>1698</v>
      </c>
      <c r="C511" s="60" t="s">
        <v>1699</v>
      </c>
      <c r="D511" s="60" t="s">
        <v>1700</v>
      </c>
    </row>
    <row r="512" spans="2:4" x14ac:dyDescent="0.35">
      <c r="B512" s="60" t="s">
        <v>1701</v>
      </c>
      <c r="C512" s="60" t="s">
        <v>1702</v>
      </c>
      <c r="D512" s="60" t="s">
        <v>1703</v>
      </c>
    </row>
    <row r="513" spans="2:4" x14ac:dyDescent="0.35">
      <c r="B513" s="60" t="s">
        <v>1704</v>
      </c>
      <c r="C513" s="60" t="s">
        <v>1705</v>
      </c>
      <c r="D513" s="60" t="s">
        <v>1706</v>
      </c>
    </row>
    <row r="514" spans="2:4" x14ac:dyDescent="0.35">
      <c r="B514" s="60" t="s">
        <v>1707</v>
      </c>
      <c r="C514" s="60" t="s">
        <v>1708</v>
      </c>
      <c r="D514" s="60" t="s">
        <v>1709</v>
      </c>
    </row>
    <row r="515" spans="2:4" x14ac:dyDescent="0.35">
      <c r="B515" s="60" t="s">
        <v>1710</v>
      </c>
      <c r="C515" s="60" t="s">
        <v>1711</v>
      </c>
      <c r="D515" s="60" t="s">
        <v>1712</v>
      </c>
    </row>
    <row r="516" spans="2:4" x14ac:dyDescent="0.35">
      <c r="B516" s="60" t="s">
        <v>1713</v>
      </c>
      <c r="C516" s="60" t="s">
        <v>1714</v>
      </c>
      <c r="D516" s="60" t="s">
        <v>1715</v>
      </c>
    </row>
    <row r="517" spans="2:4" x14ac:dyDescent="0.35">
      <c r="B517" s="60" t="s">
        <v>1716</v>
      </c>
      <c r="C517" s="60" t="s">
        <v>1717</v>
      </c>
      <c r="D517" s="60" t="s">
        <v>1718</v>
      </c>
    </row>
    <row r="518" spans="2:4" x14ac:dyDescent="0.35">
      <c r="B518" s="60" t="s">
        <v>1719</v>
      </c>
      <c r="C518" s="60" t="s">
        <v>1720</v>
      </c>
      <c r="D518" s="60" t="s">
        <v>1721</v>
      </c>
    </row>
    <row r="519" spans="2:4" x14ac:dyDescent="0.35">
      <c r="B519" s="60" t="s">
        <v>1722</v>
      </c>
      <c r="C519" s="60" t="s">
        <v>1723</v>
      </c>
      <c r="D519" s="60" t="s">
        <v>1724</v>
      </c>
    </row>
    <row r="520" spans="2:4" x14ac:dyDescent="0.35">
      <c r="B520" s="60" t="s">
        <v>1725</v>
      </c>
      <c r="C520" s="60" t="s">
        <v>1726</v>
      </c>
      <c r="D520" s="60" t="s">
        <v>1727</v>
      </c>
    </row>
    <row r="521" spans="2:4" x14ac:dyDescent="0.35">
      <c r="B521" s="60" t="s">
        <v>1725</v>
      </c>
      <c r="C521" s="60" t="s">
        <v>1728</v>
      </c>
      <c r="D521" s="60" t="s">
        <v>1727</v>
      </c>
    </row>
    <row r="522" spans="2:4" x14ac:dyDescent="0.35">
      <c r="B522" s="60" t="s">
        <v>1729</v>
      </c>
      <c r="C522" s="60" t="s">
        <v>1730</v>
      </c>
      <c r="D522" s="60" t="s">
        <v>1731</v>
      </c>
    </row>
    <row r="523" spans="2:4" x14ac:dyDescent="0.35">
      <c r="B523" s="60" t="s">
        <v>1732</v>
      </c>
      <c r="C523" s="60" t="s">
        <v>1733</v>
      </c>
      <c r="D523" s="60" t="s">
        <v>1734</v>
      </c>
    </row>
    <row r="524" spans="2:4" x14ac:dyDescent="0.35">
      <c r="B524" s="60" t="s">
        <v>1735</v>
      </c>
      <c r="C524" s="60" t="s">
        <v>1736</v>
      </c>
      <c r="D524" s="60" t="s">
        <v>1737</v>
      </c>
    </row>
    <row r="525" spans="2:4" x14ac:dyDescent="0.35">
      <c r="B525" s="60" t="s">
        <v>1738</v>
      </c>
      <c r="C525" s="60" t="s">
        <v>1739</v>
      </c>
      <c r="D525" s="60" t="s">
        <v>1740</v>
      </c>
    </row>
    <row r="526" spans="2:4" x14ac:dyDescent="0.35">
      <c r="B526" s="60" t="s">
        <v>1741</v>
      </c>
      <c r="C526" s="60" t="s">
        <v>1742</v>
      </c>
      <c r="D526" s="60" t="s">
        <v>1743</v>
      </c>
    </row>
    <row r="527" spans="2:4" x14ac:dyDescent="0.35">
      <c r="B527" s="60" t="s">
        <v>1744</v>
      </c>
      <c r="C527" s="60" t="s">
        <v>1745</v>
      </c>
      <c r="D527" s="60" t="s">
        <v>1746</v>
      </c>
    </row>
    <row r="528" spans="2:4" x14ac:dyDescent="0.35">
      <c r="B528" s="60" t="s">
        <v>1747</v>
      </c>
      <c r="C528" s="60" t="s">
        <v>1748</v>
      </c>
      <c r="D528" s="60" t="s">
        <v>1749</v>
      </c>
    </row>
    <row r="529" spans="2:4" x14ac:dyDescent="0.35">
      <c r="B529" s="60" t="s">
        <v>1750</v>
      </c>
      <c r="C529" s="60" t="s">
        <v>1751</v>
      </c>
      <c r="D529" s="60" t="s">
        <v>1752</v>
      </c>
    </row>
    <row r="530" spans="2:4" x14ac:dyDescent="0.35">
      <c r="B530" s="60" t="s">
        <v>1753</v>
      </c>
      <c r="C530" s="60" t="s">
        <v>1754</v>
      </c>
      <c r="D530" s="60" t="s">
        <v>1755</v>
      </c>
    </row>
    <row r="531" spans="2:4" x14ac:dyDescent="0.35">
      <c r="B531" s="60" t="s">
        <v>1756</v>
      </c>
      <c r="C531" s="60" t="s">
        <v>1757</v>
      </c>
      <c r="D531" s="60" t="s">
        <v>1758</v>
      </c>
    </row>
    <row r="532" spans="2:4" x14ac:dyDescent="0.35">
      <c r="B532" s="60" t="s">
        <v>1759</v>
      </c>
      <c r="C532" s="60" t="s">
        <v>1760</v>
      </c>
      <c r="D532" s="60" t="s">
        <v>1761</v>
      </c>
    </row>
    <row r="533" spans="2:4" x14ac:dyDescent="0.35">
      <c r="B533" s="60" t="s">
        <v>1762</v>
      </c>
      <c r="C533" s="60" t="s">
        <v>1763</v>
      </c>
      <c r="D533" s="60" t="s">
        <v>1764</v>
      </c>
    </row>
    <row r="534" spans="2:4" x14ac:dyDescent="0.35">
      <c r="B534" s="60" t="s">
        <v>1765</v>
      </c>
      <c r="C534" s="60" t="s">
        <v>1766</v>
      </c>
      <c r="D534" s="60" t="s">
        <v>1767</v>
      </c>
    </row>
    <row r="535" spans="2:4" x14ac:dyDescent="0.35">
      <c r="B535" s="60" t="s">
        <v>1768</v>
      </c>
      <c r="C535" s="60" t="s">
        <v>1769</v>
      </c>
      <c r="D535" s="60" t="s">
        <v>1770</v>
      </c>
    </row>
    <row r="536" spans="2:4" x14ac:dyDescent="0.35">
      <c r="B536" s="60" t="s">
        <v>1771</v>
      </c>
      <c r="C536" s="60" t="s">
        <v>1772</v>
      </c>
      <c r="D536" s="60" t="s">
        <v>1773</v>
      </c>
    </row>
    <row r="537" spans="2:4" x14ac:dyDescent="0.35">
      <c r="B537" s="60" t="s">
        <v>1774</v>
      </c>
      <c r="C537" s="60" t="s">
        <v>1775</v>
      </c>
      <c r="D537" s="60" t="s">
        <v>1776</v>
      </c>
    </row>
    <row r="538" spans="2:4" x14ac:dyDescent="0.35">
      <c r="B538" s="60" t="s">
        <v>1777</v>
      </c>
      <c r="C538" s="60" t="s">
        <v>1778</v>
      </c>
      <c r="D538" s="60" t="s">
        <v>1779</v>
      </c>
    </row>
    <row r="539" spans="2:4" x14ac:dyDescent="0.35">
      <c r="B539" s="60" t="s">
        <v>1780</v>
      </c>
      <c r="C539" s="60" t="s">
        <v>1781</v>
      </c>
      <c r="D539" s="60" t="s">
        <v>1782</v>
      </c>
    </row>
    <row r="540" spans="2:4" x14ac:dyDescent="0.35">
      <c r="B540" s="60" t="s">
        <v>1783</v>
      </c>
      <c r="C540" s="60" t="s">
        <v>1784</v>
      </c>
      <c r="D540" s="60" t="s">
        <v>1785</v>
      </c>
    </row>
    <row r="541" spans="2:4" x14ac:dyDescent="0.35">
      <c r="B541" s="60" t="s">
        <v>1786</v>
      </c>
      <c r="C541" s="60" t="s">
        <v>1787</v>
      </c>
      <c r="D541" s="60" t="s">
        <v>1788</v>
      </c>
    </row>
    <row r="542" spans="2:4" x14ac:dyDescent="0.35">
      <c r="B542" s="60" t="s">
        <v>1789</v>
      </c>
      <c r="C542" s="60" t="s">
        <v>1790</v>
      </c>
      <c r="D542" s="60" t="s">
        <v>1791</v>
      </c>
    </row>
    <row r="543" spans="2:4" x14ac:dyDescent="0.35">
      <c r="B543" s="60" t="s">
        <v>1792</v>
      </c>
      <c r="C543" s="60" t="s">
        <v>1793</v>
      </c>
      <c r="D543" s="60" t="s">
        <v>1794</v>
      </c>
    </row>
    <row r="544" spans="2:4" x14ac:dyDescent="0.35">
      <c r="B544" s="60" t="s">
        <v>1795</v>
      </c>
      <c r="C544" s="60" t="s">
        <v>1796</v>
      </c>
      <c r="D544" s="60" t="s">
        <v>1797</v>
      </c>
    </row>
    <row r="545" spans="2:4" x14ac:dyDescent="0.35">
      <c r="B545" s="60" t="s">
        <v>1798</v>
      </c>
      <c r="C545" s="60" t="s">
        <v>1799</v>
      </c>
      <c r="D545" s="60" t="s">
        <v>1800</v>
      </c>
    </row>
    <row r="546" spans="2:4" x14ac:dyDescent="0.35">
      <c r="B546" s="60" t="s">
        <v>1801</v>
      </c>
      <c r="C546" s="60" t="s">
        <v>1802</v>
      </c>
      <c r="D546" s="60" t="s">
        <v>1803</v>
      </c>
    </row>
    <row r="547" spans="2:4" x14ac:dyDescent="0.35">
      <c r="B547" s="60" t="s">
        <v>1804</v>
      </c>
      <c r="C547" s="60" t="s">
        <v>1805</v>
      </c>
      <c r="D547" s="60" t="s">
        <v>1806</v>
      </c>
    </row>
    <row r="548" spans="2:4" x14ac:dyDescent="0.35">
      <c r="B548" s="60" t="s">
        <v>1807</v>
      </c>
      <c r="C548" s="60" t="s">
        <v>1808</v>
      </c>
      <c r="D548" s="60" t="s">
        <v>1809</v>
      </c>
    </row>
    <row r="549" spans="2:4" x14ac:dyDescent="0.35">
      <c r="B549" s="60" t="s">
        <v>1810</v>
      </c>
      <c r="C549" s="60" t="s">
        <v>1811</v>
      </c>
      <c r="D549" s="60" t="s">
        <v>1812</v>
      </c>
    </row>
    <row r="550" spans="2:4" x14ac:dyDescent="0.35">
      <c r="B550" s="60" t="s">
        <v>1813</v>
      </c>
      <c r="C550" s="60" t="s">
        <v>1814</v>
      </c>
      <c r="D550" s="60" t="s">
        <v>1815</v>
      </c>
    </row>
    <row r="551" spans="2:4" x14ac:dyDescent="0.35">
      <c r="B551" s="60" t="s">
        <v>1816</v>
      </c>
      <c r="C551" s="60" t="s">
        <v>1817</v>
      </c>
      <c r="D551" s="60" t="s">
        <v>1818</v>
      </c>
    </row>
    <row r="552" spans="2:4" x14ac:dyDescent="0.35">
      <c r="B552" s="60" t="s">
        <v>1819</v>
      </c>
      <c r="C552" s="60" t="s">
        <v>1820</v>
      </c>
      <c r="D552" s="60" t="s">
        <v>1821</v>
      </c>
    </row>
    <row r="553" spans="2:4" x14ac:dyDescent="0.35">
      <c r="B553" s="60" t="s">
        <v>1822</v>
      </c>
      <c r="C553" s="60" t="s">
        <v>1823</v>
      </c>
      <c r="D553" s="60" t="s">
        <v>1824</v>
      </c>
    </row>
    <row r="554" spans="2:4" x14ac:dyDescent="0.35">
      <c r="B554" s="60" t="s">
        <v>1825</v>
      </c>
      <c r="C554" s="60" t="s">
        <v>1826</v>
      </c>
      <c r="D554" s="60" t="s">
        <v>1827</v>
      </c>
    </row>
    <row r="555" spans="2:4" x14ac:dyDescent="0.35">
      <c r="B555" s="60" t="s">
        <v>1828</v>
      </c>
      <c r="C555" s="60" t="s">
        <v>1829</v>
      </c>
      <c r="D555" s="60" t="s">
        <v>1830</v>
      </c>
    </row>
    <row r="556" spans="2:4" x14ac:dyDescent="0.35">
      <c r="B556" s="60" t="s">
        <v>1831</v>
      </c>
      <c r="C556" s="60" t="s">
        <v>1832</v>
      </c>
      <c r="D556" s="60" t="s">
        <v>1833</v>
      </c>
    </row>
    <row r="557" spans="2:4" x14ac:dyDescent="0.35">
      <c r="B557" s="60" t="s">
        <v>1834</v>
      </c>
      <c r="C557" s="60" t="s">
        <v>1835</v>
      </c>
      <c r="D557" s="60" t="s">
        <v>1836</v>
      </c>
    </row>
    <row r="558" spans="2:4" x14ac:dyDescent="0.35">
      <c r="B558" s="60" t="s">
        <v>1837</v>
      </c>
      <c r="C558" s="60" t="s">
        <v>1838</v>
      </c>
      <c r="D558" s="60" t="s">
        <v>1839</v>
      </c>
    </row>
    <row r="559" spans="2:4" x14ac:dyDescent="0.35">
      <c r="B559" s="60" t="s">
        <v>1840</v>
      </c>
      <c r="C559" s="60" t="s">
        <v>1841</v>
      </c>
      <c r="D559" s="60" t="s">
        <v>1842</v>
      </c>
    </row>
    <row r="560" spans="2:4" x14ac:dyDescent="0.35">
      <c r="B560" s="60" t="s">
        <v>1843</v>
      </c>
      <c r="C560" s="60" t="s">
        <v>1844</v>
      </c>
      <c r="D560" s="60" t="s">
        <v>1845</v>
      </c>
    </row>
    <row r="561" spans="2:4" x14ac:dyDescent="0.35">
      <c r="B561" s="60" t="s">
        <v>1846</v>
      </c>
      <c r="C561" s="60" t="s">
        <v>1847</v>
      </c>
      <c r="D561" s="60" t="s">
        <v>1848</v>
      </c>
    </row>
    <row r="562" spans="2:4" x14ac:dyDescent="0.35">
      <c r="B562" s="60" t="s">
        <v>1849</v>
      </c>
      <c r="C562" s="60" t="s">
        <v>1850</v>
      </c>
      <c r="D562" s="60" t="s">
        <v>1851</v>
      </c>
    </row>
    <row r="563" spans="2:4" x14ac:dyDescent="0.35">
      <c r="B563" s="60" t="s">
        <v>1852</v>
      </c>
      <c r="C563" s="60" t="s">
        <v>1853</v>
      </c>
      <c r="D563" s="60" t="s">
        <v>1854</v>
      </c>
    </row>
    <row r="564" spans="2:4" x14ac:dyDescent="0.35">
      <c r="B564" s="60" t="s">
        <v>1855</v>
      </c>
      <c r="C564" s="60" t="s">
        <v>1856</v>
      </c>
      <c r="D564" s="60" t="s">
        <v>1857</v>
      </c>
    </row>
    <row r="565" spans="2:4" x14ac:dyDescent="0.35">
      <c r="B565" s="60" t="s">
        <v>1858</v>
      </c>
      <c r="C565" s="60" t="s">
        <v>1859</v>
      </c>
      <c r="D565" s="60" t="s">
        <v>1860</v>
      </c>
    </row>
    <row r="566" spans="2:4" x14ac:dyDescent="0.35">
      <c r="B566" s="60" t="s">
        <v>1861</v>
      </c>
      <c r="C566" s="60" t="s">
        <v>1862</v>
      </c>
      <c r="D566" s="60" t="s">
        <v>1863</v>
      </c>
    </row>
    <row r="567" spans="2:4" x14ac:dyDescent="0.35">
      <c r="B567" s="60" t="s">
        <v>1864</v>
      </c>
      <c r="C567" s="60" t="s">
        <v>1865</v>
      </c>
      <c r="D567" s="60" t="s">
        <v>1866</v>
      </c>
    </row>
    <row r="568" spans="2:4" x14ac:dyDescent="0.35">
      <c r="B568" s="60" t="s">
        <v>1867</v>
      </c>
      <c r="C568" s="60" t="s">
        <v>1868</v>
      </c>
      <c r="D568" s="60" t="s">
        <v>1869</v>
      </c>
    </row>
    <row r="569" spans="2:4" x14ac:dyDescent="0.35">
      <c r="B569" s="60" t="s">
        <v>1870</v>
      </c>
      <c r="C569" s="60" t="s">
        <v>1871</v>
      </c>
      <c r="D569" s="60" t="s">
        <v>1872</v>
      </c>
    </row>
    <row r="570" spans="2:4" x14ac:dyDescent="0.35">
      <c r="B570" s="60" t="s">
        <v>1873</v>
      </c>
      <c r="C570" s="60" t="s">
        <v>1874</v>
      </c>
      <c r="D570" s="60" t="s">
        <v>1875</v>
      </c>
    </row>
    <row r="571" spans="2:4" x14ac:dyDescent="0.35">
      <c r="B571" s="60" t="s">
        <v>1876</v>
      </c>
      <c r="C571" s="60" t="s">
        <v>1877</v>
      </c>
      <c r="D571" s="60" t="s">
        <v>1878</v>
      </c>
    </row>
    <row r="572" spans="2:4" x14ac:dyDescent="0.35">
      <c r="B572" s="60" t="s">
        <v>1879</v>
      </c>
      <c r="C572" s="60" t="s">
        <v>1880</v>
      </c>
      <c r="D572" s="60" t="s">
        <v>1881</v>
      </c>
    </row>
    <row r="573" spans="2:4" x14ac:dyDescent="0.35">
      <c r="B573" s="60" t="s">
        <v>1882</v>
      </c>
      <c r="C573" s="60" t="s">
        <v>1883</v>
      </c>
      <c r="D573" s="60" t="s">
        <v>1884</v>
      </c>
    </row>
    <row r="574" spans="2:4" x14ac:dyDescent="0.35">
      <c r="B574" s="60" t="s">
        <v>1885</v>
      </c>
      <c r="C574" s="60" t="s">
        <v>1886</v>
      </c>
      <c r="D574" s="60" t="s">
        <v>1887</v>
      </c>
    </row>
    <row r="575" spans="2:4" x14ac:dyDescent="0.35">
      <c r="B575" s="60" t="s">
        <v>1888</v>
      </c>
      <c r="C575" s="60" t="s">
        <v>1889</v>
      </c>
      <c r="D575" s="60" t="s">
        <v>1890</v>
      </c>
    </row>
    <row r="576" spans="2:4" x14ac:dyDescent="0.35">
      <c r="B576" s="60" t="s">
        <v>1891</v>
      </c>
      <c r="C576" s="60" t="s">
        <v>1892</v>
      </c>
      <c r="D576" s="60" t="s">
        <v>1893</v>
      </c>
    </row>
    <row r="577" spans="2:4" x14ac:dyDescent="0.35">
      <c r="B577" s="60" t="s">
        <v>1894</v>
      </c>
      <c r="C577" s="60" t="s">
        <v>1895</v>
      </c>
      <c r="D577" s="60" t="s">
        <v>1896</v>
      </c>
    </row>
    <row r="578" spans="2:4" x14ac:dyDescent="0.35">
      <c r="B578" s="60" t="s">
        <v>1897</v>
      </c>
      <c r="C578" s="60" t="s">
        <v>1898</v>
      </c>
      <c r="D578" s="60" t="s">
        <v>1899</v>
      </c>
    </row>
    <row r="579" spans="2:4" x14ac:dyDescent="0.35">
      <c r="B579" s="60" t="s">
        <v>1900</v>
      </c>
      <c r="C579" s="60" t="s">
        <v>1901</v>
      </c>
      <c r="D579" s="60" t="s">
        <v>1902</v>
      </c>
    </row>
    <row r="580" spans="2:4" x14ac:dyDescent="0.35">
      <c r="B580" s="60" t="s">
        <v>1903</v>
      </c>
      <c r="C580" s="60" t="s">
        <v>1904</v>
      </c>
      <c r="D580" s="60" t="s">
        <v>1905</v>
      </c>
    </row>
    <row r="581" spans="2:4" x14ac:dyDescent="0.35">
      <c r="B581" s="60" t="s">
        <v>1906</v>
      </c>
      <c r="C581" s="60" t="s">
        <v>1907</v>
      </c>
      <c r="D581" s="60" t="s">
        <v>1908</v>
      </c>
    </row>
    <row r="582" spans="2:4" x14ac:dyDescent="0.35">
      <c r="B582" s="60" t="s">
        <v>1909</v>
      </c>
      <c r="C582" s="60" t="s">
        <v>1910</v>
      </c>
      <c r="D582" s="60" t="s">
        <v>1911</v>
      </c>
    </row>
    <row r="583" spans="2:4" x14ac:dyDescent="0.35">
      <c r="B583" s="60" t="s">
        <v>1912</v>
      </c>
      <c r="C583" s="60" t="s">
        <v>1913</v>
      </c>
      <c r="D583" s="60" t="s">
        <v>1914</v>
      </c>
    </row>
    <row r="584" spans="2:4" x14ac:dyDescent="0.35">
      <c r="B584" s="60" t="s">
        <v>1915</v>
      </c>
      <c r="C584" s="60" t="s">
        <v>1916</v>
      </c>
      <c r="D584" s="60" t="s">
        <v>1917</v>
      </c>
    </row>
    <row r="585" spans="2:4" x14ac:dyDescent="0.35">
      <c r="B585" s="60" t="s">
        <v>1918</v>
      </c>
      <c r="C585" s="60" t="s">
        <v>1919</v>
      </c>
      <c r="D585" s="60" t="s">
        <v>1920</v>
      </c>
    </row>
    <row r="586" spans="2:4" x14ac:dyDescent="0.35">
      <c r="B586" s="60" t="s">
        <v>1921</v>
      </c>
      <c r="C586" s="60" t="s">
        <v>1922</v>
      </c>
      <c r="D586" s="60" t="s">
        <v>1923</v>
      </c>
    </row>
    <row r="587" spans="2:4" x14ac:dyDescent="0.35">
      <c r="B587" s="60" t="s">
        <v>1924</v>
      </c>
      <c r="C587" s="60" t="s">
        <v>1925</v>
      </c>
      <c r="D587" s="60" t="s">
        <v>1926</v>
      </c>
    </row>
    <row r="588" spans="2:4" x14ac:dyDescent="0.35">
      <c r="B588" s="60" t="s">
        <v>1927</v>
      </c>
      <c r="C588" s="60" t="s">
        <v>1928</v>
      </c>
      <c r="D588" s="60" t="s">
        <v>1929</v>
      </c>
    </row>
    <row r="589" spans="2:4" x14ac:dyDescent="0.35">
      <c r="B589" s="60" t="s">
        <v>1930</v>
      </c>
      <c r="C589" s="60" t="s">
        <v>1931</v>
      </c>
      <c r="D589" s="60" t="s">
        <v>1932</v>
      </c>
    </row>
    <row r="590" spans="2:4" x14ac:dyDescent="0.35">
      <c r="B590" s="60" t="s">
        <v>1933</v>
      </c>
      <c r="C590" s="60" t="s">
        <v>1934</v>
      </c>
      <c r="D590" s="60" t="s">
        <v>1935</v>
      </c>
    </row>
    <row r="591" spans="2:4" x14ac:dyDescent="0.35">
      <c r="B591" s="60" t="s">
        <v>1936</v>
      </c>
      <c r="C591" s="60" t="s">
        <v>1937</v>
      </c>
      <c r="D591" s="60" t="s">
        <v>1938</v>
      </c>
    </row>
    <row r="592" spans="2:4" x14ac:dyDescent="0.35">
      <c r="B592" s="60" t="s">
        <v>1939</v>
      </c>
      <c r="C592" s="60" t="s">
        <v>1940</v>
      </c>
      <c r="D592" s="60" t="s">
        <v>1941</v>
      </c>
    </row>
    <row r="593" spans="2:4" x14ac:dyDescent="0.35">
      <c r="B593" s="60" t="s">
        <v>1942</v>
      </c>
      <c r="C593" s="60" t="s">
        <v>1943</v>
      </c>
      <c r="D593" s="60" t="s">
        <v>1944</v>
      </c>
    </row>
    <row r="594" spans="2:4" x14ac:dyDescent="0.35">
      <c r="B594" s="60" t="s">
        <v>1945</v>
      </c>
      <c r="C594" s="60" t="s">
        <v>1946</v>
      </c>
      <c r="D594" s="60" t="s">
        <v>1947</v>
      </c>
    </row>
    <row r="595" spans="2:4" x14ac:dyDescent="0.35">
      <c r="B595" s="60" t="s">
        <v>1948</v>
      </c>
      <c r="C595" s="60" t="s">
        <v>1949</v>
      </c>
      <c r="D595" s="60" t="s">
        <v>1950</v>
      </c>
    </row>
    <row r="596" spans="2:4" x14ac:dyDescent="0.35">
      <c r="B596" s="60" t="s">
        <v>1951</v>
      </c>
      <c r="C596" s="60" t="s">
        <v>1952</v>
      </c>
      <c r="D596" s="60" t="s">
        <v>1953</v>
      </c>
    </row>
    <row r="597" spans="2:4" x14ac:dyDescent="0.35">
      <c r="B597" s="60" t="s">
        <v>1954</v>
      </c>
      <c r="C597" s="60" t="s">
        <v>1955</v>
      </c>
      <c r="D597" s="60" t="s">
        <v>1956</v>
      </c>
    </row>
    <row r="598" spans="2:4" x14ac:dyDescent="0.35">
      <c r="B598" s="60" t="s">
        <v>1957</v>
      </c>
      <c r="C598" s="60" t="s">
        <v>1958</v>
      </c>
      <c r="D598" s="60" t="s">
        <v>1959</v>
      </c>
    </row>
    <row r="599" spans="2:4" x14ac:dyDescent="0.35">
      <c r="B599" s="60" t="s">
        <v>1960</v>
      </c>
      <c r="C599" s="60" t="s">
        <v>1961</v>
      </c>
      <c r="D599" s="60" t="s">
        <v>1962</v>
      </c>
    </row>
    <row r="600" spans="2:4" x14ac:dyDescent="0.35">
      <c r="B600" s="60" t="s">
        <v>1963</v>
      </c>
      <c r="C600" s="60" t="s">
        <v>1964</v>
      </c>
      <c r="D600" s="60" t="s">
        <v>1965</v>
      </c>
    </row>
    <row r="601" spans="2:4" x14ac:dyDescent="0.35">
      <c r="B601" s="60" t="s">
        <v>1966</v>
      </c>
      <c r="C601" s="60" t="s">
        <v>1967</v>
      </c>
      <c r="D601" s="60" t="s">
        <v>1968</v>
      </c>
    </row>
    <row r="602" spans="2:4" x14ac:dyDescent="0.35">
      <c r="B602" s="60" t="s">
        <v>1969</v>
      </c>
      <c r="C602" s="60" t="s">
        <v>1970</v>
      </c>
      <c r="D602" s="60" t="s">
        <v>1971</v>
      </c>
    </row>
    <row r="603" spans="2:4" x14ac:dyDescent="0.35">
      <c r="B603" s="60" t="s">
        <v>1972</v>
      </c>
      <c r="C603" s="60" t="s">
        <v>1973</v>
      </c>
      <c r="D603" s="60" t="s">
        <v>1974</v>
      </c>
    </row>
    <row r="604" spans="2:4" x14ac:dyDescent="0.35">
      <c r="B604" s="60" t="s">
        <v>1975</v>
      </c>
      <c r="C604" s="60" t="s">
        <v>1976</v>
      </c>
      <c r="D604" s="60" t="s">
        <v>1977</v>
      </c>
    </row>
    <row r="605" spans="2:4" x14ac:dyDescent="0.35">
      <c r="B605" s="60" t="s">
        <v>1978</v>
      </c>
      <c r="C605" s="60" t="s">
        <v>1979</v>
      </c>
      <c r="D605" s="60" t="s">
        <v>1980</v>
      </c>
    </row>
    <row r="606" spans="2:4" x14ac:dyDescent="0.35">
      <c r="B606" s="60" t="s">
        <v>1981</v>
      </c>
      <c r="C606" s="60" t="s">
        <v>1982</v>
      </c>
      <c r="D606" s="60" t="s">
        <v>1983</v>
      </c>
    </row>
    <row r="607" spans="2:4" x14ac:dyDescent="0.35">
      <c r="B607" s="60" t="s">
        <v>1984</v>
      </c>
      <c r="C607" s="60" t="s">
        <v>1985</v>
      </c>
      <c r="D607" s="60" t="s">
        <v>1986</v>
      </c>
    </row>
    <row r="608" spans="2:4" x14ac:dyDescent="0.35">
      <c r="B608" s="60" t="s">
        <v>1987</v>
      </c>
      <c r="C608" s="60" t="s">
        <v>1988</v>
      </c>
      <c r="D608" s="60" t="s">
        <v>1989</v>
      </c>
    </row>
    <row r="609" spans="2:4" x14ac:dyDescent="0.35">
      <c r="B609" s="60" t="s">
        <v>1990</v>
      </c>
      <c r="C609" s="60" t="s">
        <v>1991</v>
      </c>
      <c r="D609" s="60" t="s">
        <v>1992</v>
      </c>
    </row>
    <row r="610" spans="2:4" x14ac:dyDescent="0.35">
      <c r="B610" s="60" t="s">
        <v>1993</v>
      </c>
      <c r="C610" s="60" t="s">
        <v>1994</v>
      </c>
      <c r="D610" s="60" t="s">
        <v>1995</v>
      </c>
    </row>
    <row r="611" spans="2:4" x14ac:dyDescent="0.35">
      <c r="B611" s="60" t="s">
        <v>1996</v>
      </c>
      <c r="C611" s="60" t="s">
        <v>1997</v>
      </c>
      <c r="D611" s="60" t="s">
        <v>1998</v>
      </c>
    </row>
    <row r="612" spans="2:4" x14ac:dyDescent="0.35">
      <c r="B612" s="60" t="s">
        <v>1999</v>
      </c>
      <c r="C612" s="60" t="s">
        <v>2000</v>
      </c>
      <c r="D612" s="60" t="s">
        <v>2001</v>
      </c>
    </row>
    <row r="613" spans="2:4" x14ac:dyDescent="0.35">
      <c r="B613" s="60" t="s">
        <v>2002</v>
      </c>
      <c r="C613" s="60" t="s">
        <v>2003</v>
      </c>
      <c r="D613" s="60" t="s">
        <v>2004</v>
      </c>
    </row>
    <row r="614" spans="2:4" x14ac:dyDescent="0.35">
      <c r="B614" s="60" t="s">
        <v>2005</v>
      </c>
      <c r="C614" s="60" t="s">
        <v>2006</v>
      </c>
      <c r="D614" s="60" t="s">
        <v>2007</v>
      </c>
    </row>
    <row r="615" spans="2:4" x14ac:dyDescent="0.35">
      <c r="B615" s="60" t="s">
        <v>2008</v>
      </c>
      <c r="C615" s="60" t="s">
        <v>2009</v>
      </c>
      <c r="D615" s="60" t="s">
        <v>2010</v>
      </c>
    </row>
    <row r="616" spans="2:4" x14ac:dyDescent="0.35">
      <c r="B616" s="60" t="s">
        <v>2011</v>
      </c>
      <c r="C616" s="60" t="s">
        <v>2012</v>
      </c>
      <c r="D616" s="60" t="s">
        <v>2013</v>
      </c>
    </row>
    <row r="617" spans="2:4" x14ac:dyDescent="0.35">
      <c r="B617" s="60" t="s">
        <v>2014</v>
      </c>
      <c r="C617" s="60" t="s">
        <v>2015</v>
      </c>
      <c r="D617" s="60" t="s">
        <v>2016</v>
      </c>
    </row>
    <row r="618" spans="2:4" x14ac:dyDescent="0.35">
      <c r="B618" s="60" t="s">
        <v>2017</v>
      </c>
      <c r="C618" s="60" t="s">
        <v>2018</v>
      </c>
      <c r="D618" s="60" t="s">
        <v>2019</v>
      </c>
    </row>
    <row r="619" spans="2:4" x14ac:dyDescent="0.35">
      <c r="B619" s="60" t="s">
        <v>2020</v>
      </c>
      <c r="C619" s="60" t="s">
        <v>2021</v>
      </c>
      <c r="D619" s="60" t="s">
        <v>2022</v>
      </c>
    </row>
    <row r="620" spans="2:4" x14ac:dyDescent="0.35">
      <c r="B620" s="60" t="s">
        <v>2023</v>
      </c>
      <c r="C620" s="60" t="s">
        <v>2024</v>
      </c>
      <c r="D620" s="60" t="s">
        <v>2025</v>
      </c>
    </row>
    <row r="621" spans="2:4" x14ac:dyDescent="0.35">
      <c r="B621" s="60" t="s">
        <v>2026</v>
      </c>
      <c r="C621" s="60" t="s">
        <v>2027</v>
      </c>
      <c r="D621" s="60" t="s">
        <v>2028</v>
      </c>
    </row>
    <row r="622" spans="2:4" x14ac:dyDescent="0.35">
      <c r="B622" s="60" t="s">
        <v>2029</v>
      </c>
      <c r="C622" s="60" t="s">
        <v>2030</v>
      </c>
      <c r="D622" s="60" t="s">
        <v>2031</v>
      </c>
    </row>
    <row r="623" spans="2:4" x14ac:dyDescent="0.35">
      <c r="B623" s="60" t="s">
        <v>2029</v>
      </c>
      <c r="C623" s="60" t="s">
        <v>2032</v>
      </c>
      <c r="D623" s="60" t="s">
        <v>2033</v>
      </c>
    </row>
    <row r="624" spans="2:4" x14ac:dyDescent="0.35">
      <c r="B624" s="60" t="s">
        <v>2034</v>
      </c>
      <c r="C624" s="60" t="s">
        <v>2035</v>
      </c>
      <c r="D624" s="60" t="s">
        <v>2036</v>
      </c>
    </row>
    <row r="625" spans="2:4" x14ac:dyDescent="0.35">
      <c r="B625" s="60" t="s">
        <v>2037</v>
      </c>
      <c r="C625" s="60" t="s">
        <v>2038</v>
      </c>
      <c r="D625" s="60" t="s">
        <v>2039</v>
      </c>
    </row>
    <row r="626" spans="2:4" x14ac:dyDescent="0.35">
      <c r="B626" s="60" t="s">
        <v>2040</v>
      </c>
      <c r="C626" s="60" t="s">
        <v>2041</v>
      </c>
      <c r="D626" s="60" t="s">
        <v>2042</v>
      </c>
    </row>
    <row r="627" spans="2:4" x14ac:dyDescent="0.35">
      <c r="B627" s="60" t="s">
        <v>2043</v>
      </c>
      <c r="C627" s="60" t="s">
        <v>2044</v>
      </c>
      <c r="D627" s="60" t="s">
        <v>2045</v>
      </c>
    </row>
    <row r="628" spans="2:4" x14ac:dyDescent="0.35">
      <c r="B628" s="60" t="s">
        <v>2046</v>
      </c>
      <c r="C628" s="60" t="s">
        <v>2047</v>
      </c>
      <c r="D628" s="60" t="s">
        <v>2048</v>
      </c>
    </row>
    <row r="629" spans="2:4" x14ac:dyDescent="0.35">
      <c r="B629" s="60" t="s">
        <v>2049</v>
      </c>
      <c r="C629" s="60" t="s">
        <v>2050</v>
      </c>
      <c r="D629" s="60" t="s">
        <v>2051</v>
      </c>
    </row>
    <row r="630" spans="2:4" x14ac:dyDescent="0.35">
      <c r="B630" s="60" t="s">
        <v>2052</v>
      </c>
      <c r="C630" s="60" t="s">
        <v>2053</v>
      </c>
      <c r="D630" s="60" t="s">
        <v>2054</v>
      </c>
    </row>
    <row r="631" spans="2:4" x14ac:dyDescent="0.35">
      <c r="B631" s="60" t="s">
        <v>2055</v>
      </c>
      <c r="C631" s="60" t="s">
        <v>2056</v>
      </c>
      <c r="D631" s="60" t="s">
        <v>2057</v>
      </c>
    </row>
    <row r="632" spans="2:4" x14ac:dyDescent="0.35">
      <c r="B632" s="60" t="s">
        <v>2058</v>
      </c>
      <c r="C632" s="60" t="s">
        <v>2059</v>
      </c>
      <c r="D632" s="60" t="s">
        <v>2060</v>
      </c>
    </row>
    <row r="633" spans="2:4" x14ac:dyDescent="0.35">
      <c r="B633" s="60" t="s">
        <v>2061</v>
      </c>
      <c r="C633" s="60" t="s">
        <v>2062</v>
      </c>
      <c r="D633" s="60" t="s">
        <v>2063</v>
      </c>
    </row>
    <row r="634" spans="2:4" x14ac:dyDescent="0.35">
      <c r="B634" s="60" t="s">
        <v>2064</v>
      </c>
      <c r="C634" s="60" t="s">
        <v>2065</v>
      </c>
      <c r="D634" s="60" t="s">
        <v>2066</v>
      </c>
    </row>
    <row r="635" spans="2:4" x14ac:dyDescent="0.35">
      <c r="B635" s="60" t="s">
        <v>2067</v>
      </c>
      <c r="C635" s="60" t="s">
        <v>2068</v>
      </c>
      <c r="D635" s="60" t="s">
        <v>2069</v>
      </c>
    </row>
    <row r="636" spans="2:4" x14ac:dyDescent="0.35">
      <c r="B636" s="60" t="s">
        <v>2070</v>
      </c>
      <c r="C636" s="60" t="s">
        <v>2071</v>
      </c>
      <c r="D636" s="60" t="s">
        <v>2072</v>
      </c>
    </row>
    <row r="637" spans="2:4" x14ac:dyDescent="0.35">
      <c r="B637" s="60" t="s">
        <v>2073</v>
      </c>
      <c r="C637" s="60" t="s">
        <v>2074</v>
      </c>
      <c r="D637" s="60" t="s">
        <v>2075</v>
      </c>
    </row>
    <row r="638" spans="2:4" x14ac:dyDescent="0.35">
      <c r="B638" s="60" t="s">
        <v>2076</v>
      </c>
      <c r="C638" s="60" t="s">
        <v>2077</v>
      </c>
      <c r="D638" s="60" t="s">
        <v>2078</v>
      </c>
    </row>
    <row r="639" spans="2:4" x14ac:dyDescent="0.35">
      <c r="B639" s="60" t="s">
        <v>2079</v>
      </c>
      <c r="C639" s="60" t="s">
        <v>2080</v>
      </c>
      <c r="D639" s="60" t="s">
        <v>2081</v>
      </c>
    </row>
    <row r="640" spans="2:4" x14ac:dyDescent="0.35">
      <c r="B640" s="60" t="s">
        <v>2082</v>
      </c>
      <c r="C640" s="60" t="s">
        <v>2083</v>
      </c>
      <c r="D640" s="60" t="s">
        <v>2084</v>
      </c>
    </row>
    <row r="641" spans="2:4" x14ac:dyDescent="0.35">
      <c r="B641" s="60" t="s">
        <v>2085</v>
      </c>
      <c r="C641" s="60" t="s">
        <v>2086</v>
      </c>
      <c r="D641" s="60" t="s">
        <v>2087</v>
      </c>
    </row>
    <row r="642" spans="2:4" x14ac:dyDescent="0.35">
      <c r="B642" s="60" t="s">
        <v>2088</v>
      </c>
      <c r="C642" s="60" t="s">
        <v>2089</v>
      </c>
      <c r="D642" s="60" t="s">
        <v>2090</v>
      </c>
    </row>
    <row r="643" spans="2:4" x14ac:dyDescent="0.35">
      <c r="B643" s="60" t="s">
        <v>2091</v>
      </c>
      <c r="C643" s="60" t="s">
        <v>2092</v>
      </c>
      <c r="D643" s="60" t="s">
        <v>2093</v>
      </c>
    </row>
    <row r="644" spans="2:4" x14ac:dyDescent="0.35">
      <c r="B644" s="60" t="s">
        <v>2094</v>
      </c>
      <c r="C644" s="60" t="s">
        <v>2095</v>
      </c>
      <c r="D644" s="60" t="s">
        <v>2096</v>
      </c>
    </row>
    <row r="645" spans="2:4" x14ac:dyDescent="0.35">
      <c r="B645" s="60" t="s">
        <v>2097</v>
      </c>
      <c r="C645" s="60" t="s">
        <v>2098</v>
      </c>
      <c r="D645" s="60" t="s">
        <v>2099</v>
      </c>
    </row>
    <row r="646" spans="2:4" x14ac:dyDescent="0.35">
      <c r="B646" s="60" t="s">
        <v>2100</v>
      </c>
      <c r="C646" s="60" t="s">
        <v>2101</v>
      </c>
      <c r="D646" s="60" t="s">
        <v>2102</v>
      </c>
    </row>
    <row r="647" spans="2:4" x14ac:dyDescent="0.35">
      <c r="B647" s="60" t="s">
        <v>2103</v>
      </c>
      <c r="C647" s="60" t="s">
        <v>2104</v>
      </c>
      <c r="D647" s="60" t="s">
        <v>2105</v>
      </c>
    </row>
    <row r="648" spans="2:4" x14ac:dyDescent="0.35">
      <c r="B648" s="60" t="s">
        <v>2106</v>
      </c>
      <c r="C648" s="60" t="s">
        <v>2107</v>
      </c>
      <c r="D648" s="60" t="s">
        <v>2108</v>
      </c>
    </row>
    <row r="649" spans="2:4" x14ac:dyDescent="0.35">
      <c r="B649" s="60" t="s">
        <v>2109</v>
      </c>
      <c r="C649" s="60" t="s">
        <v>2110</v>
      </c>
      <c r="D649" s="60" t="s">
        <v>2111</v>
      </c>
    </row>
    <row r="650" spans="2:4" x14ac:dyDescent="0.35">
      <c r="B650" s="60" t="s">
        <v>2112</v>
      </c>
      <c r="C650" s="60" t="s">
        <v>2113</v>
      </c>
      <c r="D650" s="60" t="s">
        <v>2114</v>
      </c>
    </row>
    <row r="651" spans="2:4" x14ac:dyDescent="0.35">
      <c r="B651" s="60" t="s">
        <v>2112</v>
      </c>
      <c r="C651" s="60" t="s">
        <v>2115</v>
      </c>
      <c r="D651" s="60" t="s">
        <v>2116</v>
      </c>
    </row>
    <row r="652" spans="2:4" x14ac:dyDescent="0.35">
      <c r="B652" s="60" t="s">
        <v>2117</v>
      </c>
      <c r="C652" s="60" t="s">
        <v>2118</v>
      </c>
      <c r="D652" s="60" t="s">
        <v>2119</v>
      </c>
    </row>
    <row r="653" spans="2:4" x14ac:dyDescent="0.35">
      <c r="B653" s="60" t="s">
        <v>2120</v>
      </c>
      <c r="C653" s="60" t="s">
        <v>2121</v>
      </c>
      <c r="D653" s="60" t="s">
        <v>2122</v>
      </c>
    </row>
    <row r="654" spans="2:4" x14ac:dyDescent="0.35">
      <c r="B654" s="60" t="s">
        <v>2123</v>
      </c>
      <c r="C654" s="60" t="s">
        <v>2124</v>
      </c>
      <c r="D654" s="60" t="s">
        <v>2125</v>
      </c>
    </row>
    <row r="655" spans="2:4" x14ac:dyDescent="0.35">
      <c r="B655" s="60" t="s">
        <v>2126</v>
      </c>
      <c r="C655" s="60" t="s">
        <v>2127</v>
      </c>
      <c r="D655" s="60" t="s">
        <v>2128</v>
      </c>
    </row>
    <row r="656" spans="2:4" x14ac:dyDescent="0.35">
      <c r="B656" s="60" t="s">
        <v>2129</v>
      </c>
      <c r="C656" s="60" t="s">
        <v>2130</v>
      </c>
      <c r="D656" s="60" t="s">
        <v>2131</v>
      </c>
    </row>
    <row r="657" spans="2:4" x14ac:dyDescent="0.35">
      <c r="B657" s="60" t="s">
        <v>2132</v>
      </c>
      <c r="C657" s="60" t="s">
        <v>2133</v>
      </c>
      <c r="D657" s="60" t="s">
        <v>2134</v>
      </c>
    </row>
    <row r="658" spans="2:4" x14ac:dyDescent="0.35">
      <c r="B658" s="60" t="s">
        <v>2135</v>
      </c>
      <c r="C658" s="60" t="s">
        <v>2136</v>
      </c>
      <c r="D658" s="60" t="s">
        <v>2137</v>
      </c>
    </row>
    <row r="659" spans="2:4" x14ac:dyDescent="0.35">
      <c r="B659" s="60" t="s">
        <v>2138</v>
      </c>
      <c r="C659" s="60" t="s">
        <v>2139</v>
      </c>
      <c r="D659" s="60" t="s">
        <v>2140</v>
      </c>
    </row>
    <row r="660" spans="2:4" x14ac:dyDescent="0.35">
      <c r="B660" s="60" t="s">
        <v>2141</v>
      </c>
      <c r="C660" s="60" t="s">
        <v>2142</v>
      </c>
      <c r="D660" s="60" t="s">
        <v>2143</v>
      </c>
    </row>
    <row r="661" spans="2:4" x14ac:dyDescent="0.35">
      <c r="B661" s="60" t="s">
        <v>2144</v>
      </c>
      <c r="C661" s="60" t="s">
        <v>2145</v>
      </c>
      <c r="D661" s="60" t="s">
        <v>2146</v>
      </c>
    </row>
    <row r="662" spans="2:4" x14ac:dyDescent="0.35">
      <c r="B662" s="60" t="s">
        <v>2147</v>
      </c>
      <c r="C662" s="60" t="s">
        <v>2148</v>
      </c>
      <c r="D662" s="60" t="s">
        <v>2149</v>
      </c>
    </row>
    <row r="663" spans="2:4" x14ac:dyDescent="0.35">
      <c r="B663" s="60" t="s">
        <v>2150</v>
      </c>
      <c r="C663" s="60" t="s">
        <v>2151</v>
      </c>
      <c r="D663" s="60" t="s">
        <v>2152</v>
      </c>
    </row>
    <row r="664" spans="2:4" x14ac:dyDescent="0.35">
      <c r="B664" s="60" t="s">
        <v>2153</v>
      </c>
      <c r="C664" s="60" t="s">
        <v>2154</v>
      </c>
      <c r="D664" s="60" t="s">
        <v>2155</v>
      </c>
    </row>
    <row r="665" spans="2:4" x14ac:dyDescent="0.35">
      <c r="B665" s="60" t="s">
        <v>2156</v>
      </c>
      <c r="C665" s="60" t="s">
        <v>2157</v>
      </c>
      <c r="D665" s="60" t="s">
        <v>2158</v>
      </c>
    </row>
    <row r="666" spans="2:4" x14ac:dyDescent="0.35">
      <c r="B666" s="60" t="s">
        <v>2159</v>
      </c>
      <c r="C666" s="60" t="s">
        <v>2160</v>
      </c>
      <c r="D666" s="60" t="s">
        <v>2161</v>
      </c>
    </row>
    <row r="667" spans="2:4" x14ac:dyDescent="0.35">
      <c r="B667" s="60" t="s">
        <v>2162</v>
      </c>
      <c r="C667" s="60" t="s">
        <v>2163</v>
      </c>
      <c r="D667" s="60" t="s">
        <v>2164</v>
      </c>
    </row>
    <row r="668" spans="2:4" x14ac:dyDescent="0.35">
      <c r="B668" s="60" t="s">
        <v>2165</v>
      </c>
      <c r="C668" s="60" t="s">
        <v>2166</v>
      </c>
      <c r="D668" s="60" t="s">
        <v>2167</v>
      </c>
    </row>
    <row r="669" spans="2:4" x14ac:dyDescent="0.35">
      <c r="B669" s="60" t="s">
        <v>2168</v>
      </c>
      <c r="C669" s="60" t="s">
        <v>2169</v>
      </c>
      <c r="D669" s="60" t="s">
        <v>2170</v>
      </c>
    </row>
    <row r="670" spans="2:4" x14ac:dyDescent="0.35">
      <c r="B670" s="60" t="s">
        <v>2171</v>
      </c>
      <c r="C670" s="60" t="s">
        <v>2172</v>
      </c>
      <c r="D670" s="60" t="s">
        <v>2173</v>
      </c>
    </row>
    <row r="671" spans="2:4" x14ac:dyDescent="0.35">
      <c r="B671" s="60" t="s">
        <v>2174</v>
      </c>
      <c r="C671" s="60" t="s">
        <v>2175</v>
      </c>
      <c r="D671" s="60" t="s">
        <v>2176</v>
      </c>
    </row>
    <row r="672" spans="2:4" x14ac:dyDescent="0.35">
      <c r="B672" s="60" t="s">
        <v>2177</v>
      </c>
      <c r="C672" s="60" t="s">
        <v>2178</v>
      </c>
      <c r="D672" s="60" t="s">
        <v>2179</v>
      </c>
    </row>
    <row r="673" spans="2:4" x14ac:dyDescent="0.35">
      <c r="B673" s="60" t="s">
        <v>2180</v>
      </c>
      <c r="C673" s="60" t="s">
        <v>2181</v>
      </c>
      <c r="D673" s="60" t="s">
        <v>2182</v>
      </c>
    </row>
    <row r="674" spans="2:4" x14ac:dyDescent="0.35">
      <c r="B674" s="60" t="s">
        <v>2183</v>
      </c>
      <c r="C674" s="60" t="s">
        <v>2184</v>
      </c>
      <c r="D674" s="60" t="s">
        <v>2185</v>
      </c>
    </row>
    <row r="675" spans="2:4" x14ac:dyDescent="0.35">
      <c r="B675" s="60" t="s">
        <v>2186</v>
      </c>
      <c r="C675" s="60" t="s">
        <v>2187</v>
      </c>
      <c r="D675" s="60" t="s">
        <v>2188</v>
      </c>
    </row>
    <row r="676" spans="2:4" x14ac:dyDescent="0.35">
      <c r="B676" s="60" t="s">
        <v>2189</v>
      </c>
      <c r="C676" s="60" t="s">
        <v>2190</v>
      </c>
      <c r="D676" s="60" t="s">
        <v>2191</v>
      </c>
    </row>
    <row r="677" spans="2:4" x14ac:dyDescent="0.35">
      <c r="B677" s="60" t="s">
        <v>2192</v>
      </c>
      <c r="C677" s="60" t="s">
        <v>2193</v>
      </c>
      <c r="D677" s="60" t="s">
        <v>2194</v>
      </c>
    </row>
    <row r="678" spans="2:4" x14ac:dyDescent="0.35">
      <c r="B678" s="60" t="s">
        <v>2195</v>
      </c>
      <c r="C678" s="60" t="s">
        <v>2196</v>
      </c>
      <c r="D678" s="60" t="s">
        <v>2197</v>
      </c>
    </row>
    <row r="679" spans="2:4" x14ac:dyDescent="0.35">
      <c r="B679" s="60" t="s">
        <v>2198</v>
      </c>
      <c r="C679" s="60" t="s">
        <v>2199</v>
      </c>
      <c r="D679" s="60" t="s">
        <v>2200</v>
      </c>
    </row>
    <row r="680" spans="2:4" x14ac:dyDescent="0.35">
      <c r="B680" s="60" t="s">
        <v>2201</v>
      </c>
      <c r="C680" s="60" t="s">
        <v>2202</v>
      </c>
      <c r="D680" s="60" t="s">
        <v>2203</v>
      </c>
    </row>
    <row r="681" spans="2:4" x14ac:dyDescent="0.35">
      <c r="B681" s="60" t="s">
        <v>2204</v>
      </c>
      <c r="C681" s="60" t="s">
        <v>2205</v>
      </c>
      <c r="D681" s="60" t="s">
        <v>2206</v>
      </c>
    </row>
    <row r="682" spans="2:4" x14ac:dyDescent="0.35">
      <c r="B682" s="60" t="s">
        <v>2207</v>
      </c>
      <c r="C682" s="60" t="s">
        <v>2208</v>
      </c>
      <c r="D682" s="60" t="s">
        <v>2209</v>
      </c>
    </row>
    <row r="683" spans="2:4" x14ac:dyDescent="0.35">
      <c r="B683" s="60" t="s">
        <v>2210</v>
      </c>
      <c r="C683" s="60" t="s">
        <v>2211</v>
      </c>
      <c r="D683" s="60" t="s">
        <v>2212</v>
      </c>
    </row>
    <row r="684" spans="2:4" x14ac:dyDescent="0.35">
      <c r="B684" s="60" t="s">
        <v>2213</v>
      </c>
      <c r="C684" s="60" t="s">
        <v>2214</v>
      </c>
      <c r="D684" s="60" t="s">
        <v>2215</v>
      </c>
    </row>
    <row r="685" spans="2:4" x14ac:dyDescent="0.35">
      <c r="B685" s="60" t="s">
        <v>2216</v>
      </c>
      <c r="C685" s="60" t="s">
        <v>2217</v>
      </c>
      <c r="D685" s="60" t="s">
        <v>2218</v>
      </c>
    </row>
    <row r="686" spans="2:4" x14ac:dyDescent="0.35">
      <c r="B686" s="60" t="s">
        <v>2219</v>
      </c>
      <c r="C686" s="60" t="s">
        <v>2220</v>
      </c>
      <c r="D686" s="60" t="s">
        <v>2221</v>
      </c>
    </row>
    <row r="687" spans="2:4" x14ac:dyDescent="0.35">
      <c r="B687" s="60" t="s">
        <v>2222</v>
      </c>
      <c r="C687" s="60" t="s">
        <v>2223</v>
      </c>
      <c r="D687" s="60" t="s">
        <v>2224</v>
      </c>
    </row>
    <row r="688" spans="2:4" x14ac:dyDescent="0.35">
      <c r="B688" s="60" t="s">
        <v>2225</v>
      </c>
      <c r="C688" s="60" t="s">
        <v>2226</v>
      </c>
      <c r="D688" s="60" t="s">
        <v>2227</v>
      </c>
    </row>
    <row r="689" spans="2:4" x14ac:dyDescent="0.35">
      <c r="B689" s="60" t="s">
        <v>2228</v>
      </c>
      <c r="C689" s="60" t="s">
        <v>2229</v>
      </c>
      <c r="D689" s="60" t="s">
        <v>2230</v>
      </c>
    </row>
    <row r="690" spans="2:4" x14ac:dyDescent="0.35">
      <c r="B690" s="60" t="s">
        <v>2231</v>
      </c>
      <c r="C690" s="60" t="s">
        <v>2232</v>
      </c>
      <c r="D690" s="60" t="s">
        <v>2233</v>
      </c>
    </row>
    <row r="691" spans="2:4" x14ac:dyDescent="0.35">
      <c r="B691" s="60" t="s">
        <v>2234</v>
      </c>
      <c r="C691" s="60" t="s">
        <v>2235</v>
      </c>
      <c r="D691" s="60" t="s">
        <v>2236</v>
      </c>
    </row>
    <row r="692" spans="2:4" x14ac:dyDescent="0.35">
      <c r="B692" s="60" t="s">
        <v>2237</v>
      </c>
      <c r="C692" s="60" t="s">
        <v>2238</v>
      </c>
      <c r="D692" s="60" t="s">
        <v>2239</v>
      </c>
    </row>
    <row r="693" spans="2:4" x14ac:dyDescent="0.35">
      <c r="B693" s="60" t="s">
        <v>2240</v>
      </c>
      <c r="C693" s="60" t="s">
        <v>2241</v>
      </c>
      <c r="D693" s="60" t="s">
        <v>2242</v>
      </c>
    </row>
    <row r="694" spans="2:4" x14ac:dyDescent="0.35">
      <c r="B694" s="60" t="s">
        <v>2243</v>
      </c>
      <c r="C694" s="60" t="s">
        <v>2244</v>
      </c>
      <c r="D694" s="60" t="s">
        <v>2245</v>
      </c>
    </row>
    <row r="695" spans="2:4" x14ac:dyDescent="0.35">
      <c r="B695" s="60" t="s">
        <v>2246</v>
      </c>
      <c r="C695" s="60" t="s">
        <v>2247</v>
      </c>
      <c r="D695" s="60" t="s">
        <v>2248</v>
      </c>
    </row>
    <row r="696" spans="2:4" x14ac:dyDescent="0.35">
      <c r="B696" s="60" t="s">
        <v>2249</v>
      </c>
      <c r="C696" s="60" t="s">
        <v>2250</v>
      </c>
      <c r="D696" s="60" t="s">
        <v>2251</v>
      </c>
    </row>
    <row r="697" spans="2:4" x14ac:dyDescent="0.35">
      <c r="B697" s="60" t="s">
        <v>2252</v>
      </c>
      <c r="C697" s="60" t="s">
        <v>2253</v>
      </c>
      <c r="D697" s="60" t="s">
        <v>2254</v>
      </c>
    </row>
    <row r="698" spans="2:4" x14ac:dyDescent="0.35">
      <c r="B698" s="60" t="s">
        <v>2255</v>
      </c>
      <c r="C698" s="60" t="s">
        <v>2256</v>
      </c>
      <c r="D698" s="60" t="s">
        <v>2257</v>
      </c>
    </row>
    <row r="699" spans="2:4" x14ac:dyDescent="0.35">
      <c r="B699" s="60" t="s">
        <v>2258</v>
      </c>
      <c r="C699" s="60" t="s">
        <v>2259</v>
      </c>
      <c r="D699" s="60" t="s">
        <v>2260</v>
      </c>
    </row>
    <row r="700" spans="2:4" x14ac:dyDescent="0.35">
      <c r="B700" s="60" t="s">
        <v>2261</v>
      </c>
      <c r="C700" s="60" t="s">
        <v>2262</v>
      </c>
      <c r="D700" s="60" t="s">
        <v>2263</v>
      </c>
    </row>
    <row r="701" spans="2:4" x14ac:dyDescent="0.35">
      <c r="B701" s="60" t="s">
        <v>2264</v>
      </c>
      <c r="C701" s="60" t="s">
        <v>2265</v>
      </c>
      <c r="D701" s="60" t="s">
        <v>2266</v>
      </c>
    </row>
    <row r="702" spans="2:4" x14ac:dyDescent="0.35">
      <c r="B702" s="60" t="s">
        <v>2267</v>
      </c>
      <c r="C702" s="60" t="s">
        <v>2268</v>
      </c>
      <c r="D702" s="60" t="s">
        <v>2269</v>
      </c>
    </row>
    <row r="703" spans="2:4" x14ac:dyDescent="0.35">
      <c r="B703" s="60" t="s">
        <v>2270</v>
      </c>
      <c r="C703" s="60" t="s">
        <v>2271</v>
      </c>
      <c r="D703" s="60" t="s">
        <v>2272</v>
      </c>
    </row>
    <row r="704" spans="2:4" x14ac:dyDescent="0.35">
      <c r="B704" s="60" t="s">
        <v>2273</v>
      </c>
      <c r="C704" s="60" t="s">
        <v>2274</v>
      </c>
      <c r="D704" s="60" t="s">
        <v>2275</v>
      </c>
    </row>
    <row r="705" spans="2:4" x14ac:dyDescent="0.35">
      <c r="B705" s="60" t="s">
        <v>2276</v>
      </c>
      <c r="C705" s="60" t="s">
        <v>2277</v>
      </c>
      <c r="D705" s="60" t="s">
        <v>2278</v>
      </c>
    </row>
    <row r="706" spans="2:4" x14ac:dyDescent="0.35">
      <c r="B706" s="60" t="s">
        <v>2279</v>
      </c>
      <c r="C706" s="60" t="s">
        <v>2280</v>
      </c>
      <c r="D706" s="60" t="s">
        <v>2281</v>
      </c>
    </row>
    <row r="707" spans="2:4" x14ac:dyDescent="0.35">
      <c r="B707" s="60" t="s">
        <v>2282</v>
      </c>
      <c r="C707" s="60" t="s">
        <v>2283</v>
      </c>
      <c r="D707" s="60" t="s">
        <v>2284</v>
      </c>
    </row>
    <row r="708" spans="2:4" x14ac:dyDescent="0.35">
      <c r="B708" s="60" t="s">
        <v>2285</v>
      </c>
      <c r="C708" s="60" t="s">
        <v>2286</v>
      </c>
      <c r="D708" s="60" t="s">
        <v>2287</v>
      </c>
    </row>
    <row r="709" spans="2:4" x14ac:dyDescent="0.35">
      <c r="B709" s="60" t="s">
        <v>2288</v>
      </c>
      <c r="C709" s="60" t="s">
        <v>2289</v>
      </c>
      <c r="D709" s="60" t="s">
        <v>2290</v>
      </c>
    </row>
    <row r="710" spans="2:4" x14ac:dyDescent="0.35">
      <c r="B710" s="60" t="s">
        <v>2291</v>
      </c>
      <c r="C710" s="60" t="s">
        <v>2292</v>
      </c>
      <c r="D710" s="60" t="s">
        <v>2293</v>
      </c>
    </row>
    <row r="711" spans="2:4" x14ac:dyDescent="0.35">
      <c r="B711" s="60" t="s">
        <v>2294</v>
      </c>
      <c r="C711" s="60" t="s">
        <v>2295</v>
      </c>
      <c r="D711" s="60" t="s">
        <v>2296</v>
      </c>
    </row>
    <row r="712" spans="2:4" x14ac:dyDescent="0.35">
      <c r="B712" s="60" t="s">
        <v>2297</v>
      </c>
      <c r="C712" s="60" t="s">
        <v>2298</v>
      </c>
      <c r="D712" s="60" t="s">
        <v>2299</v>
      </c>
    </row>
    <row r="713" spans="2:4" x14ac:dyDescent="0.35">
      <c r="B713" s="60" t="s">
        <v>2300</v>
      </c>
      <c r="C713" s="60" t="s">
        <v>2301</v>
      </c>
      <c r="D713" s="60" t="s">
        <v>2302</v>
      </c>
    </row>
    <row r="714" spans="2:4" x14ac:dyDescent="0.35">
      <c r="B714" s="60" t="s">
        <v>2303</v>
      </c>
      <c r="C714" s="60" t="s">
        <v>2304</v>
      </c>
      <c r="D714" s="60" t="s">
        <v>2305</v>
      </c>
    </row>
    <row r="715" spans="2:4" x14ac:dyDescent="0.35">
      <c r="B715" s="60" t="s">
        <v>2306</v>
      </c>
      <c r="C715" s="60" t="s">
        <v>2307</v>
      </c>
      <c r="D715" s="60" t="s">
        <v>2308</v>
      </c>
    </row>
    <row r="716" spans="2:4" x14ac:dyDescent="0.35">
      <c r="B716" s="60" t="s">
        <v>2309</v>
      </c>
      <c r="C716" s="60" t="s">
        <v>2310</v>
      </c>
      <c r="D716" s="60" t="s">
        <v>2311</v>
      </c>
    </row>
    <row r="717" spans="2:4" x14ac:dyDescent="0.35">
      <c r="B717" s="60" t="s">
        <v>2312</v>
      </c>
      <c r="C717" s="60" t="s">
        <v>2313</v>
      </c>
      <c r="D717" s="60" t="s">
        <v>2314</v>
      </c>
    </row>
    <row r="718" spans="2:4" x14ac:dyDescent="0.35">
      <c r="B718" s="60" t="s">
        <v>2315</v>
      </c>
      <c r="C718" s="60" t="s">
        <v>2316</v>
      </c>
      <c r="D718" s="60" t="s">
        <v>2317</v>
      </c>
    </row>
    <row r="719" spans="2:4" x14ac:dyDescent="0.35">
      <c r="B719" s="60" t="s">
        <v>2318</v>
      </c>
      <c r="C719" s="60" t="s">
        <v>2319</v>
      </c>
      <c r="D719" s="60" t="s">
        <v>2320</v>
      </c>
    </row>
    <row r="720" spans="2:4" x14ac:dyDescent="0.35">
      <c r="B720" s="60" t="s">
        <v>2321</v>
      </c>
      <c r="C720" s="60" t="s">
        <v>2322</v>
      </c>
      <c r="D720" s="60" t="s">
        <v>2323</v>
      </c>
    </row>
    <row r="721" spans="2:4" x14ac:dyDescent="0.35">
      <c r="B721" s="60" t="s">
        <v>2324</v>
      </c>
      <c r="C721" s="60" t="s">
        <v>2325</v>
      </c>
      <c r="D721" s="60" t="s">
        <v>2326</v>
      </c>
    </row>
    <row r="722" spans="2:4" x14ac:dyDescent="0.35">
      <c r="B722" s="60" t="s">
        <v>2327</v>
      </c>
      <c r="C722" s="60" t="s">
        <v>2328</v>
      </c>
      <c r="D722" s="60" t="s">
        <v>2329</v>
      </c>
    </row>
    <row r="723" spans="2:4" x14ac:dyDescent="0.35">
      <c r="B723" s="60" t="s">
        <v>2330</v>
      </c>
      <c r="C723" s="60" t="s">
        <v>2331</v>
      </c>
      <c r="D723" s="60" t="s">
        <v>2332</v>
      </c>
    </row>
    <row r="724" spans="2:4" x14ac:dyDescent="0.35">
      <c r="B724" s="60" t="s">
        <v>2333</v>
      </c>
      <c r="C724" s="60" t="s">
        <v>2334</v>
      </c>
      <c r="D724" s="60" t="s">
        <v>2335</v>
      </c>
    </row>
    <row r="725" spans="2:4" x14ac:dyDescent="0.35">
      <c r="B725" s="60" t="s">
        <v>2336</v>
      </c>
      <c r="C725" s="60" t="s">
        <v>2337</v>
      </c>
      <c r="D725" s="60" t="s">
        <v>2338</v>
      </c>
    </row>
    <row r="726" spans="2:4" x14ac:dyDescent="0.35">
      <c r="B726" s="60" t="s">
        <v>2339</v>
      </c>
      <c r="C726" s="60" t="s">
        <v>2340</v>
      </c>
      <c r="D726" s="60" t="s">
        <v>2341</v>
      </c>
    </row>
    <row r="727" spans="2:4" x14ac:dyDescent="0.35">
      <c r="B727" s="60" t="s">
        <v>2342</v>
      </c>
      <c r="C727" s="60" t="s">
        <v>2343</v>
      </c>
      <c r="D727" s="60" t="s">
        <v>2344</v>
      </c>
    </row>
    <row r="728" spans="2:4" x14ac:dyDescent="0.35">
      <c r="B728" s="60" t="s">
        <v>2345</v>
      </c>
      <c r="C728" s="60" t="s">
        <v>2346</v>
      </c>
      <c r="D728" s="60" t="s">
        <v>2347</v>
      </c>
    </row>
    <row r="729" spans="2:4" x14ac:dyDescent="0.35">
      <c r="B729" s="60" t="s">
        <v>2348</v>
      </c>
      <c r="C729" s="60" t="s">
        <v>2349</v>
      </c>
      <c r="D729" s="60" t="s">
        <v>2350</v>
      </c>
    </row>
    <row r="730" spans="2:4" x14ac:dyDescent="0.35">
      <c r="B730" s="60" t="s">
        <v>2351</v>
      </c>
      <c r="C730" s="60" t="s">
        <v>2352</v>
      </c>
      <c r="D730" s="60" t="s">
        <v>2353</v>
      </c>
    </row>
    <row r="731" spans="2:4" x14ac:dyDescent="0.35">
      <c r="B731" s="60" t="s">
        <v>2354</v>
      </c>
      <c r="C731" s="60" t="s">
        <v>2355</v>
      </c>
      <c r="D731" s="60" t="s">
        <v>2356</v>
      </c>
    </row>
    <row r="732" spans="2:4" x14ac:dyDescent="0.35">
      <c r="B732" s="60" t="s">
        <v>2357</v>
      </c>
      <c r="C732" s="60" t="s">
        <v>2358</v>
      </c>
      <c r="D732" s="60" t="s">
        <v>2359</v>
      </c>
    </row>
    <row r="733" spans="2:4" x14ac:dyDescent="0.35">
      <c r="B733" s="60" t="s">
        <v>2360</v>
      </c>
      <c r="C733" s="60" t="s">
        <v>2361</v>
      </c>
      <c r="D733" s="60" t="s">
        <v>2362</v>
      </c>
    </row>
    <row r="734" spans="2:4" x14ac:dyDescent="0.35">
      <c r="B734" s="60" t="s">
        <v>2363</v>
      </c>
      <c r="C734" s="60" t="s">
        <v>2364</v>
      </c>
      <c r="D734" s="60" t="s">
        <v>2365</v>
      </c>
    </row>
    <row r="735" spans="2:4" x14ac:dyDescent="0.35">
      <c r="B735" s="60" t="s">
        <v>2366</v>
      </c>
      <c r="C735" s="60" t="s">
        <v>2367</v>
      </c>
      <c r="D735" s="60" t="s">
        <v>2368</v>
      </c>
    </row>
    <row r="736" spans="2:4" x14ac:dyDescent="0.35">
      <c r="B736" s="60" t="s">
        <v>2369</v>
      </c>
      <c r="C736" s="60" t="s">
        <v>2370</v>
      </c>
      <c r="D736" s="60" t="s">
        <v>2371</v>
      </c>
    </row>
    <row r="737" spans="2:4" x14ac:dyDescent="0.35">
      <c r="B737" s="60" t="s">
        <v>2372</v>
      </c>
      <c r="C737" s="60" t="s">
        <v>2373</v>
      </c>
      <c r="D737" s="60" t="s">
        <v>2374</v>
      </c>
    </row>
    <row r="738" spans="2:4" x14ac:dyDescent="0.35">
      <c r="B738" s="60" t="s">
        <v>2375</v>
      </c>
      <c r="C738" s="60" t="s">
        <v>2376</v>
      </c>
      <c r="D738" s="60" t="s">
        <v>2377</v>
      </c>
    </row>
    <row r="739" spans="2:4" x14ac:dyDescent="0.35">
      <c r="B739" s="60" t="s">
        <v>2378</v>
      </c>
      <c r="C739" s="60" t="s">
        <v>2379</v>
      </c>
      <c r="D739" s="60" t="s">
        <v>2380</v>
      </c>
    </row>
    <row r="740" spans="2:4" x14ac:dyDescent="0.35">
      <c r="B740" s="60" t="s">
        <v>2381</v>
      </c>
      <c r="C740" s="60" t="s">
        <v>2382</v>
      </c>
      <c r="D740" s="60" t="s">
        <v>2383</v>
      </c>
    </row>
    <row r="741" spans="2:4" x14ac:dyDescent="0.35">
      <c r="B741" s="60" t="s">
        <v>2384</v>
      </c>
      <c r="C741" s="60" t="s">
        <v>2385</v>
      </c>
      <c r="D741" s="60" t="s">
        <v>2386</v>
      </c>
    </row>
    <row r="742" spans="2:4" x14ac:dyDescent="0.35">
      <c r="B742" s="60" t="s">
        <v>2387</v>
      </c>
      <c r="C742" s="60" t="s">
        <v>2388</v>
      </c>
      <c r="D742" s="60" t="s">
        <v>2389</v>
      </c>
    </row>
    <row r="743" spans="2:4" x14ac:dyDescent="0.35">
      <c r="B743" s="60" t="s">
        <v>2390</v>
      </c>
      <c r="C743" s="60" t="s">
        <v>2391</v>
      </c>
      <c r="D743" s="60" t="s">
        <v>2392</v>
      </c>
    </row>
    <row r="744" spans="2:4" x14ac:dyDescent="0.35">
      <c r="B744" s="60" t="s">
        <v>2393</v>
      </c>
      <c r="C744" s="60" t="s">
        <v>2394</v>
      </c>
      <c r="D744" s="60" t="s">
        <v>2395</v>
      </c>
    </row>
    <row r="745" spans="2:4" x14ac:dyDescent="0.35">
      <c r="B745" s="60" t="s">
        <v>2396</v>
      </c>
      <c r="C745" s="60" t="s">
        <v>2397</v>
      </c>
      <c r="D745" s="60" t="s">
        <v>2398</v>
      </c>
    </row>
    <row r="746" spans="2:4" x14ac:dyDescent="0.35">
      <c r="B746" s="60" t="s">
        <v>2399</v>
      </c>
      <c r="C746" s="60" t="s">
        <v>2400</v>
      </c>
      <c r="D746" s="60" t="s">
        <v>2401</v>
      </c>
    </row>
    <row r="747" spans="2:4" x14ac:dyDescent="0.35">
      <c r="B747" s="60" t="s">
        <v>2402</v>
      </c>
      <c r="C747" s="60" t="s">
        <v>2403</v>
      </c>
      <c r="D747" s="60" t="s">
        <v>2404</v>
      </c>
    </row>
    <row r="748" spans="2:4" x14ac:dyDescent="0.35">
      <c r="B748" s="60" t="s">
        <v>2405</v>
      </c>
      <c r="C748" s="60" t="s">
        <v>2406</v>
      </c>
      <c r="D748" s="60" t="s">
        <v>2407</v>
      </c>
    </row>
    <row r="749" spans="2:4" x14ac:dyDescent="0.35">
      <c r="B749" s="60" t="s">
        <v>2408</v>
      </c>
      <c r="C749" s="60" t="s">
        <v>2409</v>
      </c>
      <c r="D749" s="60" t="s">
        <v>2410</v>
      </c>
    </row>
    <row r="750" spans="2:4" x14ac:dyDescent="0.35">
      <c r="B750" s="60" t="s">
        <v>2411</v>
      </c>
      <c r="C750" s="60" t="s">
        <v>2412</v>
      </c>
      <c r="D750" s="60" t="s">
        <v>2413</v>
      </c>
    </row>
    <row r="751" spans="2:4" x14ac:dyDescent="0.35">
      <c r="B751" s="60" t="s">
        <v>2414</v>
      </c>
      <c r="C751" s="60" t="s">
        <v>2415</v>
      </c>
      <c r="D751" s="60" t="s">
        <v>2416</v>
      </c>
    </row>
    <row r="752" spans="2:4" x14ac:dyDescent="0.35">
      <c r="B752" s="60" t="s">
        <v>2417</v>
      </c>
      <c r="C752" s="60" t="s">
        <v>2418</v>
      </c>
      <c r="D752" s="60" t="s">
        <v>2419</v>
      </c>
    </row>
    <row r="753" spans="2:4" x14ac:dyDescent="0.35">
      <c r="B753" s="60" t="s">
        <v>2420</v>
      </c>
      <c r="C753" s="60" t="s">
        <v>2421</v>
      </c>
      <c r="D753" s="60" t="s">
        <v>2422</v>
      </c>
    </row>
    <row r="754" spans="2:4" x14ac:dyDescent="0.35">
      <c r="B754" s="60" t="s">
        <v>2423</v>
      </c>
      <c r="C754" s="60" t="s">
        <v>2424</v>
      </c>
      <c r="D754" s="60" t="s">
        <v>2425</v>
      </c>
    </row>
    <row r="755" spans="2:4" x14ac:dyDescent="0.35">
      <c r="B755" s="60" t="s">
        <v>2426</v>
      </c>
      <c r="C755" s="60" t="s">
        <v>2427</v>
      </c>
      <c r="D755" s="60" t="s">
        <v>2428</v>
      </c>
    </row>
    <row r="756" spans="2:4" x14ac:dyDescent="0.35">
      <c r="B756" s="60" t="s">
        <v>2429</v>
      </c>
      <c r="C756" s="60" t="s">
        <v>2430</v>
      </c>
      <c r="D756" s="60" t="s">
        <v>2431</v>
      </c>
    </row>
    <row r="757" spans="2:4" x14ac:dyDescent="0.35">
      <c r="B757" s="60" t="s">
        <v>2432</v>
      </c>
      <c r="C757" s="60" t="s">
        <v>2433</v>
      </c>
      <c r="D757" s="60" t="s">
        <v>2434</v>
      </c>
    </row>
    <row r="758" spans="2:4" x14ac:dyDescent="0.35">
      <c r="B758" s="60" t="s">
        <v>2435</v>
      </c>
      <c r="C758" s="60" t="s">
        <v>2436</v>
      </c>
      <c r="D758" s="60" t="s">
        <v>2437</v>
      </c>
    </row>
    <row r="759" spans="2:4" x14ac:dyDescent="0.35">
      <c r="B759" s="60" t="s">
        <v>2438</v>
      </c>
      <c r="C759" s="60" t="s">
        <v>2439</v>
      </c>
      <c r="D759" s="60" t="s">
        <v>2440</v>
      </c>
    </row>
    <row r="760" spans="2:4" x14ac:dyDescent="0.35">
      <c r="B760" s="60" t="s">
        <v>2441</v>
      </c>
      <c r="C760" s="60" t="s">
        <v>2442</v>
      </c>
      <c r="D760" s="60" t="s">
        <v>2443</v>
      </c>
    </row>
    <row r="761" spans="2:4" x14ac:dyDescent="0.35">
      <c r="B761" s="60" t="s">
        <v>2444</v>
      </c>
      <c r="C761" s="60" t="s">
        <v>2445</v>
      </c>
      <c r="D761" s="60" t="s">
        <v>2446</v>
      </c>
    </row>
    <row r="762" spans="2:4" x14ac:dyDescent="0.35">
      <c r="B762" s="60" t="s">
        <v>2447</v>
      </c>
      <c r="C762" s="60" t="s">
        <v>2448</v>
      </c>
      <c r="D762" s="60" t="s">
        <v>2449</v>
      </c>
    </row>
    <row r="763" spans="2:4" x14ac:dyDescent="0.35">
      <c r="B763" s="60" t="s">
        <v>2450</v>
      </c>
      <c r="C763" s="60" t="s">
        <v>2451</v>
      </c>
      <c r="D763" s="60" t="s">
        <v>2452</v>
      </c>
    </row>
    <row r="764" spans="2:4" x14ac:dyDescent="0.35">
      <c r="B764" s="60" t="s">
        <v>2453</v>
      </c>
      <c r="C764" s="60" t="s">
        <v>2454</v>
      </c>
      <c r="D764" s="60" t="s">
        <v>2455</v>
      </c>
    </row>
    <row r="765" spans="2:4" x14ac:dyDescent="0.35">
      <c r="B765" s="60" t="s">
        <v>2456</v>
      </c>
      <c r="C765" s="60" t="s">
        <v>2457</v>
      </c>
      <c r="D765" s="60" t="s">
        <v>2458</v>
      </c>
    </row>
    <row r="766" spans="2:4" x14ac:dyDescent="0.35">
      <c r="B766" s="60" t="s">
        <v>2459</v>
      </c>
      <c r="C766" s="60" t="s">
        <v>2460</v>
      </c>
      <c r="D766" s="60" t="s">
        <v>2461</v>
      </c>
    </row>
    <row r="767" spans="2:4" x14ac:dyDescent="0.35">
      <c r="B767" s="60" t="s">
        <v>2462</v>
      </c>
      <c r="C767" s="60" t="s">
        <v>2463</v>
      </c>
      <c r="D767" s="60" t="s">
        <v>2464</v>
      </c>
    </row>
    <row r="768" spans="2:4" x14ac:dyDescent="0.35">
      <c r="B768" s="60" t="s">
        <v>2465</v>
      </c>
      <c r="C768" s="60" t="s">
        <v>2466</v>
      </c>
      <c r="D768" s="60" t="s">
        <v>2467</v>
      </c>
    </row>
    <row r="769" spans="2:4" x14ac:dyDescent="0.35">
      <c r="B769" s="60" t="s">
        <v>2468</v>
      </c>
      <c r="C769" s="60" t="s">
        <v>2469</v>
      </c>
      <c r="D769" s="60" t="s">
        <v>2470</v>
      </c>
    </row>
    <row r="770" spans="2:4" x14ac:dyDescent="0.35">
      <c r="B770" s="60" t="s">
        <v>2471</v>
      </c>
      <c r="C770" s="60" t="s">
        <v>2472</v>
      </c>
      <c r="D770" s="60" t="s">
        <v>2473</v>
      </c>
    </row>
    <row r="771" spans="2:4" x14ac:dyDescent="0.35">
      <c r="B771" s="60" t="s">
        <v>2474</v>
      </c>
      <c r="C771" s="60" t="s">
        <v>2475</v>
      </c>
      <c r="D771" s="60" t="s">
        <v>2476</v>
      </c>
    </row>
    <row r="772" spans="2:4" x14ac:dyDescent="0.35">
      <c r="B772" s="60" t="s">
        <v>2477</v>
      </c>
      <c r="C772" s="60" t="s">
        <v>2478</v>
      </c>
      <c r="D772" s="60" t="s">
        <v>2479</v>
      </c>
    </row>
    <row r="773" spans="2:4" x14ac:dyDescent="0.35">
      <c r="B773" s="60" t="s">
        <v>2480</v>
      </c>
      <c r="C773" s="60" t="s">
        <v>2481</v>
      </c>
      <c r="D773" s="60" t="s">
        <v>2482</v>
      </c>
    </row>
    <row r="774" spans="2:4" x14ac:dyDescent="0.35">
      <c r="B774" s="60" t="s">
        <v>2483</v>
      </c>
      <c r="C774" s="60" t="s">
        <v>2484</v>
      </c>
      <c r="D774" s="60" t="s">
        <v>2485</v>
      </c>
    </row>
    <row r="775" spans="2:4" x14ac:dyDescent="0.35">
      <c r="B775" s="60" t="s">
        <v>2486</v>
      </c>
      <c r="C775" s="60" t="s">
        <v>2487</v>
      </c>
      <c r="D775" s="60" t="s">
        <v>2488</v>
      </c>
    </row>
    <row r="776" spans="2:4" x14ac:dyDescent="0.35">
      <c r="B776" s="60" t="s">
        <v>2489</v>
      </c>
      <c r="C776" s="60" t="s">
        <v>2490</v>
      </c>
      <c r="D776" s="60" t="s">
        <v>2491</v>
      </c>
    </row>
    <row r="777" spans="2:4" x14ac:dyDescent="0.35">
      <c r="B777" s="60" t="s">
        <v>2492</v>
      </c>
      <c r="C777" s="60" t="s">
        <v>2493</v>
      </c>
      <c r="D777" s="60" t="s">
        <v>2494</v>
      </c>
    </row>
    <row r="778" spans="2:4" x14ac:dyDescent="0.35">
      <c r="B778" s="60" t="s">
        <v>2495</v>
      </c>
      <c r="C778" s="60" t="s">
        <v>2496</v>
      </c>
      <c r="D778" s="60" t="s">
        <v>2497</v>
      </c>
    </row>
    <row r="779" spans="2:4" x14ac:dyDescent="0.35">
      <c r="B779" s="60" t="s">
        <v>2498</v>
      </c>
      <c r="C779" s="60" t="s">
        <v>2499</v>
      </c>
      <c r="D779" s="60" t="s">
        <v>2500</v>
      </c>
    </row>
    <row r="780" spans="2:4" x14ac:dyDescent="0.35">
      <c r="B780" s="60" t="s">
        <v>2501</v>
      </c>
      <c r="C780" s="60" t="s">
        <v>2502</v>
      </c>
      <c r="D780" s="60" t="s">
        <v>2503</v>
      </c>
    </row>
    <row r="781" spans="2:4" x14ac:dyDescent="0.35">
      <c r="B781" s="60" t="s">
        <v>2504</v>
      </c>
      <c r="C781" s="60" t="s">
        <v>2505</v>
      </c>
      <c r="D781" s="60" t="s">
        <v>2506</v>
      </c>
    </row>
    <row r="782" spans="2:4" x14ac:dyDescent="0.35">
      <c r="B782" s="60" t="s">
        <v>2507</v>
      </c>
      <c r="C782" s="60" t="s">
        <v>2508</v>
      </c>
      <c r="D782" s="60" t="s">
        <v>2509</v>
      </c>
    </row>
    <row r="783" spans="2:4" x14ac:dyDescent="0.35">
      <c r="B783" s="60" t="s">
        <v>2510</v>
      </c>
      <c r="C783" s="60" t="s">
        <v>2511</v>
      </c>
      <c r="D783" s="60" t="s">
        <v>2512</v>
      </c>
    </row>
    <row r="784" spans="2:4" x14ac:dyDescent="0.35">
      <c r="B784" s="60" t="s">
        <v>2513</v>
      </c>
      <c r="C784" s="60" t="s">
        <v>2514</v>
      </c>
      <c r="D784" s="60" t="s">
        <v>2515</v>
      </c>
    </row>
    <row r="785" spans="2:4" x14ac:dyDescent="0.35">
      <c r="B785" s="60" t="s">
        <v>2516</v>
      </c>
      <c r="C785" s="60" t="s">
        <v>2517</v>
      </c>
      <c r="D785" s="60" t="s">
        <v>2518</v>
      </c>
    </row>
    <row r="786" spans="2:4" x14ac:dyDescent="0.35">
      <c r="B786" s="60" t="s">
        <v>2519</v>
      </c>
      <c r="C786" s="60" t="s">
        <v>2520</v>
      </c>
      <c r="D786" s="60" t="s">
        <v>2521</v>
      </c>
    </row>
    <row r="787" spans="2:4" x14ac:dyDescent="0.35">
      <c r="B787" s="60" t="s">
        <v>2522</v>
      </c>
      <c r="C787" s="60" t="s">
        <v>2523</v>
      </c>
      <c r="D787" s="60" t="s">
        <v>2524</v>
      </c>
    </row>
    <row r="788" spans="2:4" x14ac:dyDescent="0.35">
      <c r="B788" s="60" t="s">
        <v>2525</v>
      </c>
      <c r="C788" s="60" t="s">
        <v>2526</v>
      </c>
      <c r="D788" s="60" t="s">
        <v>2527</v>
      </c>
    </row>
    <row r="789" spans="2:4" x14ac:dyDescent="0.35">
      <c r="B789" s="60" t="s">
        <v>2528</v>
      </c>
      <c r="C789" s="60" t="s">
        <v>2529</v>
      </c>
      <c r="D789" s="60" t="s">
        <v>2530</v>
      </c>
    </row>
    <row r="790" spans="2:4" x14ac:dyDescent="0.35">
      <c r="B790" s="60" t="s">
        <v>2531</v>
      </c>
      <c r="C790" s="60" t="s">
        <v>2532</v>
      </c>
      <c r="D790" s="60" t="s">
        <v>2533</v>
      </c>
    </row>
    <row r="791" spans="2:4" x14ac:dyDescent="0.35">
      <c r="B791" s="60" t="s">
        <v>2534</v>
      </c>
      <c r="C791" s="60" t="s">
        <v>2535</v>
      </c>
      <c r="D791" s="60" t="s">
        <v>2536</v>
      </c>
    </row>
    <row r="792" spans="2:4" x14ac:dyDescent="0.35">
      <c r="B792" s="60" t="s">
        <v>2537</v>
      </c>
      <c r="C792" s="60" t="s">
        <v>2538</v>
      </c>
      <c r="D792" s="60" t="s">
        <v>2539</v>
      </c>
    </row>
    <row r="793" spans="2:4" x14ac:dyDescent="0.35">
      <c r="B793" s="60" t="s">
        <v>2540</v>
      </c>
      <c r="C793" s="60" t="s">
        <v>2541</v>
      </c>
      <c r="D793" s="60" t="s">
        <v>2542</v>
      </c>
    </row>
    <row r="794" spans="2:4" x14ac:dyDescent="0.35">
      <c r="B794" s="60" t="s">
        <v>2543</v>
      </c>
      <c r="C794" s="60" t="s">
        <v>2544</v>
      </c>
      <c r="D794" s="60" t="s">
        <v>2545</v>
      </c>
    </row>
    <row r="795" spans="2:4" x14ac:dyDescent="0.35">
      <c r="B795" s="60" t="s">
        <v>2546</v>
      </c>
      <c r="C795" s="60" t="s">
        <v>2547</v>
      </c>
      <c r="D795" s="60" t="s">
        <v>2548</v>
      </c>
    </row>
    <row r="796" spans="2:4" x14ac:dyDescent="0.35">
      <c r="B796" s="60" t="s">
        <v>2549</v>
      </c>
      <c r="C796" s="60" t="s">
        <v>2550</v>
      </c>
      <c r="D796" s="60" t="s">
        <v>2551</v>
      </c>
    </row>
    <row r="797" spans="2:4" x14ac:dyDescent="0.35">
      <c r="B797" s="60" t="s">
        <v>2552</v>
      </c>
      <c r="C797" s="60" t="s">
        <v>2553</v>
      </c>
      <c r="D797" s="60" t="s">
        <v>2554</v>
      </c>
    </row>
    <row r="798" spans="2:4" x14ac:dyDescent="0.35">
      <c r="B798" s="60" t="s">
        <v>2555</v>
      </c>
      <c r="C798" s="60" t="s">
        <v>2556</v>
      </c>
      <c r="D798" s="60" t="s">
        <v>2557</v>
      </c>
    </row>
    <row r="799" spans="2:4" x14ac:dyDescent="0.35">
      <c r="B799" s="60" t="s">
        <v>2558</v>
      </c>
      <c r="C799" s="60" t="s">
        <v>2559</v>
      </c>
      <c r="D799" s="60" t="s">
        <v>2560</v>
      </c>
    </row>
    <row r="800" spans="2:4" x14ac:dyDescent="0.35">
      <c r="B800" s="60" t="s">
        <v>2561</v>
      </c>
      <c r="C800" s="60" t="s">
        <v>2562</v>
      </c>
      <c r="D800" s="60" t="s">
        <v>2563</v>
      </c>
    </row>
    <row r="801" spans="2:4" x14ac:dyDescent="0.35">
      <c r="B801" s="60" t="s">
        <v>2564</v>
      </c>
      <c r="C801" s="60" t="s">
        <v>2565</v>
      </c>
      <c r="D801" s="60" t="s">
        <v>2566</v>
      </c>
    </row>
    <row r="802" spans="2:4" x14ac:dyDescent="0.35">
      <c r="B802" s="60" t="s">
        <v>2567</v>
      </c>
      <c r="C802" s="60" t="s">
        <v>2568</v>
      </c>
      <c r="D802" s="60" t="s">
        <v>2569</v>
      </c>
    </row>
    <row r="803" spans="2:4" x14ac:dyDescent="0.35">
      <c r="B803" s="60" t="s">
        <v>2570</v>
      </c>
      <c r="C803" s="60" t="s">
        <v>2571</v>
      </c>
      <c r="D803" s="60" t="s">
        <v>2572</v>
      </c>
    </row>
    <row r="804" spans="2:4" x14ac:dyDescent="0.35">
      <c r="B804" s="60" t="s">
        <v>2573</v>
      </c>
      <c r="C804" s="60" t="s">
        <v>2574</v>
      </c>
      <c r="D804" s="60" t="s">
        <v>2575</v>
      </c>
    </row>
    <row r="805" spans="2:4" x14ac:dyDescent="0.35">
      <c r="B805" s="60" t="s">
        <v>2576</v>
      </c>
      <c r="C805" s="60" t="s">
        <v>2577</v>
      </c>
      <c r="D805" s="60" t="s">
        <v>2578</v>
      </c>
    </row>
    <row r="806" spans="2:4" x14ac:dyDescent="0.35">
      <c r="B806" s="60" t="s">
        <v>2579</v>
      </c>
      <c r="C806" s="60" t="s">
        <v>2580</v>
      </c>
      <c r="D806" s="60" t="s">
        <v>2581</v>
      </c>
    </row>
    <row r="807" spans="2:4" x14ac:dyDescent="0.35">
      <c r="B807" s="60" t="s">
        <v>2582</v>
      </c>
      <c r="C807" s="60" t="s">
        <v>2583</v>
      </c>
      <c r="D807" s="60" t="s">
        <v>2584</v>
      </c>
    </row>
    <row r="808" spans="2:4" x14ac:dyDescent="0.35">
      <c r="B808" s="60" t="s">
        <v>2585</v>
      </c>
      <c r="C808" s="60" t="s">
        <v>2586</v>
      </c>
      <c r="D808" s="60" t="s">
        <v>2587</v>
      </c>
    </row>
    <row r="809" spans="2:4" x14ac:dyDescent="0.35">
      <c r="B809" s="60" t="s">
        <v>2588</v>
      </c>
      <c r="C809" s="60" t="s">
        <v>2589</v>
      </c>
      <c r="D809" s="60" t="s">
        <v>2590</v>
      </c>
    </row>
    <row r="810" spans="2:4" x14ac:dyDescent="0.35">
      <c r="B810" s="60" t="s">
        <v>2591</v>
      </c>
      <c r="C810" s="60" t="s">
        <v>2592</v>
      </c>
      <c r="D810" s="60" t="s">
        <v>2593</v>
      </c>
    </row>
    <row r="811" spans="2:4" x14ac:dyDescent="0.35">
      <c r="B811" s="60" t="s">
        <v>2594</v>
      </c>
      <c r="C811" s="60" t="s">
        <v>2595</v>
      </c>
      <c r="D811" s="60" t="s">
        <v>2596</v>
      </c>
    </row>
    <row r="812" spans="2:4" x14ac:dyDescent="0.35">
      <c r="B812" s="60" t="s">
        <v>2597</v>
      </c>
      <c r="C812" s="60" t="s">
        <v>2598</v>
      </c>
      <c r="D812" s="60" t="s">
        <v>2599</v>
      </c>
    </row>
    <row r="813" spans="2:4" x14ac:dyDescent="0.35">
      <c r="B813" s="60" t="s">
        <v>2600</v>
      </c>
      <c r="C813" s="60" t="s">
        <v>2601</v>
      </c>
      <c r="D813" s="60" t="s">
        <v>2602</v>
      </c>
    </row>
    <row r="814" spans="2:4" x14ac:dyDescent="0.35">
      <c r="B814" s="60" t="s">
        <v>2603</v>
      </c>
      <c r="C814" s="60" t="s">
        <v>2604</v>
      </c>
      <c r="D814" s="60" t="s">
        <v>2605</v>
      </c>
    </row>
    <row r="815" spans="2:4" x14ac:dyDescent="0.35">
      <c r="B815" s="60" t="s">
        <v>2606</v>
      </c>
      <c r="C815" s="60" t="s">
        <v>2607</v>
      </c>
      <c r="D815" s="60" t="s">
        <v>2608</v>
      </c>
    </row>
    <row r="816" spans="2:4" x14ac:dyDescent="0.35">
      <c r="B816" s="60" t="s">
        <v>2609</v>
      </c>
      <c r="C816" s="60" t="s">
        <v>2610</v>
      </c>
      <c r="D816" s="60" t="s">
        <v>2611</v>
      </c>
    </row>
    <row r="817" spans="2:4" x14ac:dyDescent="0.35">
      <c r="B817" s="60" t="s">
        <v>2612</v>
      </c>
      <c r="C817" s="60" t="s">
        <v>2613</v>
      </c>
      <c r="D817" s="60" t="s">
        <v>2614</v>
      </c>
    </row>
    <row r="818" spans="2:4" x14ac:dyDescent="0.35">
      <c r="B818" s="60" t="s">
        <v>2615</v>
      </c>
      <c r="C818" s="60" t="s">
        <v>2616</v>
      </c>
      <c r="D818" s="60" t="s">
        <v>2617</v>
      </c>
    </row>
    <row r="819" spans="2:4" x14ac:dyDescent="0.35">
      <c r="B819" s="60" t="s">
        <v>2618</v>
      </c>
      <c r="C819" s="60" t="s">
        <v>2619</v>
      </c>
      <c r="D819" s="60" t="s">
        <v>2620</v>
      </c>
    </row>
    <row r="820" spans="2:4" x14ac:dyDescent="0.35">
      <c r="B820" s="60" t="s">
        <v>2621</v>
      </c>
      <c r="C820" s="60" t="s">
        <v>2622</v>
      </c>
      <c r="D820" s="60" t="s">
        <v>2623</v>
      </c>
    </row>
    <row r="821" spans="2:4" x14ac:dyDescent="0.35">
      <c r="B821" s="60" t="s">
        <v>2624</v>
      </c>
      <c r="C821" s="60" t="s">
        <v>2625</v>
      </c>
      <c r="D821" s="60" t="s">
        <v>2626</v>
      </c>
    </row>
    <row r="822" spans="2:4" x14ac:dyDescent="0.35">
      <c r="B822" s="60" t="s">
        <v>2627</v>
      </c>
      <c r="C822" s="60" t="s">
        <v>2628</v>
      </c>
      <c r="D822" s="60" t="s">
        <v>2629</v>
      </c>
    </row>
    <row r="823" spans="2:4" x14ac:dyDescent="0.35">
      <c r="B823" s="60" t="s">
        <v>2630</v>
      </c>
      <c r="C823" s="60" t="s">
        <v>2631</v>
      </c>
      <c r="D823" s="60" t="s">
        <v>2632</v>
      </c>
    </row>
    <row r="824" spans="2:4" x14ac:dyDescent="0.35">
      <c r="B824" s="60" t="s">
        <v>2633</v>
      </c>
      <c r="C824" s="60" t="s">
        <v>2634</v>
      </c>
      <c r="D824" s="60" t="s">
        <v>2635</v>
      </c>
    </row>
    <row r="825" spans="2:4" x14ac:dyDescent="0.35">
      <c r="B825" s="60" t="s">
        <v>2636</v>
      </c>
      <c r="C825" s="60" t="s">
        <v>2637</v>
      </c>
      <c r="D825" s="60" t="s">
        <v>2638</v>
      </c>
    </row>
    <row r="826" spans="2:4" x14ac:dyDescent="0.35">
      <c r="B826" s="60" t="s">
        <v>2639</v>
      </c>
      <c r="C826" s="60" t="s">
        <v>2640</v>
      </c>
      <c r="D826" s="60" t="s">
        <v>2641</v>
      </c>
    </row>
    <row r="827" spans="2:4" x14ac:dyDescent="0.35">
      <c r="B827" s="60" t="s">
        <v>2642</v>
      </c>
      <c r="C827" s="60" t="s">
        <v>2643</v>
      </c>
      <c r="D827" s="60" t="s">
        <v>2644</v>
      </c>
    </row>
    <row r="828" spans="2:4" x14ac:dyDescent="0.35">
      <c r="B828" s="60" t="s">
        <v>2645</v>
      </c>
      <c r="C828" s="60" t="s">
        <v>2646</v>
      </c>
      <c r="D828" s="60" t="s">
        <v>2647</v>
      </c>
    </row>
    <row r="829" spans="2:4" x14ac:dyDescent="0.35">
      <c r="B829" s="60" t="s">
        <v>2648</v>
      </c>
      <c r="C829" s="60" t="s">
        <v>2649</v>
      </c>
      <c r="D829" s="60" t="s">
        <v>2650</v>
      </c>
    </row>
    <row r="830" spans="2:4" x14ac:dyDescent="0.35">
      <c r="B830" s="60" t="s">
        <v>2651</v>
      </c>
      <c r="C830" s="60" t="s">
        <v>2652</v>
      </c>
      <c r="D830" s="60" t="s">
        <v>2653</v>
      </c>
    </row>
    <row r="831" spans="2:4" x14ac:dyDescent="0.35">
      <c r="B831" s="60" t="s">
        <v>2654</v>
      </c>
      <c r="C831" s="60" t="s">
        <v>2655</v>
      </c>
      <c r="D831" s="60" t="s">
        <v>2656</v>
      </c>
    </row>
    <row r="832" spans="2:4" x14ac:dyDescent="0.35">
      <c r="B832" s="60" t="s">
        <v>2657</v>
      </c>
      <c r="C832" s="60" t="s">
        <v>2658</v>
      </c>
      <c r="D832" s="60" t="s">
        <v>2659</v>
      </c>
    </row>
    <row r="833" spans="2:4" x14ac:dyDescent="0.35">
      <c r="B833" s="60" t="s">
        <v>2660</v>
      </c>
      <c r="C833" s="60" t="s">
        <v>2661</v>
      </c>
      <c r="D833" s="60" t="s">
        <v>2662</v>
      </c>
    </row>
    <row r="834" spans="2:4" x14ac:dyDescent="0.35">
      <c r="B834" s="60" t="s">
        <v>2663</v>
      </c>
      <c r="C834" s="60" t="s">
        <v>2664</v>
      </c>
      <c r="D834" s="60" t="s">
        <v>2665</v>
      </c>
    </row>
    <row r="835" spans="2:4" x14ac:dyDescent="0.35">
      <c r="B835" s="60" t="s">
        <v>2666</v>
      </c>
      <c r="C835" s="60" t="s">
        <v>2667</v>
      </c>
      <c r="D835" s="60" t="s">
        <v>2668</v>
      </c>
    </row>
    <row r="836" spans="2:4" x14ac:dyDescent="0.35">
      <c r="B836" s="60" t="s">
        <v>2669</v>
      </c>
      <c r="C836" s="60" t="s">
        <v>2670</v>
      </c>
      <c r="D836" s="60" t="s">
        <v>2671</v>
      </c>
    </row>
    <row r="837" spans="2:4" x14ac:dyDescent="0.35">
      <c r="B837" s="60" t="s">
        <v>2672</v>
      </c>
      <c r="C837" s="60" t="s">
        <v>2673</v>
      </c>
      <c r="D837" s="60" t="s">
        <v>2674</v>
      </c>
    </row>
    <row r="838" spans="2:4" x14ac:dyDescent="0.35">
      <c r="B838" s="60" t="s">
        <v>2675</v>
      </c>
      <c r="C838" s="60" t="s">
        <v>2676</v>
      </c>
      <c r="D838" s="60" t="s">
        <v>2677</v>
      </c>
    </row>
    <row r="839" spans="2:4" x14ac:dyDescent="0.35">
      <c r="B839" s="60" t="s">
        <v>2678</v>
      </c>
      <c r="C839" s="60" t="s">
        <v>2679</v>
      </c>
      <c r="D839" s="60" t="s">
        <v>2680</v>
      </c>
    </row>
    <row r="840" spans="2:4" x14ac:dyDescent="0.35">
      <c r="B840" s="60" t="s">
        <v>2681</v>
      </c>
      <c r="C840" s="60" t="s">
        <v>2682</v>
      </c>
      <c r="D840" s="60" t="s">
        <v>2683</v>
      </c>
    </row>
    <row r="841" spans="2:4" x14ac:dyDescent="0.35">
      <c r="B841" s="60" t="s">
        <v>2684</v>
      </c>
      <c r="C841" s="60" t="s">
        <v>2685</v>
      </c>
      <c r="D841" s="60" t="s">
        <v>2686</v>
      </c>
    </row>
    <row r="842" spans="2:4" x14ac:dyDescent="0.35">
      <c r="B842" s="60" t="s">
        <v>2687</v>
      </c>
      <c r="C842" s="60" t="s">
        <v>2688</v>
      </c>
      <c r="D842" s="60" t="s">
        <v>2689</v>
      </c>
    </row>
    <row r="843" spans="2:4" x14ac:dyDescent="0.35">
      <c r="B843" s="60" t="s">
        <v>2690</v>
      </c>
      <c r="C843" s="60" t="s">
        <v>2691</v>
      </c>
      <c r="D843" s="60" t="s">
        <v>2692</v>
      </c>
    </row>
    <row r="844" spans="2:4" x14ac:dyDescent="0.35">
      <c r="B844" s="60" t="s">
        <v>2693</v>
      </c>
      <c r="C844" s="60" t="s">
        <v>2694</v>
      </c>
      <c r="D844" s="60" t="s">
        <v>2695</v>
      </c>
    </row>
    <row r="845" spans="2:4" x14ac:dyDescent="0.35">
      <c r="B845" s="60" t="s">
        <v>2696</v>
      </c>
      <c r="C845" s="60" t="s">
        <v>2697</v>
      </c>
      <c r="D845" s="60" t="s">
        <v>2698</v>
      </c>
    </row>
    <row r="846" spans="2:4" x14ac:dyDescent="0.35">
      <c r="B846" s="60" t="s">
        <v>2699</v>
      </c>
      <c r="C846" s="60" t="s">
        <v>2700</v>
      </c>
      <c r="D846" s="60" t="s">
        <v>2701</v>
      </c>
    </row>
    <row r="847" spans="2:4" x14ac:dyDescent="0.35">
      <c r="B847" s="60" t="s">
        <v>2702</v>
      </c>
      <c r="C847" s="60" t="s">
        <v>2703</v>
      </c>
      <c r="D847" s="60" t="s">
        <v>2704</v>
      </c>
    </row>
    <row r="848" spans="2:4" x14ac:dyDescent="0.35">
      <c r="B848" s="60" t="s">
        <v>2705</v>
      </c>
      <c r="C848" s="60" t="s">
        <v>2706</v>
      </c>
      <c r="D848" s="60" t="s">
        <v>2707</v>
      </c>
    </row>
    <row r="849" spans="2:4" x14ac:dyDescent="0.35">
      <c r="B849" s="60" t="s">
        <v>2708</v>
      </c>
      <c r="C849" s="60" t="s">
        <v>2709</v>
      </c>
      <c r="D849" s="60" t="s">
        <v>2710</v>
      </c>
    </row>
    <row r="850" spans="2:4" x14ac:dyDescent="0.35">
      <c r="B850" s="60" t="s">
        <v>2711</v>
      </c>
      <c r="C850" s="60" t="s">
        <v>2712</v>
      </c>
      <c r="D850" s="60" t="s">
        <v>2713</v>
      </c>
    </row>
    <row r="851" spans="2:4" x14ac:dyDescent="0.35">
      <c r="B851" s="60" t="s">
        <v>2714</v>
      </c>
      <c r="C851" s="60" t="s">
        <v>2715</v>
      </c>
      <c r="D851" s="60" t="s">
        <v>2716</v>
      </c>
    </row>
    <row r="852" spans="2:4" x14ac:dyDescent="0.35">
      <c r="B852" s="60" t="s">
        <v>2717</v>
      </c>
      <c r="C852" s="60" t="s">
        <v>2718</v>
      </c>
      <c r="D852" s="60" t="s">
        <v>2719</v>
      </c>
    </row>
    <row r="853" spans="2:4" x14ac:dyDescent="0.35">
      <c r="B853" s="60" t="s">
        <v>2720</v>
      </c>
      <c r="C853" s="60" t="s">
        <v>2721</v>
      </c>
      <c r="D853" s="60" t="s">
        <v>2722</v>
      </c>
    </row>
    <row r="854" spans="2:4" x14ac:dyDescent="0.35">
      <c r="B854" s="60" t="s">
        <v>2723</v>
      </c>
      <c r="C854" s="60" t="s">
        <v>2724</v>
      </c>
      <c r="D854" s="60" t="s">
        <v>2725</v>
      </c>
    </row>
    <row r="855" spans="2:4" x14ac:dyDescent="0.35">
      <c r="B855" s="60" t="s">
        <v>2726</v>
      </c>
      <c r="C855" s="60" t="s">
        <v>2727</v>
      </c>
      <c r="D855" s="60" t="s">
        <v>2728</v>
      </c>
    </row>
    <row r="856" spans="2:4" x14ac:dyDescent="0.35">
      <c r="B856" s="60" t="s">
        <v>2729</v>
      </c>
      <c r="C856" s="60" t="s">
        <v>2730</v>
      </c>
      <c r="D856" s="60" t="s">
        <v>2731</v>
      </c>
    </row>
    <row r="857" spans="2:4" x14ac:dyDescent="0.35">
      <c r="B857" s="60" t="s">
        <v>2732</v>
      </c>
      <c r="C857" s="60" t="s">
        <v>2733</v>
      </c>
      <c r="D857" s="60" t="s">
        <v>2734</v>
      </c>
    </row>
    <row r="858" spans="2:4" x14ac:dyDescent="0.35">
      <c r="B858" s="60" t="s">
        <v>2735</v>
      </c>
      <c r="C858" s="60" t="s">
        <v>2736</v>
      </c>
      <c r="D858" s="60" t="s">
        <v>2737</v>
      </c>
    </row>
    <row r="859" spans="2:4" x14ac:dyDescent="0.35">
      <c r="B859" s="60" t="s">
        <v>2738</v>
      </c>
      <c r="C859" s="60" t="s">
        <v>2739</v>
      </c>
      <c r="D859" s="60" t="s">
        <v>2740</v>
      </c>
    </row>
    <row r="860" spans="2:4" x14ac:dyDescent="0.35">
      <c r="B860" s="60" t="s">
        <v>2741</v>
      </c>
      <c r="C860" s="60" t="s">
        <v>2742</v>
      </c>
      <c r="D860" s="60" t="s">
        <v>2743</v>
      </c>
    </row>
    <row r="861" spans="2:4" x14ac:dyDescent="0.35">
      <c r="B861" s="60" t="s">
        <v>2744</v>
      </c>
      <c r="C861" s="60" t="s">
        <v>2745</v>
      </c>
      <c r="D861" s="60" t="s">
        <v>2746</v>
      </c>
    </row>
    <row r="862" spans="2:4" x14ac:dyDescent="0.35">
      <c r="B862" s="60" t="s">
        <v>2747</v>
      </c>
      <c r="C862" s="60" t="s">
        <v>2748</v>
      </c>
      <c r="D862" s="60" t="s">
        <v>2749</v>
      </c>
    </row>
    <row r="863" spans="2:4" x14ac:dyDescent="0.35">
      <c r="B863" s="60" t="s">
        <v>2750</v>
      </c>
      <c r="C863" s="60" t="s">
        <v>2751</v>
      </c>
      <c r="D863" s="60" t="s">
        <v>2752</v>
      </c>
    </row>
    <row r="864" spans="2:4" x14ac:dyDescent="0.35">
      <c r="B864" s="60" t="s">
        <v>2753</v>
      </c>
      <c r="C864" s="60" t="s">
        <v>2754</v>
      </c>
      <c r="D864" s="60" t="s">
        <v>2755</v>
      </c>
    </row>
    <row r="865" spans="2:4" x14ac:dyDescent="0.35">
      <c r="B865" s="60" t="s">
        <v>2756</v>
      </c>
      <c r="C865" s="60" t="s">
        <v>2757</v>
      </c>
      <c r="D865" s="60" t="s">
        <v>2758</v>
      </c>
    </row>
    <row r="866" spans="2:4" x14ac:dyDescent="0.35">
      <c r="B866" s="60" t="s">
        <v>2759</v>
      </c>
      <c r="C866" s="60" t="s">
        <v>2760</v>
      </c>
      <c r="D866" s="60" t="s">
        <v>2761</v>
      </c>
    </row>
    <row r="867" spans="2:4" x14ac:dyDescent="0.35">
      <c r="B867" s="60" t="s">
        <v>2762</v>
      </c>
      <c r="C867" s="60" t="s">
        <v>2763</v>
      </c>
      <c r="D867" s="60" t="s">
        <v>2764</v>
      </c>
    </row>
    <row r="868" spans="2:4" x14ac:dyDescent="0.35">
      <c r="B868" s="60" t="s">
        <v>2765</v>
      </c>
      <c r="C868" s="60" t="s">
        <v>2766</v>
      </c>
      <c r="D868" s="60" t="s">
        <v>2767</v>
      </c>
    </row>
    <row r="869" spans="2:4" x14ac:dyDescent="0.35">
      <c r="B869" s="60" t="s">
        <v>2768</v>
      </c>
      <c r="C869" s="60" t="s">
        <v>2769</v>
      </c>
      <c r="D869" s="60" t="s">
        <v>2770</v>
      </c>
    </row>
    <row r="870" spans="2:4" x14ac:dyDescent="0.35">
      <c r="B870" s="60" t="s">
        <v>2771</v>
      </c>
      <c r="C870" s="60" t="s">
        <v>2772</v>
      </c>
      <c r="D870" s="60" t="s">
        <v>2773</v>
      </c>
    </row>
    <row r="871" spans="2:4" x14ac:dyDescent="0.35">
      <c r="B871" s="60" t="s">
        <v>2774</v>
      </c>
      <c r="C871" s="60" t="s">
        <v>2775</v>
      </c>
      <c r="D871" s="60" t="s">
        <v>2776</v>
      </c>
    </row>
    <row r="872" spans="2:4" x14ac:dyDescent="0.35">
      <c r="B872" s="60" t="s">
        <v>2777</v>
      </c>
      <c r="C872" s="60" t="s">
        <v>2778</v>
      </c>
      <c r="D872" s="60" t="s">
        <v>2779</v>
      </c>
    </row>
    <row r="873" spans="2:4" x14ac:dyDescent="0.35">
      <c r="B873" s="60" t="s">
        <v>2780</v>
      </c>
      <c r="C873" s="60" t="s">
        <v>2781</v>
      </c>
      <c r="D873" s="60" t="s">
        <v>2782</v>
      </c>
    </row>
    <row r="874" spans="2:4" x14ac:dyDescent="0.35">
      <c r="B874" s="60" t="s">
        <v>2783</v>
      </c>
      <c r="C874" s="60" t="s">
        <v>2784</v>
      </c>
      <c r="D874" s="60" t="s">
        <v>2785</v>
      </c>
    </row>
    <row r="875" spans="2:4" x14ac:dyDescent="0.35">
      <c r="B875" s="60" t="s">
        <v>2786</v>
      </c>
      <c r="C875" s="60" t="s">
        <v>2787</v>
      </c>
      <c r="D875" s="60" t="s">
        <v>2788</v>
      </c>
    </row>
    <row r="876" spans="2:4" x14ac:dyDescent="0.35">
      <c r="B876" s="60" t="s">
        <v>2789</v>
      </c>
      <c r="C876" s="60" t="s">
        <v>2790</v>
      </c>
      <c r="D876" s="60" t="s">
        <v>2791</v>
      </c>
    </row>
    <row r="877" spans="2:4" x14ac:dyDescent="0.35">
      <c r="B877" s="60" t="s">
        <v>2792</v>
      </c>
      <c r="C877" s="60" t="s">
        <v>2793</v>
      </c>
      <c r="D877" s="60" t="s">
        <v>2794</v>
      </c>
    </row>
    <row r="878" spans="2:4" x14ac:dyDescent="0.35">
      <c r="B878" s="60" t="s">
        <v>2795</v>
      </c>
      <c r="C878" s="60" t="s">
        <v>2796</v>
      </c>
      <c r="D878" s="60" t="s">
        <v>2797</v>
      </c>
    </row>
    <row r="879" spans="2:4" x14ac:dyDescent="0.35">
      <c r="B879" s="60" t="s">
        <v>2798</v>
      </c>
      <c r="C879" s="60" t="s">
        <v>2799</v>
      </c>
      <c r="D879" s="60" t="s">
        <v>2800</v>
      </c>
    </row>
    <row r="880" spans="2:4" x14ac:dyDescent="0.35">
      <c r="B880" s="60" t="s">
        <v>2801</v>
      </c>
      <c r="C880" s="60" t="s">
        <v>2802</v>
      </c>
      <c r="D880" s="60" t="s">
        <v>2803</v>
      </c>
    </row>
    <row r="881" spans="2:4" x14ac:dyDescent="0.35">
      <c r="B881" s="60" t="s">
        <v>2804</v>
      </c>
      <c r="C881" s="60" t="s">
        <v>2805</v>
      </c>
      <c r="D881" s="60" t="s">
        <v>2806</v>
      </c>
    </row>
    <row r="882" spans="2:4" x14ac:dyDescent="0.35">
      <c r="B882" s="60" t="s">
        <v>2807</v>
      </c>
      <c r="C882" s="60" t="s">
        <v>2808</v>
      </c>
      <c r="D882" s="60" t="s">
        <v>2809</v>
      </c>
    </row>
    <row r="883" spans="2:4" x14ac:dyDescent="0.35">
      <c r="B883" s="60" t="s">
        <v>2810</v>
      </c>
      <c r="C883" s="60" t="s">
        <v>2811</v>
      </c>
      <c r="D883" s="60" t="s">
        <v>2812</v>
      </c>
    </row>
    <row r="884" spans="2:4" x14ac:dyDescent="0.35">
      <c r="B884" s="60" t="s">
        <v>2813</v>
      </c>
      <c r="C884" s="60" t="s">
        <v>2814</v>
      </c>
      <c r="D884" s="60" t="s">
        <v>2815</v>
      </c>
    </row>
    <row r="885" spans="2:4" x14ac:dyDescent="0.35">
      <c r="B885" s="60" t="s">
        <v>2816</v>
      </c>
      <c r="C885" s="60" t="s">
        <v>2817</v>
      </c>
      <c r="D885" s="60" t="s">
        <v>2818</v>
      </c>
    </row>
    <row r="886" spans="2:4" x14ac:dyDescent="0.35">
      <c r="B886" s="60" t="s">
        <v>2819</v>
      </c>
      <c r="C886" s="60" t="s">
        <v>2820</v>
      </c>
      <c r="D886" s="60" t="s">
        <v>2821</v>
      </c>
    </row>
    <row r="887" spans="2:4" x14ac:dyDescent="0.35">
      <c r="B887" s="60" t="s">
        <v>2819</v>
      </c>
      <c r="C887" s="60" t="s">
        <v>2133</v>
      </c>
      <c r="D887" s="60" t="s">
        <v>2134</v>
      </c>
    </row>
    <row r="888" spans="2:4" x14ac:dyDescent="0.35">
      <c r="B888" s="60" t="s">
        <v>2822</v>
      </c>
      <c r="C888" s="60" t="s">
        <v>2823</v>
      </c>
      <c r="D888" s="60" t="s">
        <v>2824</v>
      </c>
    </row>
    <row r="889" spans="2:4" x14ac:dyDescent="0.35">
      <c r="B889" s="60" t="s">
        <v>2822</v>
      </c>
      <c r="C889" s="60" t="s">
        <v>2825</v>
      </c>
      <c r="D889" s="60" t="s">
        <v>2824</v>
      </c>
    </row>
    <row r="890" spans="2:4" x14ac:dyDescent="0.35">
      <c r="B890" s="60" t="s">
        <v>2826</v>
      </c>
      <c r="C890" s="60" t="s">
        <v>2827</v>
      </c>
      <c r="D890" s="60" t="s">
        <v>2828</v>
      </c>
    </row>
    <row r="891" spans="2:4" x14ac:dyDescent="0.35">
      <c r="B891" s="60" t="s">
        <v>2829</v>
      </c>
      <c r="C891" s="60" t="s">
        <v>2830</v>
      </c>
      <c r="D891" s="60" t="s">
        <v>2831</v>
      </c>
    </row>
    <row r="892" spans="2:4" x14ac:dyDescent="0.35">
      <c r="B892" s="60" t="s">
        <v>2832</v>
      </c>
      <c r="C892" s="60" t="s">
        <v>2833</v>
      </c>
      <c r="D892" s="60" t="s">
        <v>2834</v>
      </c>
    </row>
    <row r="893" spans="2:4" x14ac:dyDescent="0.35">
      <c r="B893" s="60" t="s">
        <v>2835</v>
      </c>
      <c r="C893" s="60" t="s">
        <v>2836</v>
      </c>
      <c r="D893" s="60" t="s">
        <v>2837</v>
      </c>
    </row>
    <row r="894" spans="2:4" x14ac:dyDescent="0.35">
      <c r="B894" s="60" t="s">
        <v>2838</v>
      </c>
      <c r="C894" s="60" t="s">
        <v>2839</v>
      </c>
      <c r="D894" s="60" t="s">
        <v>2840</v>
      </c>
    </row>
    <row r="895" spans="2:4" x14ac:dyDescent="0.35">
      <c r="B895" s="60" t="s">
        <v>2841</v>
      </c>
      <c r="C895" s="60" t="s">
        <v>2842</v>
      </c>
      <c r="D895" s="60" t="s">
        <v>2843</v>
      </c>
    </row>
    <row r="896" spans="2:4" x14ac:dyDescent="0.35">
      <c r="B896" s="60" t="s">
        <v>2844</v>
      </c>
      <c r="C896" s="60" t="s">
        <v>2845</v>
      </c>
      <c r="D896" s="60" t="s">
        <v>2846</v>
      </c>
    </row>
    <row r="897" spans="2:4" x14ac:dyDescent="0.35">
      <c r="B897" s="60" t="s">
        <v>2847</v>
      </c>
      <c r="C897" s="60" t="s">
        <v>2848</v>
      </c>
      <c r="D897" s="60" t="s">
        <v>2849</v>
      </c>
    </row>
    <row r="898" spans="2:4" x14ac:dyDescent="0.35">
      <c r="B898" s="60" t="s">
        <v>2850</v>
      </c>
      <c r="C898" s="60" t="s">
        <v>2851</v>
      </c>
      <c r="D898" s="60" t="s">
        <v>2852</v>
      </c>
    </row>
    <row r="899" spans="2:4" x14ac:dyDescent="0.35">
      <c r="B899" s="60" t="s">
        <v>2853</v>
      </c>
      <c r="C899" s="60" t="s">
        <v>2854</v>
      </c>
      <c r="D899" s="60" t="s">
        <v>2855</v>
      </c>
    </row>
    <row r="900" spans="2:4" x14ac:dyDescent="0.35">
      <c r="B900" s="60" t="s">
        <v>2856</v>
      </c>
      <c r="C900" s="60" t="s">
        <v>2857</v>
      </c>
      <c r="D900" s="60" t="s">
        <v>2858</v>
      </c>
    </row>
    <row r="901" spans="2:4" x14ac:dyDescent="0.35">
      <c r="B901" s="60" t="s">
        <v>2859</v>
      </c>
      <c r="C901" s="60" t="s">
        <v>2860</v>
      </c>
      <c r="D901" s="60" t="s">
        <v>2861</v>
      </c>
    </row>
    <row r="902" spans="2:4" x14ac:dyDescent="0.35">
      <c r="B902" s="60" t="s">
        <v>2862</v>
      </c>
      <c r="C902" s="60" t="s">
        <v>2863</v>
      </c>
      <c r="D902" s="60" t="s">
        <v>2864</v>
      </c>
    </row>
    <row r="903" spans="2:4" x14ac:dyDescent="0.35">
      <c r="B903" s="60" t="s">
        <v>2865</v>
      </c>
      <c r="C903" s="60" t="s">
        <v>2866</v>
      </c>
      <c r="D903" s="60" t="s">
        <v>2867</v>
      </c>
    </row>
    <row r="904" spans="2:4" x14ac:dyDescent="0.35">
      <c r="B904" s="60" t="s">
        <v>2868</v>
      </c>
      <c r="C904" s="60" t="s">
        <v>2869</v>
      </c>
      <c r="D904" s="60" t="s">
        <v>2870</v>
      </c>
    </row>
    <row r="905" spans="2:4" x14ac:dyDescent="0.35">
      <c r="B905" s="60" t="s">
        <v>2871</v>
      </c>
      <c r="C905" s="60" t="s">
        <v>2872</v>
      </c>
      <c r="D905" s="60" t="s">
        <v>2873</v>
      </c>
    </row>
    <row r="906" spans="2:4" x14ac:dyDescent="0.35">
      <c r="B906" s="60" t="s">
        <v>2874</v>
      </c>
      <c r="C906" s="60" t="s">
        <v>2875</v>
      </c>
      <c r="D906" s="60" t="s">
        <v>2876</v>
      </c>
    </row>
    <row r="907" spans="2:4" x14ac:dyDescent="0.35">
      <c r="B907" s="60" t="s">
        <v>2877</v>
      </c>
      <c r="C907" s="60" t="s">
        <v>2878</v>
      </c>
      <c r="D907" s="60" t="s">
        <v>2879</v>
      </c>
    </row>
    <row r="908" spans="2:4" x14ac:dyDescent="0.35">
      <c r="B908" s="60" t="s">
        <v>2880</v>
      </c>
      <c r="C908" s="60" t="s">
        <v>2881</v>
      </c>
      <c r="D908" s="60" t="s">
        <v>2882</v>
      </c>
    </row>
    <row r="909" spans="2:4" x14ac:dyDescent="0.35">
      <c r="B909" s="60" t="s">
        <v>2883</v>
      </c>
      <c r="C909" s="60" t="s">
        <v>2884</v>
      </c>
      <c r="D909" s="60" t="s">
        <v>2885</v>
      </c>
    </row>
    <row r="910" spans="2:4" x14ac:dyDescent="0.35">
      <c r="B910" s="60" t="s">
        <v>2886</v>
      </c>
      <c r="C910" s="60" t="s">
        <v>2887</v>
      </c>
      <c r="D910" s="60" t="s">
        <v>2888</v>
      </c>
    </row>
    <row r="911" spans="2:4" x14ac:dyDescent="0.35">
      <c r="B911" s="60" t="s">
        <v>2889</v>
      </c>
      <c r="C911" s="60" t="s">
        <v>2890</v>
      </c>
      <c r="D911" s="60" t="s">
        <v>2891</v>
      </c>
    </row>
    <row r="912" spans="2:4" x14ac:dyDescent="0.35">
      <c r="B912" s="60" t="s">
        <v>2892</v>
      </c>
      <c r="C912" s="60" t="s">
        <v>2893</v>
      </c>
      <c r="D912" s="60" t="s">
        <v>2894</v>
      </c>
    </row>
    <row r="913" spans="2:4" x14ac:dyDescent="0.35">
      <c r="B913" s="60" t="s">
        <v>2895</v>
      </c>
      <c r="C913" s="60" t="s">
        <v>2896</v>
      </c>
      <c r="D913" s="60" t="s">
        <v>2897</v>
      </c>
    </row>
    <row r="914" spans="2:4" x14ac:dyDescent="0.35">
      <c r="B914" s="60" t="s">
        <v>2898</v>
      </c>
      <c r="C914" s="60" t="s">
        <v>2899</v>
      </c>
      <c r="D914" s="60" t="s">
        <v>2900</v>
      </c>
    </row>
    <row r="915" spans="2:4" x14ac:dyDescent="0.35">
      <c r="B915" s="60" t="s">
        <v>2901</v>
      </c>
      <c r="C915" s="60" t="s">
        <v>2902</v>
      </c>
      <c r="D915" s="60" t="s">
        <v>2903</v>
      </c>
    </row>
    <row r="916" spans="2:4" x14ac:dyDescent="0.35">
      <c r="B916" s="60" t="s">
        <v>2904</v>
      </c>
      <c r="C916" s="60" t="s">
        <v>2905</v>
      </c>
      <c r="D916" s="60" t="s">
        <v>2906</v>
      </c>
    </row>
    <row r="917" spans="2:4" x14ac:dyDescent="0.35">
      <c r="B917" s="60" t="s">
        <v>2907</v>
      </c>
      <c r="C917" s="60" t="s">
        <v>2908</v>
      </c>
      <c r="D917" s="60" t="s">
        <v>2909</v>
      </c>
    </row>
    <row r="918" spans="2:4" x14ac:dyDescent="0.35">
      <c r="B918" s="60" t="s">
        <v>2910</v>
      </c>
      <c r="C918" s="60" t="s">
        <v>2911</v>
      </c>
      <c r="D918" s="60" t="s">
        <v>2912</v>
      </c>
    </row>
    <row r="919" spans="2:4" x14ac:dyDescent="0.35">
      <c r="B919" s="60" t="s">
        <v>2913</v>
      </c>
      <c r="C919" s="60" t="s">
        <v>2914</v>
      </c>
      <c r="D919" s="60" t="s">
        <v>2915</v>
      </c>
    </row>
    <row r="920" spans="2:4" x14ac:dyDescent="0.35">
      <c r="B920" s="60" t="s">
        <v>2916</v>
      </c>
      <c r="C920" s="60" t="s">
        <v>2917</v>
      </c>
      <c r="D920" s="60" t="s">
        <v>2918</v>
      </c>
    </row>
    <row r="921" spans="2:4" x14ac:dyDescent="0.35">
      <c r="B921" s="60" t="s">
        <v>2919</v>
      </c>
      <c r="C921" s="60" t="s">
        <v>2920</v>
      </c>
      <c r="D921" s="60" t="s">
        <v>2921</v>
      </c>
    </row>
    <row r="922" spans="2:4" x14ac:dyDescent="0.35">
      <c r="B922" s="60" t="s">
        <v>2922</v>
      </c>
      <c r="C922" s="60" t="s">
        <v>2923</v>
      </c>
      <c r="D922" s="60" t="s">
        <v>2924</v>
      </c>
    </row>
    <row r="923" spans="2:4" x14ac:dyDescent="0.35">
      <c r="B923" s="60" t="s">
        <v>2925</v>
      </c>
      <c r="C923" s="60" t="s">
        <v>2926</v>
      </c>
      <c r="D923" s="60" t="s">
        <v>2927</v>
      </c>
    </row>
    <row r="924" spans="2:4" x14ac:dyDescent="0.35">
      <c r="B924" s="60" t="s">
        <v>2928</v>
      </c>
      <c r="C924" s="60" t="s">
        <v>2929</v>
      </c>
      <c r="D924" s="60" t="s">
        <v>2930</v>
      </c>
    </row>
    <row r="925" spans="2:4" x14ac:dyDescent="0.35">
      <c r="B925" s="60" t="s">
        <v>2931</v>
      </c>
      <c r="C925" s="60" t="s">
        <v>2932</v>
      </c>
      <c r="D925" s="60" t="s">
        <v>2933</v>
      </c>
    </row>
    <row r="926" spans="2:4" x14ac:dyDescent="0.35">
      <c r="B926" s="60" t="s">
        <v>2934</v>
      </c>
      <c r="C926" s="60" t="s">
        <v>2935</v>
      </c>
      <c r="D926" s="60" t="s">
        <v>2936</v>
      </c>
    </row>
    <row r="927" spans="2:4" x14ac:dyDescent="0.35">
      <c r="B927" s="60" t="s">
        <v>2937</v>
      </c>
      <c r="C927" s="60" t="s">
        <v>2938</v>
      </c>
      <c r="D927" s="60" t="s">
        <v>2939</v>
      </c>
    </row>
    <row r="928" spans="2:4" x14ac:dyDescent="0.35">
      <c r="B928" s="60" t="s">
        <v>2940</v>
      </c>
      <c r="C928" s="60" t="s">
        <v>2941</v>
      </c>
      <c r="D928" s="60" t="s">
        <v>2942</v>
      </c>
    </row>
    <row r="929" spans="2:4" x14ac:dyDescent="0.35">
      <c r="B929" s="60" t="s">
        <v>2943</v>
      </c>
      <c r="C929" s="60" t="s">
        <v>2944</v>
      </c>
      <c r="D929" s="60" t="s">
        <v>2945</v>
      </c>
    </row>
    <row r="930" spans="2:4" x14ac:dyDescent="0.35">
      <c r="B930" s="60" t="s">
        <v>2946</v>
      </c>
      <c r="C930" s="60" t="s">
        <v>2947</v>
      </c>
      <c r="D930" s="60" t="s">
        <v>2948</v>
      </c>
    </row>
    <row r="931" spans="2:4" x14ac:dyDescent="0.35">
      <c r="B931" s="60" t="s">
        <v>2949</v>
      </c>
      <c r="C931" s="60" t="s">
        <v>2950</v>
      </c>
      <c r="D931" s="60" t="s">
        <v>2951</v>
      </c>
    </row>
    <row r="932" spans="2:4" x14ac:dyDescent="0.35">
      <c r="B932" s="60" t="s">
        <v>2952</v>
      </c>
      <c r="C932" s="60" t="s">
        <v>2953</v>
      </c>
      <c r="D932" s="60" t="s">
        <v>2954</v>
      </c>
    </row>
    <row r="933" spans="2:4" x14ac:dyDescent="0.35">
      <c r="B933" s="60" t="s">
        <v>2955</v>
      </c>
      <c r="C933" s="60" t="s">
        <v>2956</v>
      </c>
      <c r="D933" s="60" t="s">
        <v>2957</v>
      </c>
    </row>
    <row r="934" spans="2:4" x14ac:dyDescent="0.35">
      <c r="B934" s="60" t="s">
        <v>2958</v>
      </c>
      <c r="C934" s="60" t="s">
        <v>2959</v>
      </c>
      <c r="D934" s="60" t="s">
        <v>2960</v>
      </c>
    </row>
    <row r="935" spans="2:4" x14ac:dyDescent="0.35">
      <c r="B935" s="60" t="s">
        <v>2961</v>
      </c>
      <c r="C935" s="60" t="s">
        <v>2962</v>
      </c>
      <c r="D935" s="60" t="s">
        <v>2963</v>
      </c>
    </row>
    <row r="936" spans="2:4" x14ac:dyDescent="0.35">
      <c r="B936" s="60" t="s">
        <v>2964</v>
      </c>
      <c r="C936" s="60" t="s">
        <v>2965</v>
      </c>
      <c r="D936" s="60" t="s">
        <v>2966</v>
      </c>
    </row>
    <row r="937" spans="2:4" x14ac:dyDescent="0.35">
      <c r="B937" s="60" t="s">
        <v>2967</v>
      </c>
      <c r="C937" s="60" t="s">
        <v>2968</v>
      </c>
      <c r="D937" s="60" t="s">
        <v>2969</v>
      </c>
    </row>
    <row r="938" spans="2:4" x14ac:dyDescent="0.35">
      <c r="B938" s="60" t="s">
        <v>2970</v>
      </c>
      <c r="C938" s="60" t="s">
        <v>2971</v>
      </c>
      <c r="D938" s="60" t="s">
        <v>2972</v>
      </c>
    </row>
    <row r="939" spans="2:4" x14ac:dyDescent="0.35">
      <c r="B939" s="60" t="s">
        <v>2973</v>
      </c>
      <c r="C939" s="60" t="s">
        <v>2974</v>
      </c>
      <c r="D939" s="60" t="s">
        <v>2975</v>
      </c>
    </row>
    <row r="940" spans="2:4" x14ac:dyDescent="0.35">
      <c r="B940" s="60" t="s">
        <v>2976</v>
      </c>
      <c r="C940" s="60" t="s">
        <v>2977</v>
      </c>
      <c r="D940" s="60" t="s">
        <v>2978</v>
      </c>
    </row>
    <row r="941" spans="2:4" x14ac:dyDescent="0.35">
      <c r="B941" s="60" t="s">
        <v>2979</v>
      </c>
      <c r="C941" s="60" t="s">
        <v>2980</v>
      </c>
      <c r="D941" s="60" t="s">
        <v>2981</v>
      </c>
    </row>
    <row r="942" spans="2:4" x14ac:dyDescent="0.35">
      <c r="B942" s="60" t="s">
        <v>2982</v>
      </c>
      <c r="C942" s="60" t="s">
        <v>2983</v>
      </c>
      <c r="D942" s="60" t="s">
        <v>2984</v>
      </c>
    </row>
    <row r="943" spans="2:4" x14ac:dyDescent="0.35">
      <c r="B943" s="60" t="s">
        <v>2985</v>
      </c>
      <c r="C943" s="60" t="s">
        <v>2986</v>
      </c>
      <c r="D943" s="60" t="s">
        <v>2987</v>
      </c>
    </row>
    <row r="944" spans="2:4" x14ac:dyDescent="0.35">
      <c r="B944" s="60" t="s">
        <v>2988</v>
      </c>
      <c r="C944" s="60" t="s">
        <v>2989</v>
      </c>
      <c r="D944" s="60" t="s">
        <v>2990</v>
      </c>
    </row>
    <row r="945" spans="2:4" x14ac:dyDescent="0.35">
      <c r="B945" s="60" t="s">
        <v>2991</v>
      </c>
      <c r="C945" s="60" t="s">
        <v>2992</v>
      </c>
      <c r="D945" s="60" t="s">
        <v>2993</v>
      </c>
    </row>
    <row r="946" spans="2:4" x14ac:dyDescent="0.35">
      <c r="B946" s="60" t="s">
        <v>2994</v>
      </c>
      <c r="C946" s="60" t="s">
        <v>2995</v>
      </c>
      <c r="D946" s="60" t="s">
        <v>2996</v>
      </c>
    </row>
    <row r="947" spans="2:4" x14ac:dyDescent="0.35">
      <c r="B947" s="60" t="s">
        <v>2997</v>
      </c>
      <c r="C947" s="60" t="s">
        <v>2998</v>
      </c>
      <c r="D947" s="60" t="s">
        <v>2999</v>
      </c>
    </row>
    <row r="948" spans="2:4" x14ac:dyDescent="0.35">
      <c r="B948" s="60" t="s">
        <v>3000</v>
      </c>
      <c r="C948" s="60" t="s">
        <v>3001</v>
      </c>
      <c r="D948" s="60" t="s">
        <v>3002</v>
      </c>
    </row>
    <row r="949" spans="2:4" x14ac:dyDescent="0.35">
      <c r="B949" s="60" t="s">
        <v>3003</v>
      </c>
      <c r="C949" s="60" t="s">
        <v>3004</v>
      </c>
      <c r="D949" s="60" t="s">
        <v>3005</v>
      </c>
    </row>
    <row r="950" spans="2:4" x14ac:dyDescent="0.35">
      <c r="B950" s="60" t="s">
        <v>3006</v>
      </c>
      <c r="C950" s="60" t="s">
        <v>3007</v>
      </c>
      <c r="D950" s="60" t="s">
        <v>3008</v>
      </c>
    </row>
    <row r="951" spans="2:4" x14ac:dyDescent="0.35">
      <c r="B951" s="60" t="s">
        <v>3009</v>
      </c>
      <c r="C951" s="60" t="s">
        <v>3010</v>
      </c>
      <c r="D951" s="60" t="s">
        <v>3011</v>
      </c>
    </row>
    <row r="952" spans="2:4" x14ac:dyDescent="0.35">
      <c r="B952" s="60" t="s">
        <v>3012</v>
      </c>
      <c r="C952" s="60" t="s">
        <v>3013</v>
      </c>
      <c r="D952" s="60" t="s">
        <v>3014</v>
      </c>
    </row>
    <row r="953" spans="2:4" x14ac:dyDescent="0.35">
      <c r="B953" s="60" t="s">
        <v>3015</v>
      </c>
      <c r="C953" s="60" t="s">
        <v>3016</v>
      </c>
      <c r="D953" s="60" t="s">
        <v>3017</v>
      </c>
    </row>
    <row r="954" spans="2:4" x14ac:dyDescent="0.35">
      <c r="B954" s="60" t="s">
        <v>3018</v>
      </c>
      <c r="C954" s="60" t="s">
        <v>3019</v>
      </c>
      <c r="D954" s="60" t="s">
        <v>3020</v>
      </c>
    </row>
    <row r="955" spans="2:4" x14ac:dyDescent="0.35">
      <c r="B955" s="60" t="s">
        <v>3021</v>
      </c>
      <c r="C955" s="60" t="s">
        <v>3022</v>
      </c>
      <c r="D955" s="60" t="s">
        <v>3023</v>
      </c>
    </row>
    <row r="956" spans="2:4" x14ac:dyDescent="0.35">
      <c r="B956" s="60" t="s">
        <v>3024</v>
      </c>
      <c r="C956" s="60" t="s">
        <v>3025</v>
      </c>
      <c r="D956" s="60" t="s">
        <v>3026</v>
      </c>
    </row>
    <row r="957" spans="2:4" x14ac:dyDescent="0.35">
      <c r="B957" s="60" t="s">
        <v>3027</v>
      </c>
      <c r="C957" s="60" t="s">
        <v>3028</v>
      </c>
      <c r="D957" s="60" t="s">
        <v>3029</v>
      </c>
    </row>
    <row r="958" spans="2:4" x14ac:dyDescent="0.35">
      <c r="B958" s="60" t="s">
        <v>3030</v>
      </c>
      <c r="C958" s="60" t="s">
        <v>3031</v>
      </c>
      <c r="D958" s="60" t="s">
        <v>3032</v>
      </c>
    </row>
    <row r="959" spans="2:4" x14ac:dyDescent="0.35">
      <c r="B959" s="60" t="s">
        <v>3033</v>
      </c>
      <c r="C959" s="60" t="s">
        <v>3034</v>
      </c>
      <c r="D959" s="60" t="s">
        <v>3035</v>
      </c>
    </row>
    <row r="960" spans="2:4" x14ac:dyDescent="0.35">
      <c r="B960" s="60" t="s">
        <v>3036</v>
      </c>
      <c r="C960" s="60" t="s">
        <v>3037</v>
      </c>
      <c r="D960" s="60" t="s">
        <v>3038</v>
      </c>
    </row>
    <row r="961" spans="2:4" x14ac:dyDescent="0.35">
      <c r="B961" s="60" t="s">
        <v>3039</v>
      </c>
      <c r="C961" s="60" t="s">
        <v>3040</v>
      </c>
      <c r="D961" s="60" t="s">
        <v>3041</v>
      </c>
    </row>
    <row r="962" spans="2:4" x14ac:dyDescent="0.35">
      <c r="B962" s="60" t="s">
        <v>3042</v>
      </c>
      <c r="C962" s="60" t="s">
        <v>3043</v>
      </c>
      <c r="D962" s="60" t="s">
        <v>3044</v>
      </c>
    </row>
    <row r="963" spans="2:4" x14ac:dyDescent="0.35">
      <c r="B963" s="60" t="s">
        <v>3045</v>
      </c>
      <c r="C963" s="60" t="s">
        <v>3046</v>
      </c>
      <c r="D963" s="60" t="s">
        <v>3047</v>
      </c>
    </row>
    <row r="964" spans="2:4" x14ac:dyDescent="0.35">
      <c r="B964" s="60" t="s">
        <v>3048</v>
      </c>
      <c r="C964" s="60" t="s">
        <v>3049</v>
      </c>
      <c r="D964" s="60" t="s">
        <v>3050</v>
      </c>
    </row>
    <row r="965" spans="2:4" x14ac:dyDescent="0.35">
      <c r="B965" s="60" t="s">
        <v>3051</v>
      </c>
      <c r="C965" s="60" t="s">
        <v>3052</v>
      </c>
      <c r="D965" s="60" t="s">
        <v>3053</v>
      </c>
    </row>
    <row r="966" spans="2:4" x14ac:dyDescent="0.35">
      <c r="B966" s="60" t="s">
        <v>3054</v>
      </c>
      <c r="C966" s="60" t="s">
        <v>3055</v>
      </c>
      <c r="D966" s="60" t="s">
        <v>3056</v>
      </c>
    </row>
    <row r="967" spans="2:4" x14ac:dyDescent="0.35">
      <c r="B967" s="60" t="s">
        <v>3057</v>
      </c>
      <c r="C967" s="60" t="s">
        <v>3058</v>
      </c>
      <c r="D967" s="60" t="s">
        <v>3059</v>
      </c>
    </row>
    <row r="968" spans="2:4" x14ac:dyDescent="0.35">
      <c r="B968" s="60" t="s">
        <v>3060</v>
      </c>
      <c r="C968" s="60" t="s">
        <v>3061</v>
      </c>
      <c r="D968" s="60" t="s">
        <v>3062</v>
      </c>
    </row>
    <row r="969" spans="2:4" x14ac:dyDescent="0.35">
      <c r="B969" s="60" t="s">
        <v>3063</v>
      </c>
      <c r="C969" s="60" t="s">
        <v>3064</v>
      </c>
      <c r="D969" s="60" t="s">
        <v>3065</v>
      </c>
    </row>
    <row r="970" spans="2:4" x14ac:dyDescent="0.35">
      <c r="B970" s="60" t="s">
        <v>3066</v>
      </c>
      <c r="C970" s="60" t="s">
        <v>3067</v>
      </c>
      <c r="D970" s="60" t="s">
        <v>3068</v>
      </c>
    </row>
    <row r="971" spans="2:4" x14ac:dyDescent="0.35">
      <c r="B971" s="60" t="s">
        <v>3069</v>
      </c>
      <c r="C971" s="60" t="s">
        <v>3070</v>
      </c>
      <c r="D971" s="60" t="s">
        <v>3071</v>
      </c>
    </row>
    <row r="972" spans="2:4" x14ac:dyDescent="0.35">
      <c r="B972" s="60" t="s">
        <v>3072</v>
      </c>
      <c r="C972" s="60" t="s">
        <v>3073</v>
      </c>
      <c r="D972" s="60" t="s">
        <v>3074</v>
      </c>
    </row>
    <row r="973" spans="2:4" x14ac:dyDescent="0.35">
      <c r="B973" s="60" t="s">
        <v>3075</v>
      </c>
      <c r="C973" s="60" t="s">
        <v>3076</v>
      </c>
      <c r="D973" s="60" t="s">
        <v>3077</v>
      </c>
    </row>
    <row r="974" spans="2:4" x14ac:dyDescent="0.35">
      <c r="B974" s="60" t="s">
        <v>3078</v>
      </c>
      <c r="C974" s="60" t="s">
        <v>3079</v>
      </c>
      <c r="D974" s="60" t="s">
        <v>3080</v>
      </c>
    </row>
    <row r="975" spans="2:4" x14ac:dyDescent="0.35">
      <c r="B975" s="60" t="s">
        <v>3081</v>
      </c>
      <c r="C975" s="60" t="s">
        <v>3082</v>
      </c>
      <c r="D975" s="60" t="s">
        <v>3083</v>
      </c>
    </row>
    <row r="976" spans="2:4" x14ac:dyDescent="0.35">
      <c r="B976" s="60" t="s">
        <v>3084</v>
      </c>
      <c r="C976" s="60" t="s">
        <v>3085</v>
      </c>
      <c r="D976" s="60" t="s">
        <v>3086</v>
      </c>
    </row>
    <row r="977" spans="2:4" x14ac:dyDescent="0.35">
      <c r="B977" s="60" t="s">
        <v>3087</v>
      </c>
      <c r="C977" s="60" t="s">
        <v>3088</v>
      </c>
      <c r="D977" s="60" t="s">
        <v>3089</v>
      </c>
    </row>
    <row r="978" spans="2:4" x14ac:dyDescent="0.35">
      <c r="B978" s="60" t="s">
        <v>3090</v>
      </c>
      <c r="C978" s="60" t="s">
        <v>3091</v>
      </c>
      <c r="D978" s="60" t="s">
        <v>3092</v>
      </c>
    </row>
    <row r="979" spans="2:4" x14ac:dyDescent="0.35">
      <c r="B979" s="60" t="s">
        <v>3090</v>
      </c>
      <c r="C979" s="60" t="s">
        <v>3093</v>
      </c>
      <c r="D979" s="60" t="s">
        <v>3094</v>
      </c>
    </row>
    <row r="980" spans="2:4" x14ac:dyDescent="0.35">
      <c r="B980" s="60" t="s">
        <v>3095</v>
      </c>
      <c r="C980" s="60" t="s">
        <v>3096</v>
      </c>
      <c r="D980" s="60" t="s">
        <v>3097</v>
      </c>
    </row>
    <row r="981" spans="2:4" x14ac:dyDescent="0.35">
      <c r="B981" s="60" t="s">
        <v>3098</v>
      </c>
      <c r="C981" s="60" t="s">
        <v>3099</v>
      </c>
      <c r="D981" s="60" t="s">
        <v>3100</v>
      </c>
    </row>
    <row r="982" spans="2:4" x14ac:dyDescent="0.35">
      <c r="B982" s="60" t="s">
        <v>3101</v>
      </c>
      <c r="C982" s="60" t="s">
        <v>3102</v>
      </c>
      <c r="D982" s="60" t="s">
        <v>3103</v>
      </c>
    </row>
    <row r="983" spans="2:4" x14ac:dyDescent="0.35">
      <c r="B983" s="60" t="s">
        <v>3104</v>
      </c>
      <c r="C983" s="60" t="s">
        <v>3105</v>
      </c>
      <c r="D983" s="60" t="s">
        <v>3106</v>
      </c>
    </row>
    <row r="984" spans="2:4" x14ac:dyDescent="0.35">
      <c r="B984" s="60" t="s">
        <v>3107</v>
      </c>
      <c r="C984" s="60" t="s">
        <v>3108</v>
      </c>
      <c r="D984" s="60" t="s">
        <v>3109</v>
      </c>
    </row>
    <row r="985" spans="2:4" x14ac:dyDescent="0.35">
      <c r="B985" s="60" t="s">
        <v>3110</v>
      </c>
      <c r="C985" s="60" t="s">
        <v>3111</v>
      </c>
      <c r="D985" s="60" t="s">
        <v>3112</v>
      </c>
    </row>
    <row r="986" spans="2:4" x14ac:dyDescent="0.35">
      <c r="B986" s="60" t="s">
        <v>3113</v>
      </c>
      <c r="C986" s="60" t="s">
        <v>3114</v>
      </c>
      <c r="D986" s="60" t="s">
        <v>3115</v>
      </c>
    </row>
    <row r="987" spans="2:4" x14ac:dyDescent="0.35">
      <c r="B987" s="60" t="s">
        <v>3116</v>
      </c>
      <c r="C987" s="60" t="s">
        <v>3117</v>
      </c>
      <c r="D987" s="60" t="s">
        <v>3118</v>
      </c>
    </row>
    <row r="988" spans="2:4" x14ac:dyDescent="0.35">
      <c r="B988" s="60" t="s">
        <v>3119</v>
      </c>
      <c r="C988" s="60" t="s">
        <v>3120</v>
      </c>
      <c r="D988" s="60" t="s">
        <v>3121</v>
      </c>
    </row>
    <row r="989" spans="2:4" x14ac:dyDescent="0.35">
      <c r="B989" s="60" t="s">
        <v>3122</v>
      </c>
      <c r="C989" s="60" t="s">
        <v>3123</v>
      </c>
      <c r="D989" s="60" t="s">
        <v>3124</v>
      </c>
    </row>
    <row r="990" spans="2:4" x14ac:dyDescent="0.35">
      <c r="B990" s="60" t="s">
        <v>3125</v>
      </c>
      <c r="C990" s="60" t="s">
        <v>3126</v>
      </c>
      <c r="D990" s="60" t="s">
        <v>3127</v>
      </c>
    </row>
    <row r="991" spans="2:4" x14ac:dyDescent="0.35">
      <c r="B991" s="60" t="s">
        <v>3128</v>
      </c>
      <c r="C991" s="60" t="s">
        <v>3129</v>
      </c>
      <c r="D991" s="60" t="s">
        <v>3130</v>
      </c>
    </row>
    <row r="992" spans="2:4" x14ac:dyDescent="0.35">
      <c r="B992" s="60" t="s">
        <v>3131</v>
      </c>
      <c r="C992" s="60" t="s">
        <v>3132</v>
      </c>
      <c r="D992" s="60" t="s">
        <v>3133</v>
      </c>
    </row>
    <row r="993" spans="2:4" x14ac:dyDescent="0.35">
      <c r="B993" s="60" t="s">
        <v>3134</v>
      </c>
      <c r="C993" s="60" t="s">
        <v>3135</v>
      </c>
      <c r="D993" s="60" t="s">
        <v>3136</v>
      </c>
    </row>
    <row r="994" spans="2:4" x14ac:dyDescent="0.35">
      <c r="B994" s="60" t="s">
        <v>3137</v>
      </c>
      <c r="C994" s="60" t="s">
        <v>3138</v>
      </c>
      <c r="D994" s="60" t="s">
        <v>3139</v>
      </c>
    </row>
    <row r="995" spans="2:4" x14ac:dyDescent="0.35">
      <c r="B995" s="60" t="s">
        <v>3140</v>
      </c>
      <c r="C995" s="60" t="s">
        <v>3141</v>
      </c>
      <c r="D995" s="60" t="s">
        <v>3142</v>
      </c>
    </row>
    <row r="996" spans="2:4" x14ac:dyDescent="0.35">
      <c r="B996" s="60" t="s">
        <v>3143</v>
      </c>
      <c r="C996" s="60" t="s">
        <v>3144</v>
      </c>
      <c r="D996" s="60" t="s">
        <v>3145</v>
      </c>
    </row>
    <row r="997" spans="2:4" x14ac:dyDescent="0.35">
      <c r="B997" s="60" t="s">
        <v>3146</v>
      </c>
      <c r="C997" s="60" t="s">
        <v>3147</v>
      </c>
      <c r="D997" s="60" t="s">
        <v>3148</v>
      </c>
    </row>
    <row r="998" spans="2:4" x14ac:dyDescent="0.35">
      <c r="B998" s="60" t="s">
        <v>3149</v>
      </c>
      <c r="C998" s="60" t="s">
        <v>3150</v>
      </c>
      <c r="D998" s="60" t="s">
        <v>3151</v>
      </c>
    </row>
    <row r="999" spans="2:4" x14ac:dyDescent="0.35">
      <c r="B999" s="60" t="s">
        <v>3152</v>
      </c>
      <c r="C999" s="60" t="s">
        <v>3153</v>
      </c>
      <c r="D999" s="60" t="s">
        <v>3154</v>
      </c>
    </row>
    <row r="1000" spans="2:4" x14ac:dyDescent="0.35">
      <c r="B1000" s="60" t="s">
        <v>3155</v>
      </c>
      <c r="C1000" s="60" t="s">
        <v>3156</v>
      </c>
      <c r="D1000" s="60" t="s">
        <v>3157</v>
      </c>
    </row>
    <row r="1001" spans="2:4" x14ac:dyDescent="0.35">
      <c r="B1001" s="60" t="s">
        <v>3158</v>
      </c>
      <c r="C1001" s="60" t="s">
        <v>3159</v>
      </c>
      <c r="D1001" s="60" t="s">
        <v>3160</v>
      </c>
    </row>
    <row r="1002" spans="2:4" x14ac:dyDescent="0.35">
      <c r="B1002" s="60" t="s">
        <v>3161</v>
      </c>
      <c r="C1002" s="60" t="s">
        <v>3162</v>
      </c>
      <c r="D1002" s="60" t="s">
        <v>3163</v>
      </c>
    </row>
    <row r="1003" spans="2:4" x14ac:dyDescent="0.35">
      <c r="B1003" s="60" t="s">
        <v>3164</v>
      </c>
      <c r="C1003" s="60" t="s">
        <v>3165</v>
      </c>
      <c r="D1003" s="60" t="s">
        <v>3166</v>
      </c>
    </row>
    <row r="1004" spans="2:4" x14ac:dyDescent="0.35">
      <c r="B1004" s="60" t="s">
        <v>3167</v>
      </c>
      <c r="C1004" s="60" t="s">
        <v>3168</v>
      </c>
      <c r="D1004" s="60" t="s">
        <v>3169</v>
      </c>
    </row>
    <row r="1005" spans="2:4" x14ac:dyDescent="0.35">
      <c r="B1005" s="60" t="s">
        <v>3170</v>
      </c>
      <c r="C1005" s="60" t="s">
        <v>3171</v>
      </c>
      <c r="D1005" s="60" t="s">
        <v>3172</v>
      </c>
    </row>
    <row r="1006" spans="2:4" x14ac:dyDescent="0.35">
      <c r="B1006" s="60" t="s">
        <v>3173</v>
      </c>
      <c r="C1006" s="60" t="s">
        <v>3174</v>
      </c>
      <c r="D1006" s="60" t="s">
        <v>3175</v>
      </c>
    </row>
    <row r="1007" spans="2:4" x14ac:dyDescent="0.35">
      <c r="B1007" s="60" t="s">
        <v>3176</v>
      </c>
      <c r="C1007" s="60" t="s">
        <v>3177</v>
      </c>
      <c r="D1007" s="60" t="s">
        <v>3178</v>
      </c>
    </row>
    <row r="1008" spans="2:4" x14ac:dyDescent="0.35">
      <c r="B1008" s="60" t="s">
        <v>3179</v>
      </c>
      <c r="C1008" s="60" t="s">
        <v>3180</v>
      </c>
      <c r="D1008" s="60" t="s">
        <v>3181</v>
      </c>
    </row>
    <row r="1009" spans="2:4" x14ac:dyDescent="0.35">
      <c r="B1009" s="60" t="s">
        <v>3182</v>
      </c>
      <c r="C1009" s="60" t="s">
        <v>3183</v>
      </c>
      <c r="D1009" s="60" t="s">
        <v>3184</v>
      </c>
    </row>
    <row r="1010" spans="2:4" x14ac:dyDescent="0.35">
      <c r="B1010" s="60" t="s">
        <v>3185</v>
      </c>
      <c r="C1010" s="60" t="s">
        <v>3186</v>
      </c>
      <c r="D1010" s="60" t="s">
        <v>3187</v>
      </c>
    </row>
    <row r="1011" spans="2:4" x14ac:dyDescent="0.35">
      <c r="B1011" s="60" t="s">
        <v>3188</v>
      </c>
      <c r="C1011" s="60" t="s">
        <v>3189</v>
      </c>
      <c r="D1011" s="60" t="s">
        <v>3190</v>
      </c>
    </row>
    <row r="1012" spans="2:4" x14ac:dyDescent="0.35">
      <c r="B1012" s="60" t="s">
        <v>3191</v>
      </c>
      <c r="C1012" s="60" t="s">
        <v>3192</v>
      </c>
      <c r="D1012" s="60" t="s">
        <v>3193</v>
      </c>
    </row>
    <row r="1013" spans="2:4" x14ac:dyDescent="0.35">
      <c r="B1013" s="60" t="s">
        <v>3191</v>
      </c>
      <c r="C1013" s="60" t="s">
        <v>3194</v>
      </c>
      <c r="D1013" s="60" t="s">
        <v>3193</v>
      </c>
    </row>
    <row r="1014" spans="2:4" x14ac:dyDescent="0.35">
      <c r="B1014" s="60" t="s">
        <v>3195</v>
      </c>
      <c r="C1014" s="60" t="s">
        <v>3196</v>
      </c>
      <c r="D1014" s="60" t="s">
        <v>3197</v>
      </c>
    </row>
    <row r="1015" spans="2:4" x14ac:dyDescent="0.35">
      <c r="B1015" s="60" t="s">
        <v>3198</v>
      </c>
      <c r="C1015" s="60" t="s">
        <v>3199</v>
      </c>
      <c r="D1015" s="60" t="s">
        <v>3200</v>
      </c>
    </row>
    <row r="1016" spans="2:4" x14ac:dyDescent="0.35">
      <c r="B1016" s="60" t="s">
        <v>3201</v>
      </c>
      <c r="C1016" s="60" t="s">
        <v>3202</v>
      </c>
      <c r="D1016" s="60" t="s">
        <v>3203</v>
      </c>
    </row>
    <row r="1017" spans="2:4" x14ac:dyDescent="0.35">
      <c r="B1017" s="60" t="s">
        <v>3204</v>
      </c>
      <c r="C1017" s="60" t="s">
        <v>3205</v>
      </c>
      <c r="D1017" s="60" t="s">
        <v>3206</v>
      </c>
    </row>
    <row r="1018" spans="2:4" x14ac:dyDescent="0.35">
      <c r="B1018" s="60" t="s">
        <v>3207</v>
      </c>
      <c r="C1018" s="60" t="s">
        <v>3208</v>
      </c>
      <c r="D1018" s="60" t="s">
        <v>3209</v>
      </c>
    </row>
    <row r="1019" spans="2:4" x14ac:dyDescent="0.35">
      <c r="B1019" s="60" t="s">
        <v>3210</v>
      </c>
      <c r="C1019" s="60" t="s">
        <v>3211</v>
      </c>
      <c r="D1019" s="60" t="s">
        <v>3212</v>
      </c>
    </row>
    <row r="1020" spans="2:4" x14ac:dyDescent="0.35">
      <c r="B1020" s="60" t="s">
        <v>3213</v>
      </c>
      <c r="C1020" s="60" t="s">
        <v>3214</v>
      </c>
      <c r="D1020" s="60" t="s">
        <v>3215</v>
      </c>
    </row>
    <row r="1021" spans="2:4" x14ac:dyDescent="0.35">
      <c r="B1021" s="60" t="s">
        <v>3216</v>
      </c>
      <c r="C1021" s="60" t="s">
        <v>3217</v>
      </c>
      <c r="D1021" s="60" t="s">
        <v>3218</v>
      </c>
    </row>
    <row r="1022" spans="2:4" x14ac:dyDescent="0.35">
      <c r="B1022" s="60" t="s">
        <v>3219</v>
      </c>
      <c r="C1022" s="60" t="s">
        <v>3220</v>
      </c>
      <c r="D1022" s="60" t="s">
        <v>3221</v>
      </c>
    </row>
    <row r="1023" spans="2:4" x14ac:dyDescent="0.35">
      <c r="B1023" s="60" t="s">
        <v>3222</v>
      </c>
      <c r="C1023" s="60" t="s">
        <v>3223</v>
      </c>
      <c r="D1023" s="60" t="s">
        <v>3224</v>
      </c>
    </row>
    <row r="1024" spans="2:4" x14ac:dyDescent="0.35">
      <c r="B1024" s="60" t="s">
        <v>3225</v>
      </c>
      <c r="C1024" s="60" t="s">
        <v>3226</v>
      </c>
      <c r="D1024" s="60" t="s">
        <v>3227</v>
      </c>
    </row>
    <row r="1025" spans="2:4" x14ac:dyDescent="0.35">
      <c r="B1025" s="60" t="s">
        <v>3228</v>
      </c>
      <c r="C1025" s="60" t="s">
        <v>3229</v>
      </c>
      <c r="D1025" s="60" t="s">
        <v>3230</v>
      </c>
    </row>
    <row r="1026" spans="2:4" x14ac:dyDescent="0.35">
      <c r="B1026" s="60" t="s">
        <v>3231</v>
      </c>
      <c r="C1026" s="60" t="s">
        <v>3232</v>
      </c>
      <c r="D1026" s="60" t="s">
        <v>3233</v>
      </c>
    </row>
    <row r="1027" spans="2:4" x14ac:dyDescent="0.35">
      <c r="B1027" s="60" t="s">
        <v>3234</v>
      </c>
      <c r="C1027" s="60" t="s">
        <v>3235</v>
      </c>
      <c r="D1027" s="60" t="s">
        <v>3236</v>
      </c>
    </row>
    <row r="1028" spans="2:4" x14ac:dyDescent="0.35">
      <c r="B1028" s="60" t="s">
        <v>3237</v>
      </c>
      <c r="C1028" s="60" t="s">
        <v>3238</v>
      </c>
      <c r="D1028" s="60" t="s">
        <v>3239</v>
      </c>
    </row>
    <row r="1029" spans="2:4" x14ac:dyDescent="0.35">
      <c r="B1029" s="60" t="s">
        <v>3240</v>
      </c>
      <c r="C1029" s="60" t="s">
        <v>3241</v>
      </c>
      <c r="D1029" s="60" t="s">
        <v>3242</v>
      </c>
    </row>
    <row r="1030" spans="2:4" x14ac:dyDescent="0.35">
      <c r="B1030" s="60" t="s">
        <v>3243</v>
      </c>
      <c r="C1030" s="60" t="s">
        <v>3244</v>
      </c>
      <c r="D1030" s="60" t="s">
        <v>3245</v>
      </c>
    </row>
    <row r="1031" spans="2:4" x14ac:dyDescent="0.35">
      <c r="B1031" s="60" t="s">
        <v>3246</v>
      </c>
      <c r="C1031" s="60" t="s">
        <v>3247</v>
      </c>
      <c r="D1031" s="60" t="s">
        <v>3248</v>
      </c>
    </row>
    <row r="1032" spans="2:4" x14ac:dyDescent="0.35">
      <c r="B1032" s="60" t="s">
        <v>3246</v>
      </c>
      <c r="C1032" s="60" t="s">
        <v>3249</v>
      </c>
      <c r="D1032" s="60" t="s">
        <v>3250</v>
      </c>
    </row>
    <row r="1033" spans="2:4" x14ac:dyDescent="0.35">
      <c r="B1033" s="60" t="s">
        <v>3251</v>
      </c>
      <c r="C1033" s="60" t="s">
        <v>3252</v>
      </c>
      <c r="D1033" s="60" t="s">
        <v>3253</v>
      </c>
    </row>
    <row r="1034" spans="2:4" x14ac:dyDescent="0.35">
      <c r="B1034" s="60" t="s">
        <v>3254</v>
      </c>
      <c r="C1034" s="60" t="s">
        <v>3255</v>
      </c>
      <c r="D1034" s="60" t="s">
        <v>3256</v>
      </c>
    </row>
    <row r="1035" spans="2:4" x14ac:dyDescent="0.35">
      <c r="B1035" s="60" t="s">
        <v>3257</v>
      </c>
      <c r="C1035" s="60" t="s">
        <v>3258</v>
      </c>
      <c r="D1035" s="60" t="s">
        <v>3259</v>
      </c>
    </row>
    <row r="1036" spans="2:4" x14ac:dyDescent="0.35">
      <c r="B1036" s="60" t="s">
        <v>3260</v>
      </c>
      <c r="C1036" s="60" t="s">
        <v>3261</v>
      </c>
      <c r="D1036" s="60" t="s">
        <v>3262</v>
      </c>
    </row>
    <row r="1037" spans="2:4" x14ac:dyDescent="0.35">
      <c r="B1037" s="60" t="s">
        <v>3263</v>
      </c>
      <c r="C1037" s="60" t="s">
        <v>3264</v>
      </c>
      <c r="D1037" s="60" t="s">
        <v>3265</v>
      </c>
    </row>
    <row r="1038" spans="2:4" x14ac:dyDescent="0.35">
      <c r="B1038" s="60" t="s">
        <v>3266</v>
      </c>
      <c r="C1038" s="60" t="s">
        <v>3267</v>
      </c>
      <c r="D1038" s="60" t="s">
        <v>3268</v>
      </c>
    </row>
    <row r="1039" spans="2:4" x14ac:dyDescent="0.35">
      <c r="B1039" s="60" t="s">
        <v>3269</v>
      </c>
      <c r="C1039" s="60" t="s">
        <v>3270</v>
      </c>
      <c r="D1039" s="60" t="s">
        <v>3271</v>
      </c>
    </row>
    <row r="1040" spans="2:4" x14ac:dyDescent="0.35">
      <c r="B1040" s="60" t="s">
        <v>3272</v>
      </c>
      <c r="C1040" s="60" t="s">
        <v>3273</v>
      </c>
      <c r="D1040" s="60" t="s">
        <v>3274</v>
      </c>
    </row>
    <row r="1041" spans="2:4" x14ac:dyDescent="0.35">
      <c r="B1041" s="60" t="s">
        <v>3275</v>
      </c>
      <c r="C1041" s="60" t="s">
        <v>3276</v>
      </c>
      <c r="D1041" s="60" t="s">
        <v>3277</v>
      </c>
    </row>
    <row r="1042" spans="2:4" x14ac:dyDescent="0.35">
      <c r="B1042" s="60" t="s">
        <v>3278</v>
      </c>
      <c r="C1042" s="60" t="s">
        <v>3279</v>
      </c>
      <c r="D1042" s="60" t="s">
        <v>3280</v>
      </c>
    </row>
    <row r="1043" spans="2:4" x14ac:dyDescent="0.35">
      <c r="B1043" s="60" t="s">
        <v>3281</v>
      </c>
      <c r="C1043" s="60" t="s">
        <v>3282</v>
      </c>
      <c r="D1043" s="60" t="s">
        <v>3283</v>
      </c>
    </row>
    <row r="1044" spans="2:4" x14ac:dyDescent="0.35">
      <c r="B1044" s="60" t="s">
        <v>3284</v>
      </c>
      <c r="C1044" s="60" t="s">
        <v>3285</v>
      </c>
      <c r="D1044" s="60" t="s">
        <v>3286</v>
      </c>
    </row>
    <row r="1045" spans="2:4" x14ac:dyDescent="0.35">
      <c r="B1045" s="60" t="s">
        <v>3287</v>
      </c>
      <c r="C1045" s="60" t="s">
        <v>3288</v>
      </c>
      <c r="D1045" s="60" t="s">
        <v>3289</v>
      </c>
    </row>
    <row r="1046" spans="2:4" x14ac:dyDescent="0.35">
      <c r="B1046" s="60" t="s">
        <v>3290</v>
      </c>
      <c r="C1046" s="60" t="s">
        <v>3291</v>
      </c>
      <c r="D1046" s="60" t="s">
        <v>3292</v>
      </c>
    </row>
    <row r="1047" spans="2:4" x14ac:dyDescent="0.35">
      <c r="B1047" s="60" t="s">
        <v>3293</v>
      </c>
      <c r="C1047" s="60" t="s">
        <v>3294</v>
      </c>
      <c r="D1047" s="60" t="s">
        <v>3295</v>
      </c>
    </row>
    <row r="1048" spans="2:4" x14ac:dyDescent="0.35">
      <c r="B1048" s="60" t="s">
        <v>3296</v>
      </c>
      <c r="C1048" s="60" t="s">
        <v>3297</v>
      </c>
      <c r="D1048" s="60" t="s">
        <v>3298</v>
      </c>
    </row>
    <row r="1049" spans="2:4" x14ac:dyDescent="0.35">
      <c r="B1049" s="60" t="s">
        <v>3299</v>
      </c>
      <c r="C1049" s="60" t="s">
        <v>3300</v>
      </c>
      <c r="D1049" s="60" t="s">
        <v>3301</v>
      </c>
    </row>
    <row r="1050" spans="2:4" x14ac:dyDescent="0.35">
      <c r="B1050" s="60" t="s">
        <v>3302</v>
      </c>
      <c r="C1050" s="60" t="s">
        <v>3303</v>
      </c>
      <c r="D1050" s="60" t="s">
        <v>3304</v>
      </c>
    </row>
    <row r="1051" spans="2:4" x14ac:dyDescent="0.35">
      <c r="B1051" s="60" t="s">
        <v>3305</v>
      </c>
      <c r="C1051" s="60" t="s">
        <v>3306</v>
      </c>
      <c r="D1051" s="60" t="s">
        <v>3307</v>
      </c>
    </row>
    <row r="1052" spans="2:4" x14ac:dyDescent="0.35">
      <c r="B1052" s="60" t="s">
        <v>3308</v>
      </c>
      <c r="C1052" s="60" t="s">
        <v>3309</v>
      </c>
      <c r="D1052" s="60" t="s">
        <v>3310</v>
      </c>
    </row>
    <row r="1053" spans="2:4" x14ac:dyDescent="0.35">
      <c r="B1053" s="60" t="s">
        <v>3311</v>
      </c>
      <c r="C1053" s="60" t="s">
        <v>3312</v>
      </c>
      <c r="D1053" s="60" t="s">
        <v>3313</v>
      </c>
    </row>
    <row r="1054" spans="2:4" x14ac:dyDescent="0.35">
      <c r="B1054" s="60" t="s">
        <v>3314</v>
      </c>
      <c r="C1054" s="60" t="s">
        <v>3315</v>
      </c>
      <c r="D1054" s="60" t="s">
        <v>3316</v>
      </c>
    </row>
    <row r="1055" spans="2:4" x14ac:dyDescent="0.35">
      <c r="B1055" s="60" t="s">
        <v>3317</v>
      </c>
      <c r="C1055" s="60" t="s">
        <v>3318</v>
      </c>
      <c r="D1055" s="60" t="s">
        <v>3319</v>
      </c>
    </row>
    <row r="1056" spans="2:4" x14ac:dyDescent="0.35">
      <c r="B1056" s="60" t="s">
        <v>3320</v>
      </c>
      <c r="C1056" s="60" t="s">
        <v>3321</v>
      </c>
      <c r="D1056" s="60" t="s">
        <v>3322</v>
      </c>
    </row>
    <row r="1057" spans="2:4" x14ac:dyDescent="0.35">
      <c r="B1057" s="60" t="s">
        <v>3323</v>
      </c>
      <c r="C1057" s="60" t="s">
        <v>3324</v>
      </c>
      <c r="D1057" s="60" t="s">
        <v>3325</v>
      </c>
    </row>
    <row r="1058" spans="2:4" x14ac:dyDescent="0.35">
      <c r="B1058" s="60" t="s">
        <v>3326</v>
      </c>
      <c r="C1058" s="60" t="s">
        <v>3327</v>
      </c>
      <c r="D1058" s="60" t="s">
        <v>3328</v>
      </c>
    </row>
    <row r="1059" spans="2:4" x14ac:dyDescent="0.35">
      <c r="B1059" s="60" t="s">
        <v>3329</v>
      </c>
      <c r="C1059" s="60" t="s">
        <v>3330</v>
      </c>
      <c r="D1059" s="60" t="s">
        <v>3331</v>
      </c>
    </row>
    <row r="1060" spans="2:4" x14ac:dyDescent="0.35">
      <c r="B1060" s="60" t="s">
        <v>3329</v>
      </c>
      <c r="C1060" s="60" t="s">
        <v>3332</v>
      </c>
      <c r="D1060" s="60" t="s">
        <v>3331</v>
      </c>
    </row>
    <row r="1061" spans="2:4" x14ac:dyDescent="0.35">
      <c r="B1061" s="60" t="s">
        <v>3333</v>
      </c>
      <c r="C1061" s="60" t="s">
        <v>3334</v>
      </c>
      <c r="D1061" s="60" t="s">
        <v>3335</v>
      </c>
    </row>
    <row r="1062" spans="2:4" x14ac:dyDescent="0.35">
      <c r="B1062" s="60" t="s">
        <v>3336</v>
      </c>
      <c r="C1062" s="60" t="s">
        <v>3337</v>
      </c>
      <c r="D1062" s="60" t="s">
        <v>3338</v>
      </c>
    </row>
    <row r="1063" spans="2:4" x14ac:dyDescent="0.35">
      <c r="B1063" s="60" t="s">
        <v>3339</v>
      </c>
      <c r="C1063" s="60" t="s">
        <v>3340</v>
      </c>
      <c r="D1063" s="60" t="s">
        <v>3341</v>
      </c>
    </row>
    <row r="1064" spans="2:4" x14ac:dyDescent="0.35">
      <c r="B1064" s="60" t="s">
        <v>3342</v>
      </c>
      <c r="C1064" s="60" t="s">
        <v>3343</v>
      </c>
      <c r="D1064" s="60" t="s">
        <v>3344</v>
      </c>
    </row>
    <row r="1065" spans="2:4" x14ac:dyDescent="0.35">
      <c r="B1065" s="60" t="s">
        <v>3345</v>
      </c>
      <c r="C1065" s="60" t="s">
        <v>3346</v>
      </c>
      <c r="D1065" s="60" t="s">
        <v>3347</v>
      </c>
    </row>
    <row r="1066" spans="2:4" x14ac:dyDescent="0.35">
      <c r="B1066" s="60" t="s">
        <v>3348</v>
      </c>
      <c r="C1066" s="60" t="s">
        <v>3349</v>
      </c>
      <c r="D1066" s="60" t="s">
        <v>3350</v>
      </c>
    </row>
    <row r="1067" spans="2:4" x14ac:dyDescent="0.35">
      <c r="B1067" s="60" t="s">
        <v>3351</v>
      </c>
      <c r="C1067" s="60" t="s">
        <v>3352</v>
      </c>
      <c r="D1067" s="60" t="s">
        <v>3353</v>
      </c>
    </row>
    <row r="1068" spans="2:4" x14ac:dyDescent="0.35">
      <c r="B1068" s="60" t="s">
        <v>3354</v>
      </c>
      <c r="C1068" s="60" t="s">
        <v>3355</v>
      </c>
      <c r="D1068" s="60" t="s">
        <v>3356</v>
      </c>
    </row>
    <row r="1069" spans="2:4" x14ac:dyDescent="0.35">
      <c r="B1069" s="60" t="s">
        <v>3357</v>
      </c>
      <c r="C1069" s="60" t="s">
        <v>3358</v>
      </c>
      <c r="D1069" s="60" t="s">
        <v>3359</v>
      </c>
    </row>
    <row r="1070" spans="2:4" x14ac:dyDescent="0.35">
      <c r="B1070" s="60" t="s">
        <v>3360</v>
      </c>
      <c r="C1070" s="60" t="s">
        <v>3361</v>
      </c>
      <c r="D1070" s="60" t="s">
        <v>3362</v>
      </c>
    </row>
    <row r="1071" spans="2:4" x14ac:dyDescent="0.35">
      <c r="B1071" s="60" t="s">
        <v>3363</v>
      </c>
      <c r="C1071" s="60" t="s">
        <v>3364</v>
      </c>
      <c r="D1071" s="60" t="s">
        <v>3365</v>
      </c>
    </row>
    <row r="1072" spans="2:4" x14ac:dyDescent="0.35">
      <c r="B1072" s="60" t="s">
        <v>3366</v>
      </c>
      <c r="C1072" s="60" t="s">
        <v>3367</v>
      </c>
      <c r="D1072" s="60" t="s">
        <v>3368</v>
      </c>
    </row>
    <row r="1073" spans="2:4" x14ac:dyDescent="0.35">
      <c r="B1073" s="60" t="s">
        <v>3369</v>
      </c>
      <c r="C1073" s="60" t="s">
        <v>3370</v>
      </c>
      <c r="D1073" s="60" t="s">
        <v>3371</v>
      </c>
    </row>
    <row r="1074" spans="2:4" x14ac:dyDescent="0.35">
      <c r="B1074" s="60" t="s">
        <v>3372</v>
      </c>
      <c r="C1074" s="60" t="s">
        <v>3373</v>
      </c>
      <c r="D1074" s="60" t="s">
        <v>3374</v>
      </c>
    </row>
    <row r="1075" spans="2:4" x14ac:dyDescent="0.35">
      <c r="B1075" s="60" t="s">
        <v>3375</v>
      </c>
      <c r="C1075" s="60" t="s">
        <v>3376</v>
      </c>
      <c r="D1075" s="60" t="s">
        <v>3377</v>
      </c>
    </row>
    <row r="1076" spans="2:4" x14ac:dyDescent="0.35">
      <c r="B1076" s="60" t="s">
        <v>3378</v>
      </c>
      <c r="C1076" s="60" t="s">
        <v>3379</v>
      </c>
      <c r="D1076" s="60" t="s">
        <v>3380</v>
      </c>
    </row>
    <row r="1077" spans="2:4" x14ac:dyDescent="0.35">
      <c r="B1077" s="60" t="s">
        <v>3381</v>
      </c>
      <c r="C1077" s="60" t="s">
        <v>3382</v>
      </c>
      <c r="D1077" s="60" t="s">
        <v>3383</v>
      </c>
    </row>
    <row r="1078" spans="2:4" x14ac:dyDescent="0.35">
      <c r="B1078" s="60" t="s">
        <v>3384</v>
      </c>
      <c r="C1078" s="60" t="s">
        <v>3385</v>
      </c>
      <c r="D1078" s="60" t="s">
        <v>3386</v>
      </c>
    </row>
    <row r="1079" spans="2:4" x14ac:dyDescent="0.35">
      <c r="B1079" s="60" t="s">
        <v>3387</v>
      </c>
      <c r="C1079" s="60" t="s">
        <v>3388</v>
      </c>
      <c r="D1079" s="60" t="s">
        <v>3389</v>
      </c>
    </row>
    <row r="1080" spans="2:4" x14ac:dyDescent="0.35">
      <c r="B1080" s="60" t="s">
        <v>3390</v>
      </c>
      <c r="C1080" s="60" t="s">
        <v>3391</v>
      </c>
      <c r="D1080" s="60" t="s">
        <v>3392</v>
      </c>
    </row>
    <row r="1081" spans="2:4" x14ac:dyDescent="0.35">
      <c r="B1081" s="60" t="s">
        <v>3393</v>
      </c>
      <c r="C1081" s="60" t="s">
        <v>3394</v>
      </c>
      <c r="D1081" s="60" t="s">
        <v>3395</v>
      </c>
    </row>
    <row r="1082" spans="2:4" x14ac:dyDescent="0.35">
      <c r="B1082" s="60" t="s">
        <v>3396</v>
      </c>
      <c r="C1082" s="60" t="s">
        <v>3397</v>
      </c>
      <c r="D1082" s="60" t="s">
        <v>3398</v>
      </c>
    </row>
    <row r="1083" spans="2:4" x14ac:dyDescent="0.35">
      <c r="B1083" s="60" t="s">
        <v>3399</v>
      </c>
      <c r="C1083" s="60" t="s">
        <v>3400</v>
      </c>
      <c r="D1083" s="60" t="s">
        <v>1364</v>
      </c>
    </row>
    <row r="1084" spans="2:4" x14ac:dyDescent="0.35">
      <c r="B1084" s="60" t="s">
        <v>3401</v>
      </c>
      <c r="C1084" s="60" t="s">
        <v>3402</v>
      </c>
      <c r="D1084" s="60" t="s">
        <v>3403</v>
      </c>
    </row>
    <row r="1085" spans="2:4" x14ac:dyDescent="0.35">
      <c r="B1085" s="60" t="s">
        <v>3404</v>
      </c>
      <c r="C1085" s="60" t="s">
        <v>3405</v>
      </c>
      <c r="D1085" s="60" t="s">
        <v>3406</v>
      </c>
    </row>
    <row r="1086" spans="2:4" x14ac:dyDescent="0.35">
      <c r="B1086" s="60" t="s">
        <v>3407</v>
      </c>
      <c r="C1086" s="60" t="s">
        <v>3408</v>
      </c>
      <c r="D1086" s="60" t="s">
        <v>3409</v>
      </c>
    </row>
    <row r="1087" spans="2:4" x14ac:dyDescent="0.35">
      <c r="B1087" s="60" t="s">
        <v>3410</v>
      </c>
      <c r="C1087" s="60" t="s">
        <v>3411</v>
      </c>
      <c r="D1087" s="60" t="s">
        <v>3412</v>
      </c>
    </row>
    <row r="1088" spans="2:4" x14ac:dyDescent="0.35">
      <c r="B1088" s="60" t="s">
        <v>3413</v>
      </c>
      <c r="C1088" s="60" t="s">
        <v>3414</v>
      </c>
      <c r="D1088" s="60" t="s">
        <v>3415</v>
      </c>
    </row>
    <row r="1089" spans="2:4" x14ac:dyDescent="0.35">
      <c r="B1089" s="60" t="s">
        <v>3416</v>
      </c>
      <c r="C1089" s="60" t="s">
        <v>3417</v>
      </c>
      <c r="D1089" s="60" t="s">
        <v>3418</v>
      </c>
    </row>
    <row r="1090" spans="2:4" x14ac:dyDescent="0.35">
      <c r="B1090" s="60" t="s">
        <v>3419</v>
      </c>
      <c r="C1090" s="60" t="s">
        <v>3420</v>
      </c>
      <c r="D1090" s="60" t="s">
        <v>3421</v>
      </c>
    </row>
    <row r="1091" spans="2:4" x14ac:dyDescent="0.35">
      <c r="B1091" s="60" t="s">
        <v>3419</v>
      </c>
      <c r="C1091" s="60" t="s">
        <v>3422</v>
      </c>
      <c r="D1091" s="60" t="s">
        <v>3421</v>
      </c>
    </row>
    <row r="1092" spans="2:4" x14ac:dyDescent="0.35">
      <c r="B1092" s="60" t="s">
        <v>3423</v>
      </c>
      <c r="C1092" s="60" t="s">
        <v>3424</v>
      </c>
      <c r="D1092" s="60" t="s">
        <v>3425</v>
      </c>
    </row>
    <row r="1093" spans="2:4" x14ac:dyDescent="0.35">
      <c r="B1093" s="60" t="s">
        <v>3426</v>
      </c>
      <c r="C1093" s="60" t="s">
        <v>3427</v>
      </c>
      <c r="D1093" s="60" t="s">
        <v>3428</v>
      </c>
    </row>
    <row r="1094" spans="2:4" x14ac:dyDescent="0.35">
      <c r="B1094" s="60" t="s">
        <v>3429</v>
      </c>
      <c r="C1094" s="60" t="s">
        <v>3430</v>
      </c>
      <c r="D1094" s="60" t="s">
        <v>3431</v>
      </c>
    </row>
    <row r="1095" spans="2:4" x14ac:dyDescent="0.35">
      <c r="B1095" s="60" t="s">
        <v>3432</v>
      </c>
      <c r="C1095" s="60" t="s">
        <v>3433</v>
      </c>
      <c r="D1095" s="60" t="s">
        <v>3434</v>
      </c>
    </row>
    <row r="1096" spans="2:4" x14ac:dyDescent="0.35">
      <c r="B1096" s="60" t="s">
        <v>3435</v>
      </c>
      <c r="C1096" s="60" t="s">
        <v>3436</v>
      </c>
      <c r="D1096" s="60" t="s">
        <v>3437</v>
      </c>
    </row>
    <row r="1097" spans="2:4" x14ac:dyDescent="0.35">
      <c r="B1097" s="60" t="s">
        <v>3438</v>
      </c>
      <c r="C1097" s="60" t="s">
        <v>3439</v>
      </c>
      <c r="D1097" s="60" t="s">
        <v>3440</v>
      </c>
    </row>
    <row r="1098" spans="2:4" x14ac:dyDescent="0.35">
      <c r="B1098" s="60" t="s">
        <v>3441</v>
      </c>
      <c r="C1098" s="60" t="s">
        <v>3442</v>
      </c>
      <c r="D1098" s="60" t="s">
        <v>3443</v>
      </c>
    </row>
    <row r="1099" spans="2:4" x14ac:dyDescent="0.35">
      <c r="B1099" s="60" t="s">
        <v>3444</v>
      </c>
      <c r="C1099" s="60" t="s">
        <v>3445</v>
      </c>
      <c r="D1099" s="60" t="s">
        <v>3446</v>
      </c>
    </row>
    <row r="1100" spans="2:4" x14ac:dyDescent="0.35">
      <c r="B1100" s="60" t="s">
        <v>3447</v>
      </c>
      <c r="C1100" s="60" t="s">
        <v>3448</v>
      </c>
      <c r="D1100" s="60" t="s">
        <v>3449</v>
      </c>
    </row>
    <row r="1101" spans="2:4" x14ac:dyDescent="0.35">
      <c r="B1101" s="60" t="s">
        <v>3450</v>
      </c>
      <c r="C1101" s="60" t="s">
        <v>3451</v>
      </c>
      <c r="D1101" s="60" t="s">
        <v>3452</v>
      </c>
    </row>
    <row r="1102" spans="2:4" x14ac:dyDescent="0.35">
      <c r="B1102" s="60" t="s">
        <v>3453</v>
      </c>
      <c r="C1102" s="60" t="s">
        <v>3454</v>
      </c>
      <c r="D1102" s="60" t="s">
        <v>3455</v>
      </c>
    </row>
    <row r="1103" spans="2:4" x14ac:dyDescent="0.35">
      <c r="B1103" s="60" t="s">
        <v>3456</v>
      </c>
      <c r="C1103" s="60" t="s">
        <v>3457</v>
      </c>
      <c r="D1103" s="60" t="s">
        <v>3458</v>
      </c>
    </row>
    <row r="1104" spans="2:4" x14ac:dyDescent="0.35">
      <c r="B1104" s="60" t="s">
        <v>3459</v>
      </c>
      <c r="C1104" s="60" t="s">
        <v>3460</v>
      </c>
      <c r="D1104" s="60" t="s">
        <v>3461</v>
      </c>
    </row>
    <row r="1105" spans="2:4" x14ac:dyDescent="0.35">
      <c r="B1105" s="60" t="s">
        <v>3462</v>
      </c>
      <c r="C1105" s="60" t="s">
        <v>3463</v>
      </c>
      <c r="D1105" s="60" t="s">
        <v>3464</v>
      </c>
    </row>
    <row r="1106" spans="2:4" x14ac:dyDescent="0.35">
      <c r="B1106" s="60" t="s">
        <v>3465</v>
      </c>
      <c r="C1106" s="60" t="s">
        <v>3466</v>
      </c>
      <c r="D1106" s="60" t="s">
        <v>3467</v>
      </c>
    </row>
    <row r="1107" spans="2:4" x14ac:dyDescent="0.35">
      <c r="B1107" s="60" t="s">
        <v>3468</v>
      </c>
      <c r="C1107" s="60" t="s">
        <v>3469</v>
      </c>
      <c r="D1107" s="60" t="s">
        <v>3470</v>
      </c>
    </row>
    <row r="1108" spans="2:4" x14ac:dyDescent="0.35">
      <c r="B1108" s="60" t="s">
        <v>3471</v>
      </c>
      <c r="C1108" s="60" t="s">
        <v>3472</v>
      </c>
      <c r="D1108" s="60" t="s">
        <v>3473</v>
      </c>
    </row>
    <row r="1109" spans="2:4" x14ac:dyDescent="0.35">
      <c r="B1109" s="60" t="s">
        <v>3474</v>
      </c>
      <c r="C1109" s="60" t="s">
        <v>3475</v>
      </c>
      <c r="D1109" s="60" t="s">
        <v>3476</v>
      </c>
    </row>
    <row r="1110" spans="2:4" x14ac:dyDescent="0.35">
      <c r="B1110" s="60" t="s">
        <v>3477</v>
      </c>
      <c r="C1110" s="60" t="s">
        <v>3478</v>
      </c>
      <c r="D1110" s="60" t="s">
        <v>3479</v>
      </c>
    </row>
    <row r="1111" spans="2:4" x14ac:dyDescent="0.35">
      <c r="B1111" s="60" t="s">
        <v>3480</v>
      </c>
      <c r="C1111" s="60" t="s">
        <v>3481</v>
      </c>
      <c r="D1111" s="60" t="s">
        <v>3482</v>
      </c>
    </row>
    <row r="1112" spans="2:4" x14ac:dyDescent="0.35">
      <c r="B1112" s="60" t="s">
        <v>3483</v>
      </c>
      <c r="C1112" s="60" t="s">
        <v>3484</v>
      </c>
      <c r="D1112" s="60" t="s">
        <v>3485</v>
      </c>
    </row>
    <row r="1113" spans="2:4" x14ac:dyDescent="0.35">
      <c r="B1113" s="60" t="s">
        <v>3486</v>
      </c>
      <c r="C1113" s="60" t="s">
        <v>3487</v>
      </c>
      <c r="D1113" s="60" t="s">
        <v>3488</v>
      </c>
    </row>
    <row r="1114" spans="2:4" x14ac:dyDescent="0.35">
      <c r="B1114" s="60" t="s">
        <v>3489</v>
      </c>
      <c r="C1114" s="60" t="s">
        <v>3490</v>
      </c>
      <c r="D1114" s="60" t="s">
        <v>3491</v>
      </c>
    </row>
    <row r="1115" spans="2:4" x14ac:dyDescent="0.35">
      <c r="B1115" s="60" t="s">
        <v>3492</v>
      </c>
      <c r="C1115" s="60" t="s">
        <v>3493</v>
      </c>
      <c r="D1115" s="60" t="s">
        <v>3494</v>
      </c>
    </row>
    <row r="1116" spans="2:4" x14ac:dyDescent="0.35">
      <c r="B1116" s="60" t="s">
        <v>3495</v>
      </c>
      <c r="C1116" s="60" t="s">
        <v>3496</v>
      </c>
      <c r="D1116" s="60" t="s">
        <v>3497</v>
      </c>
    </row>
    <row r="1117" spans="2:4" x14ac:dyDescent="0.35">
      <c r="B1117" s="60" t="s">
        <v>3498</v>
      </c>
      <c r="C1117" s="60" t="s">
        <v>3499</v>
      </c>
      <c r="D1117" s="60" t="s">
        <v>3500</v>
      </c>
    </row>
    <row r="1118" spans="2:4" x14ac:dyDescent="0.35">
      <c r="B1118" s="60" t="s">
        <v>3501</v>
      </c>
      <c r="C1118" s="60" t="s">
        <v>3502</v>
      </c>
      <c r="D1118" s="60" t="s">
        <v>3503</v>
      </c>
    </row>
    <row r="1119" spans="2:4" x14ac:dyDescent="0.35">
      <c r="B1119" s="60" t="s">
        <v>3504</v>
      </c>
      <c r="C1119" s="60" t="s">
        <v>3505</v>
      </c>
      <c r="D1119" s="60" t="s">
        <v>3506</v>
      </c>
    </row>
    <row r="1120" spans="2:4" x14ac:dyDescent="0.35">
      <c r="B1120" s="60" t="s">
        <v>3507</v>
      </c>
      <c r="C1120" s="60" t="s">
        <v>3508</v>
      </c>
      <c r="D1120" s="60" t="s">
        <v>3509</v>
      </c>
    </row>
    <row r="1121" spans="2:4" x14ac:dyDescent="0.35">
      <c r="B1121" s="60" t="s">
        <v>3510</v>
      </c>
      <c r="C1121" s="60" t="s">
        <v>3511</v>
      </c>
      <c r="D1121" s="60" t="s">
        <v>3512</v>
      </c>
    </row>
    <row r="1122" spans="2:4" x14ac:dyDescent="0.35">
      <c r="B1122" s="60" t="s">
        <v>3510</v>
      </c>
      <c r="C1122" s="60" t="s">
        <v>3513</v>
      </c>
      <c r="D1122" s="60" t="s">
        <v>3514</v>
      </c>
    </row>
    <row r="1123" spans="2:4" x14ac:dyDescent="0.35">
      <c r="B1123" s="60" t="s">
        <v>3515</v>
      </c>
      <c r="C1123" s="60" t="s">
        <v>3516</v>
      </c>
      <c r="D1123" s="60" t="s">
        <v>3517</v>
      </c>
    </row>
    <row r="1124" spans="2:4" x14ac:dyDescent="0.35">
      <c r="B1124" s="60" t="s">
        <v>3518</v>
      </c>
      <c r="C1124" s="60" t="s">
        <v>3519</v>
      </c>
      <c r="D1124" s="60" t="s">
        <v>3520</v>
      </c>
    </row>
    <row r="1125" spans="2:4" x14ac:dyDescent="0.35">
      <c r="B1125" s="60" t="s">
        <v>3521</v>
      </c>
      <c r="C1125" s="60" t="s">
        <v>3522</v>
      </c>
      <c r="D1125" s="60" t="s">
        <v>3523</v>
      </c>
    </row>
    <row r="1126" spans="2:4" x14ac:dyDescent="0.35">
      <c r="B1126" s="60" t="s">
        <v>3524</v>
      </c>
      <c r="C1126" s="60" t="s">
        <v>3525</v>
      </c>
      <c r="D1126" s="60" t="s">
        <v>3526</v>
      </c>
    </row>
    <row r="1127" spans="2:4" x14ac:dyDescent="0.35">
      <c r="B1127" s="60" t="s">
        <v>3527</v>
      </c>
      <c r="C1127" s="60" t="s">
        <v>3528</v>
      </c>
      <c r="D1127" s="60" t="s">
        <v>3529</v>
      </c>
    </row>
    <row r="1128" spans="2:4" x14ac:dyDescent="0.35">
      <c r="B1128" s="60" t="s">
        <v>3530</v>
      </c>
      <c r="C1128" s="60" t="s">
        <v>3531</v>
      </c>
      <c r="D1128" s="60" t="s">
        <v>3532</v>
      </c>
    </row>
    <row r="1129" spans="2:4" x14ac:dyDescent="0.35">
      <c r="B1129" s="60" t="s">
        <v>3530</v>
      </c>
      <c r="C1129" s="60" t="s">
        <v>3533</v>
      </c>
      <c r="D1129" s="60" t="s">
        <v>3534</v>
      </c>
    </row>
    <row r="1130" spans="2:4" x14ac:dyDescent="0.35">
      <c r="B1130" s="60" t="s">
        <v>3535</v>
      </c>
      <c r="C1130" s="60" t="s">
        <v>3536</v>
      </c>
      <c r="D1130" s="60" t="s">
        <v>3537</v>
      </c>
    </row>
    <row r="1131" spans="2:4" x14ac:dyDescent="0.35">
      <c r="B1131" s="60" t="s">
        <v>3538</v>
      </c>
      <c r="C1131" s="60" t="s">
        <v>3539</v>
      </c>
      <c r="D1131" s="60" t="s">
        <v>3540</v>
      </c>
    </row>
    <row r="1132" spans="2:4" x14ac:dyDescent="0.35">
      <c r="B1132" s="60" t="s">
        <v>3541</v>
      </c>
      <c r="C1132" s="60" t="s">
        <v>3542</v>
      </c>
      <c r="D1132" s="60" t="s">
        <v>3543</v>
      </c>
    </row>
    <row r="1133" spans="2:4" x14ac:dyDescent="0.35">
      <c r="B1133" s="60" t="s">
        <v>3544</v>
      </c>
      <c r="C1133" s="60" t="s">
        <v>3545</v>
      </c>
      <c r="D1133" s="60" t="s">
        <v>3546</v>
      </c>
    </row>
    <row r="1134" spans="2:4" x14ac:dyDescent="0.35">
      <c r="B1134" s="60" t="s">
        <v>3547</v>
      </c>
      <c r="C1134" s="60" t="s">
        <v>3548</v>
      </c>
      <c r="D1134" s="60" t="s">
        <v>3549</v>
      </c>
    </row>
    <row r="1135" spans="2:4" x14ac:dyDescent="0.35">
      <c r="B1135" s="60" t="s">
        <v>3550</v>
      </c>
      <c r="C1135" s="60" t="s">
        <v>3551</v>
      </c>
      <c r="D1135" s="60" t="s">
        <v>3552</v>
      </c>
    </row>
    <row r="1136" spans="2:4" x14ac:dyDescent="0.35">
      <c r="B1136" s="60" t="s">
        <v>3553</v>
      </c>
      <c r="C1136" s="60" t="s">
        <v>3554</v>
      </c>
      <c r="D1136" s="60" t="s">
        <v>3555</v>
      </c>
    </row>
    <row r="1137" spans="2:4" x14ac:dyDescent="0.35">
      <c r="B1137" s="60" t="s">
        <v>3556</v>
      </c>
      <c r="C1137" s="60" t="s">
        <v>3557</v>
      </c>
      <c r="D1137" s="60" t="s">
        <v>3558</v>
      </c>
    </row>
    <row r="1138" spans="2:4" x14ac:dyDescent="0.35">
      <c r="B1138" s="60" t="s">
        <v>3559</v>
      </c>
      <c r="C1138" s="60" t="s">
        <v>3560</v>
      </c>
      <c r="D1138" s="60" t="s">
        <v>3561</v>
      </c>
    </row>
    <row r="1139" spans="2:4" x14ac:dyDescent="0.35">
      <c r="B1139" s="60" t="s">
        <v>3562</v>
      </c>
      <c r="C1139" s="60" t="s">
        <v>3563</v>
      </c>
      <c r="D1139" s="60" t="s">
        <v>3564</v>
      </c>
    </row>
    <row r="1140" spans="2:4" x14ac:dyDescent="0.35">
      <c r="B1140" s="60" t="s">
        <v>3565</v>
      </c>
      <c r="C1140" s="60" t="s">
        <v>3566</v>
      </c>
      <c r="D1140" s="60" t="s">
        <v>3567</v>
      </c>
    </row>
    <row r="1141" spans="2:4" x14ac:dyDescent="0.35">
      <c r="B1141" s="60" t="s">
        <v>3568</v>
      </c>
      <c r="C1141" s="60" t="s">
        <v>3569</v>
      </c>
      <c r="D1141" s="60" t="s">
        <v>3570</v>
      </c>
    </row>
    <row r="1142" spans="2:4" x14ac:dyDescent="0.35">
      <c r="B1142" s="60" t="s">
        <v>3571</v>
      </c>
      <c r="C1142" s="60" t="s">
        <v>3572</v>
      </c>
      <c r="D1142" s="60" t="s">
        <v>3573</v>
      </c>
    </row>
    <row r="1143" spans="2:4" x14ac:dyDescent="0.35">
      <c r="B1143" s="60" t="s">
        <v>3574</v>
      </c>
      <c r="C1143" s="60" t="s">
        <v>3575</v>
      </c>
      <c r="D1143" s="60" t="s">
        <v>3576</v>
      </c>
    </row>
    <row r="1144" spans="2:4" x14ac:dyDescent="0.35">
      <c r="B1144" s="60" t="s">
        <v>3577</v>
      </c>
      <c r="C1144" s="60" t="s">
        <v>3578</v>
      </c>
      <c r="D1144" s="60" t="s">
        <v>3579</v>
      </c>
    </row>
    <row r="1145" spans="2:4" x14ac:dyDescent="0.35">
      <c r="B1145" s="60" t="s">
        <v>3580</v>
      </c>
      <c r="C1145" s="60" t="s">
        <v>3581</v>
      </c>
      <c r="D1145" s="60" t="s">
        <v>3582</v>
      </c>
    </row>
    <row r="1146" spans="2:4" x14ac:dyDescent="0.35">
      <c r="B1146" s="60" t="s">
        <v>3583</v>
      </c>
      <c r="C1146" s="60" t="s">
        <v>3584</v>
      </c>
      <c r="D1146" s="60" t="s">
        <v>3585</v>
      </c>
    </row>
    <row r="1147" spans="2:4" x14ac:dyDescent="0.35">
      <c r="B1147" s="60" t="s">
        <v>3586</v>
      </c>
      <c r="C1147" s="60" t="s">
        <v>3587</v>
      </c>
      <c r="D1147" s="60" t="s">
        <v>3588</v>
      </c>
    </row>
    <row r="1148" spans="2:4" x14ac:dyDescent="0.35">
      <c r="B1148" s="60" t="s">
        <v>3589</v>
      </c>
      <c r="C1148" s="60" t="s">
        <v>3590</v>
      </c>
      <c r="D1148" s="60" t="s">
        <v>3591</v>
      </c>
    </row>
    <row r="1149" spans="2:4" x14ac:dyDescent="0.35">
      <c r="B1149" s="60" t="s">
        <v>3592</v>
      </c>
      <c r="C1149" s="60" t="s">
        <v>3593</v>
      </c>
      <c r="D1149" s="60" t="s">
        <v>3594</v>
      </c>
    </row>
    <row r="1150" spans="2:4" x14ac:dyDescent="0.35">
      <c r="B1150" s="60" t="s">
        <v>3595</v>
      </c>
      <c r="C1150" s="60" t="s">
        <v>3596</v>
      </c>
      <c r="D1150" s="60" t="s">
        <v>3597</v>
      </c>
    </row>
    <row r="1151" spans="2:4" x14ac:dyDescent="0.35">
      <c r="B1151" s="60" t="s">
        <v>3598</v>
      </c>
      <c r="C1151" s="60" t="s">
        <v>3599</v>
      </c>
      <c r="D1151" s="60" t="s">
        <v>3600</v>
      </c>
    </row>
    <row r="1152" spans="2:4" x14ac:dyDescent="0.35">
      <c r="B1152" s="60" t="s">
        <v>3601</v>
      </c>
      <c r="C1152" s="60" t="s">
        <v>3602</v>
      </c>
      <c r="D1152" s="60" t="s">
        <v>3603</v>
      </c>
    </row>
    <row r="1153" spans="2:4" x14ac:dyDescent="0.35">
      <c r="B1153" s="60" t="s">
        <v>3604</v>
      </c>
      <c r="C1153" s="60" t="s">
        <v>3605</v>
      </c>
      <c r="D1153" s="60" t="s">
        <v>3606</v>
      </c>
    </row>
    <row r="1154" spans="2:4" x14ac:dyDescent="0.35">
      <c r="B1154" s="60" t="s">
        <v>3607</v>
      </c>
      <c r="C1154" s="60" t="s">
        <v>3608</v>
      </c>
      <c r="D1154" s="60" t="s">
        <v>3609</v>
      </c>
    </row>
    <row r="1155" spans="2:4" x14ac:dyDescent="0.35">
      <c r="B1155" s="60" t="s">
        <v>3610</v>
      </c>
      <c r="C1155" s="60" t="s">
        <v>3611</v>
      </c>
      <c r="D1155" s="60" t="s">
        <v>3612</v>
      </c>
    </row>
    <row r="1156" spans="2:4" x14ac:dyDescent="0.35">
      <c r="B1156" s="60" t="s">
        <v>3613</v>
      </c>
      <c r="C1156" s="60" t="s">
        <v>3614</v>
      </c>
      <c r="D1156" s="60" t="s">
        <v>3615</v>
      </c>
    </row>
    <row r="1157" spans="2:4" x14ac:dyDescent="0.35">
      <c r="B1157" s="60" t="s">
        <v>3616</v>
      </c>
      <c r="C1157" s="60" t="s">
        <v>3617</v>
      </c>
      <c r="D1157" s="60" t="s">
        <v>3618</v>
      </c>
    </row>
    <row r="1158" spans="2:4" x14ac:dyDescent="0.35">
      <c r="B1158" s="60" t="s">
        <v>3619</v>
      </c>
      <c r="C1158" s="60" t="s">
        <v>3620</v>
      </c>
      <c r="D1158" s="60" t="s">
        <v>3621</v>
      </c>
    </row>
    <row r="1159" spans="2:4" x14ac:dyDescent="0.35">
      <c r="B1159" s="60" t="s">
        <v>3622</v>
      </c>
      <c r="C1159" s="60" t="s">
        <v>3623</v>
      </c>
      <c r="D1159" s="60" t="s">
        <v>3624</v>
      </c>
    </row>
    <row r="1160" spans="2:4" x14ac:dyDescent="0.35">
      <c r="B1160" s="60" t="s">
        <v>3625</v>
      </c>
      <c r="C1160" s="60" t="s">
        <v>3626</v>
      </c>
      <c r="D1160" s="60" t="s">
        <v>3627</v>
      </c>
    </row>
    <row r="1161" spans="2:4" x14ac:dyDescent="0.35">
      <c r="B1161" s="60" t="s">
        <v>3628</v>
      </c>
      <c r="C1161" s="60" t="s">
        <v>3629</v>
      </c>
      <c r="D1161" s="60" t="s">
        <v>3630</v>
      </c>
    </row>
    <row r="1162" spans="2:4" x14ac:dyDescent="0.35">
      <c r="B1162" s="60" t="s">
        <v>3631</v>
      </c>
      <c r="C1162" s="60" t="s">
        <v>3632</v>
      </c>
      <c r="D1162" s="60" t="s">
        <v>3633</v>
      </c>
    </row>
    <row r="1163" spans="2:4" x14ac:dyDescent="0.35">
      <c r="B1163" s="60" t="s">
        <v>3634</v>
      </c>
      <c r="C1163" s="60" t="s">
        <v>3635</v>
      </c>
      <c r="D1163" s="60" t="s">
        <v>3636</v>
      </c>
    </row>
    <row r="1164" spans="2:4" x14ac:dyDescent="0.35">
      <c r="B1164" s="60" t="s">
        <v>3637</v>
      </c>
      <c r="C1164" s="60" t="s">
        <v>3638</v>
      </c>
      <c r="D1164" s="60" t="s">
        <v>3639</v>
      </c>
    </row>
    <row r="1165" spans="2:4" x14ac:dyDescent="0.35">
      <c r="B1165" s="60" t="s">
        <v>3640</v>
      </c>
      <c r="C1165" s="60" t="s">
        <v>3641</v>
      </c>
      <c r="D1165" s="60" t="s">
        <v>3642</v>
      </c>
    </row>
    <row r="1166" spans="2:4" x14ac:dyDescent="0.35">
      <c r="B1166" s="60" t="s">
        <v>3643</v>
      </c>
      <c r="C1166" s="60" t="s">
        <v>3644</v>
      </c>
      <c r="D1166" s="60" t="s">
        <v>3645</v>
      </c>
    </row>
    <row r="1167" spans="2:4" x14ac:dyDescent="0.35">
      <c r="B1167" s="60" t="s">
        <v>3646</v>
      </c>
      <c r="C1167" s="60" t="s">
        <v>3647</v>
      </c>
      <c r="D1167" s="60" t="s">
        <v>3648</v>
      </c>
    </row>
    <row r="1168" spans="2:4" x14ac:dyDescent="0.35">
      <c r="B1168" s="60" t="s">
        <v>3649</v>
      </c>
      <c r="C1168" s="60" t="s">
        <v>3650</v>
      </c>
      <c r="D1168" s="60" t="s">
        <v>3651</v>
      </c>
    </row>
    <row r="1169" spans="2:4" x14ac:dyDescent="0.35">
      <c r="B1169" s="60" t="s">
        <v>3652</v>
      </c>
      <c r="C1169" s="60" t="s">
        <v>3653</v>
      </c>
      <c r="D1169" s="60" t="s">
        <v>3654</v>
      </c>
    </row>
    <row r="1170" spans="2:4" x14ac:dyDescent="0.35">
      <c r="B1170" s="60" t="s">
        <v>3655</v>
      </c>
      <c r="C1170" s="60" t="s">
        <v>3656</v>
      </c>
      <c r="D1170" s="60" t="s">
        <v>3657</v>
      </c>
    </row>
    <row r="1171" spans="2:4" x14ac:dyDescent="0.35">
      <c r="B1171" s="60" t="s">
        <v>3658</v>
      </c>
      <c r="C1171" s="60" t="s">
        <v>3659</v>
      </c>
      <c r="D1171" s="60" t="s">
        <v>3660</v>
      </c>
    </row>
    <row r="1172" spans="2:4" x14ac:dyDescent="0.35">
      <c r="B1172" s="60" t="s">
        <v>3661</v>
      </c>
      <c r="C1172" s="60" t="s">
        <v>3662</v>
      </c>
      <c r="D1172" s="60" t="s">
        <v>3663</v>
      </c>
    </row>
    <row r="1173" spans="2:4" x14ac:dyDescent="0.35">
      <c r="B1173" s="60" t="s">
        <v>3664</v>
      </c>
      <c r="C1173" s="60" t="s">
        <v>3665</v>
      </c>
      <c r="D1173" s="60" t="s">
        <v>3666</v>
      </c>
    </row>
    <row r="1174" spans="2:4" x14ac:dyDescent="0.35">
      <c r="B1174" s="60" t="s">
        <v>3667</v>
      </c>
      <c r="C1174" s="60" t="s">
        <v>3668</v>
      </c>
      <c r="D1174" s="60" t="s">
        <v>3669</v>
      </c>
    </row>
    <row r="1175" spans="2:4" x14ac:dyDescent="0.35">
      <c r="B1175" s="60" t="s">
        <v>3670</v>
      </c>
      <c r="C1175" s="60" t="s">
        <v>3671</v>
      </c>
      <c r="D1175" s="60" t="s">
        <v>3672</v>
      </c>
    </row>
    <row r="1176" spans="2:4" x14ac:dyDescent="0.35">
      <c r="B1176" s="60" t="s">
        <v>3673</v>
      </c>
      <c r="C1176" s="60" t="s">
        <v>3674</v>
      </c>
      <c r="D1176" s="60" t="s">
        <v>3675</v>
      </c>
    </row>
    <row r="1177" spans="2:4" x14ac:dyDescent="0.35">
      <c r="B1177" s="60" t="s">
        <v>3676</v>
      </c>
      <c r="C1177" s="60" t="s">
        <v>3677</v>
      </c>
      <c r="D1177" s="60" t="s">
        <v>3678</v>
      </c>
    </row>
    <row r="1178" spans="2:4" x14ac:dyDescent="0.35">
      <c r="B1178" s="60" t="s">
        <v>3679</v>
      </c>
      <c r="C1178" s="60" t="s">
        <v>3680</v>
      </c>
      <c r="D1178" s="60" t="s">
        <v>3681</v>
      </c>
    </row>
    <row r="1179" spans="2:4" x14ac:dyDescent="0.35">
      <c r="B1179" s="60" t="s">
        <v>3682</v>
      </c>
      <c r="C1179" s="60" t="s">
        <v>3683</v>
      </c>
      <c r="D1179" s="60" t="s">
        <v>3684</v>
      </c>
    </row>
    <row r="1180" spans="2:4" x14ac:dyDescent="0.35">
      <c r="B1180" s="60" t="s">
        <v>3685</v>
      </c>
      <c r="C1180" s="60" t="s">
        <v>3686</v>
      </c>
      <c r="D1180" s="60" t="s">
        <v>3687</v>
      </c>
    </row>
    <row r="1181" spans="2:4" x14ac:dyDescent="0.35">
      <c r="B1181" s="60" t="s">
        <v>3688</v>
      </c>
      <c r="C1181" s="60" t="s">
        <v>3689</v>
      </c>
      <c r="D1181" s="60" t="s">
        <v>3690</v>
      </c>
    </row>
    <row r="1182" spans="2:4" x14ac:dyDescent="0.35">
      <c r="B1182" s="60" t="s">
        <v>3691</v>
      </c>
      <c r="C1182" s="60" t="s">
        <v>3692</v>
      </c>
      <c r="D1182" s="60" t="s">
        <v>3693</v>
      </c>
    </row>
    <row r="1183" spans="2:4" x14ac:dyDescent="0.35">
      <c r="B1183" s="60" t="s">
        <v>3694</v>
      </c>
      <c r="C1183" s="60" t="s">
        <v>3695</v>
      </c>
      <c r="D1183" s="60" t="s">
        <v>3696</v>
      </c>
    </row>
    <row r="1184" spans="2:4" x14ac:dyDescent="0.35">
      <c r="B1184" s="60" t="s">
        <v>3697</v>
      </c>
      <c r="C1184" s="60" t="s">
        <v>3698</v>
      </c>
      <c r="D1184" s="60" t="s">
        <v>3699</v>
      </c>
    </row>
    <row r="1185" spans="2:4" x14ac:dyDescent="0.35">
      <c r="B1185" s="60" t="s">
        <v>3700</v>
      </c>
      <c r="C1185" s="60" t="s">
        <v>3701</v>
      </c>
      <c r="D1185" s="60" t="s">
        <v>3702</v>
      </c>
    </row>
    <row r="1186" spans="2:4" x14ac:dyDescent="0.35">
      <c r="B1186" s="60" t="s">
        <v>3703</v>
      </c>
      <c r="C1186" s="60" t="s">
        <v>3704</v>
      </c>
      <c r="D1186" s="60" t="s">
        <v>3705</v>
      </c>
    </row>
    <row r="1187" spans="2:4" x14ac:dyDescent="0.35">
      <c r="B1187" s="60" t="s">
        <v>3706</v>
      </c>
      <c r="C1187" s="60" t="s">
        <v>3707</v>
      </c>
      <c r="D1187" s="60" t="s">
        <v>3708</v>
      </c>
    </row>
    <row r="1188" spans="2:4" x14ac:dyDescent="0.35">
      <c r="B1188" s="60" t="s">
        <v>3709</v>
      </c>
      <c r="C1188" s="60" t="s">
        <v>3710</v>
      </c>
      <c r="D1188" s="60" t="s">
        <v>3711</v>
      </c>
    </row>
    <row r="1189" spans="2:4" x14ac:dyDescent="0.35">
      <c r="B1189" s="60" t="s">
        <v>3712</v>
      </c>
      <c r="C1189" s="60" t="s">
        <v>3713</v>
      </c>
      <c r="D1189" s="60" t="s">
        <v>3714</v>
      </c>
    </row>
    <row r="1190" spans="2:4" x14ac:dyDescent="0.35">
      <c r="B1190" s="60" t="s">
        <v>3715</v>
      </c>
      <c r="C1190" s="60" t="s">
        <v>3716</v>
      </c>
      <c r="D1190" s="60" t="s">
        <v>3717</v>
      </c>
    </row>
    <row r="1191" spans="2:4" x14ac:dyDescent="0.35">
      <c r="B1191" s="60" t="s">
        <v>3718</v>
      </c>
      <c r="C1191" s="60" t="s">
        <v>3719</v>
      </c>
      <c r="D1191" s="60" t="s">
        <v>3720</v>
      </c>
    </row>
    <row r="1192" spans="2:4" x14ac:dyDescent="0.35">
      <c r="B1192" s="60" t="s">
        <v>3721</v>
      </c>
      <c r="C1192" s="60" t="s">
        <v>3722</v>
      </c>
      <c r="D1192" s="60" t="s">
        <v>3723</v>
      </c>
    </row>
    <row r="1193" spans="2:4" x14ac:dyDescent="0.35">
      <c r="B1193" s="60" t="s">
        <v>3724</v>
      </c>
      <c r="C1193" s="60" t="s">
        <v>3725</v>
      </c>
      <c r="D1193" s="60" t="s">
        <v>3726</v>
      </c>
    </row>
    <row r="1194" spans="2:4" x14ac:dyDescent="0.35">
      <c r="B1194" s="60" t="s">
        <v>3727</v>
      </c>
      <c r="C1194" s="60" t="s">
        <v>3728</v>
      </c>
      <c r="D1194" s="60" t="s">
        <v>3729</v>
      </c>
    </row>
    <row r="1195" spans="2:4" x14ac:dyDescent="0.35">
      <c r="B1195" s="60" t="s">
        <v>3730</v>
      </c>
      <c r="C1195" s="60" t="s">
        <v>3731</v>
      </c>
      <c r="D1195" s="60" t="s">
        <v>3732</v>
      </c>
    </row>
    <row r="1196" spans="2:4" x14ac:dyDescent="0.35">
      <c r="B1196" s="60" t="s">
        <v>3733</v>
      </c>
      <c r="C1196" s="60" t="s">
        <v>3734</v>
      </c>
      <c r="D1196" s="60" t="s">
        <v>3735</v>
      </c>
    </row>
    <row r="1197" spans="2:4" x14ac:dyDescent="0.35">
      <c r="B1197" s="60" t="s">
        <v>3736</v>
      </c>
      <c r="C1197" s="60" t="s">
        <v>3737</v>
      </c>
      <c r="D1197" s="60" t="s">
        <v>3738</v>
      </c>
    </row>
    <row r="1198" spans="2:4" x14ac:dyDescent="0.35">
      <c r="B1198" s="60" t="s">
        <v>3736</v>
      </c>
      <c r="C1198" s="60" t="s">
        <v>3739</v>
      </c>
      <c r="D1198" s="60" t="s">
        <v>3738</v>
      </c>
    </row>
    <row r="1199" spans="2:4" x14ac:dyDescent="0.35">
      <c r="B1199" s="60" t="s">
        <v>3740</v>
      </c>
      <c r="C1199" s="60" t="s">
        <v>3741</v>
      </c>
      <c r="D1199" s="60" t="s">
        <v>3742</v>
      </c>
    </row>
    <row r="1200" spans="2:4" x14ac:dyDescent="0.35">
      <c r="B1200" s="60" t="s">
        <v>3743</v>
      </c>
      <c r="C1200" s="60" t="s">
        <v>3744</v>
      </c>
      <c r="D1200" s="60" t="s">
        <v>3745</v>
      </c>
    </row>
    <row r="1201" spans="2:4" x14ac:dyDescent="0.35">
      <c r="B1201" s="60" t="s">
        <v>3746</v>
      </c>
      <c r="C1201" s="60" t="s">
        <v>3747</v>
      </c>
      <c r="D1201" s="60" t="s">
        <v>3748</v>
      </c>
    </row>
    <row r="1202" spans="2:4" x14ac:dyDescent="0.35">
      <c r="B1202" s="60" t="s">
        <v>3749</v>
      </c>
      <c r="C1202" s="60" t="s">
        <v>3750</v>
      </c>
      <c r="D1202" s="60" t="s">
        <v>3751</v>
      </c>
    </row>
    <row r="1203" spans="2:4" x14ac:dyDescent="0.35">
      <c r="B1203" s="60" t="s">
        <v>3752</v>
      </c>
      <c r="C1203" s="60" t="s">
        <v>3753</v>
      </c>
      <c r="D1203" s="60" t="s">
        <v>3754</v>
      </c>
    </row>
    <row r="1204" spans="2:4" x14ac:dyDescent="0.35">
      <c r="B1204" s="60" t="s">
        <v>3755</v>
      </c>
      <c r="C1204" s="60" t="s">
        <v>3756</v>
      </c>
      <c r="D1204" s="60" t="s">
        <v>3757</v>
      </c>
    </row>
    <row r="1205" spans="2:4" x14ac:dyDescent="0.35">
      <c r="B1205" s="60" t="s">
        <v>3758</v>
      </c>
      <c r="C1205" s="60" t="s">
        <v>3759</v>
      </c>
      <c r="D1205" s="60" t="s">
        <v>3760</v>
      </c>
    </row>
    <row r="1206" spans="2:4" x14ac:dyDescent="0.35">
      <c r="B1206" s="60" t="s">
        <v>3761</v>
      </c>
      <c r="C1206" s="60" t="s">
        <v>3762</v>
      </c>
      <c r="D1206" s="60" t="s">
        <v>3763</v>
      </c>
    </row>
    <row r="1207" spans="2:4" x14ac:dyDescent="0.35">
      <c r="B1207" s="60" t="s">
        <v>3764</v>
      </c>
      <c r="C1207" s="60" t="s">
        <v>3765</v>
      </c>
      <c r="D1207" s="60" t="s">
        <v>3766</v>
      </c>
    </row>
    <row r="1208" spans="2:4" x14ac:dyDescent="0.35">
      <c r="B1208" s="60" t="s">
        <v>3767</v>
      </c>
      <c r="C1208" s="60" t="s">
        <v>3768</v>
      </c>
      <c r="D1208" s="60" t="s">
        <v>3769</v>
      </c>
    </row>
    <row r="1209" spans="2:4" x14ac:dyDescent="0.35">
      <c r="B1209" s="60" t="s">
        <v>3770</v>
      </c>
      <c r="C1209" s="60" t="s">
        <v>3771</v>
      </c>
      <c r="D1209" s="60" t="s">
        <v>3772</v>
      </c>
    </row>
    <row r="1210" spans="2:4" x14ac:dyDescent="0.35">
      <c r="B1210" s="60" t="s">
        <v>3773</v>
      </c>
      <c r="C1210" s="60" t="s">
        <v>3774</v>
      </c>
      <c r="D1210" s="60" t="s">
        <v>3775</v>
      </c>
    </row>
    <row r="1211" spans="2:4" x14ac:dyDescent="0.35">
      <c r="B1211" s="60" t="s">
        <v>3776</v>
      </c>
      <c r="C1211" s="60" t="s">
        <v>3777</v>
      </c>
      <c r="D1211" s="60" t="s">
        <v>3778</v>
      </c>
    </row>
    <row r="1212" spans="2:4" x14ac:dyDescent="0.35">
      <c r="B1212" s="60" t="s">
        <v>3779</v>
      </c>
      <c r="C1212" s="60" t="s">
        <v>3780</v>
      </c>
      <c r="D1212" s="60" t="s">
        <v>3781</v>
      </c>
    </row>
    <row r="1213" spans="2:4" x14ac:dyDescent="0.35">
      <c r="B1213" s="60" t="s">
        <v>3782</v>
      </c>
      <c r="C1213" s="60" t="s">
        <v>3783</v>
      </c>
      <c r="D1213" s="60" t="s">
        <v>3784</v>
      </c>
    </row>
    <row r="1214" spans="2:4" x14ac:dyDescent="0.35">
      <c r="B1214" s="60" t="s">
        <v>3785</v>
      </c>
      <c r="C1214" s="60" t="s">
        <v>3786</v>
      </c>
      <c r="D1214" s="60" t="s">
        <v>3787</v>
      </c>
    </row>
    <row r="1215" spans="2:4" x14ac:dyDescent="0.35">
      <c r="B1215" s="60" t="s">
        <v>3788</v>
      </c>
      <c r="C1215" s="60" t="s">
        <v>3789</v>
      </c>
      <c r="D1215" s="60" t="s">
        <v>3790</v>
      </c>
    </row>
    <row r="1216" spans="2:4" x14ac:dyDescent="0.35">
      <c r="B1216" s="60" t="s">
        <v>3791</v>
      </c>
      <c r="C1216" s="60" t="s">
        <v>3792</v>
      </c>
      <c r="D1216" s="60" t="s">
        <v>3793</v>
      </c>
    </row>
    <row r="1217" spans="2:4" x14ac:dyDescent="0.35">
      <c r="B1217" s="60" t="s">
        <v>3794</v>
      </c>
      <c r="C1217" s="60" t="s">
        <v>3795</v>
      </c>
      <c r="D1217" s="60" t="s">
        <v>3796</v>
      </c>
    </row>
    <row r="1218" spans="2:4" x14ac:dyDescent="0.35">
      <c r="B1218" s="60" t="s">
        <v>3797</v>
      </c>
      <c r="C1218" s="60" t="s">
        <v>3798</v>
      </c>
      <c r="D1218" s="60" t="s">
        <v>3799</v>
      </c>
    </row>
    <row r="1219" spans="2:4" x14ac:dyDescent="0.35">
      <c r="B1219" s="60" t="s">
        <v>3800</v>
      </c>
      <c r="C1219" s="60" t="s">
        <v>3801</v>
      </c>
      <c r="D1219" s="60" t="s">
        <v>3802</v>
      </c>
    </row>
    <row r="1220" spans="2:4" x14ac:dyDescent="0.35">
      <c r="B1220" s="60" t="s">
        <v>3803</v>
      </c>
      <c r="C1220" s="60" t="s">
        <v>3804</v>
      </c>
      <c r="D1220" s="60" t="s">
        <v>3805</v>
      </c>
    </row>
    <row r="1221" spans="2:4" x14ac:dyDescent="0.35">
      <c r="B1221" s="60" t="s">
        <v>3803</v>
      </c>
      <c r="C1221" s="60" t="s">
        <v>3806</v>
      </c>
      <c r="D1221" s="60" t="s">
        <v>3807</v>
      </c>
    </row>
    <row r="1222" spans="2:4" x14ac:dyDescent="0.35">
      <c r="B1222" s="60" t="s">
        <v>3808</v>
      </c>
      <c r="C1222" s="60" t="s">
        <v>3809</v>
      </c>
      <c r="D1222" s="60" t="s">
        <v>3810</v>
      </c>
    </row>
    <row r="1223" spans="2:4" x14ac:dyDescent="0.35">
      <c r="B1223" s="60" t="s">
        <v>3811</v>
      </c>
      <c r="C1223" s="60" t="s">
        <v>3812</v>
      </c>
      <c r="D1223" s="60" t="s">
        <v>3813</v>
      </c>
    </row>
    <row r="1224" spans="2:4" x14ac:dyDescent="0.35">
      <c r="B1224" s="60" t="s">
        <v>3814</v>
      </c>
      <c r="C1224" s="60" t="s">
        <v>3815</v>
      </c>
      <c r="D1224" s="60" t="s">
        <v>3816</v>
      </c>
    </row>
    <row r="1225" spans="2:4" x14ac:dyDescent="0.35">
      <c r="B1225" s="60" t="s">
        <v>3817</v>
      </c>
      <c r="C1225" s="60" t="s">
        <v>3818</v>
      </c>
      <c r="D1225" s="60" t="s">
        <v>3819</v>
      </c>
    </row>
    <row r="1226" spans="2:4" x14ac:dyDescent="0.35">
      <c r="B1226" s="60" t="s">
        <v>3820</v>
      </c>
      <c r="C1226" s="60" t="s">
        <v>3821</v>
      </c>
      <c r="D1226" s="60" t="s">
        <v>3822</v>
      </c>
    </row>
    <row r="1227" spans="2:4" x14ac:dyDescent="0.35">
      <c r="B1227" s="60" t="s">
        <v>3823</v>
      </c>
      <c r="C1227" s="60" t="s">
        <v>3824</v>
      </c>
      <c r="D1227" s="60" t="s">
        <v>3825</v>
      </c>
    </row>
    <row r="1228" spans="2:4" x14ac:dyDescent="0.35">
      <c r="B1228" s="60" t="s">
        <v>3826</v>
      </c>
      <c r="C1228" s="60" t="s">
        <v>3827</v>
      </c>
      <c r="D1228" s="60" t="s">
        <v>3828</v>
      </c>
    </row>
    <row r="1229" spans="2:4" x14ac:dyDescent="0.35">
      <c r="B1229" s="60" t="s">
        <v>3829</v>
      </c>
      <c r="C1229" s="60" t="s">
        <v>3830</v>
      </c>
      <c r="D1229" s="60" t="s">
        <v>3831</v>
      </c>
    </row>
    <row r="1230" spans="2:4" x14ac:dyDescent="0.35">
      <c r="B1230" s="60" t="s">
        <v>3832</v>
      </c>
      <c r="C1230" s="60" t="s">
        <v>3833</v>
      </c>
      <c r="D1230" s="60" t="s">
        <v>3834</v>
      </c>
    </row>
    <row r="1231" spans="2:4" x14ac:dyDescent="0.35">
      <c r="B1231" s="60" t="s">
        <v>3832</v>
      </c>
      <c r="C1231" s="60" t="s">
        <v>3835</v>
      </c>
      <c r="D1231" s="60" t="s">
        <v>3836</v>
      </c>
    </row>
    <row r="1232" spans="2:4" x14ac:dyDescent="0.35">
      <c r="B1232" s="60" t="s">
        <v>3837</v>
      </c>
      <c r="C1232" s="60" t="s">
        <v>3838</v>
      </c>
      <c r="D1232" s="60" t="s">
        <v>3839</v>
      </c>
    </row>
    <row r="1233" spans="2:4" x14ac:dyDescent="0.35">
      <c r="B1233" s="60" t="s">
        <v>3840</v>
      </c>
      <c r="C1233" s="60" t="s">
        <v>3841</v>
      </c>
      <c r="D1233" s="60" t="s">
        <v>3842</v>
      </c>
    </row>
    <row r="1234" spans="2:4" x14ac:dyDescent="0.35">
      <c r="B1234" s="60" t="s">
        <v>3843</v>
      </c>
      <c r="C1234" s="60" t="s">
        <v>3844</v>
      </c>
      <c r="D1234" s="60" t="s">
        <v>3845</v>
      </c>
    </row>
    <row r="1235" spans="2:4" x14ac:dyDescent="0.35">
      <c r="B1235" s="60" t="s">
        <v>3846</v>
      </c>
      <c r="C1235" s="60" t="s">
        <v>3847</v>
      </c>
      <c r="D1235" s="60" t="s">
        <v>3848</v>
      </c>
    </row>
    <row r="1236" spans="2:4" x14ac:dyDescent="0.35">
      <c r="B1236" s="60" t="s">
        <v>3849</v>
      </c>
      <c r="C1236" s="60" t="s">
        <v>3850</v>
      </c>
      <c r="D1236" s="60" t="s">
        <v>3851</v>
      </c>
    </row>
    <row r="1237" spans="2:4" x14ac:dyDescent="0.35">
      <c r="B1237" s="60" t="s">
        <v>3852</v>
      </c>
      <c r="C1237" s="60" t="s">
        <v>3853</v>
      </c>
      <c r="D1237" s="60" t="s">
        <v>3854</v>
      </c>
    </row>
    <row r="1238" spans="2:4" x14ac:dyDescent="0.35">
      <c r="B1238" s="60" t="s">
        <v>3855</v>
      </c>
      <c r="C1238" s="60" t="s">
        <v>3856</v>
      </c>
      <c r="D1238" s="60" t="s">
        <v>3857</v>
      </c>
    </row>
    <row r="1239" spans="2:4" x14ac:dyDescent="0.35">
      <c r="B1239" s="60" t="s">
        <v>3858</v>
      </c>
      <c r="C1239" s="60" t="s">
        <v>3859</v>
      </c>
      <c r="D1239" s="60" t="s">
        <v>3860</v>
      </c>
    </row>
    <row r="1240" spans="2:4" x14ac:dyDescent="0.35">
      <c r="B1240" s="60" t="s">
        <v>3861</v>
      </c>
      <c r="C1240" s="60" t="s">
        <v>3862</v>
      </c>
      <c r="D1240" s="60" t="s">
        <v>3863</v>
      </c>
    </row>
    <row r="1241" spans="2:4" x14ac:dyDescent="0.35">
      <c r="B1241" s="60" t="s">
        <v>3864</v>
      </c>
      <c r="C1241" s="60" t="s">
        <v>3865</v>
      </c>
      <c r="D1241" s="60" t="s">
        <v>3866</v>
      </c>
    </row>
    <row r="1242" spans="2:4" x14ac:dyDescent="0.35">
      <c r="B1242" s="60" t="s">
        <v>3867</v>
      </c>
      <c r="C1242" s="60" t="s">
        <v>3868</v>
      </c>
      <c r="D1242" s="60" t="s">
        <v>3869</v>
      </c>
    </row>
    <row r="1243" spans="2:4" x14ac:dyDescent="0.35">
      <c r="B1243" s="60" t="s">
        <v>3870</v>
      </c>
      <c r="C1243" s="60" t="s">
        <v>3871</v>
      </c>
      <c r="D1243" s="60" t="s">
        <v>3872</v>
      </c>
    </row>
    <row r="1244" spans="2:4" x14ac:dyDescent="0.35">
      <c r="B1244" s="60" t="s">
        <v>3870</v>
      </c>
      <c r="C1244" s="60" t="s">
        <v>3873</v>
      </c>
      <c r="D1244" s="60" t="s">
        <v>3874</v>
      </c>
    </row>
    <row r="1245" spans="2:4" x14ac:dyDescent="0.35">
      <c r="B1245" s="60" t="s">
        <v>3875</v>
      </c>
      <c r="C1245" s="60" t="s">
        <v>3876</v>
      </c>
      <c r="D1245" s="60" t="s">
        <v>3877</v>
      </c>
    </row>
    <row r="1246" spans="2:4" x14ac:dyDescent="0.35">
      <c r="B1246" s="60" t="s">
        <v>3878</v>
      </c>
      <c r="C1246" s="60" t="s">
        <v>3879</v>
      </c>
      <c r="D1246" s="60" t="s">
        <v>3880</v>
      </c>
    </row>
    <row r="1247" spans="2:4" x14ac:dyDescent="0.35">
      <c r="B1247" s="60" t="s">
        <v>3881</v>
      </c>
      <c r="C1247" s="60" t="s">
        <v>3882</v>
      </c>
      <c r="D1247" s="60" t="s">
        <v>3883</v>
      </c>
    </row>
    <row r="1248" spans="2:4" x14ac:dyDescent="0.35">
      <c r="B1248" s="60" t="s">
        <v>3884</v>
      </c>
      <c r="C1248" s="60" t="s">
        <v>3885</v>
      </c>
      <c r="D1248" s="60" t="s">
        <v>3886</v>
      </c>
    </row>
    <row r="1249" spans="2:4" x14ac:dyDescent="0.35">
      <c r="B1249" s="60" t="s">
        <v>3887</v>
      </c>
      <c r="C1249" s="60" t="s">
        <v>3888</v>
      </c>
      <c r="D1249" s="60" t="s">
        <v>3889</v>
      </c>
    </row>
    <row r="1250" spans="2:4" x14ac:dyDescent="0.35">
      <c r="B1250" s="60" t="s">
        <v>3890</v>
      </c>
      <c r="C1250" s="60" t="s">
        <v>3891</v>
      </c>
      <c r="D1250" s="60" t="s">
        <v>3892</v>
      </c>
    </row>
    <row r="1251" spans="2:4" x14ac:dyDescent="0.35">
      <c r="B1251" s="60" t="s">
        <v>3893</v>
      </c>
      <c r="C1251" s="60" t="s">
        <v>3894</v>
      </c>
      <c r="D1251" s="60" t="s">
        <v>3895</v>
      </c>
    </row>
    <row r="1252" spans="2:4" x14ac:dyDescent="0.35">
      <c r="B1252" s="60" t="s">
        <v>3896</v>
      </c>
      <c r="C1252" s="60" t="s">
        <v>3897</v>
      </c>
      <c r="D1252" s="60" t="s">
        <v>3898</v>
      </c>
    </row>
    <row r="1253" spans="2:4" x14ac:dyDescent="0.35">
      <c r="B1253" s="60" t="s">
        <v>3899</v>
      </c>
      <c r="C1253" s="60" t="s">
        <v>3900</v>
      </c>
      <c r="D1253" s="60" t="s">
        <v>3901</v>
      </c>
    </row>
    <row r="1254" spans="2:4" x14ac:dyDescent="0.35">
      <c r="B1254" s="60" t="s">
        <v>3902</v>
      </c>
      <c r="C1254" s="60" t="s">
        <v>3903</v>
      </c>
      <c r="D1254" s="60" t="s">
        <v>3904</v>
      </c>
    </row>
    <row r="1255" spans="2:4" x14ac:dyDescent="0.35">
      <c r="B1255" s="60" t="s">
        <v>3905</v>
      </c>
      <c r="C1255" s="60" t="s">
        <v>3906</v>
      </c>
      <c r="D1255" s="60" t="s">
        <v>3907</v>
      </c>
    </row>
    <row r="1256" spans="2:4" x14ac:dyDescent="0.35">
      <c r="B1256" s="60" t="s">
        <v>3908</v>
      </c>
      <c r="C1256" s="60" t="s">
        <v>3909</v>
      </c>
      <c r="D1256" s="60" t="s">
        <v>3910</v>
      </c>
    </row>
    <row r="1257" spans="2:4" x14ac:dyDescent="0.35">
      <c r="B1257" s="60" t="s">
        <v>3911</v>
      </c>
      <c r="C1257" s="60" t="s">
        <v>3912</v>
      </c>
      <c r="D1257" s="60" t="s">
        <v>3913</v>
      </c>
    </row>
    <row r="1258" spans="2:4" x14ac:dyDescent="0.35">
      <c r="B1258" s="60" t="s">
        <v>3914</v>
      </c>
      <c r="C1258" s="60" t="s">
        <v>3915</v>
      </c>
      <c r="D1258" s="60" t="s">
        <v>3916</v>
      </c>
    </row>
    <row r="1259" spans="2:4" x14ac:dyDescent="0.35">
      <c r="B1259" s="60" t="s">
        <v>3917</v>
      </c>
      <c r="C1259" s="60" t="s">
        <v>3918</v>
      </c>
      <c r="D1259" s="60" t="s">
        <v>3919</v>
      </c>
    </row>
    <row r="1260" spans="2:4" x14ac:dyDescent="0.35">
      <c r="B1260" s="60" t="s">
        <v>3920</v>
      </c>
      <c r="C1260" s="60" t="s">
        <v>3921</v>
      </c>
      <c r="D1260" s="60" t="s">
        <v>3922</v>
      </c>
    </row>
    <row r="1261" spans="2:4" x14ac:dyDescent="0.35">
      <c r="B1261" s="60" t="s">
        <v>3923</v>
      </c>
      <c r="C1261" s="60" t="s">
        <v>3924</v>
      </c>
      <c r="D1261" s="60" t="s">
        <v>3925</v>
      </c>
    </row>
    <row r="1262" spans="2:4" x14ac:dyDescent="0.35">
      <c r="B1262" s="60" t="s">
        <v>3926</v>
      </c>
      <c r="C1262" s="60" t="s">
        <v>3927</v>
      </c>
      <c r="D1262" s="60" t="s">
        <v>3928</v>
      </c>
    </row>
    <row r="1263" spans="2:4" x14ac:dyDescent="0.35">
      <c r="B1263" s="60" t="s">
        <v>3929</v>
      </c>
      <c r="C1263" s="60" t="s">
        <v>3930</v>
      </c>
      <c r="D1263" s="60" t="s">
        <v>3931</v>
      </c>
    </row>
    <row r="1264" spans="2:4" x14ac:dyDescent="0.35">
      <c r="B1264" s="60" t="s">
        <v>3932</v>
      </c>
      <c r="C1264" s="60" t="s">
        <v>3933</v>
      </c>
      <c r="D1264" s="60" t="s">
        <v>3934</v>
      </c>
    </row>
    <row r="1265" spans="2:4" x14ac:dyDescent="0.35">
      <c r="B1265" s="60" t="s">
        <v>3935</v>
      </c>
      <c r="C1265" s="60" t="s">
        <v>3936</v>
      </c>
      <c r="D1265" s="60" t="s">
        <v>3937</v>
      </c>
    </row>
    <row r="1266" spans="2:4" x14ac:dyDescent="0.35">
      <c r="B1266" s="60" t="s">
        <v>3938</v>
      </c>
      <c r="C1266" s="60" t="s">
        <v>3939</v>
      </c>
      <c r="D1266" s="60" t="s">
        <v>3940</v>
      </c>
    </row>
    <row r="1267" spans="2:4" x14ac:dyDescent="0.35">
      <c r="B1267" s="60" t="s">
        <v>3938</v>
      </c>
      <c r="C1267" s="60" t="s">
        <v>3941</v>
      </c>
      <c r="D1267" s="60" t="s">
        <v>3942</v>
      </c>
    </row>
    <row r="1268" spans="2:4" x14ac:dyDescent="0.35">
      <c r="B1268" s="60" t="s">
        <v>3943</v>
      </c>
      <c r="C1268" s="60" t="s">
        <v>3944</v>
      </c>
      <c r="D1268" s="60" t="s">
        <v>3945</v>
      </c>
    </row>
    <row r="1269" spans="2:4" x14ac:dyDescent="0.35">
      <c r="B1269" s="60" t="s">
        <v>3946</v>
      </c>
      <c r="C1269" s="60" t="s">
        <v>3947</v>
      </c>
      <c r="D1269" s="60" t="s">
        <v>3948</v>
      </c>
    </row>
    <row r="1270" spans="2:4" x14ac:dyDescent="0.35">
      <c r="B1270" s="60" t="s">
        <v>3949</v>
      </c>
      <c r="C1270" s="60" t="s">
        <v>3950</v>
      </c>
      <c r="D1270" s="60" t="s">
        <v>3951</v>
      </c>
    </row>
    <row r="1271" spans="2:4" x14ac:dyDescent="0.35">
      <c r="B1271" s="60" t="s">
        <v>3952</v>
      </c>
      <c r="C1271" s="60" t="s">
        <v>3953</v>
      </c>
      <c r="D1271" s="60" t="s">
        <v>3954</v>
      </c>
    </row>
    <row r="1272" spans="2:4" x14ac:dyDescent="0.35">
      <c r="B1272" s="60" t="s">
        <v>3955</v>
      </c>
      <c r="C1272" s="60" t="s">
        <v>3956</v>
      </c>
      <c r="D1272" s="60" t="s">
        <v>3957</v>
      </c>
    </row>
    <row r="1273" spans="2:4" x14ac:dyDescent="0.35">
      <c r="B1273" s="60" t="s">
        <v>3958</v>
      </c>
      <c r="C1273" s="60" t="s">
        <v>3959</v>
      </c>
      <c r="D1273" s="60" t="s">
        <v>3960</v>
      </c>
    </row>
    <row r="1274" spans="2:4" x14ac:dyDescent="0.35">
      <c r="B1274" s="60" t="s">
        <v>3961</v>
      </c>
      <c r="C1274" s="60" t="s">
        <v>3962</v>
      </c>
      <c r="D1274" s="60" t="s">
        <v>3963</v>
      </c>
    </row>
    <row r="1275" spans="2:4" x14ac:dyDescent="0.35">
      <c r="B1275" s="60" t="s">
        <v>3964</v>
      </c>
      <c r="C1275" s="60" t="s">
        <v>3965</v>
      </c>
      <c r="D1275" s="60" t="s">
        <v>3966</v>
      </c>
    </row>
    <row r="1276" spans="2:4" x14ac:dyDescent="0.35">
      <c r="B1276" s="60" t="s">
        <v>3967</v>
      </c>
      <c r="C1276" s="60" t="s">
        <v>3968</v>
      </c>
      <c r="D1276" s="60" t="s">
        <v>3969</v>
      </c>
    </row>
    <row r="1277" spans="2:4" x14ac:dyDescent="0.35">
      <c r="B1277" s="60" t="s">
        <v>3970</v>
      </c>
      <c r="C1277" s="60" t="s">
        <v>3971</v>
      </c>
      <c r="D1277" s="60" t="s">
        <v>3972</v>
      </c>
    </row>
    <row r="1278" spans="2:4" x14ac:dyDescent="0.35">
      <c r="B1278" s="60" t="s">
        <v>3970</v>
      </c>
      <c r="C1278" s="60" t="s">
        <v>3973</v>
      </c>
      <c r="D1278" s="60" t="s">
        <v>3974</v>
      </c>
    </row>
    <row r="1279" spans="2:4" x14ac:dyDescent="0.35">
      <c r="B1279" s="60" t="s">
        <v>3975</v>
      </c>
      <c r="C1279" s="60" t="s">
        <v>3976</v>
      </c>
      <c r="D1279" s="60" t="s">
        <v>3977</v>
      </c>
    </row>
    <row r="1280" spans="2:4" x14ac:dyDescent="0.35">
      <c r="B1280" s="60" t="s">
        <v>3978</v>
      </c>
      <c r="C1280" s="60" t="s">
        <v>3979</v>
      </c>
      <c r="D1280" s="60" t="s">
        <v>3980</v>
      </c>
    </row>
    <row r="1281" spans="2:4" x14ac:dyDescent="0.35">
      <c r="B1281" s="60" t="s">
        <v>3981</v>
      </c>
      <c r="C1281" s="60" t="s">
        <v>3982</v>
      </c>
      <c r="D1281" s="60" t="s">
        <v>3983</v>
      </c>
    </row>
    <row r="1282" spans="2:4" x14ac:dyDescent="0.35">
      <c r="B1282" s="60" t="s">
        <v>3984</v>
      </c>
      <c r="C1282" s="60" t="s">
        <v>3985</v>
      </c>
      <c r="D1282" s="60" t="s">
        <v>3986</v>
      </c>
    </row>
    <row r="1283" spans="2:4" x14ac:dyDescent="0.35">
      <c r="B1283" s="60" t="s">
        <v>3987</v>
      </c>
      <c r="C1283" s="60" t="s">
        <v>3988</v>
      </c>
      <c r="D1283" s="60" t="s">
        <v>3989</v>
      </c>
    </row>
    <row r="1284" spans="2:4" x14ac:dyDescent="0.35">
      <c r="B1284" s="60" t="s">
        <v>3990</v>
      </c>
      <c r="C1284" s="60" t="s">
        <v>3991</v>
      </c>
      <c r="D1284" s="60" t="s">
        <v>3992</v>
      </c>
    </row>
    <row r="1285" spans="2:4" x14ac:dyDescent="0.35">
      <c r="B1285" s="60" t="s">
        <v>3993</v>
      </c>
      <c r="C1285" s="60" t="s">
        <v>3994</v>
      </c>
      <c r="D1285" s="60" t="s">
        <v>3995</v>
      </c>
    </row>
    <row r="1286" spans="2:4" x14ac:dyDescent="0.35">
      <c r="B1286" s="60" t="s">
        <v>3996</v>
      </c>
      <c r="C1286" s="60" t="s">
        <v>3997</v>
      </c>
      <c r="D1286" s="60" t="s">
        <v>3998</v>
      </c>
    </row>
    <row r="1287" spans="2:4" x14ac:dyDescent="0.35">
      <c r="B1287" s="60" t="s">
        <v>3999</v>
      </c>
      <c r="C1287" s="60" t="s">
        <v>4000</v>
      </c>
      <c r="D1287" s="60" t="s">
        <v>4001</v>
      </c>
    </row>
    <row r="1288" spans="2:4" x14ac:dyDescent="0.35">
      <c r="B1288" s="60" t="s">
        <v>4002</v>
      </c>
      <c r="C1288" s="60" t="s">
        <v>4003</v>
      </c>
      <c r="D1288" s="60" t="s">
        <v>4004</v>
      </c>
    </row>
    <row r="1289" spans="2:4" x14ac:dyDescent="0.35">
      <c r="B1289" s="60" t="s">
        <v>4005</v>
      </c>
      <c r="C1289" s="60" t="s">
        <v>4006</v>
      </c>
      <c r="D1289" s="60" t="s">
        <v>4007</v>
      </c>
    </row>
    <row r="1290" spans="2:4" x14ac:dyDescent="0.35">
      <c r="B1290" s="60" t="s">
        <v>4008</v>
      </c>
      <c r="C1290" s="60" t="s">
        <v>4009</v>
      </c>
      <c r="D1290" s="60" t="s">
        <v>4010</v>
      </c>
    </row>
    <row r="1291" spans="2:4" x14ac:dyDescent="0.35">
      <c r="B1291" s="60" t="s">
        <v>4011</v>
      </c>
      <c r="C1291" s="60" t="s">
        <v>4012</v>
      </c>
      <c r="D1291" s="60" t="s">
        <v>4013</v>
      </c>
    </row>
    <row r="1292" spans="2:4" x14ac:dyDescent="0.35">
      <c r="B1292" s="60" t="s">
        <v>4011</v>
      </c>
      <c r="C1292" s="60" t="s">
        <v>4014</v>
      </c>
      <c r="D1292" s="60" t="s">
        <v>4015</v>
      </c>
    </row>
    <row r="1293" spans="2:4" x14ac:dyDescent="0.35">
      <c r="B1293" s="60" t="s">
        <v>4016</v>
      </c>
      <c r="C1293" s="60" t="s">
        <v>4017</v>
      </c>
      <c r="D1293" s="60" t="s">
        <v>4018</v>
      </c>
    </row>
    <row r="1294" spans="2:4" x14ac:dyDescent="0.35">
      <c r="B1294" s="60" t="s">
        <v>4019</v>
      </c>
      <c r="C1294" s="60" t="s">
        <v>4020</v>
      </c>
      <c r="D1294" s="60" t="s">
        <v>4021</v>
      </c>
    </row>
    <row r="1295" spans="2:4" x14ac:dyDescent="0.35">
      <c r="B1295" s="60" t="s">
        <v>4022</v>
      </c>
      <c r="C1295" s="60" t="s">
        <v>4023</v>
      </c>
      <c r="D1295" s="60" t="s">
        <v>4024</v>
      </c>
    </row>
    <row r="1296" spans="2:4" x14ac:dyDescent="0.35">
      <c r="B1296" s="60" t="s">
        <v>4025</v>
      </c>
      <c r="C1296" s="60" t="s">
        <v>4026</v>
      </c>
      <c r="D1296" s="60" t="s">
        <v>4027</v>
      </c>
    </row>
    <row r="1297" spans="2:4" x14ac:dyDescent="0.35">
      <c r="B1297" s="60" t="s">
        <v>4028</v>
      </c>
      <c r="C1297" s="60" t="s">
        <v>4029</v>
      </c>
      <c r="D1297" s="60" t="s">
        <v>4030</v>
      </c>
    </row>
    <row r="1298" spans="2:4" x14ac:dyDescent="0.35">
      <c r="B1298" s="60" t="s">
        <v>4031</v>
      </c>
      <c r="C1298" s="60" t="s">
        <v>4032</v>
      </c>
      <c r="D1298" s="60" t="s">
        <v>3618</v>
      </c>
    </row>
    <row r="1299" spans="2:4" x14ac:dyDescent="0.35">
      <c r="B1299" s="60" t="s">
        <v>4033</v>
      </c>
      <c r="C1299" s="60" t="s">
        <v>4034</v>
      </c>
      <c r="D1299" s="60" t="s">
        <v>4035</v>
      </c>
    </row>
    <row r="1300" spans="2:4" x14ac:dyDescent="0.35">
      <c r="B1300" s="60" t="s">
        <v>4036</v>
      </c>
      <c r="C1300" s="60" t="s">
        <v>4037</v>
      </c>
      <c r="D1300" s="60" t="s">
        <v>4038</v>
      </c>
    </row>
    <row r="1301" spans="2:4" x14ac:dyDescent="0.35">
      <c r="B1301" s="60" t="s">
        <v>4039</v>
      </c>
      <c r="C1301" s="60" t="s">
        <v>4040</v>
      </c>
      <c r="D1301" s="60" t="s">
        <v>4041</v>
      </c>
    </row>
    <row r="1302" spans="2:4" x14ac:dyDescent="0.35">
      <c r="B1302" s="60" t="s">
        <v>4042</v>
      </c>
      <c r="C1302" s="60" t="s">
        <v>4043</v>
      </c>
      <c r="D1302" s="60" t="s">
        <v>4044</v>
      </c>
    </row>
    <row r="1303" spans="2:4" x14ac:dyDescent="0.35">
      <c r="B1303" s="60" t="s">
        <v>4045</v>
      </c>
      <c r="C1303" s="60" t="s">
        <v>4046</v>
      </c>
      <c r="D1303" s="60" t="s">
        <v>4047</v>
      </c>
    </row>
    <row r="1304" spans="2:4" x14ac:dyDescent="0.35">
      <c r="B1304" s="60" t="s">
        <v>4048</v>
      </c>
      <c r="C1304" s="60" t="s">
        <v>4049</v>
      </c>
      <c r="D1304" s="60" t="s">
        <v>4050</v>
      </c>
    </row>
    <row r="1305" spans="2:4" x14ac:dyDescent="0.35">
      <c r="B1305" s="60" t="s">
        <v>4051</v>
      </c>
      <c r="C1305" s="60" t="s">
        <v>4052</v>
      </c>
      <c r="D1305" s="60" t="s">
        <v>4053</v>
      </c>
    </row>
    <row r="1306" spans="2:4" x14ac:dyDescent="0.35">
      <c r="B1306" s="60" t="s">
        <v>4054</v>
      </c>
      <c r="C1306" s="60" t="s">
        <v>4055</v>
      </c>
      <c r="D1306" s="60" t="s">
        <v>4056</v>
      </c>
    </row>
    <row r="1307" spans="2:4" x14ac:dyDescent="0.35">
      <c r="B1307" s="60" t="s">
        <v>4057</v>
      </c>
      <c r="C1307" s="60" t="s">
        <v>4058</v>
      </c>
      <c r="D1307" s="60" t="s">
        <v>4059</v>
      </c>
    </row>
    <row r="1308" spans="2:4" x14ac:dyDescent="0.35">
      <c r="B1308" s="60" t="s">
        <v>4060</v>
      </c>
      <c r="C1308" s="60" t="s">
        <v>4061</v>
      </c>
      <c r="D1308" s="60" t="s">
        <v>4062</v>
      </c>
    </row>
    <row r="1309" spans="2:4" x14ac:dyDescent="0.35">
      <c r="B1309" s="60" t="s">
        <v>4063</v>
      </c>
      <c r="C1309" s="60" t="s">
        <v>4064</v>
      </c>
      <c r="D1309" s="60" t="s">
        <v>4065</v>
      </c>
    </row>
    <row r="1310" spans="2:4" x14ac:dyDescent="0.35">
      <c r="B1310" s="60" t="s">
        <v>4066</v>
      </c>
      <c r="C1310" s="60" t="s">
        <v>4067</v>
      </c>
      <c r="D1310" s="60" t="s">
        <v>4068</v>
      </c>
    </row>
    <row r="1311" spans="2:4" x14ac:dyDescent="0.35">
      <c r="B1311" s="60" t="s">
        <v>4069</v>
      </c>
      <c r="C1311" s="60" t="s">
        <v>4070</v>
      </c>
      <c r="D1311" s="60" t="s">
        <v>4071</v>
      </c>
    </row>
    <row r="1312" spans="2:4" x14ac:dyDescent="0.35">
      <c r="B1312" s="60" t="s">
        <v>4072</v>
      </c>
      <c r="C1312" s="60" t="s">
        <v>4073</v>
      </c>
      <c r="D1312" s="60" t="s">
        <v>4074</v>
      </c>
    </row>
    <row r="1313" spans="2:4" x14ac:dyDescent="0.35">
      <c r="B1313" s="60" t="s">
        <v>4075</v>
      </c>
      <c r="C1313" s="60" t="s">
        <v>4076</v>
      </c>
      <c r="D1313" s="60" t="s">
        <v>4077</v>
      </c>
    </row>
    <row r="1314" spans="2:4" x14ac:dyDescent="0.35">
      <c r="B1314" s="60" t="s">
        <v>4078</v>
      </c>
      <c r="C1314" s="60" t="s">
        <v>4079</v>
      </c>
      <c r="D1314" s="60" t="s">
        <v>4080</v>
      </c>
    </row>
    <row r="1315" spans="2:4" x14ac:dyDescent="0.35">
      <c r="B1315" s="60" t="s">
        <v>4081</v>
      </c>
      <c r="C1315" s="60" t="s">
        <v>4082</v>
      </c>
      <c r="D1315" s="60" t="s">
        <v>4083</v>
      </c>
    </row>
    <row r="1316" spans="2:4" x14ac:dyDescent="0.35">
      <c r="B1316" s="60" t="s">
        <v>4084</v>
      </c>
      <c r="C1316" s="60" t="s">
        <v>4085</v>
      </c>
      <c r="D1316" s="60" t="s">
        <v>4086</v>
      </c>
    </row>
    <row r="1317" spans="2:4" x14ac:dyDescent="0.35">
      <c r="B1317" s="60" t="s">
        <v>4087</v>
      </c>
      <c r="C1317" s="60" t="s">
        <v>4088</v>
      </c>
      <c r="D1317" s="60" t="s">
        <v>4089</v>
      </c>
    </row>
    <row r="1318" spans="2:4" x14ac:dyDescent="0.35">
      <c r="B1318" s="60" t="s">
        <v>4090</v>
      </c>
      <c r="C1318" s="60" t="s">
        <v>4091</v>
      </c>
      <c r="D1318" s="60" t="s">
        <v>4092</v>
      </c>
    </row>
    <row r="1319" spans="2:4" x14ac:dyDescent="0.35">
      <c r="B1319" s="60" t="s">
        <v>4093</v>
      </c>
      <c r="C1319" s="60" t="s">
        <v>4094</v>
      </c>
      <c r="D1319" s="60" t="s">
        <v>4095</v>
      </c>
    </row>
    <row r="1320" spans="2:4" x14ac:dyDescent="0.35">
      <c r="B1320" s="60" t="s">
        <v>4096</v>
      </c>
      <c r="C1320" s="60" t="s">
        <v>4097</v>
      </c>
      <c r="D1320" s="60" t="s">
        <v>4098</v>
      </c>
    </row>
    <row r="1321" spans="2:4" x14ac:dyDescent="0.35">
      <c r="B1321" s="60" t="s">
        <v>4099</v>
      </c>
      <c r="C1321" s="60" t="s">
        <v>4100</v>
      </c>
      <c r="D1321" s="60" t="s">
        <v>4101</v>
      </c>
    </row>
    <row r="1322" spans="2:4" x14ac:dyDescent="0.35">
      <c r="B1322" s="60" t="s">
        <v>4102</v>
      </c>
      <c r="C1322" s="60" t="s">
        <v>4103</v>
      </c>
      <c r="D1322" s="60" t="s">
        <v>4104</v>
      </c>
    </row>
    <row r="1323" spans="2:4" x14ac:dyDescent="0.35">
      <c r="B1323" s="60" t="s">
        <v>4105</v>
      </c>
      <c r="C1323" s="60" t="s">
        <v>4106</v>
      </c>
      <c r="D1323" s="60" t="s">
        <v>4107</v>
      </c>
    </row>
    <row r="1324" spans="2:4" x14ac:dyDescent="0.35">
      <c r="B1324" s="60" t="s">
        <v>4108</v>
      </c>
      <c r="C1324" s="60" t="s">
        <v>4109</v>
      </c>
      <c r="D1324" s="60" t="s">
        <v>4110</v>
      </c>
    </row>
    <row r="1325" spans="2:4" x14ac:dyDescent="0.35">
      <c r="B1325" s="60" t="s">
        <v>4111</v>
      </c>
      <c r="C1325" s="60" t="s">
        <v>4112</v>
      </c>
      <c r="D1325" s="60" t="s">
        <v>4113</v>
      </c>
    </row>
    <row r="1326" spans="2:4" x14ac:dyDescent="0.35">
      <c r="B1326" s="60" t="s">
        <v>4114</v>
      </c>
      <c r="C1326" s="60" t="s">
        <v>4115</v>
      </c>
      <c r="D1326" s="60" t="s">
        <v>4116</v>
      </c>
    </row>
    <row r="1327" spans="2:4" x14ac:dyDescent="0.35">
      <c r="B1327" s="60" t="s">
        <v>4117</v>
      </c>
      <c r="C1327" s="60" t="s">
        <v>4118</v>
      </c>
      <c r="D1327" s="60" t="s">
        <v>4119</v>
      </c>
    </row>
    <row r="1328" spans="2:4" x14ac:dyDescent="0.35">
      <c r="B1328" s="60" t="s">
        <v>4120</v>
      </c>
      <c r="C1328" s="60" t="s">
        <v>4121</v>
      </c>
      <c r="D1328" s="60" t="s">
        <v>4122</v>
      </c>
    </row>
    <row r="1329" spans="2:4" x14ac:dyDescent="0.35">
      <c r="B1329" s="60" t="s">
        <v>4123</v>
      </c>
      <c r="C1329" s="60" t="s">
        <v>4124</v>
      </c>
      <c r="D1329" s="60" t="s">
        <v>4125</v>
      </c>
    </row>
    <row r="1330" spans="2:4" x14ac:dyDescent="0.35">
      <c r="B1330" s="60" t="s">
        <v>4126</v>
      </c>
      <c r="C1330" s="60" t="s">
        <v>4127</v>
      </c>
      <c r="D1330" s="60" t="s">
        <v>4128</v>
      </c>
    </row>
    <row r="1331" spans="2:4" x14ac:dyDescent="0.35">
      <c r="B1331" s="60" t="s">
        <v>4129</v>
      </c>
      <c r="C1331" s="60" t="s">
        <v>4130</v>
      </c>
      <c r="D1331" s="60" t="s">
        <v>4131</v>
      </c>
    </row>
    <row r="1332" spans="2:4" x14ac:dyDescent="0.35">
      <c r="B1332" s="60" t="s">
        <v>4132</v>
      </c>
      <c r="C1332" s="60" t="s">
        <v>4133</v>
      </c>
      <c r="D1332" s="60" t="s">
        <v>4134</v>
      </c>
    </row>
    <row r="1333" spans="2:4" x14ac:dyDescent="0.35">
      <c r="B1333" s="60" t="s">
        <v>4135</v>
      </c>
      <c r="C1333" s="60" t="s">
        <v>4136</v>
      </c>
      <c r="D1333" s="60" t="s">
        <v>4137</v>
      </c>
    </row>
    <row r="1334" spans="2:4" x14ac:dyDescent="0.35">
      <c r="B1334" s="60" t="s">
        <v>4138</v>
      </c>
      <c r="C1334" s="60" t="s">
        <v>4139</v>
      </c>
      <c r="D1334" s="60" t="s">
        <v>4140</v>
      </c>
    </row>
    <row r="1335" spans="2:4" x14ac:dyDescent="0.35">
      <c r="B1335" s="60" t="s">
        <v>4141</v>
      </c>
      <c r="C1335" s="60" t="s">
        <v>4142</v>
      </c>
      <c r="D1335" s="60" t="s">
        <v>4143</v>
      </c>
    </row>
    <row r="1336" spans="2:4" x14ac:dyDescent="0.35">
      <c r="B1336" s="60" t="s">
        <v>4144</v>
      </c>
      <c r="C1336" s="60" t="s">
        <v>4145</v>
      </c>
      <c r="D1336" s="60" t="s">
        <v>4146</v>
      </c>
    </row>
    <row r="1337" spans="2:4" x14ac:dyDescent="0.35">
      <c r="B1337" s="60" t="s">
        <v>4147</v>
      </c>
      <c r="C1337" s="60" t="s">
        <v>4148</v>
      </c>
      <c r="D1337" s="60" t="s">
        <v>4149</v>
      </c>
    </row>
    <row r="1338" spans="2:4" x14ac:dyDescent="0.35">
      <c r="B1338" s="60" t="s">
        <v>4150</v>
      </c>
      <c r="C1338" s="60" t="s">
        <v>4151</v>
      </c>
      <c r="D1338" s="60" t="s">
        <v>4152</v>
      </c>
    </row>
    <row r="1339" spans="2:4" x14ac:dyDescent="0.35">
      <c r="B1339" s="60" t="s">
        <v>4153</v>
      </c>
      <c r="C1339" s="60" t="s">
        <v>4154</v>
      </c>
      <c r="D1339" s="60" t="s">
        <v>4155</v>
      </c>
    </row>
    <row r="1340" spans="2:4" x14ac:dyDescent="0.35">
      <c r="B1340" s="60" t="s">
        <v>4156</v>
      </c>
      <c r="C1340" s="60" t="s">
        <v>4157</v>
      </c>
      <c r="D1340" s="60" t="s">
        <v>4158</v>
      </c>
    </row>
    <row r="1341" spans="2:4" x14ac:dyDescent="0.35">
      <c r="B1341" s="60" t="s">
        <v>4159</v>
      </c>
      <c r="C1341" s="60" t="s">
        <v>4160</v>
      </c>
      <c r="D1341" s="60" t="s">
        <v>4161</v>
      </c>
    </row>
    <row r="1342" spans="2:4" x14ac:dyDescent="0.35">
      <c r="B1342" s="60" t="s">
        <v>4162</v>
      </c>
      <c r="C1342" s="60" t="s">
        <v>4163</v>
      </c>
      <c r="D1342" s="60" t="s">
        <v>4164</v>
      </c>
    </row>
    <row r="1343" spans="2:4" x14ac:dyDescent="0.35">
      <c r="B1343" s="60" t="s">
        <v>4165</v>
      </c>
      <c r="C1343" s="60" t="s">
        <v>4166</v>
      </c>
      <c r="D1343" s="60" t="s">
        <v>4167</v>
      </c>
    </row>
    <row r="1344" spans="2:4" x14ac:dyDescent="0.35">
      <c r="B1344" s="60" t="s">
        <v>4165</v>
      </c>
      <c r="C1344" s="60" t="s">
        <v>4168</v>
      </c>
      <c r="D1344" s="60" t="s">
        <v>4169</v>
      </c>
    </row>
    <row r="1345" spans="2:4" x14ac:dyDescent="0.35">
      <c r="B1345" s="60" t="s">
        <v>4170</v>
      </c>
      <c r="C1345" s="60" t="s">
        <v>4171</v>
      </c>
      <c r="D1345" s="60" t="s">
        <v>4172</v>
      </c>
    </row>
    <row r="1346" spans="2:4" x14ac:dyDescent="0.35">
      <c r="B1346" s="60" t="s">
        <v>4173</v>
      </c>
      <c r="C1346" s="60" t="s">
        <v>4174</v>
      </c>
      <c r="D1346" s="60" t="s">
        <v>4175</v>
      </c>
    </row>
    <row r="1347" spans="2:4" x14ac:dyDescent="0.35">
      <c r="B1347" s="60" t="s">
        <v>4176</v>
      </c>
      <c r="C1347" s="60" t="s">
        <v>4177</v>
      </c>
      <c r="D1347" s="60" t="s">
        <v>4178</v>
      </c>
    </row>
    <row r="1348" spans="2:4" x14ac:dyDescent="0.35">
      <c r="B1348" s="60" t="s">
        <v>4179</v>
      </c>
      <c r="C1348" s="60" t="s">
        <v>4180</v>
      </c>
      <c r="D1348" s="60" t="s">
        <v>4181</v>
      </c>
    </row>
    <row r="1349" spans="2:4" x14ac:dyDescent="0.35">
      <c r="B1349" s="60" t="s">
        <v>4182</v>
      </c>
      <c r="C1349" s="60" t="s">
        <v>4183</v>
      </c>
      <c r="D1349" s="60" t="s">
        <v>4184</v>
      </c>
    </row>
    <row r="1350" spans="2:4" x14ac:dyDescent="0.35">
      <c r="B1350" s="60" t="s">
        <v>4185</v>
      </c>
      <c r="C1350" s="60" t="s">
        <v>4186</v>
      </c>
      <c r="D1350" s="60" t="s">
        <v>4187</v>
      </c>
    </row>
    <row r="1351" spans="2:4" x14ac:dyDescent="0.35">
      <c r="B1351" s="60" t="s">
        <v>4188</v>
      </c>
      <c r="C1351" s="60" t="s">
        <v>4189</v>
      </c>
      <c r="D1351" s="60" t="s">
        <v>4190</v>
      </c>
    </row>
    <row r="1352" spans="2:4" x14ac:dyDescent="0.35">
      <c r="B1352" s="60" t="s">
        <v>4191</v>
      </c>
      <c r="C1352" s="60" t="s">
        <v>4192</v>
      </c>
      <c r="D1352" s="60" t="s">
        <v>4193</v>
      </c>
    </row>
    <row r="1353" spans="2:4" x14ac:dyDescent="0.35">
      <c r="B1353" s="60" t="s">
        <v>4194</v>
      </c>
      <c r="C1353" s="60" t="s">
        <v>4195</v>
      </c>
      <c r="D1353" s="60" t="s">
        <v>4196</v>
      </c>
    </row>
    <row r="1354" spans="2:4" x14ac:dyDescent="0.35">
      <c r="B1354" s="60" t="s">
        <v>4197</v>
      </c>
      <c r="C1354" s="60" t="s">
        <v>4198</v>
      </c>
      <c r="D1354" s="60" t="s">
        <v>4199</v>
      </c>
    </row>
    <row r="1355" spans="2:4" x14ac:dyDescent="0.35">
      <c r="B1355" s="60" t="s">
        <v>4200</v>
      </c>
      <c r="C1355" s="60" t="s">
        <v>4201</v>
      </c>
      <c r="D1355" s="60" t="s">
        <v>4202</v>
      </c>
    </row>
    <row r="1356" spans="2:4" x14ac:dyDescent="0.35">
      <c r="B1356" s="60" t="s">
        <v>4203</v>
      </c>
      <c r="C1356" s="60" t="s">
        <v>4204</v>
      </c>
      <c r="D1356" s="60" t="s">
        <v>4205</v>
      </c>
    </row>
    <row r="1357" spans="2:4" x14ac:dyDescent="0.35">
      <c r="B1357" s="60" t="s">
        <v>4206</v>
      </c>
      <c r="C1357" s="60" t="s">
        <v>4207</v>
      </c>
      <c r="D1357" s="60" t="s">
        <v>4208</v>
      </c>
    </row>
    <row r="1358" spans="2:4" x14ac:dyDescent="0.35">
      <c r="B1358" s="60" t="s">
        <v>4209</v>
      </c>
      <c r="C1358" s="60" t="s">
        <v>4210</v>
      </c>
      <c r="D1358" s="60" t="s">
        <v>4211</v>
      </c>
    </row>
    <row r="1359" spans="2:4" x14ac:dyDescent="0.35">
      <c r="B1359" s="60" t="s">
        <v>4212</v>
      </c>
      <c r="C1359" s="60" t="s">
        <v>4213</v>
      </c>
      <c r="D1359" s="60" t="s">
        <v>4214</v>
      </c>
    </row>
    <row r="1360" spans="2:4" x14ac:dyDescent="0.35">
      <c r="B1360" s="60" t="s">
        <v>4215</v>
      </c>
      <c r="C1360" s="60" t="s">
        <v>4216</v>
      </c>
      <c r="D1360" s="60" t="s">
        <v>4217</v>
      </c>
    </row>
    <row r="1361" spans="2:4" x14ac:dyDescent="0.35">
      <c r="B1361" s="60" t="s">
        <v>4218</v>
      </c>
      <c r="C1361" s="60" t="s">
        <v>4219</v>
      </c>
      <c r="D1361" s="60" t="s">
        <v>4220</v>
      </c>
    </row>
    <row r="1362" spans="2:4" x14ac:dyDescent="0.35">
      <c r="B1362" s="60" t="s">
        <v>4221</v>
      </c>
      <c r="C1362" s="60" t="s">
        <v>4222</v>
      </c>
      <c r="D1362" s="60" t="s">
        <v>4223</v>
      </c>
    </row>
    <row r="1363" spans="2:4" x14ac:dyDescent="0.35">
      <c r="B1363" s="60" t="s">
        <v>4224</v>
      </c>
      <c r="C1363" s="60" t="s">
        <v>4225</v>
      </c>
      <c r="D1363" s="60" t="s">
        <v>4226</v>
      </c>
    </row>
    <row r="1364" spans="2:4" x14ac:dyDescent="0.35">
      <c r="B1364" s="60" t="s">
        <v>4227</v>
      </c>
      <c r="C1364" s="60" t="s">
        <v>4228</v>
      </c>
      <c r="D1364" s="60" t="s">
        <v>4229</v>
      </c>
    </row>
    <row r="1365" spans="2:4" x14ac:dyDescent="0.35">
      <c r="B1365" s="60" t="s">
        <v>4230</v>
      </c>
      <c r="C1365" s="60" t="s">
        <v>4231</v>
      </c>
      <c r="D1365" s="60" t="s">
        <v>4232</v>
      </c>
    </row>
    <row r="1366" spans="2:4" x14ac:dyDescent="0.35">
      <c r="B1366" s="60" t="s">
        <v>4233</v>
      </c>
      <c r="C1366" s="60" t="s">
        <v>4234</v>
      </c>
      <c r="D1366" s="60" t="s">
        <v>4235</v>
      </c>
    </row>
    <row r="1367" spans="2:4" x14ac:dyDescent="0.35">
      <c r="B1367" s="60" t="s">
        <v>4236</v>
      </c>
      <c r="C1367" s="60" t="s">
        <v>4237</v>
      </c>
      <c r="D1367" s="60" t="s">
        <v>4238</v>
      </c>
    </row>
    <row r="1368" spans="2:4" x14ac:dyDescent="0.35">
      <c r="B1368" s="60" t="s">
        <v>4239</v>
      </c>
      <c r="C1368" s="60" t="s">
        <v>4240</v>
      </c>
      <c r="D1368" s="60" t="s">
        <v>4241</v>
      </c>
    </row>
    <row r="1369" spans="2:4" x14ac:dyDescent="0.35">
      <c r="B1369" s="60" t="s">
        <v>4242</v>
      </c>
      <c r="C1369" s="60" t="s">
        <v>4243</v>
      </c>
      <c r="D1369" s="60" t="s">
        <v>4244</v>
      </c>
    </row>
    <row r="1370" spans="2:4" x14ac:dyDescent="0.35">
      <c r="B1370" s="60" t="s">
        <v>4245</v>
      </c>
      <c r="C1370" s="60" t="s">
        <v>4246</v>
      </c>
      <c r="D1370" s="60" t="s">
        <v>4247</v>
      </c>
    </row>
    <row r="1371" spans="2:4" x14ac:dyDescent="0.35">
      <c r="B1371" s="60" t="s">
        <v>4248</v>
      </c>
      <c r="C1371" s="60" t="s">
        <v>4249</v>
      </c>
      <c r="D1371" s="60" t="s">
        <v>4250</v>
      </c>
    </row>
    <row r="1372" spans="2:4" x14ac:dyDescent="0.35">
      <c r="B1372" s="60" t="s">
        <v>4251</v>
      </c>
      <c r="C1372" s="60" t="s">
        <v>4252</v>
      </c>
      <c r="D1372" s="60" t="s">
        <v>4253</v>
      </c>
    </row>
    <row r="1373" spans="2:4" x14ac:dyDescent="0.35">
      <c r="B1373" s="60" t="s">
        <v>4254</v>
      </c>
      <c r="C1373" s="60" t="s">
        <v>4255</v>
      </c>
      <c r="D1373" s="60" t="s">
        <v>4256</v>
      </c>
    </row>
    <row r="1374" spans="2:4" x14ac:dyDescent="0.35">
      <c r="B1374" s="60" t="s">
        <v>4257</v>
      </c>
      <c r="C1374" s="60" t="s">
        <v>4258</v>
      </c>
      <c r="D1374" s="60" t="s">
        <v>4259</v>
      </c>
    </row>
    <row r="1375" spans="2:4" x14ac:dyDescent="0.35">
      <c r="B1375" s="60" t="s">
        <v>4257</v>
      </c>
      <c r="C1375" s="60" t="s">
        <v>4260</v>
      </c>
      <c r="D1375" s="60" t="s">
        <v>4261</v>
      </c>
    </row>
    <row r="1376" spans="2:4" x14ac:dyDescent="0.35">
      <c r="B1376" s="60" t="s">
        <v>4262</v>
      </c>
      <c r="C1376" s="60" t="s">
        <v>4263</v>
      </c>
      <c r="D1376" s="60" t="s">
        <v>4264</v>
      </c>
    </row>
    <row r="1377" spans="2:4" x14ac:dyDescent="0.35">
      <c r="B1377" s="60" t="s">
        <v>4265</v>
      </c>
      <c r="C1377" s="60" t="s">
        <v>4266</v>
      </c>
      <c r="D1377" s="60" t="s">
        <v>4267</v>
      </c>
    </row>
    <row r="1378" spans="2:4" x14ac:dyDescent="0.35">
      <c r="B1378" s="60" t="s">
        <v>4268</v>
      </c>
      <c r="C1378" s="60" t="s">
        <v>4269</v>
      </c>
      <c r="D1378" s="60" t="s">
        <v>4270</v>
      </c>
    </row>
    <row r="1379" spans="2:4" x14ac:dyDescent="0.35">
      <c r="B1379" s="60" t="s">
        <v>4271</v>
      </c>
      <c r="C1379" s="60" t="s">
        <v>4272</v>
      </c>
      <c r="D1379" s="60" t="s">
        <v>4273</v>
      </c>
    </row>
    <row r="1380" spans="2:4" x14ac:dyDescent="0.35">
      <c r="B1380" s="60" t="s">
        <v>4274</v>
      </c>
      <c r="C1380" s="60" t="s">
        <v>4275</v>
      </c>
      <c r="D1380" s="60" t="s">
        <v>4276</v>
      </c>
    </row>
    <row r="1381" spans="2:4" x14ac:dyDescent="0.35">
      <c r="B1381" s="60" t="s">
        <v>4277</v>
      </c>
      <c r="C1381" s="60" t="s">
        <v>4278</v>
      </c>
      <c r="D1381" s="60" t="s">
        <v>4279</v>
      </c>
    </row>
    <row r="1382" spans="2:4" x14ac:dyDescent="0.35">
      <c r="B1382" s="60" t="s">
        <v>4280</v>
      </c>
      <c r="C1382" s="60" t="s">
        <v>4281</v>
      </c>
      <c r="D1382" s="60" t="s">
        <v>4282</v>
      </c>
    </row>
    <row r="1383" spans="2:4" x14ac:dyDescent="0.35">
      <c r="B1383" s="60" t="s">
        <v>4283</v>
      </c>
      <c r="C1383" s="60" t="s">
        <v>4284</v>
      </c>
      <c r="D1383" s="60" t="s">
        <v>4285</v>
      </c>
    </row>
    <row r="1384" spans="2:4" x14ac:dyDescent="0.35">
      <c r="B1384" s="60" t="s">
        <v>4286</v>
      </c>
      <c r="C1384" s="60" t="s">
        <v>4287</v>
      </c>
      <c r="D1384" s="60" t="s">
        <v>4288</v>
      </c>
    </row>
    <row r="1385" spans="2:4" x14ac:dyDescent="0.35">
      <c r="B1385" s="60" t="s">
        <v>4289</v>
      </c>
      <c r="C1385" s="60" t="s">
        <v>4290</v>
      </c>
      <c r="D1385" s="60" t="s">
        <v>4291</v>
      </c>
    </row>
    <row r="1386" spans="2:4" x14ac:dyDescent="0.35">
      <c r="B1386" s="60" t="s">
        <v>4292</v>
      </c>
      <c r="C1386" s="60" t="s">
        <v>4293</v>
      </c>
      <c r="D1386" s="60" t="s">
        <v>4294</v>
      </c>
    </row>
    <row r="1387" spans="2:4" x14ac:dyDescent="0.35">
      <c r="B1387" s="60" t="s">
        <v>4295</v>
      </c>
      <c r="C1387" s="60" t="s">
        <v>4296</v>
      </c>
      <c r="D1387" s="60" t="s">
        <v>4297</v>
      </c>
    </row>
    <row r="1388" spans="2:4" x14ac:dyDescent="0.35">
      <c r="B1388" s="60" t="s">
        <v>4298</v>
      </c>
      <c r="C1388" s="60" t="s">
        <v>4299</v>
      </c>
      <c r="D1388" s="60" t="s">
        <v>4300</v>
      </c>
    </row>
    <row r="1389" spans="2:4" x14ac:dyDescent="0.35">
      <c r="B1389" s="60" t="s">
        <v>4301</v>
      </c>
      <c r="C1389" s="60" t="s">
        <v>4302</v>
      </c>
      <c r="D1389" s="60" t="s">
        <v>4303</v>
      </c>
    </row>
    <row r="1390" spans="2:4" x14ac:dyDescent="0.35">
      <c r="B1390" s="60" t="s">
        <v>4304</v>
      </c>
      <c r="C1390" s="60" t="s">
        <v>4305</v>
      </c>
      <c r="D1390" s="60" t="s">
        <v>4306</v>
      </c>
    </row>
    <row r="1391" spans="2:4" x14ac:dyDescent="0.35">
      <c r="B1391" s="60" t="s">
        <v>4307</v>
      </c>
      <c r="C1391" s="60" t="s">
        <v>4308</v>
      </c>
      <c r="D1391" s="60" t="s">
        <v>4309</v>
      </c>
    </row>
    <row r="1392" spans="2:4" x14ac:dyDescent="0.35">
      <c r="B1392" s="60" t="s">
        <v>4310</v>
      </c>
      <c r="C1392" s="60" t="s">
        <v>4311</v>
      </c>
      <c r="D1392" s="60" t="s">
        <v>4312</v>
      </c>
    </row>
    <row r="1393" spans="2:4" x14ac:dyDescent="0.35">
      <c r="B1393" s="60" t="s">
        <v>4313</v>
      </c>
      <c r="C1393" s="60" t="s">
        <v>4314</v>
      </c>
      <c r="D1393" s="60" t="s">
        <v>4315</v>
      </c>
    </row>
    <row r="1394" spans="2:4" x14ac:dyDescent="0.35">
      <c r="B1394" s="60" t="s">
        <v>4316</v>
      </c>
      <c r="C1394" s="60" t="s">
        <v>4317</v>
      </c>
      <c r="D1394" s="60" t="s">
        <v>4318</v>
      </c>
    </row>
    <row r="1395" spans="2:4" x14ac:dyDescent="0.35">
      <c r="B1395" s="60" t="s">
        <v>4319</v>
      </c>
      <c r="C1395" s="60" t="s">
        <v>4320</v>
      </c>
      <c r="D1395" s="60" t="s">
        <v>4321</v>
      </c>
    </row>
    <row r="1396" spans="2:4" x14ac:dyDescent="0.35">
      <c r="B1396" s="60" t="s">
        <v>4322</v>
      </c>
      <c r="C1396" s="60" t="s">
        <v>4323</v>
      </c>
      <c r="D1396" s="60" t="s">
        <v>4324</v>
      </c>
    </row>
    <row r="1397" spans="2:4" x14ac:dyDescent="0.35">
      <c r="B1397" s="60" t="s">
        <v>4325</v>
      </c>
      <c r="C1397" s="60" t="s">
        <v>4326</v>
      </c>
      <c r="D1397" s="60" t="s">
        <v>4327</v>
      </c>
    </row>
    <row r="1398" spans="2:4" x14ac:dyDescent="0.35">
      <c r="B1398" s="60" t="s">
        <v>4328</v>
      </c>
      <c r="C1398" s="60" t="s">
        <v>4329</v>
      </c>
      <c r="D1398" s="60" t="s">
        <v>4330</v>
      </c>
    </row>
    <row r="1399" spans="2:4" x14ac:dyDescent="0.35">
      <c r="B1399" s="60" t="s">
        <v>4331</v>
      </c>
      <c r="C1399" s="60" t="s">
        <v>4332</v>
      </c>
      <c r="D1399" s="60" t="s">
        <v>4333</v>
      </c>
    </row>
    <row r="1400" spans="2:4" x14ac:dyDescent="0.35">
      <c r="B1400" s="60" t="s">
        <v>4334</v>
      </c>
      <c r="C1400" s="60" t="s">
        <v>4335</v>
      </c>
      <c r="D1400" s="60" t="s">
        <v>4336</v>
      </c>
    </row>
    <row r="1401" spans="2:4" x14ac:dyDescent="0.35">
      <c r="B1401" s="60" t="s">
        <v>4337</v>
      </c>
      <c r="C1401" s="60" t="s">
        <v>4338</v>
      </c>
      <c r="D1401" s="60" t="s">
        <v>4339</v>
      </c>
    </row>
    <row r="1402" spans="2:4" x14ac:dyDescent="0.35">
      <c r="B1402" s="60" t="s">
        <v>4340</v>
      </c>
      <c r="C1402" s="60" t="s">
        <v>4341</v>
      </c>
      <c r="D1402" s="60" t="s">
        <v>4342</v>
      </c>
    </row>
    <row r="1403" spans="2:4" x14ac:dyDescent="0.35">
      <c r="B1403" s="60" t="s">
        <v>4343</v>
      </c>
      <c r="C1403" s="60" t="s">
        <v>4344</v>
      </c>
      <c r="D1403" s="60" t="s">
        <v>4345</v>
      </c>
    </row>
    <row r="1404" spans="2:4" x14ac:dyDescent="0.35">
      <c r="B1404" s="60" t="s">
        <v>4346</v>
      </c>
      <c r="C1404" s="60" t="s">
        <v>4347</v>
      </c>
      <c r="D1404" s="60" t="s">
        <v>4348</v>
      </c>
    </row>
    <row r="1405" spans="2:4" x14ac:dyDescent="0.35">
      <c r="B1405" s="60" t="s">
        <v>4349</v>
      </c>
      <c r="C1405" s="60" t="s">
        <v>4350</v>
      </c>
      <c r="D1405" s="60" t="s">
        <v>4351</v>
      </c>
    </row>
    <row r="1406" spans="2:4" x14ac:dyDescent="0.35">
      <c r="B1406" s="60" t="s">
        <v>4352</v>
      </c>
      <c r="C1406" s="60" t="s">
        <v>4353</v>
      </c>
      <c r="D1406" s="60" t="s">
        <v>4354</v>
      </c>
    </row>
    <row r="1407" spans="2:4" x14ac:dyDescent="0.35">
      <c r="B1407" s="60" t="s">
        <v>4355</v>
      </c>
      <c r="C1407" s="60" t="s">
        <v>4356</v>
      </c>
      <c r="D1407" s="60" t="s">
        <v>4357</v>
      </c>
    </row>
    <row r="1408" spans="2:4" x14ac:dyDescent="0.35">
      <c r="B1408" s="60" t="s">
        <v>4358</v>
      </c>
      <c r="C1408" s="60" t="s">
        <v>4359</v>
      </c>
      <c r="D1408" s="60" t="s">
        <v>4360</v>
      </c>
    </row>
    <row r="1409" spans="2:4" x14ac:dyDescent="0.35">
      <c r="B1409" s="60" t="s">
        <v>4361</v>
      </c>
      <c r="C1409" s="60" t="s">
        <v>4362</v>
      </c>
      <c r="D1409" s="60" t="s">
        <v>4363</v>
      </c>
    </row>
    <row r="1410" spans="2:4" x14ac:dyDescent="0.35">
      <c r="B1410" s="60" t="s">
        <v>4364</v>
      </c>
      <c r="C1410" s="60" t="s">
        <v>4365</v>
      </c>
      <c r="D1410" s="60" t="s">
        <v>4366</v>
      </c>
    </row>
    <row r="1411" spans="2:4" x14ac:dyDescent="0.35">
      <c r="B1411" s="60" t="s">
        <v>4367</v>
      </c>
      <c r="C1411" s="60" t="s">
        <v>4368</v>
      </c>
      <c r="D1411" s="60" t="s">
        <v>4369</v>
      </c>
    </row>
    <row r="1412" spans="2:4" x14ac:dyDescent="0.35">
      <c r="B1412" s="60" t="s">
        <v>4370</v>
      </c>
      <c r="C1412" s="60" t="s">
        <v>4371</v>
      </c>
      <c r="D1412" s="60" t="s">
        <v>4372</v>
      </c>
    </row>
    <row r="1413" spans="2:4" x14ac:dyDescent="0.35">
      <c r="B1413" s="60" t="s">
        <v>4373</v>
      </c>
      <c r="C1413" s="60" t="s">
        <v>4374</v>
      </c>
      <c r="D1413" s="60" t="s">
        <v>4375</v>
      </c>
    </row>
    <row r="1414" spans="2:4" x14ac:dyDescent="0.35">
      <c r="B1414" s="60" t="s">
        <v>4376</v>
      </c>
      <c r="C1414" s="60" t="s">
        <v>4377</v>
      </c>
      <c r="D1414" s="60" t="s">
        <v>4378</v>
      </c>
    </row>
    <row r="1415" spans="2:4" x14ac:dyDescent="0.35">
      <c r="B1415" s="60" t="s">
        <v>4376</v>
      </c>
      <c r="C1415" s="60" t="s">
        <v>4379</v>
      </c>
      <c r="D1415" s="60" t="s">
        <v>4380</v>
      </c>
    </row>
    <row r="1416" spans="2:4" x14ac:dyDescent="0.35">
      <c r="B1416" s="60" t="s">
        <v>4381</v>
      </c>
      <c r="C1416" s="60" t="s">
        <v>4382</v>
      </c>
      <c r="D1416" s="60" t="s">
        <v>4383</v>
      </c>
    </row>
    <row r="1417" spans="2:4" x14ac:dyDescent="0.35">
      <c r="B1417" s="60" t="s">
        <v>4384</v>
      </c>
      <c r="C1417" s="60" t="s">
        <v>4385</v>
      </c>
      <c r="D1417" s="60" t="s">
        <v>4386</v>
      </c>
    </row>
    <row r="1418" spans="2:4" x14ac:dyDescent="0.35">
      <c r="B1418" s="60" t="s">
        <v>4387</v>
      </c>
      <c r="C1418" s="60" t="s">
        <v>4388</v>
      </c>
      <c r="D1418" s="60" t="s">
        <v>4389</v>
      </c>
    </row>
    <row r="1419" spans="2:4" x14ac:dyDescent="0.35">
      <c r="B1419" s="60" t="s">
        <v>4390</v>
      </c>
      <c r="C1419" s="60" t="s">
        <v>4391</v>
      </c>
      <c r="D1419" s="60" t="s">
        <v>4392</v>
      </c>
    </row>
    <row r="1420" spans="2:4" x14ac:dyDescent="0.35">
      <c r="B1420" s="60" t="s">
        <v>4393</v>
      </c>
      <c r="C1420" s="60" t="s">
        <v>4394</v>
      </c>
      <c r="D1420" s="60" t="s">
        <v>4395</v>
      </c>
    </row>
    <row r="1421" spans="2:4" x14ac:dyDescent="0.35">
      <c r="B1421" s="60" t="s">
        <v>4396</v>
      </c>
      <c r="C1421" s="60" t="s">
        <v>4397</v>
      </c>
      <c r="D1421" s="60" t="s">
        <v>4398</v>
      </c>
    </row>
    <row r="1422" spans="2:4" x14ac:dyDescent="0.35">
      <c r="B1422" s="60" t="s">
        <v>4399</v>
      </c>
      <c r="C1422" s="60" t="s">
        <v>4400</v>
      </c>
      <c r="D1422" s="60" t="s">
        <v>4401</v>
      </c>
    </row>
    <row r="1423" spans="2:4" x14ac:dyDescent="0.35">
      <c r="B1423" s="60" t="s">
        <v>4402</v>
      </c>
      <c r="C1423" s="60" t="s">
        <v>4403</v>
      </c>
      <c r="D1423" s="60" t="s">
        <v>4404</v>
      </c>
    </row>
    <row r="1424" spans="2:4" x14ac:dyDescent="0.35">
      <c r="B1424" s="60" t="s">
        <v>4402</v>
      </c>
      <c r="C1424" s="60" t="s">
        <v>4405</v>
      </c>
      <c r="D1424" s="60" t="s">
        <v>4406</v>
      </c>
    </row>
    <row r="1425" spans="2:4" x14ac:dyDescent="0.35">
      <c r="B1425" s="60" t="s">
        <v>4407</v>
      </c>
      <c r="C1425" s="60" t="s">
        <v>4408</v>
      </c>
      <c r="D1425" s="60" t="s">
        <v>4409</v>
      </c>
    </row>
    <row r="1426" spans="2:4" x14ac:dyDescent="0.35">
      <c r="B1426" s="60" t="s">
        <v>4410</v>
      </c>
      <c r="C1426" s="60" t="s">
        <v>4411</v>
      </c>
      <c r="D1426" s="60" t="s">
        <v>4412</v>
      </c>
    </row>
    <row r="1427" spans="2:4" x14ac:dyDescent="0.35">
      <c r="B1427" s="60" t="s">
        <v>4413</v>
      </c>
      <c r="C1427" s="60" t="s">
        <v>4414</v>
      </c>
      <c r="D1427" s="60" t="s">
        <v>4415</v>
      </c>
    </row>
    <row r="1428" spans="2:4" x14ac:dyDescent="0.35">
      <c r="B1428" s="60" t="s">
        <v>4416</v>
      </c>
      <c r="C1428" s="60" t="s">
        <v>4417</v>
      </c>
      <c r="D1428" s="60" t="s">
        <v>4418</v>
      </c>
    </row>
    <row r="1429" spans="2:4" x14ac:dyDescent="0.35">
      <c r="B1429" s="60" t="s">
        <v>4419</v>
      </c>
      <c r="C1429" s="60" t="s">
        <v>4420</v>
      </c>
      <c r="D1429" s="60" t="s">
        <v>4421</v>
      </c>
    </row>
    <row r="1430" spans="2:4" x14ac:dyDescent="0.35">
      <c r="B1430" s="60" t="s">
        <v>4422</v>
      </c>
      <c r="C1430" s="60" t="s">
        <v>4423</v>
      </c>
      <c r="D1430" s="60" t="s">
        <v>4424</v>
      </c>
    </row>
    <row r="1431" spans="2:4" x14ac:dyDescent="0.35">
      <c r="B1431" s="60" t="s">
        <v>4425</v>
      </c>
      <c r="C1431" s="60" t="s">
        <v>4426</v>
      </c>
      <c r="D1431" s="60" t="s">
        <v>4427</v>
      </c>
    </row>
    <row r="1432" spans="2:4" x14ac:dyDescent="0.35">
      <c r="B1432" s="60" t="s">
        <v>4428</v>
      </c>
      <c r="C1432" s="60" t="s">
        <v>4429</v>
      </c>
      <c r="D1432" s="60" t="s">
        <v>4430</v>
      </c>
    </row>
    <row r="1433" spans="2:4" x14ac:dyDescent="0.35">
      <c r="B1433" s="60" t="s">
        <v>4431</v>
      </c>
      <c r="C1433" s="60" t="s">
        <v>4432</v>
      </c>
      <c r="D1433" s="60" t="s">
        <v>4433</v>
      </c>
    </row>
    <row r="1434" spans="2:4" x14ac:dyDescent="0.35">
      <c r="B1434" s="60" t="s">
        <v>4434</v>
      </c>
      <c r="C1434" s="60" t="s">
        <v>4435</v>
      </c>
      <c r="D1434" s="60" t="s">
        <v>4436</v>
      </c>
    </row>
    <row r="1435" spans="2:4" x14ac:dyDescent="0.35">
      <c r="B1435" s="60" t="s">
        <v>4437</v>
      </c>
      <c r="C1435" s="60" t="s">
        <v>4438</v>
      </c>
      <c r="D1435" s="60" t="s">
        <v>4439</v>
      </c>
    </row>
    <row r="1436" spans="2:4" x14ac:dyDescent="0.35">
      <c r="B1436" s="60" t="s">
        <v>4440</v>
      </c>
      <c r="C1436" s="60" t="s">
        <v>4441</v>
      </c>
      <c r="D1436" s="60" t="s">
        <v>4442</v>
      </c>
    </row>
    <row r="1437" spans="2:4" x14ac:dyDescent="0.35">
      <c r="B1437" s="60" t="s">
        <v>4443</v>
      </c>
      <c r="C1437" s="60" t="s">
        <v>4444</v>
      </c>
      <c r="D1437" s="60" t="s">
        <v>4445</v>
      </c>
    </row>
    <row r="1438" spans="2:4" x14ac:dyDescent="0.35">
      <c r="B1438" s="60" t="s">
        <v>4446</v>
      </c>
      <c r="C1438" s="60" t="s">
        <v>4447</v>
      </c>
      <c r="D1438" s="60" t="s">
        <v>4448</v>
      </c>
    </row>
    <row r="1439" spans="2:4" x14ac:dyDescent="0.35">
      <c r="B1439" s="60" t="s">
        <v>4449</v>
      </c>
      <c r="C1439" s="60" t="s">
        <v>4450</v>
      </c>
      <c r="D1439" s="60" t="s">
        <v>4451</v>
      </c>
    </row>
    <row r="1440" spans="2:4" x14ac:dyDescent="0.35">
      <c r="B1440" s="60" t="s">
        <v>4452</v>
      </c>
      <c r="C1440" s="60" t="s">
        <v>4453</v>
      </c>
      <c r="D1440" s="60" t="s">
        <v>4454</v>
      </c>
    </row>
    <row r="1441" spans="2:4" x14ac:dyDescent="0.35">
      <c r="B1441" s="60" t="s">
        <v>4455</v>
      </c>
      <c r="C1441" s="60" t="s">
        <v>4456</v>
      </c>
      <c r="D1441" s="60" t="s">
        <v>2900</v>
      </c>
    </row>
    <row r="1442" spans="2:4" x14ac:dyDescent="0.35">
      <c r="B1442" s="60" t="s">
        <v>4457</v>
      </c>
      <c r="C1442" s="60" t="s">
        <v>4458</v>
      </c>
      <c r="D1442" s="60" t="s">
        <v>4459</v>
      </c>
    </row>
    <row r="1443" spans="2:4" x14ac:dyDescent="0.35">
      <c r="B1443" s="60" t="s">
        <v>4460</v>
      </c>
      <c r="C1443" s="60" t="s">
        <v>4461</v>
      </c>
      <c r="D1443" s="60" t="s">
        <v>4462</v>
      </c>
    </row>
    <row r="1444" spans="2:4" x14ac:dyDescent="0.35">
      <c r="B1444" s="60" t="s">
        <v>4463</v>
      </c>
      <c r="C1444" s="60" t="s">
        <v>4464</v>
      </c>
      <c r="D1444" s="60" t="s">
        <v>4465</v>
      </c>
    </row>
    <row r="1445" spans="2:4" x14ac:dyDescent="0.35">
      <c r="B1445" s="60" t="s">
        <v>4466</v>
      </c>
      <c r="C1445" s="60" t="s">
        <v>4467</v>
      </c>
      <c r="D1445" s="60" t="s">
        <v>4468</v>
      </c>
    </row>
    <row r="1446" spans="2:4" x14ac:dyDescent="0.35">
      <c r="B1446" s="60" t="s">
        <v>4469</v>
      </c>
      <c r="C1446" s="60" t="s">
        <v>4470</v>
      </c>
      <c r="D1446" s="60" t="s">
        <v>4471</v>
      </c>
    </row>
    <row r="1447" spans="2:4" x14ac:dyDescent="0.35">
      <c r="B1447" s="60" t="s">
        <v>4472</v>
      </c>
      <c r="C1447" s="60" t="s">
        <v>4473</v>
      </c>
      <c r="D1447" s="60" t="s">
        <v>4474</v>
      </c>
    </row>
    <row r="1448" spans="2:4" x14ac:dyDescent="0.35">
      <c r="B1448" s="60" t="s">
        <v>4472</v>
      </c>
      <c r="C1448" s="60" t="s">
        <v>4475</v>
      </c>
      <c r="D1448" s="60" t="s">
        <v>4476</v>
      </c>
    </row>
    <row r="1449" spans="2:4" x14ac:dyDescent="0.35">
      <c r="B1449" s="60" t="s">
        <v>4477</v>
      </c>
      <c r="C1449" s="60" t="s">
        <v>4478</v>
      </c>
      <c r="D1449" s="60" t="s">
        <v>4479</v>
      </c>
    </row>
    <row r="1450" spans="2:4" x14ac:dyDescent="0.35">
      <c r="B1450" s="60" t="s">
        <v>4480</v>
      </c>
      <c r="C1450" s="60" t="s">
        <v>4481</v>
      </c>
      <c r="D1450" s="60" t="s">
        <v>4482</v>
      </c>
    </row>
    <row r="1451" spans="2:4" x14ac:dyDescent="0.35">
      <c r="B1451" s="60" t="s">
        <v>4483</v>
      </c>
      <c r="C1451" s="60" t="s">
        <v>4484</v>
      </c>
      <c r="D1451" s="60" t="s">
        <v>4485</v>
      </c>
    </row>
    <row r="1452" spans="2:4" x14ac:dyDescent="0.35">
      <c r="B1452" s="60" t="s">
        <v>4486</v>
      </c>
      <c r="C1452" s="60" t="s">
        <v>4487</v>
      </c>
      <c r="D1452" s="60" t="s">
        <v>4488</v>
      </c>
    </row>
    <row r="1453" spans="2:4" x14ac:dyDescent="0.35">
      <c r="B1453" s="60" t="s">
        <v>4489</v>
      </c>
      <c r="C1453" s="60" t="s">
        <v>4490</v>
      </c>
      <c r="D1453" s="60" t="s">
        <v>4491</v>
      </c>
    </row>
    <row r="1454" spans="2:4" x14ac:dyDescent="0.35">
      <c r="B1454" s="60" t="s">
        <v>4492</v>
      </c>
      <c r="C1454" s="60" t="s">
        <v>4493</v>
      </c>
      <c r="D1454" s="60" t="s">
        <v>4494</v>
      </c>
    </row>
    <row r="1455" spans="2:4" x14ac:dyDescent="0.35">
      <c r="B1455" s="60" t="s">
        <v>4495</v>
      </c>
      <c r="C1455" s="60" t="s">
        <v>4496</v>
      </c>
      <c r="D1455" s="60" t="s">
        <v>4497</v>
      </c>
    </row>
    <row r="1456" spans="2:4" x14ac:dyDescent="0.35">
      <c r="B1456" s="60" t="s">
        <v>4498</v>
      </c>
      <c r="C1456" s="60" t="s">
        <v>4499</v>
      </c>
      <c r="D1456" s="60" t="s">
        <v>4500</v>
      </c>
    </row>
    <row r="1457" spans="2:4" x14ac:dyDescent="0.35">
      <c r="B1457" s="60" t="s">
        <v>4501</v>
      </c>
      <c r="C1457" s="60" t="s">
        <v>4502</v>
      </c>
      <c r="D1457" s="60" t="s">
        <v>4503</v>
      </c>
    </row>
    <row r="1458" spans="2:4" x14ac:dyDescent="0.35">
      <c r="B1458" s="60" t="s">
        <v>4504</v>
      </c>
      <c r="C1458" s="60" t="s">
        <v>4505</v>
      </c>
      <c r="D1458" s="60" t="s">
        <v>4506</v>
      </c>
    </row>
    <row r="1459" spans="2:4" x14ac:dyDescent="0.35">
      <c r="B1459" s="60" t="s">
        <v>4504</v>
      </c>
      <c r="C1459" s="60" t="s">
        <v>4507</v>
      </c>
      <c r="D1459" s="60" t="s">
        <v>4508</v>
      </c>
    </row>
    <row r="1460" spans="2:4" x14ac:dyDescent="0.35">
      <c r="B1460" s="60" t="s">
        <v>4509</v>
      </c>
      <c r="C1460" s="60" t="s">
        <v>4510</v>
      </c>
      <c r="D1460" s="60" t="s">
        <v>4511</v>
      </c>
    </row>
    <row r="1461" spans="2:4" x14ac:dyDescent="0.35">
      <c r="B1461" s="60" t="s">
        <v>4512</v>
      </c>
      <c r="C1461" s="60" t="s">
        <v>4513</v>
      </c>
      <c r="D1461" s="60" t="s">
        <v>4514</v>
      </c>
    </row>
    <row r="1462" spans="2:4" x14ac:dyDescent="0.35">
      <c r="B1462" s="60" t="s">
        <v>4515</v>
      </c>
      <c r="C1462" s="60" t="s">
        <v>4516</v>
      </c>
      <c r="D1462" s="60" t="s">
        <v>4517</v>
      </c>
    </row>
    <row r="1463" spans="2:4" x14ac:dyDescent="0.35">
      <c r="B1463" s="60" t="s">
        <v>4518</v>
      </c>
      <c r="C1463" s="60" t="s">
        <v>4519</v>
      </c>
      <c r="D1463" s="60" t="s">
        <v>4520</v>
      </c>
    </row>
    <row r="1464" spans="2:4" x14ac:dyDescent="0.35">
      <c r="B1464" s="60" t="s">
        <v>4521</v>
      </c>
      <c r="C1464" s="60" t="s">
        <v>4522</v>
      </c>
      <c r="D1464" s="60" t="s">
        <v>4523</v>
      </c>
    </row>
    <row r="1465" spans="2:4" x14ac:dyDescent="0.35">
      <c r="B1465" s="60" t="s">
        <v>4524</v>
      </c>
      <c r="C1465" s="60" t="s">
        <v>4525</v>
      </c>
      <c r="D1465" s="60" t="s">
        <v>4526</v>
      </c>
    </row>
    <row r="1466" spans="2:4" x14ac:dyDescent="0.35">
      <c r="B1466" s="60" t="s">
        <v>4527</v>
      </c>
      <c r="C1466" s="60" t="s">
        <v>4528</v>
      </c>
      <c r="D1466" s="60" t="s">
        <v>4529</v>
      </c>
    </row>
    <row r="1467" spans="2:4" x14ac:dyDescent="0.35">
      <c r="B1467" s="60" t="s">
        <v>4530</v>
      </c>
      <c r="C1467" s="60" t="s">
        <v>4531</v>
      </c>
      <c r="D1467" s="60" t="s">
        <v>4532</v>
      </c>
    </row>
    <row r="1468" spans="2:4" x14ac:dyDescent="0.35">
      <c r="B1468" s="60" t="s">
        <v>4533</v>
      </c>
      <c r="C1468" s="60" t="s">
        <v>4534</v>
      </c>
      <c r="D1468" s="60" t="s">
        <v>4535</v>
      </c>
    </row>
    <row r="1469" spans="2:4" x14ac:dyDescent="0.35">
      <c r="B1469" s="60" t="s">
        <v>4536</v>
      </c>
      <c r="C1469" s="60" t="s">
        <v>4537</v>
      </c>
      <c r="D1469" s="60" t="s">
        <v>4538</v>
      </c>
    </row>
    <row r="1470" spans="2:4" x14ac:dyDescent="0.35">
      <c r="B1470" s="60" t="s">
        <v>4539</v>
      </c>
      <c r="C1470" s="60" t="s">
        <v>4540</v>
      </c>
      <c r="D1470" s="60" t="s">
        <v>4541</v>
      </c>
    </row>
    <row r="1471" spans="2:4" x14ac:dyDescent="0.35">
      <c r="B1471" s="60" t="s">
        <v>4542</v>
      </c>
      <c r="C1471" s="60" t="s">
        <v>4543</v>
      </c>
      <c r="D1471" s="60" t="s">
        <v>4544</v>
      </c>
    </row>
    <row r="1472" spans="2:4" x14ac:dyDescent="0.35">
      <c r="B1472" s="60" t="s">
        <v>4545</v>
      </c>
      <c r="C1472" s="60" t="s">
        <v>4546</v>
      </c>
      <c r="D1472" s="60" t="s">
        <v>4547</v>
      </c>
    </row>
    <row r="1473" spans="2:4" x14ac:dyDescent="0.35">
      <c r="B1473" s="60" t="s">
        <v>4548</v>
      </c>
      <c r="C1473" s="60" t="s">
        <v>4549</v>
      </c>
      <c r="D1473" s="60" t="s">
        <v>4550</v>
      </c>
    </row>
    <row r="1474" spans="2:4" x14ac:dyDescent="0.35">
      <c r="B1474" s="60" t="s">
        <v>4551</v>
      </c>
      <c r="C1474" s="60" t="s">
        <v>4552</v>
      </c>
      <c r="D1474" s="60" t="s">
        <v>4553</v>
      </c>
    </row>
    <row r="1475" spans="2:4" x14ac:dyDescent="0.35">
      <c r="B1475" s="60" t="s">
        <v>4554</v>
      </c>
      <c r="C1475" s="60" t="s">
        <v>4555</v>
      </c>
      <c r="D1475" s="60" t="s">
        <v>4556</v>
      </c>
    </row>
    <row r="1476" spans="2:4" x14ac:dyDescent="0.35">
      <c r="B1476" s="60" t="s">
        <v>4557</v>
      </c>
      <c r="C1476" s="60" t="s">
        <v>4558</v>
      </c>
      <c r="D1476" s="60" t="s">
        <v>4559</v>
      </c>
    </row>
    <row r="1477" spans="2:4" x14ac:dyDescent="0.35">
      <c r="B1477" s="60" t="s">
        <v>4560</v>
      </c>
      <c r="C1477" s="60" t="s">
        <v>4561</v>
      </c>
      <c r="D1477" s="60" t="s">
        <v>4562</v>
      </c>
    </row>
    <row r="1478" spans="2:4" x14ac:dyDescent="0.35">
      <c r="B1478" s="60" t="s">
        <v>4563</v>
      </c>
      <c r="C1478" s="60" t="s">
        <v>4564</v>
      </c>
      <c r="D1478" s="60" t="s">
        <v>4565</v>
      </c>
    </row>
    <row r="1479" spans="2:4" x14ac:dyDescent="0.35">
      <c r="B1479" s="60" t="s">
        <v>4566</v>
      </c>
      <c r="C1479" s="60" t="s">
        <v>4567</v>
      </c>
      <c r="D1479" s="60" t="s">
        <v>4568</v>
      </c>
    </row>
    <row r="1480" spans="2:4" x14ac:dyDescent="0.35">
      <c r="B1480" s="60" t="s">
        <v>4569</v>
      </c>
      <c r="C1480" s="60" t="s">
        <v>4570</v>
      </c>
      <c r="D1480" s="60" t="s">
        <v>4571</v>
      </c>
    </row>
    <row r="1481" spans="2:4" x14ac:dyDescent="0.35">
      <c r="B1481" s="60" t="s">
        <v>4572</v>
      </c>
      <c r="C1481" s="60" t="s">
        <v>4573</v>
      </c>
      <c r="D1481" s="60" t="s">
        <v>4574</v>
      </c>
    </row>
    <row r="1482" spans="2:4" x14ac:dyDescent="0.35">
      <c r="B1482" s="60" t="s">
        <v>4575</v>
      </c>
      <c r="C1482" s="60" t="s">
        <v>4576</v>
      </c>
      <c r="D1482" s="60" t="s">
        <v>4577</v>
      </c>
    </row>
    <row r="1483" spans="2:4" x14ac:dyDescent="0.35">
      <c r="B1483" s="60" t="s">
        <v>4578</v>
      </c>
      <c r="C1483" s="60" t="s">
        <v>4579</v>
      </c>
      <c r="D1483" s="60" t="s">
        <v>4580</v>
      </c>
    </row>
    <row r="1484" spans="2:4" x14ac:dyDescent="0.35">
      <c r="B1484" s="60" t="s">
        <v>4581</v>
      </c>
      <c r="C1484" s="60" t="s">
        <v>4582</v>
      </c>
      <c r="D1484" s="60" t="s">
        <v>4583</v>
      </c>
    </row>
    <row r="1485" spans="2:4" x14ac:dyDescent="0.35">
      <c r="B1485" s="60" t="s">
        <v>4584</v>
      </c>
      <c r="C1485" s="60" t="s">
        <v>4585</v>
      </c>
      <c r="D1485" s="60" t="s">
        <v>4586</v>
      </c>
    </row>
    <row r="1486" spans="2:4" x14ac:dyDescent="0.35">
      <c r="B1486" s="60" t="s">
        <v>4584</v>
      </c>
      <c r="C1486" s="60" t="s">
        <v>4587</v>
      </c>
      <c r="D1486" s="60" t="s">
        <v>4588</v>
      </c>
    </row>
    <row r="1487" spans="2:4" x14ac:dyDescent="0.35">
      <c r="B1487" s="60" t="s">
        <v>4589</v>
      </c>
      <c r="C1487" s="60" t="s">
        <v>4590</v>
      </c>
      <c r="D1487" s="60" t="s">
        <v>4591</v>
      </c>
    </row>
    <row r="1488" spans="2:4" x14ac:dyDescent="0.35">
      <c r="B1488" s="60" t="s">
        <v>4592</v>
      </c>
      <c r="C1488" s="60" t="s">
        <v>4593</v>
      </c>
      <c r="D1488" s="60" t="s">
        <v>4594</v>
      </c>
    </row>
    <row r="1489" spans="2:4" x14ac:dyDescent="0.35">
      <c r="B1489" s="60" t="s">
        <v>4595</v>
      </c>
      <c r="C1489" s="60" t="s">
        <v>4596</v>
      </c>
      <c r="D1489" s="60" t="s">
        <v>4597</v>
      </c>
    </row>
    <row r="1490" spans="2:4" x14ac:dyDescent="0.35">
      <c r="B1490" s="60" t="s">
        <v>4598</v>
      </c>
      <c r="C1490" s="60" t="s">
        <v>4599</v>
      </c>
      <c r="D1490" s="60" t="s">
        <v>4600</v>
      </c>
    </row>
    <row r="1491" spans="2:4" x14ac:dyDescent="0.35">
      <c r="B1491" s="60" t="s">
        <v>4601</v>
      </c>
      <c r="C1491" s="60" t="s">
        <v>4602</v>
      </c>
      <c r="D1491" s="60" t="s">
        <v>4603</v>
      </c>
    </row>
    <row r="1492" spans="2:4" x14ac:dyDescent="0.35">
      <c r="B1492" s="60" t="s">
        <v>4604</v>
      </c>
      <c r="C1492" s="60" t="s">
        <v>4605</v>
      </c>
      <c r="D1492" s="60" t="s">
        <v>4606</v>
      </c>
    </row>
    <row r="1493" spans="2:4" x14ac:dyDescent="0.35">
      <c r="B1493" s="60" t="s">
        <v>4607</v>
      </c>
      <c r="C1493" s="60" t="s">
        <v>4608</v>
      </c>
      <c r="D1493" s="60" t="s">
        <v>4609</v>
      </c>
    </row>
    <row r="1494" spans="2:4" x14ac:dyDescent="0.35">
      <c r="B1494" s="60" t="s">
        <v>4610</v>
      </c>
      <c r="C1494" s="60" t="s">
        <v>4611</v>
      </c>
      <c r="D1494" s="60" t="s">
        <v>4612</v>
      </c>
    </row>
    <row r="1495" spans="2:4" x14ac:dyDescent="0.35">
      <c r="B1495" s="60" t="s">
        <v>4613</v>
      </c>
      <c r="C1495" s="60" t="s">
        <v>4614</v>
      </c>
      <c r="D1495" s="60" t="s">
        <v>4615</v>
      </c>
    </row>
    <row r="1496" spans="2:4" x14ac:dyDescent="0.35">
      <c r="B1496" s="60" t="s">
        <v>4616</v>
      </c>
      <c r="C1496" s="60" t="s">
        <v>4617</v>
      </c>
      <c r="D1496" s="60" t="s">
        <v>4618</v>
      </c>
    </row>
    <row r="1497" spans="2:4" x14ac:dyDescent="0.35">
      <c r="B1497" s="60" t="s">
        <v>4619</v>
      </c>
      <c r="C1497" s="60" t="s">
        <v>4620</v>
      </c>
      <c r="D1497" s="60" t="s">
        <v>4621</v>
      </c>
    </row>
    <row r="1498" spans="2:4" x14ac:dyDescent="0.35">
      <c r="B1498" s="60" t="s">
        <v>4622</v>
      </c>
      <c r="C1498" s="60" t="s">
        <v>4623</v>
      </c>
      <c r="D1498" s="60" t="s">
        <v>4624</v>
      </c>
    </row>
    <row r="1499" spans="2:4" x14ac:dyDescent="0.35">
      <c r="B1499" s="60" t="s">
        <v>4625</v>
      </c>
      <c r="C1499" s="60" t="s">
        <v>4626</v>
      </c>
      <c r="D1499" s="60" t="s">
        <v>4627</v>
      </c>
    </row>
    <row r="1500" spans="2:4" x14ac:dyDescent="0.35">
      <c r="B1500" s="60" t="s">
        <v>4628</v>
      </c>
      <c r="C1500" s="60" t="s">
        <v>4629</v>
      </c>
      <c r="D1500" s="60" t="s">
        <v>4630</v>
      </c>
    </row>
    <row r="1501" spans="2:4" x14ac:dyDescent="0.35">
      <c r="B1501" s="60" t="s">
        <v>4631</v>
      </c>
      <c r="C1501" s="60" t="s">
        <v>4632</v>
      </c>
      <c r="D1501" s="60" t="s">
        <v>4633</v>
      </c>
    </row>
    <row r="1502" spans="2:4" x14ac:dyDescent="0.35">
      <c r="B1502" s="60" t="s">
        <v>4634</v>
      </c>
      <c r="C1502" s="60" t="s">
        <v>4635</v>
      </c>
      <c r="D1502" s="60" t="s">
        <v>4636</v>
      </c>
    </row>
    <row r="1503" spans="2:4" x14ac:dyDescent="0.35">
      <c r="B1503" s="60" t="s">
        <v>4637</v>
      </c>
      <c r="C1503" s="60" t="s">
        <v>4638</v>
      </c>
      <c r="D1503" s="60" t="s">
        <v>4639</v>
      </c>
    </row>
    <row r="1504" spans="2:4" x14ac:dyDescent="0.35">
      <c r="B1504" s="60" t="s">
        <v>4640</v>
      </c>
      <c r="C1504" s="60" t="s">
        <v>4641</v>
      </c>
      <c r="D1504" s="60" t="s">
        <v>4642</v>
      </c>
    </row>
    <row r="1505" spans="2:4" x14ac:dyDescent="0.35">
      <c r="B1505" s="60" t="s">
        <v>4643</v>
      </c>
      <c r="C1505" s="60" t="s">
        <v>4644</v>
      </c>
      <c r="D1505" s="60" t="s">
        <v>4645</v>
      </c>
    </row>
    <row r="1506" spans="2:4" x14ac:dyDescent="0.35">
      <c r="B1506" s="60" t="s">
        <v>4646</v>
      </c>
      <c r="C1506" s="60" t="s">
        <v>4647</v>
      </c>
      <c r="D1506" s="60" t="s">
        <v>4648</v>
      </c>
    </row>
    <row r="1507" spans="2:4" x14ac:dyDescent="0.35">
      <c r="B1507" s="60" t="s">
        <v>4649</v>
      </c>
      <c r="C1507" s="60" t="s">
        <v>4650</v>
      </c>
      <c r="D1507" s="60" t="s">
        <v>4651</v>
      </c>
    </row>
    <row r="1508" spans="2:4" x14ac:dyDescent="0.35">
      <c r="B1508" s="60" t="s">
        <v>4652</v>
      </c>
      <c r="C1508" s="60" t="s">
        <v>4653</v>
      </c>
      <c r="D1508" s="60" t="s">
        <v>4654</v>
      </c>
    </row>
    <row r="1509" spans="2:4" x14ac:dyDescent="0.35">
      <c r="B1509" s="60" t="s">
        <v>4655</v>
      </c>
      <c r="C1509" s="60" t="s">
        <v>4656</v>
      </c>
      <c r="D1509" s="60" t="s">
        <v>4657</v>
      </c>
    </row>
    <row r="1510" spans="2:4" x14ac:dyDescent="0.35">
      <c r="B1510" s="60" t="s">
        <v>4658</v>
      </c>
      <c r="C1510" s="60" t="s">
        <v>4659</v>
      </c>
      <c r="D1510" s="60" t="s">
        <v>4660</v>
      </c>
    </row>
    <row r="1511" spans="2:4" x14ac:dyDescent="0.35">
      <c r="B1511" s="60" t="s">
        <v>4661</v>
      </c>
      <c r="C1511" s="60" t="s">
        <v>4662</v>
      </c>
      <c r="D1511" s="60" t="s">
        <v>4663</v>
      </c>
    </row>
    <row r="1512" spans="2:4" x14ac:dyDescent="0.35">
      <c r="B1512" s="60" t="s">
        <v>4664</v>
      </c>
      <c r="C1512" s="60" t="s">
        <v>4665</v>
      </c>
      <c r="D1512" s="60" t="s">
        <v>4666</v>
      </c>
    </row>
    <row r="1513" spans="2:4" x14ac:dyDescent="0.35">
      <c r="B1513" s="60" t="s">
        <v>4667</v>
      </c>
      <c r="C1513" s="60" t="s">
        <v>4668</v>
      </c>
      <c r="D1513" s="60" t="s">
        <v>4669</v>
      </c>
    </row>
    <row r="1514" spans="2:4" x14ac:dyDescent="0.35">
      <c r="B1514" s="60" t="s">
        <v>4670</v>
      </c>
      <c r="C1514" s="60" t="s">
        <v>4671</v>
      </c>
      <c r="D1514" s="60" t="s">
        <v>4672</v>
      </c>
    </row>
    <row r="1515" spans="2:4" x14ac:dyDescent="0.35">
      <c r="B1515" s="60" t="s">
        <v>4673</v>
      </c>
      <c r="C1515" s="60" t="s">
        <v>4674</v>
      </c>
      <c r="D1515" s="60" t="s">
        <v>4675</v>
      </c>
    </row>
    <row r="1516" spans="2:4" x14ac:dyDescent="0.35">
      <c r="B1516" s="60" t="s">
        <v>4676</v>
      </c>
      <c r="C1516" s="60" t="s">
        <v>4677</v>
      </c>
      <c r="D1516" s="60" t="s">
        <v>4678</v>
      </c>
    </row>
    <row r="1517" spans="2:4" x14ac:dyDescent="0.35">
      <c r="B1517" s="60" t="s">
        <v>4679</v>
      </c>
      <c r="C1517" s="60" t="s">
        <v>4680</v>
      </c>
      <c r="D1517" s="60" t="s">
        <v>4681</v>
      </c>
    </row>
    <row r="1518" spans="2:4" x14ac:dyDescent="0.35">
      <c r="B1518" s="60" t="s">
        <v>4682</v>
      </c>
      <c r="C1518" s="60" t="s">
        <v>4683</v>
      </c>
      <c r="D1518" s="60" t="s">
        <v>4684</v>
      </c>
    </row>
    <row r="1519" spans="2:4" x14ac:dyDescent="0.35">
      <c r="B1519" s="60" t="s">
        <v>4685</v>
      </c>
      <c r="C1519" s="60" t="s">
        <v>4686</v>
      </c>
      <c r="D1519" s="60" t="s">
        <v>4687</v>
      </c>
    </row>
    <row r="1520" spans="2:4" x14ac:dyDescent="0.35">
      <c r="B1520" s="60" t="s">
        <v>4688</v>
      </c>
      <c r="C1520" s="60" t="s">
        <v>4689</v>
      </c>
      <c r="D1520" s="60" t="s">
        <v>4690</v>
      </c>
    </row>
    <row r="1521" spans="2:4" x14ac:dyDescent="0.35">
      <c r="B1521" s="60" t="s">
        <v>4691</v>
      </c>
      <c r="C1521" s="60" t="s">
        <v>4692</v>
      </c>
      <c r="D1521" s="60" t="s">
        <v>4693</v>
      </c>
    </row>
    <row r="1522" spans="2:4" x14ac:dyDescent="0.35">
      <c r="B1522" s="60" t="s">
        <v>4694</v>
      </c>
      <c r="C1522" s="60" t="s">
        <v>4695</v>
      </c>
      <c r="D1522" s="60" t="s">
        <v>4696</v>
      </c>
    </row>
    <row r="1523" spans="2:4" x14ac:dyDescent="0.35">
      <c r="B1523" s="60" t="s">
        <v>4697</v>
      </c>
      <c r="C1523" s="60" t="s">
        <v>4698</v>
      </c>
      <c r="D1523" s="60" t="s">
        <v>4699</v>
      </c>
    </row>
    <row r="1524" spans="2:4" x14ac:dyDescent="0.35">
      <c r="B1524" s="60" t="s">
        <v>4700</v>
      </c>
      <c r="C1524" s="60" t="s">
        <v>4701</v>
      </c>
      <c r="D1524" s="60" t="s">
        <v>4702</v>
      </c>
    </row>
    <row r="1525" spans="2:4" x14ac:dyDescent="0.35">
      <c r="B1525" s="60" t="s">
        <v>4703</v>
      </c>
      <c r="C1525" s="60" t="s">
        <v>4704</v>
      </c>
      <c r="D1525" s="60" t="s">
        <v>4705</v>
      </c>
    </row>
    <row r="1526" spans="2:4" x14ac:dyDescent="0.35">
      <c r="B1526" s="60" t="s">
        <v>4706</v>
      </c>
      <c r="C1526" s="60" t="s">
        <v>4707</v>
      </c>
      <c r="D1526" s="60" t="s">
        <v>4708</v>
      </c>
    </row>
    <row r="1527" spans="2:4" x14ac:dyDescent="0.35">
      <c r="B1527" s="60" t="s">
        <v>4709</v>
      </c>
      <c r="C1527" s="60" t="s">
        <v>4710</v>
      </c>
      <c r="D1527" s="60" t="s">
        <v>4711</v>
      </c>
    </row>
    <row r="1528" spans="2:4" x14ac:dyDescent="0.35">
      <c r="B1528" s="60" t="s">
        <v>4712</v>
      </c>
      <c r="C1528" s="60" t="s">
        <v>4713</v>
      </c>
      <c r="D1528" s="60" t="s">
        <v>4714</v>
      </c>
    </row>
    <row r="1529" spans="2:4" x14ac:dyDescent="0.35">
      <c r="B1529" s="60" t="s">
        <v>4715</v>
      </c>
      <c r="C1529" s="60" t="s">
        <v>4716</v>
      </c>
      <c r="D1529" s="60" t="s">
        <v>4717</v>
      </c>
    </row>
    <row r="1530" spans="2:4" x14ac:dyDescent="0.35">
      <c r="B1530" s="60" t="s">
        <v>4718</v>
      </c>
      <c r="C1530" s="60" t="s">
        <v>4719</v>
      </c>
      <c r="D1530" s="60" t="s">
        <v>4720</v>
      </c>
    </row>
    <row r="1531" spans="2:4" x14ac:dyDescent="0.35">
      <c r="B1531" s="60" t="s">
        <v>4721</v>
      </c>
      <c r="C1531" s="60" t="s">
        <v>4722</v>
      </c>
      <c r="D1531" s="60" t="s">
        <v>4723</v>
      </c>
    </row>
    <row r="1532" spans="2:4" x14ac:dyDescent="0.35">
      <c r="B1532" s="60" t="s">
        <v>4724</v>
      </c>
      <c r="C1532" s="60" t="s">
        <v>4725</v>
      </c>
      <c r="D1532" s="60" t="s">
        <v>4726</v>
      </c>
    </row>
    <row r="1533" spans="2:4" x14ac:dyDescent="0.35">
      <c r="B1533" s="60" t="s">
        <v>4727</v>
      </c>
      <c r="C1533" s="60" t="s">
        <v>4728</v>
      </c>
      <c r="D1533" s="60" t="s">
        <v>4729</v>
      </c>
    </row>
    <row r="1534" spans="2:4" x14ac:dyDescent="0.35">
      <c r="B1534" s="60" t="s">
        <v>4730</v>
      </c>
      <c r="C1534" s="60" t="s">
        <v>4731</v>
      </c>
      <c r="D1534" s="60" t="s">
        <v>4732</v>
      </c>
    </row>
    <row r="1535" spans="2:4" x14ac:dyDescent="0.35">
      <c r="B1535" s="60" t="s">
        <v>4733</v>
      </c>
      <c r="C1535" s="60" t="s">
        <v>4734</v>
      </c>
      <c r="D1535" s="60" t="s">
        <v>4735</v>
      </c>
    </row>
    <row r="1536" spans="2:4" x14ac:dyDescent="0.35">
      <c r="B1536" s="60" t="s">
        <v>4736</v>
      </c>
      <c r="C1536" s="60" t="s">
        <v>4737</v>
      </c>
      <c r="D1536" s="60" t="s">
        <v>4738</v>
      </c>
    </row>
    <row r="1537" spans="2:4" x14ac:dyDescent="0.35">
      <c r="B1537" s="60" t="s">
        <v>4739</v>
      </c>
      <c r="C1537" s="60" t="s">
        <v>4740</v>
      </c>
      <c r="D1537" s="60" t="s">
        <v>4741</v>
      </c>
    </row>
    <row r="1538" spans="2:4" x14ac:dyDescent="0.35">
      <c r="B1538" s="60" t="s">
        <v>4742</v>
      </c>
      <c r="C1538" s="60" t="s">
        <v>4743</v>
      </c>
      <c r="D1538" s="60" t="s">
        <v>4744</v>
      </c>
    </row>
    <row r="1539" spans="2:4" x14ac:dyDescent="0.35">
      <c r="B1539" s="60" t="s">
        <v>4745</v>
      </c>
      <c r="C1539" s="60" t="s">
        <v>4746</v>
      </c>
      <c r="D1539" s="60" t="s">
        <v>4747</v>
      </c>
    </row>
    <row r="1540" spans="2:4" x14ac:dyDescent="0.35">
      <c r="B1540" s="60" t="s">
        <v>4748</v>
      </c>
      <c r="C1540" s="60" t="s">
        <v>4749</v>
      </c>
      <c r="D1540" s="60" t="s">
        <v>4750</v>
      </c>
    </row>
    <row r="1541" spans="2:4" x14ac:dyDescent="0.35">
      <c r="B1541" s="60" t="s">
        <v>4751</v>
      </c>
      <c r="C1541" s="60" t="s">
        <v>4752</v>
      </c>
      <c r="D1541" s="60" t="s">
        <v>4753</v>
      </c>
    </row>
    <row r="1542" spans="2:4" x14ac:dyDescent="0.35">
      <c r="B1542" s="60" t="s">
        <v>4754</v>
      </c>
      <c r="C1542" s="60" t="s">
        <v>4755</v>
      </c>
      <c r="D1542" s="60" t="s">
        <v>4756</v>
      </c>
    </row>
    <row r="1543" spans="2:4" x14ac:dyDescent="0.35">
      <c r="B1543" s="60" t="s">
        <v>4757</v>
      </c>
      <c r="C1543" s="60" t="s">
        <v>4758</v>
      </c>
      <c r="D1543" s="60" t="s">
        <v>4759</v>
      </c>
    </row>
    <row r="1544" spans="2:4" x14ac:dyDescent="0.35">
      <c r="B1544" s="60" t="s">
        <v>4760</v>
      </c>
      <c r="C1544" s="60" t="s">
        <v>4761</v>
      </c>
      <c r="D1544" s="60" t="s">
        <v>4762</v>
      </c>
    </row>
    <row r="1545" spans="2:4" x14ac:dyDescent="0.35">
      <c r="B1545" s="60" t="s">
        <v>4763</v>
      </c>
      <c r="C1545" s="60" t="s">
        <v>4764</v>
      </c>
      <c r="D1545" s="60" t="s">
        <v>4765</v>
      </c>
    </row>
    <row r="1546" spans="2:4" x14ac:dyDescent="0.35">
      <c r="B1546" s="60" t="s">
        <v>4766</v>
      </c>
      <c r="C1546" s="60" t="s">
        <v>4767</v>
      </c>
      <c r="D1546" s="60" t="s">
        <v>4768</v>
      </c>
    </row>
    <row r="1547" spans="2:4" x14ac:dyDescent="0.35">
      <c r="B1547" s="60" t="s">
        <v>4769</v>
      </c>
      <c r="C1547" s="60" t="s">
        <v>4770</v>
      </c>
      <c r="D1547" s="60" t="s">
        <v>4771</v>
      </c>
    </row>
    <row r="1548" spans="2:4" x14ac:dyDescent="0.35">
      <c r="B1548" s="60" t="s">
        <v>4772</v>
      </c>
      <c r="C1548" s="60" t="s">
        <v>4773</v>
      </c>
      <c r="D1548" s="60" t="s">
        <v>4774</v>
      </c>
    </row>
    <row r="1549" spans="2:4" x14ac:dyDescent="0.35">
      <c r="B1549" s="60" t="s">
        <v>4775</v>
      </c>
      <c r="C1549" s="60" t="s">
        <v>4776</v>
      </c>
      <c r="D1549" s="60" t="s">
        <v>4777</v>
      </c>
    </row>
    <row r="1550" spans="2:4" x14ac:dyDescent="0.35">
      <c r="B1550" s="60" t="s">
        <v>4778</v>
      </c>
      <c r="C1550" s="60" t="s">
        <v>4779</v>
      </c>
      <c r="D1550" s="60" t="s">
        <v>4780</v>
      </c>
    </row>
    <row r="1551" spans="2:4" x14ac:dyDescent="0.35">
      <c r="B1551" s="60" t="s">
        <v>4781</v>
      </c>
      <c r="C1551" s="60" t="s">
        <v>4782</v>
      </c>
      <c r="D1551" s="60" t="s">
        <v>4783</v>
      </c>
    </row>
    <row r="1552" spans="2:4" x14ac:dyDescent="0.35">
      <c r="B1552" s="60" t="s">
        <v>4784</v>
      </c>
      <c r="C1552" s="60" t="s">
        <v>4785</v>
      </c>
      <c r="D1552" s="60" t="s">
        <v>4786</v>
      </c>
    </row>
    <row r="1553" spans="2:4" x14ac:dyDescent="0.35">
      <c r="B1553" s="60" t="s">
        <v>4787</v>
      </c>
      <c r="C1553" s="60" t="s">
        <v>4788</v>
      </c>
      <c r="D1553" s="60" t="s">
        <v>4789</v>
      </c>
    </row>
    <row r="1554" spans="2:4" x14ac:dyDescent="0.35">
      <c r="B1554" s="60" t="s">
        <v>4790</v>
      </c>
      <c r="C1554" s="60" t="s">
        <v>4791</v>
      </c>
      <c r="D1554" s="60" t="s">
        <v>4792</v>
      </c>
    </row>
    <row r="1555" spans="2:4" x14ac:dyDescent="0.35">
      <c r="B1555" s="60" t="s">
        <v>4793</v>
      </c>
      <c r="C1555" s="60" t="s">
        <v>4794</v>
      </c>
      <c r="D1555" s="60" t="s">
        <v>4795</v>
      </c>
    </row>
    <row r="1556" spans="2:4" x14ac:dyDescent="0.35">
      <c r="B1556" s="60" t="s">
        <v>4796</v>
      </c>
      <c r="C1556" s="60" t="s">
        <v>4797</v>
      </c>
      <c r="D1556" s="60" t="s">
        <v>4798</v>
      </c>
    </row>
    <row r="1557" spans="2:4" x14ac:dyDescent="0.35">
      <c r="B1557" s="60" t="s">
        <v>4799</v>
      </c>
      <c r="C1557" s="60" t="s">
        <v>4800</v>
      </c>
      <c r="D1557" s="60" t="s">
        <v>4801</v>
      </c>
    </row>
    <row r="1558" spans="2:4" x14ac:dyDescent="0.35">
      <c r="B1558" s="60" t="s">
        <v>4802</v>
      </c>
      <c r="C1558" s="60" t="s">
        <v>4803</v>
      </c>
      <c r="D1558" s="60" t="s">
        <v>4804</v>
      </c>
    </row>
    <row r="1559" spans="2:4" x14ac:dyDescent="0.35">
      <c r="B1559" s="60" t="s">
        <v>4805</v>
      </c>
      <c r="C1559" s="60" t="s">
        <v>4806</v>
      </c>
      <c r="D1559" s="60" t="s">
        <v>4807</v>
      </c>
    </row>
    <row r="1560" spans="2:4" x14ac:dyDescent="0.35">
      <c r="B1560" s="60" t="s">
        <v>4808</v>
      </c>
      <c r="C1560" s="60" t="s">
        <v>4809</v>
      </c>
      <c r="D1560" s="60" t="s">
        <v>4810</v>
      </c>
    </row>
    <row r="1561" spans="2:4" x14ac:dyDescent="0.35">
      <c r="B1561" s="60" t="s">
        <v>4811</v>
      </c>
      <c r="C1561" s="60" t="s">
        <v>4812</v>
      </c>
      <c r="D1561" s="60" t="s">
        <v>4813</v>
      </c>
    </row>
    <row r="1562" spans="2:4" x14ac:dyDescent="0.35">
      <c r="B1562" s="60" t="s">
        <v>4814</v>
      </c>
      <c r="C1562" s="60" t="s">
        <v>4815</v>
      </c>
      <c r="D1562" s="60" t="s">
        <v>4816</v>
      </c>
    </row>
    <row r="1563" spans="2:4" x14ac:dyDescent="0.35">
      <c r="B1563" s="60" t="s">
        <v>4817</v>
      </c>
      <c r="C1563" s="60" t="s">
        <v>4818</v>
      </c>
      <c r="D1563" s="60" t="s">
        <v>4819</v>
      </c>
    </row>
    <row r="1564" spans="2:4" x14ac:dyDescent="0.35">
      <c r="B1564" s="60" t="s">
        <v>4820</v>
      </c>
      <c r="C1564" s="60" t="s">
        <v>4821</v>
      </c>
      <c r="D1564" s="60" t="s">
        <v>4822</v>
      </c>
    </row>
    <row r="1565" spans="2:4" x14ac:dyDescent="0.35">
      <c r="B1565" s="60" t="s">
        <v>4823</v>
      </c>
      <c r="C1565" s="60" t="s">
        <v>4824</v>
      </c>
      <c r="D1565" s="60" t="s">
        <v>4825</v>
      </c>
    </row>
    <row r="1566" spans="2:4" x14ac:dyDescent="0.35">
      <c r="B1566" s="60" t="s">
        <v>4826</v>
      </c>
      <c r="C1566" s="60" t="s">
        <v>4827</v>
      </c>
      <c r="D1566" s="60" t="s">
        <v>4828</v>
      </c>
    </row>
    <row r="1567" spans="2:4" x14ac:dyDescent="0.35">
      <c r="B1567" s="60" t="s">
        <v>4826</v>
      </c>
      <c r="C1567" s="60" t="s">
        <v>4829</v>
      </c>
      <c r="D1567" s="60" t="s">
        <v>4830</v>
      </c>
    </row>
    <row r="1568" spans="2:4" x14ac:dyDescent="0.35">
      <c r="B1568" s="60" t="s">
        <v>4831</v>
      </c>
      <c r="C1568" s="60" t="s">
        <v>4832</v>
      </c>
      <c r="D1568" s="60" t="s">
        <v>4833</v>
      </c>
    </row>
    <row r="1569" spans="2:4" x14ac:dyDescent="0.35">
      <c r="B1569" s="60" t="s">
        <v>4834</v>
      </c>
      <c r="C1569" s="60" t="s">
        <v>4835</v>
      </c>
      <c r="D1569" s="60" t="s">
        <v>4836</v>
      </c>
    </row>
    <row r="1570" spans="2:4" x14ac:dyDescent="0.35">
      <c r="B1570" s="60" t="s">
        <v>4837</v>
      </c>
      <c r="C1570" s="60" t="s">
        <v>4838</v>
      </c>
      <c r="D1570" s="60" t="s">
        <v>4839</v>
      </c>
    </row>
    <row r="1571" spans="2:4" x14ac:dyDescent="0.35">
      <c r="B1571" s="60" t="s">
        <v>4840</v>
      </c>
      <c r="C1571" s="60" t="s">
        <v>4841</v>
      </c>
      <c r="D1571" s="60" t="s">
        <v>4842</v>
      </c>
    </row>
    <row r="1572" spans="2:4" x14ac:dyDescent="0.35">
      <c r="B1572" s="60" t="s">
        <v>4843</v>
      </c>
      <c r="C1572" s="60" t="s">
        <v>4844</v>
      </c>
      <c r="D1572" s="60" t="s">
        <v>4845</v>
      </c>
    </row>
    <row r="1573" spans="2:4" x14ac:dyDescent="0.35">
      <c r="B1573" s="60" t="s">
        <v>4846</v>
      </c>
      <c r="C1573" s="60" t="s">
        <v>4847</v>
      </c>
      <c r="D1573" s="60" t="s">
        <v>4848</v>
      </c>
    </row>
    <row r="1574" spans="2:4" x14ac:dyDescent="0.35">
      <c r="B1574" s="60" t="s">
        <v>4849</v>
      </c>
      <c r="C1574" s="60" t="s">
        <v>4850</v>
      </c>
      <c r="D1574" s="60" t="s">
        <v>4851</v>
      </c>
    </row>
    <row r="1575" spans="2:4" x14ac:dyDescent="0.35">
      <c r="B1575" s="60" t="s">
        <v>4852</v>
      </c>
      <c r="C1575" s="60" t="s">
        <v>4853</v>
      </c>
      <c r="D1575" s="60" t="s">
        <v>4854</v>
      </c>
    </row>
    <row r="1576" spans="2:4" x14ac:dyDescent="0.35">
      <c r="B1576" s="60" t="s">
        <v>4855</v>
      </c>
      <c r="C1576" s="60" t="s">
        <v>4856</v>
      </c>
      <c r="D1576" s="60" t="s">
        <v>4857</v>
      </c>
    </row>
    <row r="1577" spans="2:4" x14ac:dyDescent="0.35">
      <c r="B1577" s="60" t="s">
        <v>4858</v>
      </c>
      <c r="C1577" s="60" t="s">
        <v>4859</v>
      </c>
      <c r="D1577" s="60" t="s">
        <v>4860</v>
      </c>
    </row>
    <row r="1578" spans="2:4" x14ac:dyDescent="0.35">
      <c r="B1578" s="60" t="s">
        <v>4861</v>
      </c>
      <c r="C1578" s="60" t="s">
        <v>4862</v>
      </c>
      <c r="D1578" s="60" t="s">
        <v>4863</v>
      </c>
    </row>
    <row r="1579" spans="2:4" x14ac:dyDescent="0.35">
      <c r="B1579" s="60" t="s">
        <v>4864</v>
      </c>
      <c r="C1579" s="60" t="s">
        <v>4865</v>
      </c>
      <c r="D1579" s="60" t="s">
        <v>4866</v>
      </c>
    </row>
    <row r="1580" spans="2:4" x14ac:dyDescent="0.35">
      <c r="B1580" s="60" t="s">
        <v>4867</v>
      </c>
      <c r="C1580" s="60" t="s">
        <v>4868</v>
      </c>
      <c r="D1580" s="60" t="s">
        <v>4869</v>
      </c>
    </row>
    <row r="1581" spans="2:4" x14ac:dyDescent="0.35">
      <c r="B1581" s="60" t="s">
        <v>4870</v>
      </c>
      <c r="C1581" s="60" t="s">
        <v>4871</v>
      </c>
      <c r="D1581" s="60" t="s">
        <v>4872</v>
      </c>
    </row>
    <row r="1582" spans="2:4" x14ac:dyDescent="0.35">
      <c r="B1582" s="60" t="s">
        <v>4873</v>
      </c>
      <c r="C1582" s="60" t="s">
        <v>4874</v>
      </c>
      <c r="D1582" s="60" t="s">
        <v>4875</v>
      </c>
    </row>
    <row r="1583" spans="2:4" x14ac:dyDescent="0.35">
      <c r="B1583" s="60" t="s">
        <v>4876</v>
      </c>
      <c r="C1583" s="60" t="s">
        <v>4877</v>
      </c>
      <c r="D1583" s="60" t="s">
        <v>4878</v>
      </c>
    </row>
    <row r="1584" spans="2:4" x14ac:dyDescent="0.35">
      <c r="B1584" s="60" t="s">
        <v>4879</v>
      </c>
      <c r="C1584" s="60" t="s">
        <v>4880</v>
      </c>
      <c r="D1584" s="60" t="s">
        <v>4881</v>
      </c>
    </row>
    <row r="1585" spans="2:4" x14ac:dyDescent="0.35">
      <c r="B1585" s="60" t="s">
        <v>4882</v>
      </c>
      <c r="C1585" s="60" t="s">
        <v>4883</v>
      </c>
      <c r="D1585" s="60" t="s">
        <v>4884</v>
      </c>
    </row>
    <row r="1586" spans="2:4" x14ac:dyDescent="0.35">
      <c r="B1586" s="60" t="s">
        <v>4885</v>
      </c>
      <c r="C1586" s="60" t="s">
        <v>4886</v>
      </c>
      <c r="D1586" s="60" t="s">
        <v>4887</v>
      </c>
    </row>
    <row r="1587" spans="2:4" x14ac:dyDescent="0.35">
      <c r="B1587" s="60" t="s">
        <v>4888</v>
      </c>
      <c r="C1587" s="60" t="s">
        <v>4889</v>
      </c>
      <c r="D1587" s="60" t="s">
        <v>4890</v>
      </c>
    </row>
    <row r="1588" spans="2:4" x14ac:dyDescent="0.35">
      <c r="B1588" s="60" t="s">
        <v>4891</v>
      </c>
      <c r="C1588" s="60" t="s">
        <v>4892</v>
      </c>
      <c r="D1588" s="60" t="s">
        <v>4893</v>
      </c>
    </row>
    <row r="1589" spans="2:4" x14ac:dyDescent="0.35">
      <c r="B1589" s="60" t="s">
        <v>4894</v>
      </c>
      <c r="C1589" s="60" t="s">
        <v>4895</v>
      </c>
      <c r="D1589" s="60" t="s">
        <v>4896</v>
      </c>
    </row>
    <row r="1590" spans="2:4" x14ac:dyDescent="0.35">
      <c r="B1590" s="60" t="s">
        <v>4897</v>
      </c>
      <c r="C1590" s="60" t="s">
        <v>4898</v>
      </c>
      <c r="D1590" s="60" t="s">
        <v>4899</v>
      </c>
    </row>
    <row r="1591" spans="2:4" x14ac:dyDescent="0.35">
      <c r="B1591" s="60" t="s">
        <v>4900</v>
      </c>
      <c r="C1591" s="60" t="s">
        <v>4901</v>
      </c>
      <c r="D1591" s="60" t="s">
        <v>4902</v>
      </c>
    </row>
    <row r="1592" spans="2:4" x14ac:dyDescent="0.35">
      <c r="B1592" s="60" t="s">
        <v>4903</v>
      </c>
      <c r="C1592" s="60" t="s">
        <v>4904</v>
      </c>
      <c r="D1592" s="60" t="s">
        <v>4905</v>
      </c>
    </row>
    <row r="1593" spans="2:4" x14ac:dyDescent="0.35">
      <c r="B1593" s="60" t="s">
        <v>4906</v>
      </c>
      <c r="C1593" s="60" t="s">
        <v>4907</v>
      </c>
      <c r="D1593" s="60" t="s">
        <v>4908</v>
      </c>
    </row>
    <row r="1594" spans="2:4" x14ac:dyDescent="0.35">
      <c r="B1594" s="60" t="s">
        <v>4909</v>
      </c>
      <c r="C1594" s="60" t="s">
        <v>4910</v>
      </c>
      <c r="D1594" s="60" t="s">
        <v>4911</v>
      </c>
    </row>
    <row r="1595" spans="2:4" x14ac:dyDescent="0.35">
      <c r="B1595" s="60" t="s">
        <v>4912</v>
      </c>
      <c r="C1595" s="60" t="s">
        <v>4913</v>
      </c>
      <c r="D1595" s="60" t="s">
        <v>4914</v>
      </c>
    </row>
    <row r="1596" spans="2:4" x14ac:dyDescent="0.35">
      <c r="B1596" s="60" t="s">
        <v>4915</v>
      </c>
      <c r="C1596" s="60" t="s">
        <v>4916</v>
      </c>
      <c r="D1596" s="60" t="s">
        <v>4917</v>
      </c>
    </row>
    <row r="1597" spans="2:4" x14ac:dyDescent="0.35">
      <c r="B1597" s="60" t="s">
        <v>4918</v>
      </c>
      <c r="C1597" s="60" t="s">
        <v>4919</v>
      </c>
      <c r="D1597" s="60" t="s">
        <v>4920</v>
      </c>
    </row>
    <row r="1598" spans="2:4" x14ac:dyDescent="0.35">
      <c r="B1598" s="60" t="s">
        <v>4921</v>
      </c>
      <c r="C1598" s="60" t="s">
        <v>4922</v>
      </c>
      <c r="D1598" s="60" t="s">
        <v>4923</v>
      </c>
    </row>
    <row r="1599" spans="2:4" x14ac:dyDescent="0.35">
      <c r="B1599" s="60" t="s">
        <v>4924</v>
      </c>
      <c r="C1599" s="60" t="s">
        <v>4925</v>
      </c>
      <c r="D1599" s="60" t="s">
        <v>4926</v>
      </c>
    </row>
    <row r="1600" spans="2:4" x14ac:dyDescent="0.35">
      <c r="B1600" s="60" t="s">
        <v>4927</v>
      </c>
      <c r="C1600" s="60" t="s">
        <v>4928</v>
      </c>
      <c r="D1600" s="60" t="s">
        <v>4929</v>
      </c>
    </row>
    <row r="1601" spans="2:4" x14ac:dyDescent="0.35">
      <c r="B1601" s="60" t="s">
        <v>4930</v>
      </c>
      <c r="C1601" s="60" t="s">
        <v>4931</v>
      </c>
      <c r="D1601" s="60" t="s">
        <v>4932</v>
      </c>
    </row>
    <row r="1602" spans="2:4" x14ac:dyDescent="0.35">
      <c r="B1602" s="60" t="s">
        <v>4933</v>
      </c>
      <c r="C1602" s="60" t="s">
        <v>4934</v>
      </c>
      <c r="D1602" s="60" t="s">
        <v>4935</v>
      </c>
    </row>
    <row r="1603" spans="2:4" x14ac:dyDescent="0.35">
      <c r="B1603" s="60" t="s">
        <v>4936</v>
      </c>
      <c r="C1603" s="60" t="s">
        <v>4937</v>
      </c>
      <c r="D1603" s="60" t="s">
        <v>4938</v>
      </c>
    </row>
    <row r="1604" spans="2:4" x14ac:dyDescent="0.35">
      <c r="B1604" s="60" t="s">
        <v>4939</v>
      </c>
      <c r="C1604" s="60" t="s">
        <v>4940</v>
      </c>
      <c r="D1604" s="60" t="s">
        <v>4941</v>
      </c>
    </row>
    <row r="1605" spans="2:4" x14ac:dyDescent="0.35">
      <c r="B1605" s="60" t="s">
        <v>4942</v>
      </c>
      <c r="C1605" s="60" t="s">
        <v>4943</v>
      </c>
      <c r="D1605" s="60" t="s">
        <v>4944</v>
      </c>
    </row>
    <row r="1606" spans="2:4" x14ac:dyDescent="0.35">
      <c r="B1606" s="60" t="s">
        <v>4945</v>
      </c>
      <c r="C1606" s="60" t="s">
        <v>4946</v>
      </c>
      <c r="D1606" s="60" t="s">
        <v>4947</v>
      </c>
    </row>
    <row r="1607" spans="2:4" x14ac:dyDescent="0.35">
      <c r="B1607" s="60" t="s">
        <v>4948</v>
      </c>
      <c r="C1607" s="60" t="s">
        <v>4949</v>
      </c>
      <c r="D1607" s="60" t="s">
        <v>4950</v>
      </c>
    </row>
    <row r="1608" spans="2:4" x14ac:dyDescent="0.35">
      <c r="B1608" s="60" t="s">
        <v>4951</v>
      </c>
      <c r="C1608" s="60" t="s">
        <v>4952</v>
      </c>
      <c r="D1608" s="60" t="s">
        <v>4953</v>
      </c>
    </row>
    <row r="1609" spans="2:4" x14ac:dyDescent="0.35">
      <c r="B1609" s="60" t="s">
        <v>4954</v>
      </c>
      <c r="C1609" s="60" t="s">
        <v>4955</v>
      </c>
      <c r="D1609" s="60" t="s">
        <v>4956</v>
      </c>
    </row>
    <row r="1610" spans="2:4" x14ac:dyDescent="0.35">
      <c r="B1610" s="60" t="s">
        <v>4957</v>
      </c>
      <c r="C1610" s="60" t="s">
        <v>4958</v>
      </c>
      <c r="D1610" s="60" t="s">
        <v>4959</v>
      </c>
    </row>
    <row r="1611" spans="2:4" x14ac:dyDescent="0.35">
      <c r="B1611" s="60" t="s">
        <v>4960</v>
      </c>
      <c r="C1611" s="60" t="s">
        <v>4961</v>
      </c>
      <c r="D1611" s="60" t="s">
        <v>4962</v>
      </c>
    </row>
    <row r="1612" spans="2:4" x14ac:dyDescent="0.35">
      <c r="B1612" s="60" t="s">
        <v>4963</v>
      </c>
      <c r="C1612" s="60" t="s">
        <v>4964</v>
      </c>
      <c r="D1612" s="60" t="s">
        <v>4965</v>
      </c>
    </row>
    <row r="1613" spans="2:4" x14ac:dyDescent="0.35">
      <c r="B1613" s="60" t="s">
        <v>4966</v>
      </c>
      <c r="C1613" s="60" t="s">
        <v>4967</v>
      </c>
      <c r="D1613" s="60" t="s">
        <v>4968</v>
      </c>
    </row>
    <row r="1614" spans="2:4" x14ac:dyDescent="0.35">
      <c r="B1614" s="60" t="s">
        <v>4969</v>
      </c>
      <c r="C1614" s="60" t="s">
        <v>4970</v>
      </c>
      <c r="D1614" s="60" t="s">
        <v>4971</v>
      </c>
    </row>
    <row r="1615" spans="2:4" x14ac:dyDescent="0.35">
      <c r="B1615" s="60" t="s">
        <v>4972</v>
      </c>
      <c r="C1615" s="60" t="s">
        <v>4973</v>
      </c>
      <c r="D1615" s="60" t="s">
        <v>4974</v>
      </c>
    </row>
    <row r="1616" spans="2:4" x14ac:dyDescent="0.35">
      <c r="B1616" s="60" t="s">
        <v>4975</v>
      </c>
      <c r="C1616" s="60" t="s">
        <v>4976</v>
      </c>
      <c r="D1616" s="60" t="s">
        <v>4977</v>
      </c>
    </row>
    <row r="1617" spans="2:4" x14ac:dyDescent="0.35">
      <c r="B1617" s="60" t="s">
        <v>4978</v>
      </c>
      <c r="C1617" s="60" t="s">
        <v>4979</v>
      </c>
      <c r="D1617" s="60" t="s">
        <v>4980</v>
      </c>
    </row>
    <row r="1618" spans="2:4" x14ac:dyDescent="0.35">
      <c r="B1618" s="60" t="s">
        <v>4981</v>
      </c>
      <c r="C1618" s="60" t="s">
        <v>4982</v>
      </c>
      <c r="D1618" s="60" t="s">
        <v>4983</v>
      </c>
    </row>
    <row r="1619" spans="2:4" x14ac:dyDescent="0.35">
      <c r="B1619" s="60" t="s">
        <v>4984</v>
      </c>
      <c r="C1619" s="60" t="s">
        <v>4985</v>
      </c>
      <c r="D1619" s="60" t="s">
        <v>4986</v>
      </c>
    </row>
    <row r="1620" spans="2:4" x14ac:dyDescent="0.35">
      <c r="B1620" s="60" t="s">
        <v>4987</v>
      </c>
      <c r="C1620" s="60" t="s">
        <v>4988</v>
      </c>
      <c r="D1620" s="60" t="s">
        <v>4989</v>
      </c>
    </row>
    <row r="1621" spans="2:4" x14ac:dyDescent="0.35">
      <c r="B1621" s="60" t="s">
        <v>4990</v>
      </c>
      <c r="C1621" s="60" t="s">
        <v>4991</v>
      </c>
      <c r="D1621" s="60" t="s">
        <v>4992</v>
      </c>
    </row>
    <row r="1622" spans="2:4" x14ac:dyDescent="0.35">
      <c r="B1622" s="60" t="s">
        <v>4993</v>
      </c>
      <c r="C1622" s="60" t="s">
        <v>4994</v>
      </c>
      <c r="D1622" s="60" t="s">
        <v>4995</v>
      </c>
    </row>
    <row r="1623" spans="2:4" x14ac:dyDescent="0.35">
      <c r="B1623" s="60" t="s">
        <v>4996</v>
      </c>
      <c r="C1623" s="60" t="s">
        <v>4997</v>
      </c>
      <c r="D1623" s="60" t="s">
        <v>4998</v>
      </c>
    </row>
    <row r="1624" spans="2:4" x14ac:dyDescent="0.35">
      <c r="B1624" s="60" t="s">
        <v>4999</v>
      </c>
      <c r="C1624" s="60" t="s">
        <v>5000</v>
      </c>
      <c r="D1624" s="60" t="s">
        <v>5001</v>
      </c>
    </row>
    <row r="1625" spans="2:4" x14ac:dyDescent="0.35">
      <c r="B1625" s="60" t="s">
        <v>5002</v>
      </c>
      <c r="C1625" s="60" t="s">
        <v>5003</v>
      </c>
      <c r="D1625" s="60" t="s">
        <v>5004</v>
      </c>
    </row>
    <row r="1626" spans="2:4" x14ac:dyDescent="0.35">
      <c r="B1626" s="60" t="s">
        <v>5005</v>
      </c>
      <c r="C1626" s="60" t="s">
        <v>5006</v>
      </c>
      <c r="D1626" s="60" t="s">
        <v>5007</v>
      </c>
    </row>
    <row r="1627" spans="2:4" x14ac:dyDescent="0.35">
      <c r="B1627" s="60" t="s">
        <v>5008</v>
      </c>
      <c r="C1627" s="60" t="s">
        <v>5009</v>
      </c>
      <c r="D1627" s="60" t="s">
        <v>5010</v>
      </c>
    </row>
    <row r="1628" spans="2:4" x14ac:dyDescent="0.35">
      <c r="B1628" s="60" t="s">
        <v>5011</v>
      </c>
      <c r="C1628" s="60" t="s">
        <v>5012</v>
      </c>
      <c r="D1628" s="60" t="s">
        <v>5013</v>
      </c>
    </row>
    <row r="1629" spans="2:4" x14ac:dyDescent="0.35">
      <c r="B1629" s="60" t="s">
        <v>5014</v>
      </c>
      <c r="C1629" s="60" t="s">
        <v>5015</v>
      </c>
      <c r="D1629" s="60" t="s">
        <v>5016</v>
      </c>
    </row>
    <row r="1630" spans="2:4" x14ac:dyDescent="0.35">
      <c r="B1630" s="60" t="s">
        <v>5017</v>
      </c>
      <c r="C1630" s="60" t="s">
        <v>5018</v>
      </c>
      <c r="D1630" s="60" t="s">
        <v>5019</v>
      </c>
    </row>
    <row r="1631" spans="2:4" x14ac:dyDescent="0.35">
      <c r="B1631" s="60" t="s">
        <v>5020</v>
      </c>
      <c r="C1631" s="60" t="s">
        <v>5021</v>
      </c>
      <c r="D1631" s="60" t="s">
        <v>5022</v>
      </c>
    </row>
    <row r="1632" spans="2:4" x14ac:dyDescent="0.35">
      <c r="B1632" s="60" t="s">
        <v>5023</v>
      </c>
      <c r="C1632" s="60" t="s">
        <v>5024</v>
      </c>
      <c r="D1632" s="60" t="s">
        <v>5025</v>
      </c>
    </row>
    <row r="1633" spans="2:4" x14ac:dyDescent="0.35">
      <c r="B1633" s="60" t="s">
        <v>5026</v>
      </c>
      <c r="C1633" s="60" t="s">
        <v>5027</v>
      </c>
      <c r="D1633" s="60" t="s">
        <v>5028</v>
      </c>
    </row>
    <row r="1634" spans="2:4" x14ac:dyDescent="0.35">
      <c r="B1634" s="60" t="s">
        <v>5029</v>
      </c>
      <c r="C1634" s="60" t="s">
        <v>5030</v>
      </c>
      <c r="D1634" s="60" t="s">
        <v>5031</v>
      </c>
    </row>
    <row r="1635" spans="2:4" x14ac:dyDescent="0.35">
      <c r="B1635" s="60" t="s">
        <v>5032</v>
      </c>
      <c r="C1635" s="60" t="s">
        <v>5033</v>
      </c>
      <c r="D1635" s="60" t="s">
        <v>5034</v>
      </c>
    </row>
    <row r="1636" spans="2:4" x14ac:dyDescent="0.35">
      <c r="B1636" s="60" t="s">
        <v>5035</v>
      </c>
      <c r="C1636" s="60" t="s">
        <v>5036</v>
      </c>
      <c r="D1636" s="60" t="s">
        <v>5037</v>
      </c>
    </row>
    <row r="1637" spans="2:4" x14ac:dyDescent="0.35">
      <c r="B1637" s="60" t="s">
        <v>5038</v>
      </c>
      <c r="C1637" s="60" t="s">
        <v>5039</v>
      </c>
      <c r="D1637" s="60" t="s">
        <v>5040</v>
      </c>
    </row>
    <row r="1638" spans="2:4" x14ac:dyDescent="0.35">
      <c r="B1638" s="60" t="s">
        <v>5041</v>
      </c>
      <c r="C1638" s="60" t="s">
        <v>5042</v>
      </c>
      <c r="D1638" s="60" t="s">
        <v>5043</v>
      </c>
    </row>
    <row r="1639" spans="2:4" x14ac:dyDescent="0.35">
      <c r="B1639" s="60" t="s">
        <v>5044</v>
      </c>
      <c r="C1639" s="60" t="s">
        <v>5045</v>
      </c>
      <c r="D1639" s="60" t="s">
        <v>5046</v>
      </c>
    </row>
    <row r="1640" spans="2:4" x14ac:dyDescent="0.35">
      <c r="B1640" s="60" t="s">
        <v>5047</v>
      </c>
      <c r="C1640" s="60" t="s">
        <v>5048</v>
      </c>
      <c r="D1640" s="60" t="s">
        <v>5049</v>
      </c>
    </row>
    <row r="1641" spans="2:4" x14ac:dyDescent="0.35">
      <c r="B1641" s="60" t="s">
        <v>5050</v>
      </c>
      <c r="C1641" s="60" t="s">
        <v>5051</v>
      </c>
      <c r="D1641" s="60" t="s">
        <v>5052</v>
      </c>
    </row>
    <row r="1642" spans="2:4" x14ac:dyDescent="0.35">
      <c r="B1642" s="60" t="s">
        <v>5053</v>
      </c>
      <c r="C1642" s="60" t="s">
        <v>5054</v>
      </c>
      <c r="D1642" s="60" t="s">
        <v>5055</v>
      </c>
    </row>
    <row r="1643" spans="2:4" x14ac:dyDescent="0.35">
      <c r="B1643" s="60" t="s">
        <v>5056</v>
      </c>
      <c r="C1643" s="60" t="s">
        <v>5057</v>
      </c>
      <c r="D1643" s="60" t="s">
        <v>5058</v>
      </c>
    </row>
    <row r="1644" spans="2:4" x14ac:dyDescent="0.35">
      <c r="B1644" s="60" t="s">
        <v>5059</v>
      </c>
      <c r="C1644" s="60" t="s">
        <v>5060</v>
      </c>
      <c r="D1644" s="60" t="s">
        <v>5061</v>
      </c>
    </row>
    <row r="1645" spans="2:4" x14ac:dyDescent="0.35">
      <c r="B1645" s="60" t="s">
        <v>5062</v>
      </c>
      <c r="C1645" s="60" t="s">
        <v>5063</v>
      </c>
      <c r="D1645" s="60" t="s">
        <v>5064</v>
      </c>
    </row>
    <row r="1646" spans="2:4" x14ac:dyDescent="0.35">
      <c r="B1646" s="60" t="s">
        <v>5065</v>
      </c>
      <c r="C1646" s="60" t="s">
        <v>5066</v>
      </c>
      <c r="D1646" s="60" t="s">
        <v>5067</v>
      </c>
    </row>
    <row r="1647" spans="2:4" x14ac:dyDescent="0.35">
      <c r="B1647" s="60" t="s">
        <v>5068</v>
      </c>
      <c r="C1647" s="60" t="s">
        <v>5069</v>
      </c>
      <c r="D1647" s="60" t="s">
        <v>5070</v>
      </c>
    </row>
    <row r="1648" spans="2:4" x14ac:dyDescent="0.35">
      <c r="B1648" s="60" t="s">
        <v>5071</v>
      </c>
      <c r="C1648" s="60" t="s">
        <v>5072</v>
      </c>
      <c r="D1648" s="60" t="s">
        <v>5073</v>
      </c>
    </row>
    <row r="1649" spans="2:4" x14ac:dyDescent="0.35">
      <c r="B1649" s="60" t="s">
        <v>5074</v>
      </c>
      <c r="C1649" s="60" t="s">
        <v>5075</v>
      </c>
      <c r="D1649" s="60" t="s">
        <v>5076</v>
      </c>
    </row>
    <row r="1650" spans="2:4" x14ac:dyDescent="0.35">
      <c r="B1650" s="60" t="s">
        <v>5077</v>
      </c>
      <c r="C1650" s="60" t="s">
        <v>5078</v>
      </c>
      <c r="D1650" s="60" t="s">
        <v>5079</v>
      </c>
    </row>
    <row r="1651" spans="2:4" x14ac:dyDescent="0.35">
      <c r="B1651" s="60" t="s">
        <v>5080</v>
      </c>
      <c r="C1651" s="60" t="s">
        <v>5081</v>
      </c>
      <c r="D1651" s="60" t="s">
        <v>5082</v>
      </c>
    </row>
    <row r="1652" spans="2:4" x14ac:dyDescent="0.35">
      <c r="B1652" s="60" t="s">
        <v>5080</v>
      </c>
      <c r="C1652" s="60" t="s">
        <v>5083</v>
      </c>
      <c r="D1652" s="60" t="s">
        <v>5084</v>
      </c>
    </row>
    <row r="1653" spans="2:4" x14ac:dyDescent="0.35">
      <c r="B1653" s="60" t="s">
        <v>5085</v>
      </c>
      <c r="C1653" s="60" t="s">
        <v>5086</v>
      </c>
      <c r="D1653" s="60" t="s">
        <v>5087</v>
      </c>
    </row>
    <row r="1654" spans="2:4" x14ac:dyDescent="0.35">
      <c r="B1654" s="60" t="s">
        <v>5088</v>
      </c>
      <c r="C1654" s="60" t="s">
        <v>5089</v>
      </c>
      <c r="D1654" s="60" t="s">
        <v>5090</v>
      </c>
    </row>
    <row r="1655" spans="2:4" x14ac:dyDescent="0.35">
      <c r="B1655" s="60" t="s">
        <v>5091</v>
      </c>
      <c r="C1655" s="60" t="s">
        <v>5092</v>
      </c>
      <c r="D1655" s="60" t="s">
        <v>5093</v>
      </c>
    </row>
    <row r="1656" spans="2:4" x14ac:dyDescent="0.35">
      <c r="B1656" s="60" t="s">
        <v>5094</v>
      </c>
      <c r="C1656" s="60" t="s">
        <v>5095</v>
      </c>
      <c r="D1656" s="60" t="s">
        <v>5096</v>
      </c>
    </row>
    <row r="1657" spans="2:4" x14ac:dyDescent="0.35">
      <c r="B1657" s="60" t="s">
        <v>5097</v>
      </c>
      <c r="C1657" s="60" t="s">
        <v>5098</v>
      </c>
      <c r="D1657" s="60" t="s">
        <v>5099</v>
      </c>
    </row>
    <row r="1658" spans="2:4" x14ac:dyDescent="0.35">
      <c r="B1658" s="60" t="s">
        <v>5100</v>
      </c>
      <c r="C1658" s="60" t="s">
        <v>5101</v>
      </c>
      <c r="D1658" s="60" t="s">
        <v>5102</v>
      </c>
    </row>
    <row r="1659" spans="2:4" x14ac:dyDescent="0.35">
      <c r="B1659" s="60" t="s">
        <v>5100</v>
      </c>
      <c r="C1659" s="60" t="s">
        <v>5103</v>
      </c>
      <c r="D1659" s="60" t="s">
        <v>5104</v>
      </c>
    </row>
    <row r="1660" spans="2:4" x14ac:dyDescent="0.35">
      <c r="B1660" s="60" t="s">
        <v>5105</v>
      </c>
      <c r="C1660" s="60" t="s">
        <v>5106</v>
      </c>
      <c r="D1660" s="60" t="s">
        <v>5107</v>
      </c>
    </row>
    <row r="1661" spans="2:4" x14ac:dyDescent="0.35">
      <c r="B1661" s="60" t="s">
        <v>5105</v>
      </c>
      <c r="C1661" s="60" t="s">
        <v>5108</v>
      </c>
      <c r="D1661" s="60" t="s">
        <v>5109</v>
      </c>
    </row>
    <row r="1662" spans="2:4" x14ac:dyDescent="0.35">
      <c r="B1662" s="60" t="s">
        <v>5110</v>
      </c>
      <c r="C1662" s="60" t="s">
        <v>5111</v>
      </c>
      <c r="D1662" s="60" t="s">
        <v>5112</v>
      </c>
    </row>
    <row r="1663" spans="2:4" x14ac:dyDescent="0.35">
      <c r="B1663" s="60" t="s">
        <v>5113</v>
      </c>
      <c r="C1663" s="60" t="s">
        <v>5114</v>
      </c>
      <c r="D1663" s="60" t="s">
        <v>5115</v>
      </c>
    </row>
    <row r="1664" spans="2:4" x14ac:dyDescent="0.35">
      <c r="B1664" s="60" t="s">
        <v>5116</v>
      </c>
      <c r="C1664" s="60" t="s">
        <v>5117</v>
      </c>
      <c r="D1664" s="60" t="s">
        <v>5118</v>
      </c>
    </row>
    <row r="1665" spans="2:4" x14ac:dyDescent="0.35">
      <c r="B1665" s="60" t="s">
        <v>5119</v>
      </c>
      <c r="C1665" s="60" t="s">
        <v>5120</v>
      </c>
      <c r="D1665" s="60" t="s">
        <v>5121</v>
      </c>
    </row>
    <row r="1666" spans="2:4" x14ac:dyDescent="0.35">
      <c r="B1666" s="60" t="s">
        <v>5122</v>
      </c>
      <c r="C1666" s="60" t="s">
        <v>5123</v>
      </c>
      <c r="D1666" s="60" t="s">
        <v>5124</v>
      </c>
    </row>
    <row r="1667" spans="2:4" x14ac:dyDescent="0.35">
      <c r="B1667" s="60" t="s">
        <v>5125</v>
      </c>
      <c r="C1667" s="60" t="s">
        <v>5126</v>
      </c>
      <c r="D1667" s="60" t="s">
        <v>5127</v>
      </c>
    </row>
    <row r="1668" spans="2:4" x14ac:dyDescent="0.35">
      <c r="B1668" s="60" t="s">
        <v>5128</v>
      </c>
      <c r="C1668" s="60" t="s">
        <v>5129</v>
      </c>
      <c r="D1668" s="60" t="s">
        <v>5130</v>
      </c>
    </row>
    <row r="1669" spans="2:4" x14ac:dyDescent="0.35">
      <c r="B1669" s="60" t="s">
        <v>5131</v>
      </c>
      <c r="C1669" s="60" t="s">
        <v>5132</v>
      </c>
      <c r="D1669" s="60" t="s">
        <v>5133</v>
      </c>
    </row>
    <row r="1670" spans="2:4" x14ac:dyDescent="0.35">
      <c r="B1670" s="60" t="s">
        <v>5134</v>
      </c>
      <c r="C1670" s="60" t="s">
        <v>5135</v>
      </c>
      <c r="D1670" s="60" t="s">
        <v>5136</v>
      </c>
    </row>
    <row r="1671" spans="2:4" x14ac:dyDescent="0.35">
      <c r="B1671" s="60" t="s">
        <v>5137</v>
      </c>
      <c r="C1671" s="60" t="s">
        <v>5138</v>
      </c>
      <c r="D1671" s="60" t="s">
        <v>5139</v>
      </c>
    </row>
    <row r="1672" spans="2:4" x14ac:dyDescent="0.35">
      <c r="B1672" s="60" t="s">
        <v>5140</v>
      </c>
      <c r="C1672" s="60" t="s">
        <v>5141</v>
      </c>
      <c r="D1672" s="60" t="s">
        <v>5142</v>
      </c>
    </row>
    <row r="1673" spans="2:4" x14ac:dyDescent="0.35">
      <c r="B1673" s="60" t="s">
        <v>5143</v>
      </c>
      <c r="C1673" s="60" t="s">
        <v>5144</v>
      </c>
      <c r="D1673" s="60" t="s">
        <v>5145</v>
      </c>
    </row>
    <row r="1674" spans="2:4" x14ac:dyDescent="0.35">
      <c r="B1674" s="60" t="s">
        <v>5146</v>
      </c>
      <c r="C1674" s="60" t="s">
        <v>5147</v>
      </c>
      <c r="D1674" s="60" t="s">
        <v>5148</v>
      </c>
    </row>
    <row r="1675" spans="2:4" x14ac:dyDescent="0.35">
      <c r="B1675" s="60" t="s">
        <v>5149</v>
      </c>
      <c r="C1675" s="60" t="s">
        <v>5150</v>
      </c>
      <c r="D1675" s="60" t="s">
        <v>5151</v>
      </c>
    </row>
    <row r="1676" spans="2:4" x14ac:dyDescent="0.35">
      <c r="B1676" s="60" t="s">
        <v>5152</v>
      </c>
      <c r="C1676" s="60" t="s">
        <v>5153</v>
      </c>
      <c r="D1676" s="60" t="s">
        <v>5154</v>
      </c>
    </row>
    <row r="1677" spans="2:4" x14ac:dyDescent="0.35">
      <c r="B1677" s="60" t="s">
        <v>5155</v>
      </c>
      <c r="C1677" s="60" t="s">
        <v>5156</v>
      </c>
      <c r="D1677" s="60" t="s">
        <v>5157</v>
      </c>
    </row>
    <row r="1678" spans="2:4" x14ac:dyDescent="0.35">
      <c r="B1678" s="60" t="s">
        <v>5158</v>
      </c>
      <c r="C1678" s="60" t="s">
        <v>5159</v>
      </c>
      <c r="D1678" s="60" t="s">
        <v>5160</v>
      </c>
    </row>
    <row r="1679" spans="2:4" x14ac:dyDescent="0.35">
      <c r="B1679" s="60" t="s">
        <v>5161</v>
      </c>
      <c r="C1679" s="60" t="s">
        <v>5162</v>
      </c>
      <c r="D1679" s="60" t="s">
        <v>5163</v>
      </c>
    </row>
    <row r="1680" spans="2:4" x14ac:dyDescent="0.35">
      <c r="B1680" s="60" t="s">
        <v>5164</v>
      </c>
      <c r="C1680" s="60" t="s">
        <v>5165</v>
      </c>
      <c r="D1680" s="60" t="s">
        <v>5166</v>
      </c>
    </row>
    <row r="1681" spans="2:4" x14ac:dyDescent="0.35">
      <c r="B1681" s="60" t="s">
        <v>5167</v>
      </c>
      <c r="C1681" s="60" t="s">
        <v>5168</v>
      </c>
      <c r="D1681" s="60" t="s">
        <v>5169</v>
      </c>
    </row>
    <row r="1682" spans="2:4" x14ac:dyDescent="0.35">
      <c r="B1682" s="60" t="s">
        <v>5167</v>
      </c>
      <c r="C1682" s="60" t="s">
        <v>5170</v>
      </c>
      <c r="D1682" s="60" t="s">
        <v>5169</v>
      </c>
    </row>
    <row r="1683" spans="2:4" x14ac:dyDescent="0.35">
      <c r="B1683" s="60" t="s">
        <v>5171</v>
      </c>
      <c r="C1683" s="60" t="s">
        <v>5172</v>
      </c>
      <c r="D1683" s="60" t="s">
        <v>5173</v>
      </c>
    </row>
    <row r="1684" spans="2:4" x14ac:dyDescent="0.35">
      <c r="B1684" s="60" t="s">
        <v>5174</v>
      </c>
      <c r="C1684" s="60" t="s">
        <v>5175</v>
      </c>
      <c r="D1684" s="60" t="s">
        <v>5176</v>
      </c>
    </row>
    <row r="1685" spans="2:4" x14ac:dyDescent="0.35">
      <c r="B1685" s="60" t="s">
        <v>5177</v>
      </c>
      <c r="C1685" s="60" t="s">
        <v>5178</v>
      </c>
      <c r="D1685" s="60" t="s">
        <v>5179</v>
      </c>
    </row>
    <row r="1686" spans="2:4" x14ac:dyDescent="0.35">
      <c r="B1686" s="60" t="s">
        <v>5180</v>
      </c>
      <c r="C1686" s="60" t="s">
        <v>5181</v>
      </c>
      <c r="D1686" s="60" t="s">
        <v>5182</v>
      </c>
    </row>
    <row r="1687" spans="2:4" x14ac:dyDescent="0.35">
      <c r="B1687" s="60" t="s">
        <v>5183</v>
      </c>
      <c r="C1687" s="60" t="s">
        <v>5184</v>
      </c>
      <c r="D1687" s="60" t="s">
        <v>5185</v>
      </c>
    </row>
    <row r="1688" spans="2:4" x14ac:dyDescent="0.35">
      <c r="B1688" s="60" t="s">
        <v>5186</v>
      </c>
      <c r="C1688" s="60" t="s">
        <v>5187</v>
      </c>
      <c r="D1688" s="60" t="s">
        <v>5188</v>
      </c>
    </row>
    <row r="1689" spans="2:4" x14ac:dyDescent="0.35">
      <c r="B1689" s="60" t="s">
        <v>5189</v>
      </c>
      <c r="C1689" s="60" t="s">
        <v>5190</v>
      </c>
      <c r="D1689" s="60" t="s">
        <v>5191</v>
      </c>
    </row>
    <row r="1690" spans="2:4" x14ac:dyDescent="0.35">
      <c r="B1690" s="60" t="s">
        <v>5192</v>
      </c>
      <c r="C1690" s="60" t="s">
        <v>5193</v>
      </c>
      <c r="D1690" s="60" t="s">
        <v>5194</v>
      </c>
    </row>
    <row r="1691" spans="2:4" x14ac:dyDescent="0.35">
      <c r="B1691" s="60" t="s">
        <v>5195</v>
      </c>
      <c r="C1691" s="60" t="s">
        <v>5196</v>
      </c>
      <c r="D1691" s="60" t="s">
        <v>5197</v>
      </c>
    </row>
    <row r="1692" spans="2:4" x14ac:dyDescent="0.35">
      <c r="B1692" s="60" t="s">
        <v>5198</v>
      </c>
      <c r="C1692" s="60" t="s">
        <v>5199</v>
      </c>
      <c r="D1692" s="60" t="s">
        <v>5200</v>
      </c>
    </row>
    <row r="1693" spans="2:4" x14ac:dyDescent="0.35">
      <c r="B1693" s="60" t="s">
        <v>5201</v>
      </c>
      <c r="C1693" s="60" t="s">
        <v>5202</v>
      </c>
      <c r="D1693" s="60" t="s">
        <v>5203</v>
      </c>
    </row>
    <row r="1694" spans="2:4" x14ac:dyDescent="0.35">
      <c r="B1694" s="60" t="s">
        <v>5204</v>
      </c>
      <c r="C1694" s="60" t="s">
        <v>5205</v>
      </c>
      <c r="D1694" s="60" t="s">
        <v>5206</v>
      </c>
    </row>
    <row r="1695" spans="2:4" x14ac:dyDescent="0.35">
      <c r="B1695" s="60" t="s">
        <v>5207</v>
      </c>
      <c r="C1695" s="60" t="s">
        <v>5208</v>
      </c>
      <c r="D1695" s="60" t="s">
        <v>5209</v>
      </c>
    </row>
    <row r="1696" spans="2:4" x14ac:dyDescent="0.35">
      <c r="B1696" s="60" t="s">
        <v>5210</v>
      </c>
      <c r="C1696" s="60" t="s">
        <v>5211</v>
      </c>
      <c r="D1696" s="60" t="s">
        <v>5212</v>
      </c>
    </row>
    <row r="1697" spans="2:4" x14ac:dyDescent="0.35">
      <c r="B1697" s="60" t="s">
        <v>5213</v>
      </c>
      <c r="C1697" s="60" t="s">
        <v>5214</v>
      </c>
      <c r="D1697" s="60" t="s">
        <v>5215</v>
      </c>
    </row>
    <row r="1698" spans="2:4" x14ac:dyDescent="0.35">
      <c r="B1698" s="60" t="s">
        <v>5216</v>
      </c>
      <c r="C1698" s="60" t="s">
        <v>5217</v>
      </c>
      <c r="D1698" s="60" t="s">
        <v>5218</v>
      </c>
    </row>
    <row r="1699" spans="2:4" x14ac:dyDescent="0.35">
      <c r="B1699" s="60" t="s">
        <v>5219</v>
      </c>
      <c r="C1699" s="60" t="s">
        <v>5220</v>
      </c>
      <c r="D1699" s="60" t="s">
        <v>5221</v>
      </c>
    </row>
    <row r="1700" spans="2:4" x14ac:dyDescent="0.35">
      <c r="B1700" s="60" t="s">
        <v>5222</v>
      </c>
      <c r="C1700" s="60" t="s">
        <v>5223</v>
      </c>
      <c r="D1700" s="60" t="s">
        <v>5224</v>
      </c>
    </row>
    <row r="1701" spans="2:4" x14ac:dyDescent="0.35">
      <c r="B1701" s="60" t="s">
        <v>5225</v>
      </c>
      <c r="C1701" s="60" t="s">
        <v>5226</v>
      </c>
      <c r="D1701" s="60" t="s">
        <v>5227</v>
      </c>
    </row>
    <row r="1702" spans="2:4" x14ac:dyDescent="0.35">
      <c r="B1702" s="60" t="s">
        <v>5228</v>
      </c>
      <c r="C1702" s="60" t="s">
        <v>5229</v>
      </c>
      <c r="D1702" s="60" t="s">
        <v>5230</v>
      </c>
    </row>
    <row r="1703" spans="2:4" x14ac:dyDescent="0.35">
      <c r="B1703" s="60" t="s">
        <v>5231</v>
      </c>
      <c r="C1703" s="60" t="s">
        <v>5232</v>
      </c>
      <c r="D1703" s="60" t="s">
        <v>5233</v>
      </c>
    </row>
    <row r="1704" spans="2:4" x14ac:dyDescent="0.35">
      <c r="B1704" s="60" t="s">
        <v>5234</v>
      </c>
      <c r="C1704" s="60" t="s">
        <v>5235</v>
      </c>
      <c r="D1704" s="60" t="s">
        <v>5236</v>
      </c>
    </row>
    <row r="1705" spans="2:4" x14ac:dyDescent="0.35">
      <c r="B1705" s="60" t="s">
        <v>5237</v>
      </c>
      <c r="C1705" s="60" t="s">
        <v>5238</v>
      </c>
      <c r="D1705" s="60" t="s">
        <v>5239</v>
      </c>
    </row>
    <row r="1706" spans="2:4" x14ac:dyDescent="0.35">
      <c r="B1706" s="60" t="s">
        <v>5240</v>
      </c>
      <c r="C1706" s="60" t="s">
        <v>5241</v>
      </c>
      <c r="D1706" s="60" t="s">
        <v>5242</v>
      </c>
    </row>
    <row r="1707" spans="2:4" x14ac:dyDescent="0.35">
      <c r="B1707" s="60" t="s">
        <v>5243</v>
      </c>
      <c r="C1707" s="60" t="s">
        <v>5244</v>
      </c>
      <c r="D1707" s="60" t="s">
        <v>5245</v>
      </c>
    </row>
    <row r="1708" spans="2:4" x14ac:dyDescent="0.35">
      <c r="B1708" s="60" t="s">
        <v>5246</v>
      </c>
      <c r="C1708" s="60" t="s">
        <v>5247</v>
      </c>
      <c r="D1708" s="60" t="s">
        <v>5248</v>
      </c>
    </row>
    <row r="1709" spans="2:4" x14ac:dyDescent="0.35">
      <c r="B1709" s="60" t="s">
        <v>5249</v>
      </c>
      <c r="C1709" s="60" t="s">
        <v>5250</v>
      </c>
      <c r="D1709" s="60" t="s">
        <v>5251</v>
      </c>
    </row>
    <row r="1710" spans="2:4" x14ac:dyDescent="0.35">
      <c r="B1710" s="60" t="s">
        <v>5252</v>
      </c>
      <c r="C1710" s="60" t="s">
        <v>5253</v>
      </c>
      <c r="D1710" s="60" t="s">
        <v>5254</v>
      </c>
    </row>
    <row r="1711" spans="2:4" x14ac:dyDescent="0.35">
      <c r="B1711" s="60" t="s">
        <v>5255</v>
      </c>
      <c r="C1711" s="60" t="s">
        <v>5256</v>
      </c>
      <c r="D1711" s="60" t="s">
        <v>5257</v>
      </c>
    </row>
    <row r="1712" spans="2:4" x14ac:dyDescent="0.35">
      <c r="B1712" s="60" t="s">
        <v>5258</v>
      </c>
      <c r="C1712" s="60" t="s">
        <v>5259</v>
      </c>
      <c r="D1712" s="60" t="s">
        <v>5260</v>
      </c>
    </row>
    <row r="1713" spans="2:4" x14ac:dyDescent="0.35">
      <c r="B1713" s="60" t="s">
        <v>5261</v>
      </c>
      <c r="C1713" s="60" t="s">
        <v>5262</v>
      </c>
      <c r="D1713" s="60" t="s">
        <v>5263</v>
      </c>
    </row>
    <row r="1714" spans="2:4" x14ac:dyDescent="0.35">
      <c r="B1714" s="60" t="s">
        <v>5264</v>
      </c>
      <c r="C1714" s="60" t="s">
        <v>5265</v>
      </c>
      <c r="D1714" s="60" t="s">
        <v>5266</v>
      </c>
    </row>
    <row r="1715" spans="2:4" x14ac:dyDescent="0.35">
      <c r="B1715" s="60" t="s">
        <v>5267</v>
      </c>
      <c r="C1715" s="60" t="s">
        <v>5268</v>
      </c>
      <c r="D1715" s="60" t="s">
        <v>5269</v>
      </c>
    </row>
    <row r="1716" spans="2:4" x14ac:dyDescent="0.35">
      <c r="B1716" s="60" t="s">
        <v>5270</v>
      </c>
      <c r="C1716" s="60" t="s">
        <v>5271</v>
      </c>
      <c r="D1716" s="60" t="s">
        <v>5272</v>
      </c>
    </row>
    <row r="1717" spans="2:4" x14ac:dyDescent="0.35">
      <c r="B1717" s="60" t="s">
        <v>5273</v>
      </c>
      <c r="C1717" s="60" t="s">
        <v>5274</v>
      </c>
      <c r="D1717" s="60" t="s">
        <v>5275</v>
      </c>
    </row>
    <row r="1718" spans="2:4" x14ac:dyDescent="0.35">
      <c r="B1718" s="60" t="s">
        <v>5276</v>
      </c>
      <c r="C1718" s="60" t="s">
        <v>5277</v>
      </c>
      <c r="D1718" s="60" t="s">
        <v>5278</v>
      </c>
    </row>
    <row r="1719" spans="2:4" x14ac:dyDescent="0.35">
      <c r="B1719" s="60" t="s">
        <v>5279</v>
      </c>
      <c r="C1719" s="60" t="s">
        <v>5280</v>
      </c>
      <c r="D1719" s="60" t="s">
        <v>5281</v>
      </c>
    </row>
    <row r="1720" spans="2:4" x14ac:dyDescent="0.35">
      <c r="B1720" s="60" t="s">
        <v>5282</v>
      </c>
      <c r="C1720" s="60" t="s">
        <v>5283</v>
      </c>
      <c r="D1720" s="60" t="s">
        <v>5284</v>
      </c>
    </row>
    <row r="1721" spans="2:4" x14ac:dyDescent="0.35">
      <c r="B1721" s="60" t="s">
        <v>5285</v>
      </c>
      <c r="C1721" s="60" t="s">
        <v>5286</v>
      </c>
      <c r="D1721" s="60" t="s">
        <v>5287</v>
      </c>
    </row>
    <row r="1722" spans="2:4" x14ac:dyDescent="0.35">
      <c r="B1722" s="60" t="s">
        <v>5288</v>
      </c>
      <c r="C1722" s="60" t="s">
        <v>5289</v>
      </c>
      <c r="D1722" s="60" t="s">
        <v>5290</v>
      </c>
    </row>
    <row r="1723" spans="2:4" x14ac:dyDescent="0.35">
      <c r="B1723" s="60" t="s">
        <v>5291</v>
      </c>
      <c r="C1723" s="60" t="s">
        <v>5292</v>
      </c>
      <c r="D1723" s="60" t="s">
        <v>5293</v>
      </c>
    </row>
    <row r="1724" spans="2:4" x14ac:dyDescent="0.35">
      <c r="B1724" s="60" t="s">
        <v>5294</v>
      </c>
      <c r="C1724" s="60" t="s">
        <v>5295</v>
      </c>
      <c r="D1724" s="60" t="s">
        <v>5296</v>
      </c>
    </row>
    <row r="1725" spans="2:4" x14ac:dyDescent="0.35">
      <c r="B1725" s="60" t="s">
        <v>5297</v>
      </c>
      <c r="C1725" s="60" t="s">
        <v>5298</v>
      </c>
      <c r="D1725" s="60" t="s">
        <v>5299</v>
      </c>
    </row>
    <row r="1726" spans="2:4" x14ac:dyDescent="0.35">
      <c r="B1726" s="60" t="s">
        <v>5300</v>
      </c>
      <c r="C1726" s="60" t="s">
        <v>5301</v>
      </c>
      <c r="D1726" s="60" t="s">
        <v>5302</v>
      </c>
    </row>
    <row r="1727" spans="2:4" x14ac:dyDescent="0.35">
      <c r="B1727" s="60" t="s">
        <v>5303</v>
      </c>
      <c r="C1727" s="60" t="s">
        <v>5304</v>
      </c>
      <c r="D1727" s="60" t="s">
        <v>5305</v>
      </c>
    </row>
    <row r="1728" spans="2:4" x14ac:dyDescent="0.35">
      <c r="B1728" s="60" t="s">
        <v>5306</v>
      </c>
      <c r="C1728" s="60" t="s">
        <v>5307</v>
      </c>
      <c r="D1728" s="60" t="s">
        <v>5308</v>
      </c>
    </row>
    <row r="1729" spans="2:4" x14ac:dyDescent="0.35">
      <c r="B1729" s="60" t="s">
        <v>5309</v>
      </c>
      <c r="C1729" s="60" t="s">
        <v>5310</v>
      </c>
      <c r="D1729" s="60" t="s">
        <v>5311</v>
      </c>
    </row>
    <row r="1730" spans="2:4" x14ac:dyDescent="0.35">
      <c r="B1730" s="60" t="s">
        <v>5312</v>
      </c>
      <c r="C1730" s="60" t="s">
        <v>5313</v>
      </c>
      <c r="D1730" s="60" t="s">
        <v>5314</v>
      </c>
    </row>
    <row r="1731" spans="2:4" x14ac:dyDescent="0.35">
      <c r="B1731" s="60" t="s">
        <v>5315</v>
      </c>
      <c r="C1731" s="60" t="s">
        <v>5316</v>
      </c>
      <c r="D1731" s="60" t="s">
        <v>5317</v>
      </c>
    </row>
    <row r="1732" spans="2:4" x14ac:dyDescent="0.35">
      <c r="B1732" s="60" t="s">
        <v>5318</v>
      </c>
      <c r="C1732" s="60" t="s">
        <v>5319</v>
      </c>
      <c r="D1732" s="60" t="s">
        <v>5320</v>
      </c>
    </row>
    <row r="1733" spans="2:4" x14ac:dyDescent="0.35">
      <c r="B1733" s="60" t="s">
        <v>5321</v>
      </c>
      <c r="C1733" s="60" t="s">
        <v>5322</v>
      </c>
      <c r="D1733" s="60" t="s">
        <v>5323</v>
      </c>
    </row>
    <row r="1734" spans="2:4" x14ac:dyDescent="0.35">
      <c r="B1734" s="60" t="s">
        <v>5324</v>
      </c>
      <c r="C1734" s="60" t="s">
        <v>5325</v>
      </c>
      <c r="D1734" s="60" t="s">
        <v>5326</v>
      </c>
    </row>
    <row r="1735" spans="2:4" x14ac:dyDescent="0.35">
      <c r="B1735" s="60" t="s">
        <v>5327</v>
      </c>
      <c r="C1735" s="60" t="s">
        <v>5328</v>
      </c>
      <c r="D1735" s="60" t="s">
        <v>5329</v>
      </c>
    </row>
    <row r="1736" spans="2:4" x14ac:dyDescent="0.35">
      <c r="B1736" s="60" t="s">
        <v>5330</v>
      </c>
      <c r="C1736" s="60" t="s">
        <v>5331</v>
      </c>
      <c r="D1736" s="60" t="s">
        <v>5332</v>
      </c>
    </row>
    <row r="1737" spans="2:4" x14ac:dyDescent="0.35">
      <c r="B1737" s="60" t="s">
        <v>5333</v>
      </c>
      <c r="C1737" s="60" t="s">
        <v>5334</v>
      </c>
      <c r="D1737" s="60" t="s">
        <v>5335</v>
      </c>
    </row>
    <row r="1738" spans="2:4" x14ac:dyDescent="0.35">
      <c r="B1738" s="60" t="s">
        <v>5336</v>
      </c>
      <c r="C1738" s="60" t="s">
        <v>5337</v>
      </c>
      <c r="D1738" s="60" t="s">
        <v>5338</v>
      </c>
    </row>
    <row r="1739" spans="2:4" x14ac:dyDescent="0.35">
      <c r="B1739" s="60" t="s">
        <v>5339</v>
      </c>
      <c r="C1739" s="60" t="s">
        <v>5325</v>
      </c>
      <c r="D1739" s="60" t="s">
        <v>5326</v>
      </c>
    </row>
    <row r="1740" spans="2:4" x14ac:dyDescent="0.35">
      <c r="B1740" s="60" t="s">
        <v>5340</v>
      </c>
      <c r="C1740" s="60" t="s">
        <v>5341</v>
      </c>
      <c r="D1740" s="60" t="s">
        <v>5342</v>
      </c>
    </row>
    <row r="1741" spans="2:4" x14ac:dyDescent="0.35">
      <c r="B1741" s="60" t="s">
        <v>5343</v>
      </c>
      <c r="C1741" s="60" t="s">
        <v>5344</v>
      </c>
      <c r="D1741" s="60" t="s">
        <v>5345</v>
      </c>
    </row>
    <row r="1742" spans="2:4" x14ac:dyDescent="0.35">
      <c r="B1742" s="60" t="s">
        <v>5346</v>
      </c>
      <c r="C1742" s="60" t="s">
        <v>5347</v>
      </c>
      <c r="D1742" s="60" t="s">
        <v>5348</v>
      </c>
    </row>
    <row r="1743" spans="2:4" x14ac:dyDescent="0.35">
      <c r="B1743" s="60" t="s">
        <v>5349</v>
      </c>
      <c r="C1743" s="60" t="s">
        <v>5350</v>
      </c>
      <c r="D1743" s="60" t="s">
        <v>5351</v>
      </c>
    </row>
    <row r="1744" spans="2:4" x14ac:dyDescent="0.35">
      <c r="B1744" s="60" t="s">
        <v>5352</v>
      </c>
      <c r="C1744" s="60" t="s">
        <v>5353</v>
      </c>
      <c r="D1744" s="60" t="s">
        <v>5354</v>
      </c>
    </row>
    <row r="1745" spans="2:4" x14ac:dyDescent="0.35">
      <c r="B1745" s="60" t="s">
        <v>5355</v>
      </c>
      <c r="C1745" s="60" t="s">
        <v>5356</v>
      </c>
      <c r="D1745" s="60" t="s">
        <v>5357</v>
      </c>
    </row>
    <row r="1746" spans="2:4" x14ac:dyDescent="0.35">
      <c r="B1746" s="60" t="s">
        <v>5358</v>
      </c>
      <c r="C1746" s="60" t="s">
        <v>5359</v>
      </c>
      <c r="D1746" s="60" t="s">
        <v>5360</v>
      </c>
    </row>
    <row r="1747" spans="2:4" x14ac:dyDescent="0.35">
      <c r="B1747" s="60" t="s">
        <v>5361</v>
      </c>
      <c r="C1747" s="60" t="s">
        <v>5362</v>
      </c>
      <c r="D1747" s="60" t="s">
        <v>5363</v>
      </c>
    </row>
    <row r="1748" spans="2:4" x14ac:dyDescent="0.35">
      <c r="B1748" s="60" t="s">
        <v>5364</v>
      </c>
      <c r="C1748" s="60" t="s">
        <v>5365</v>
      </c>
      <c r="D1748" s="60" t="s">
        <v>5366</v>
      </c>
    </row>
    <row r="1749" spans="2:4" x14ac:dyDescent="0.35">
      <c r="B1749" s="60" t="s">
        <v>5367</v>
      </c>
      <c r="C1749" s="60" t="s">
        <v>5368</v>
      </c>
      <c r="D1749" s="60" t="s">
        <v>5369</v>
      </c>
    </row>
    <row r="1750" spans="2:4" x14ac:dyDescent="0.35">
      <c r="B1750" s="60" t="s">
        <v>5370</v>
      </c>
      <c r="C1750" s="60" t="s">
        <v>5371</v>
      </c>
      <c r="D1750" s="60" t="s">
        <v>5372</v>
      </c>
    </row>
    <row r="1751" spans="2:4" x14ac:dyDescent="0.35">
      <c r="B1751" s="60" t="s">
        <v>5373</v>
      </c>
      <c r="C1751" s="60" t="s">
        <v>5374</v>
      </c>
      <c r="D1751" s="60" t="s">
        <v>5375</v>
      </c>
    </row>
    <row r="1752" spans="2:4" x14ac:dyDescent="0.35">
      <c r="B1752" s="60" t="s">
        <v>5376</v>
      </c>
      <c r="C1752" s="60" t="s">
        <v>5377</v>
      </c>
      <c r="D1752" s="60" t="s">
        <v>2090</v>
      </c>
    </row>
    <row r="1753" spans="2:4" x14ac:dyDescent="0.35">
      <c r="B1753" s="60" t="s">
        <v>5378</v>
      </c>
      <c r="C1753" s="60" t="s">
        <v>5379</v>
      </c>
      <c r="D1753" s="60" t="s">
        <v>5380</v>
      </c>
    </row>
    <row r="1754" spans="2:4" x14ac:dyDescent="0.35">
      <c r="B1754" s="60" t="s">
        <v>5381</v>
      </c>
      <c r="C1754" s="60" t="s">
        <v>5382</v>
      </c>
      <c r="D1754" s="60" t="s">
        <v>5383</v>
      </c>
    </row>
    <row r="1755" spans="2:4" x14ac:dyDescent="0.35">
      <c r="B1755" s="60" t="s">
        <v>5384</v>
      </c>
      <c r="C1755" s="60" t="s">
        <v>5385</v>
      </c>
      <c r="D1755" s="60" t="s">
        <v>5386</v>
      </c>
    </row>
    <row r="1756" spans="2:4" x14ac:dyDescent="0.35">
      <c r="B1756" s="60" t="s">
        <v>5387</v>
      </c>
      <c r="C1756" s="60" t="s">
        <v>5388</v>
      </c>
      <c r="D1756" s="60" t="s">
        <v>5389</v>
      </c>
    </row>
    <row r="1757" spans="2:4" x14ac:dyDescent="0.35">
      <c r="B1757" s="60" t="s">
        <v>5390</v>
      </c>
      <c r="C1757" s="60" t="s">
        <v>5391</v>
      </c>
      <c r="D1757" s="60" t="s">
        <v>5392</v>
      </c>
    </row>
    <row r="1758" spans="2:4" x14ac:dyDescent="0.35">
      <c r="B1758" s="60" t="s">
        <v>5393</v>
      </c>
      <c r="C1758" s="60" t="s">
        <v>5394</v>
      </c>
      <c r="D1758" s="60" t="s">
        <v>5395</v>
      </c>
    </row>
    <row r="1759" spans="2:4" x14ac:dyDescent="0.35">
      <c r="B1759" s="60" t="s">
        <v>5396</v>
      </c>
      <c r="C1759" s="60" t="s">
        <v>5397</v>
      </c>
      <c r="D1759" s="60" t="s">
        <v>5398</v>
      </c>
    </row>
    <row r="1760" spans="2:4" x14ac:dyDescent="0.35">
      <c r="B1760" s="60" t="s">
        <v>5399</v>
      </c>
      <c r="C1760" s="60" t="s">
        <v>5400</v>
      </c>
      <c r="D1760" s="60" t="s">
        <v>5401</v>
      </c>
    </row>
    <row r="1761" spans="2:4" x14ac:dyDescent="0.35">
      <c r="B1761" s="60" t="s">
        <v>5402</v>
      </c>
      <c r="C1761" s="60" t="s">
        <v>5403</v>
      </c>
      <c r="D1761" s="60" t="s">
        <v>5404</v>
      </c>
    </row>
    <row r="1762" spans="2:4" x14ac:dyDescent="0.35">
      <c r="B1762" s="60" t="s">
        <v>5405</v>
      </c>
      <c r="C1762" s="60" t="s">
        <v>5406</v>
      </c>
      <c r="D1762" s="60" t="s">
        <v>5407</v>
      </c>
    </row>
    <row r="1763" spans="2:4" x14ac:dyDescent="0.35">
      <c r="B1763" s="60" t="s">
        <v>5408</v>
      </c>
      <c r="C1763" s="60" t="s">
        <v>5409</v>
      </c>
      <c r="D1763" s="60" t="s">
        <v>5410</v>
      </c>
    </row>
    <row r="1764" spans="2:4" x14ac:dyDescent="0.35">
      <c r="B1764" s="60" t="s">
        <v>5411</v>
      </c>
      <c r="C1764" s="60" t="s">
        <v>5412</v>
      </c>
      <c r="D1764" s="60" t="s">
        <v>5413</v>
      </c>
    </row>
    <row r="1765" spans="2:4" x14ac:dyDescent="0.35">
      <c r="B1765" s="60" t="s">
        <v>5414</v>
      </c>
      <c r="C1765" s="60" t="s">
        <v>5415</v>
      </c>
      <c r="D1765" s="60" t="s">
        <v>5416</v>
      </c>
    </row>
    <row r="1766" spans="2:4" x14ac:dyDescent="0.35">
      <c r="B1766" s="60" t="s">
        <v>5417</v>
      </c>
      <c r="C1766" s="60" t="s">
        <v>5418</v>
      </c>
      <c r="D1766" s="60" t="s">
        <v>5419</v>
      </c>
    </row>
    <row r="1767" spans="2:4" x14ac:dyDescent="0.35">
      <c r="B1767" s="60" t="s">
        <v>5420</v>
      </c>
      <c r="C1767" s="60" t="s">
        <v>5421</v>
      </c>
      <c r="D1767" s="60" t="s">
        <v>5422</v>
      </c>
    </row>
    <row r="1768" spans="2:4" x14ac:dyDescent="0.35">
      <c r="B1768" s="60" t="s">
        <v>5423</v>
      </c>
      <c r="C1768" s="60" t="s">
        <v>5424</v>
      </c>
      <c r="D1768" s="60" t="s">
        <v>5425</v>
      </c>
    </row>
    <row r="1769" spans="2:4" x14ac:dyDescent="0.35">
      <c r="B1769" s="60" t="s">
        <v>5423</v>
      </c>
      <c r="C1769" s="60" t="s">
        <v>5426</v>
      </c>
      <c r="D1769" s="60" t="s">
        <v>5427</v>
      </c>
    </row>
    <row r="1770" spans="2:4" x14ac:dyDescent="0.35">
      <c r="B1770" s="60" t="s">
        <v>5428</v>
      </c>
      <c r="C1770" s="60" t="s">
        <v>5429</v>
      </c>
      <c r="D1770" s="60" t="s">
        <v>5430</v>
      </c>
    </row>
    <row r="1771" spans="2:4" x14ac:dyDescent="0.35">
      <c r="B1771" s="60" t="s">
        <v>5431</v>
      </c>
      <c r="C1771" s="60" t="s">
        <v>5432</v>
      </c>
      <c r="D1771" s="60" t="s">
        <v>5433</v>
      </c>
    </row>
    <row r="1772" spans="2:4" x14ac:dyDescent="0.35">
      <c r="B1772" s="60" t="s">
        <v>5434</v>
      </c>
      <c r="C1772" s="60" t="s">
        <v>5435</v>
      </c>
      <c r="D1772" s="60" t="s">
        <v>5436</v>
      </c>
    </row>
    <row r="1773" spans="2:4" x14ac:dyDescent="0.35">
      <c r="B1773" s="60" t="s">
        <v>5437</v>
      </c>
      <c r="C1773" s="60" t="s">
        <v>5438</v>
      </c>
      <c r="D1773" s="60" t="s">
        <v>5439</v>
      </c>
    </row>
    <row r="1774" spans="2:4" x14ac:dyDescent="0.35">
      <c r="B1774" s="60" t="s">
        <v>5440</v>
      </c>
      <c r="C1774" s="60" t="s">
        <v>5441</v>
      </c>
      <c r="D1774" s="60" t="s">
        <v>5442</v>
      </c>
    </row>
    <row r="1775" spans="2:4" x14ac:dyDescent="0.35">
      <c r="B1775" s="60" t="s">
        <v>5443</v>
      </c>
      <c r="C1775" s="60" t="s">
        <v>5444</v>
      </c>
      <c r="D1775" s="60" t="s">
        <v>5445</v>
      </c>
    </row>
    <row r="1776" spans="2:4" x14ac:dyDescent="0.35">
      <c r="B1776" s="60" t="s">
        <v>5446</v>
      </c>
      <c r="C1776" s="60" t="s">
        <v>5447</v>
      </c>
      <c r="D1776" s="60" t="s">
        <v>5448</v>
      </c>
    </row>
    <row r="1777" spans="2:4" x14ac:dyDescent="0.35">
      <c r="B1777" s="60" t="s">
        <v>5449</v>
      </c>
      <c r="C1777" s="60" t="s">
        <v>5450</v>
      </c>
      <c r="D1777" s="60" t="s">
        <v>5451</v>
      </c>
    </row>
    <row r="1778" spans="2:4" x14ac:dyDescent="0.35">
      <c r="B1778" s="60" t="s">
        <v>5452</v>
      </c>
      <c r="C1778" s="60" t="s">
        <v>5453</v>
      </c>
      <c r="D1778" s="60" t="s">
        <v>5454</v>
      </c>
    </row>
    <row r="1779" spans="2:4" x14ac:dyDescent="0.35">
      <c r="B1779" s="60" t="s">
        <v>5455</v>
      </c>
      <c r="C1779" s="60" t="s">
        <v>5456</v>
      </c>
      <c r="D1779" s="60" t="s">
        <v>5457</v>
      </c>
    </row>
    <row r="1780" spans="2:4" x14ac:dyDescent="0.35">
      <c r="B1780" s="60" t="s">
        <v>5458</v>
      </c>
      <c r="C1780" s="60" t="s">
        <v>5459</v>
      </c>
      <c r="D1780" s="60" t="s">
        <v>5460</v>
      </c>
    </row>
    <row r="1781" spans="2:4" x14ac:dyDescent="0.35">
      <c r="B1781" s="60" t="s">
        <v>5461</v>
      </c>
      <c r="C1781" s="60" t="s">
        <v>5462</v>
      </c>
      <c r="D1781" s="60" t="s">
        <v>5463</v>
      </c>
    </row>
    <row r="1782" spans="2:4" x14ac:dyDescent="0.35">
      <c r="B1782" s="60" t="s">
        <v>5464</v>
      </c>
      <c r="C1782" s="60" t="s">
        <v>5465</v>
      </c>
      <c r="D1782" s="60" t="s">
        <v>5466</v>
      </c>
    </row>
    <row r="1783" spans="2:4" x14ac:dyDescent="0.35">
      <c r="B1783" s="60" t="s">
        <v>5467</v>
      </c>
      <c r="C1783" s="60" t="s">
        <v>5468</v>
      </c>
      <c r="D1783" s="60" t="s">
        <v>5469</v>
      </c>
    </row>
    <row r="1784" spans="2:4" x14ac:dyDescent="0.35">
      <c r="B1784" s="60" t="s">
        <v>5470</v>
      </c>
      <c r="C1784" s="60" t="s">
        <v>5471</v>
      </c>
      <c r="D1784" s="60" t="s">
        <v>5472</v>
      </c>
    </row>
    <row r="1785" spans="2:4" x14ac:dyDescent="0.35">
      <c r="B1785" s="60" t="s">
        <v>5473</v>
      </c>
      <c r="C1785" s="60" t="s">
        <v>5474</v>
      </c>
      <c r="D1785" s="60" t="s">
        <v>5475</v>
      </c>
    </row>
    <row r="1786" spans="2:4" x14ac:dyDescent="0.35">
      <c r="B1786" s="60" t="s">
        <v>5476</v>
      </c>
      <c r="C1786" s="60" t="s">
        <v>5477</v>
      </c>
      <c r="D1786" s="60" t="s">
        <v>5478</v>
      </c>
    </row>
    <row r="1787" spans="2:4" x14ac:dyDescent="0.35">
      <c r="B1787" s="60" t="s">
        <v>5479</v>
      </c>
      <c r="C1787" s="60" t="s">
        <v>5480</v>
      </c>
      <c r="D1787" s="60" t="s">
        <v>5481</v>
      </c>
    </row>
    <row r="1788" spans="2:4" x14ac:dyDescent="0.35">
      <c r="B1788" s="60" t="s">
        <v>5482</v>
      </c>
      <c r="C1788" s="60" t="s">
        <v>5483</v>
      </c>
      <c r="D1788" s="60" t="s">
        <v>5484</v>
      </c>
    </row>
    <row r="1789" spans="2:4" x14ac:dyDescent="0.35">
      <c r="B1789" s="60" t="s">
        <v>5485</v>
      </c>
      <c r="C1789" s="60" t="s">
        <v>5486</v>
      </c>
      <c r="D1789" s="60" t="s">
        <v>5487</v>
      </c>
    </row>
    <row r="1790" spans="2:4" x14ac:dyDescent="0.35">
      <c r="B1790" s="60" t="s">
        <v>5488</v>
      </c>
      <c r="C1790" s="60" t="s">
        <v>5489</v>
      </c>
      <c r="D1790" s="60" t="s">
        <v>5490</v>
      </c>
    </row>
    <row r="1791" spans="2:4" x14ac:dyDescent="0.35">
      <c r="B1791" s="60" t="s">
        <v>5491</v>
      </c>
      <c r="C1791" s="60" t="s">
        <v>5492</v>
      </c>
      <c r="D1791" s="60" t="s">
        <v>5493</v>
      </c>
    </row>
    <row r="1792" spans="2:4" x14ac:dyDescent="0.35">
      <c r="B1792" s="60" t="s">
        <v>5494</v>
      </c>
      <c r="C1792" s="60" t="s">
        <v>5495</v>
      </c>
      <c r="D1792" s="60" t="s">
        <v>5496</v>
      </c>
    </row>
    <row r="1793" spans="2:4" x14ac:dyDescent="0.35">
      <c r="B1793" s="60" t="s">
        <v>5497</v>
      </c>
      <c r="C1793" s="60" t="s">
        <v>5498</v>
      </c>
      <c r="D1793" s="60" t="s">
        <v>5499</v>
      </c>
    </row>
    <row r="1794" spans="2:4" x14ac:dyDescent="0.35">
      <c r="B1794" s="60" t="s">
        <v>5500</v>
      </c>
      <c r="C1794" s="60" t="s">
        <v>5501</v>
      </c>
      <c r="D1794" s="60" t="s">
        <v>5502</v>
      </c>
    </row>
    <row r="1795" spans="2:4" x14ac:dyDescent="0.35">
      <c r="B1795" s="60" t="s">
        <v>5503</v>
      </c>
      <c r="C1795" s="60" t="s">
        <v>5504</v>
      </c>
      <c r="D1795" s="60" t="s">
        <v>5505</v>
      </c>
    </row>
    <row r="1796" spans="2:4" x14ac:dyDescent="0.35">
      <c r="B1796" s="60" t="s">
        <v>5503</v>
      </c>
      <c r="C1796" s="60" t="s">
        <v>5506</v>
      </c>
      <c r="D1796" s="60" t="s">
        <v>5507</v>
      </c>
    </row>
    <row r="1797" spans="2:4" x14ac:dyDescent="0.35">
      <c r="B1797" s="60" t="s">
        <v>5508</v>
      </c>
      <c r="C1797" s="60" t="s">
        <v>5509</v>
      </c>
      <c r="D1797" s="60" t="s">
        <v>5510</v>
      </c>
    </row>
    <row r="1798" spans="2:4" x14ac:dyDescent="0.35">
      <c r="B1798" s="60" t="s">
        <v>5511</v>
      </c>
      <c r="C1798" s="60" t="s">
        <v>5512</v>
      </c>
      <c r="D1798" s="60" t="s">
        <v>5513</v>
      </c>
    </row>
    <row r="1799" spans="2:4" x14ac:dyDescent="0.35">
      <c r="B1799" s="60" t="s">
        <v>5514</v>
      </c>
      <c r="C1799" s="60" t="s">
        <v>5515</v>
      </c>
      <c r="D1799" s="60" t="s">
        <v>5516</v>
      </c>
    </row>
    <row r="1800" spans="2:4" x14ac:dyDescent="0.35">
      <c r="B1800" s="60" t="s">
        <v>5517</v>
      </c>
      <c r="C1800" s="60" t="s">
        <v>5518</v>
      </c>
      <c r="D1800" s="60" t="s">
        <v>5519</v>
      </c>
    </row>
    <row r="1801" spans="2:4" x14ac:dyDescent="0.35">
      <c r="B1801" s="60" t="s">
        <v>5520</v>
      </c>
      <c r="C1801" s="60" t="s">
        <v>5521</v>
      </c>
      <c r="D1801" s="60" t="s">
        <v>5522</v>
      </c>
    </row>
    <row r="1802" spans="2:4" x14ac:dyDescent="0.35">
      <c r="B1802" s="60" t="s">
        <v>5523</v>
      </c>
      <c r="C1802" s="60" t="s">
        <v>5524</v>
      </c>
      <c r="D1802" s="60" t="s">
        <v>5525</v>
      </c>
    </row>
    <row r="1803" spans="2:4" x14ac:dyDescent="0.35">
      <c r="B1803" s="60" t="s">
        <v>5526</v>
      </c>
      <c r="C1803" s="60" t="s">
        <v>5527</v>
      </c>
      <c r="D1803" s="60" t="s">
        <v>5528</v>
      </c>
    </row>
    <row r="1804" spans="2:4" x14ac:dyDescent="0.35">
      <c r="B1804" s="60" t="s">
        <v>5529</v>
      </c>
      <c r="C1804" s="60" t="s">
        <v>5530</v>
      </c>
      <c r="D1804" s="60" t="s">
        <v>5531</v>
      </c>
    </row>
    <row r="1805" spans="2:4" x14ac:dyDescent="0.35">
      <c r="B1805" s="60" t="s">
        <v>5532</v>
      </c>
      <c r="C1805" s="60" t="s">
        <v>5533</v>
      </c>
      <c r="D1805" s="60" t="s">
        <v>5534</v>
      </c>
    </row>
    <row r="1806" spans="2:4" x14ac:dyDescent="0.35">
      <c r="B1806" s="60" t="s">
        <v>5535</v>
      </c>
      <c r="C1806" s="60" t="s">
        <v>5536</v>
      </c>
      <c r="D1806" s="60" t="s">
        <v>5537</v>
      </c>
    </row>
    <row r="1807" spans="2:4" x14ac:dyDescent="0.35">
      <c r="B1807" s="60" t="s">
        <v>5538</v>
      </c>
      <c r="C1807" s="60" t="s">
        <v>5539</v>
      </c>
      <c r="D1807" s="60" t="s">
        <v>5540</v>
      </c>
    </row>
    <row r="1808" spans="2:4" x14ac:dyDescent="0.35">
      <c r="B1808" s="60" t="s">
        <v>5541</v>
      </c>
      <c r="C1808" s="60" t="s">
        <v>5542</v>
      </c>
      <c r="D1808" s="60" t="s">
        <v>5543</v>
      </c>
    </row>
    <row r="1809" spans="2:4" x14ac:dyDescent="0.35">
      <c r="B1809" s="60" t="s">
        <v>5544</v>
      </c>
      <c r="C1809" s="60" t="s">
        <v>5545</v>
      </c>
      <c r="D1809" s="60" t="s">
        <v>5546</v>
      </c>
    </row>
    <row r="1810" spans="2:4" x14ac:dyDescent="0.35">
      <c r="B1810" s="60" t="s">
        <v>5547</v>
      </c>
      <c r="C1810" s="60" t="s">
        <v>5548</v>
      </c>
      <c r="D1810" s="60" t="s">
        <v>5549</v>
      </c>
    </row>
    <row r="1811" spans="2:4" x14ac:dyDescent="0.35">
      <c r="B1811" s="60" t="s">
        <v>5550</v>
      </c>
      <c r="C1811" s="60" t="s">
        <v>5551</v>
      </c>
      <c r="D1811" s="60" t="s">
        <v>5425</v>
      </c>
    </row>
    <row r="1812" spans="2:4" x14ac:dyDescent="0.35">
      <c r="B1812" s="60" t="s">
        <v>5552</v>
      </c>
      <c r="C1812" s="60" t="s">
        <v>5553</v>
      </c>
      <c r="D1812" s="60" t="s">
        <v>5554</v>
      </c>
    </row>
    <row r="1813" spans="2:4" x14ac:dyDescent="0.35">
      <c r="B1813" s="60" t="s">
        <v>5555</v>
      </c>
      <c r="C1813" s="60" t="s">
        <v>5556</v>
      </c>
      <c r="D1813" s="60" t="s">
        <v>5557</v>
      </c>
    </row>
    <row r="1814" spans="2:4" x14ac:dyDescent="0.35">
      <c r="B1814" s="60" t="s">
        <v>5558</v>
      </c>
      <c r="C1814" s="60" t="s">
        <v>5559</v>
      </c>
      <c r="D1814" s="60" t="s">
        <v>5560</v>
      </c>
    </row>
    <row r="1815" spans="2:4" x14ac:dyDescent="0.35">
      <c r="B1815" s="60" t="s">
        <v>5561</v>
      </c>
      <c r="C1815" s="60" t="s">
        <v>5562</v>
      </c>
      <c r="D1815" s="60" t="s">
        <v>5563</v>
      </c>
    </row>
    <row r="1816" spans="2:4" x14ac:dyDescent="0.35">
      <c r="B1816" s="60" t="s">
        <v>5564</v>
      </c>
      <c r="C1816" s="60" t="s">
        <v>5565</v>
      </c>
      <c r="D1816" s="60" t="s">
        <v>5566</v>
      </c>
    </row>
    <row r="1817" spans="2:4" x14ac:dyDescent="0.35">
      <c r="B1817" s="60" t="s">
        <v>5567</v>
      </c>
      <c r="C1817" s="60" t="s">
        <v>5568</v>
      </c>
      <c r="D1817" s="60" t="s">
        <v>5569</v>
      </c>
    </row>
    <row r="1818" spans="2:4" x14ac:dyDescent="0.35">
      <c r="B1818" s="60" t="s">
        <v>5570</v>
      </c>
      <c r="C1818" s="60" t="s">
        <v>5571</v>
      </c>
      <c r="D1818" s="60" t="s">
        <v>5572</v>
      </c>
    </row>
    <row r="1819" spans="2:4" x14ac:dyDescent="0.35">
      <c r="B1819" s="60" t="s">
        <v>5573</v>
      </c>
      <c r="C1819" s="60" t="s">
        <v>5574</v>
      </c>
      <c r="D1819" s="60" t="s">
        <v>5575</v>
      </c>
    </row>
    <row r="1820" spans="2:4" x14ac:dyDescent="0.35">
      <c r="B1820" s="60" t="s">
        <v>5576</v>
      </c>
      <c r="C1820" s="60" t="s">
        <v>5577</v>
      </c>
      <c r="D1820" s="60" t="s">
        <v>5578</v>
      </c>
    </row>
    <row r="1821" spans="2:4" x14ac:dyDescent="0.35">
      <c r="B1821" s="60" t="s">
        <v>5579</v>
      </c>
      <c r="C1821" s="60" t="s">
        <v>5580</v>
      </c>
      <c r="D1821" s="60" t="s">
        <v>5581</v>
      </c>
    </row>
    <row r="1822" spans="2:4" x14ac:dyDescent="0.35">
      <c r="B1822" s="60" t="s">
        <v>5582</v>
      </c>
      <c r="C1822" s="60" t="s">
        <v>5583</v>
      </c>
      <c r="D1822" s="60" t="s">
        <v>5584</v>
      </c>
    </row>
    <row r="1823" spans="2:4" x14ac:dyDescent="0.35">
      <c r="B1823" s="60" t="s">
        <v>5585</v>
      </c>
      <c r="C1823" s="60" t="s">
        <v>5586</v>
      </c>
      <c r="D1823" s="60" t="s">
        <v>5587</v>
      </c>
    </row>
    <row r="1824" spans="2:4" x14ac:dyDescent="0.35">
      <c r="B1824" s="60" t="s">
        <v>5588</v>
      </c>
      <c r="C1824" s="60" t="s">
        <v>5589</v>
      </c>
      <c r="D1824" s="60" t="s">
        <v>5590</v>
      </c>
    </row>
    <row r="1825" spans="2:4" x14ac:dyDescent="0.35">
      <c r="B1825" s="60" t="s">
        <v>5591</v>
      </c>
      <c r="C1825" s="60" t="s">
        <v>5592</v>
      </c>
      <c r="D1825" s="60" t="s">
        <v>5593</v>
      </c>
    </row>
    <row r="1826" spans="2:4" x14ac:dyDescent="0.35">
      <c r="B1826" s="60" t="s">
        <v>5594</v>
      </c>
      <c r="C1826" s="60" t="s">
        <v>5595</v>
      </c>
      <c r="D1826" s="60" t="s">
        <v>5596</v>
      </c>
    </row>
    <row r="1827" spans="2:4" x14ac:dyDescent="0.35">
      <c r="B1827" s="60" t="s">
        <v>5597</v>
      </c>
      <c r="C1827" s="60" t="s">
        <v>5598</v>
      </c>
      <c r="D1827" s="60" t="s">
        <v>5599</v>
      </c>
    </row>
    <row r="1828" spans="2:4" x14ac:dyDescent="0.35">
      <c r="B1828" s="60" t="s">
        <v>5600</v>
      </c>
      <c r="C1828" s="60" t="s">
        <v>5601</v>
      </c>
      <c r="D1828" s="60" t="s">
        <v>5602</v>
      </c>
    </row>
    <row r="1829" spans="2:4" x14ac:dyDescent="0.35">
      <c r="B1829" s="60" t="s">
        <v>5603</v>
      </c>
      <c r="C1829" s="60" t="s">
        <v>5604</v>
      </c>
      <c r="D1829" s="60" t="s">
        <v>5605</v>
      </c>
    </row>
    <row r="1830" spans="2:4" x14ac:dyDescent="0.35">
      <c r="B1830" s="60" t="s">
        <v>5606</v>
      </c>
      <c r="C1830" s="60" t="s">
        <v>5607</v>
      </c>
      <c r="D1830" s="60" t="s">
        <v>5608</v>
      </c>
    </row>
    <row r="1831" spans="2:4" x14ac:dyDescent="0.35">
      <c r="B1831" s="60" t="s">
        <v>5609</v>
      </c>
      <c r="C1831" s="60" t="s">
        <v>5610</v>
      </c>
      <c r="D1831" s="60" t="s">
        <v>5611</v>
      </c>
    </row>
    <row r="1832" spans="2:4" x14ac:dyDescent="0.35">
      <c r="B1832" s="60" t="s">
        <v>5612</v>
      </c>
      <c r="C1832" s="60" t="s">
        <v>5613</v>
      </c>
      <c r="D1832" s="60" t="s">
        <v>5614</v>
      </c>
    </row>
    <row r="1833" spans="2:4" x14ac:dyDescent="0.35">
      <c r="B1833" s="60" t="s">
        <v>5615</v>
      </c>
      <c r="C1833" s="60" t="s">
        <v>5616</v>
      </c>
      <c r="D1833" s="60" t="s">
        <v>5617</v>
      </c>
    </row>
    <row r="1834" spans="2:4" x14ac:dyDescent="0.35">
      <c r="B1834" s="60" t="s">
        <v>5618</v>
      </c>
      <c r="C1834" s="60" t="s">
        <v>5619</v>
      </c>
      <c r="D1834" s="60" t="s">
        <v>5620</v>
      </c>
    </row>
    <row r="1835" spans="2:4" x14ac:dyDescent="0.35">
      <c r="B1835" s="60" t="s">
        <v>5621</v>
      </c>
      <c r="C1835" s="60" t="s">
        <v>5622</v>
      </c>
      <c r="D1835" s="60" t="s">
        <v>5623</v>
      </c>
    </row>
    <row r="1836" spans="2:4" x14ac:dyDescent="0.35">
      <c r="B1836" s="60" t="s">
        <v>5624</v>
      </c>
      <c r="C1836" s="60" t="s">
        <v>5625</v>
      </c>
      <c r="D1836" s="60" t="s">
        <v>5626</v>
      </c>
    </row>
    <row r="1837" spans="2:4" x14ac:dyDescent="0.35">
      <c r="B1837" s="60" t="s">
        <v>5627</v>
      </c>
      <c r="C1837" s="60" t="s">
        <v>5628</v>
      </c>
      <c r="D1837" s="60" t="s">
        <v>5629</v>
      </c>
    </row>
    <row r="1838" spans="2:4" x14ac:dyDescent="0.35">
      <c r="B1838" s="60" t="s">
        <v>5630</v>
      </c>
      <c r="C1838" s="60" t="s">
        <v>5631</v>
      </c>
      <c r="D1838" s="60" t="s">
        <v>5632</v>
      </c>
    </row>
    <row r="1839" spans="2:4" x14ac:dyDescent="0.35">
      <c r="B1839" s="60" t="s">
        <v>5633</v>
      </c>
      <c r="C1839" s="60" t="s">
        <v>5634</v>
      </c>
      <c r="D1839" s="60" t="s">
        <v>5635</v>
      </c>
    </row>
    <row r="1840" spans="2:4" x14ac:dyDescent="0.35">
      <c r="B1840" s="60" t="s">
        <v>5636</v>
      </c>
      <c r="C1840" s="60" t="s">
        <v>5637</v>
      </c>
      <c r="D1840" s="60" t="s">
        <v>5638</v>
      </c>
    </row>
    <row r="1841" spans="2:4" x14ac:dyDescent="0.35">
      <c r="B1841" s="60" t="s">
        <v>5639</v>
      </c>
      <c r="C1841" s="60" t="s">
        <v>5640</v>
      </c>
      <c r="D1841" s="60" t="s">
        <v>5641</v>
      </c>
    </row>
    <row r="1842" spans="2:4" x14ac:dyDescent="0.35">
      <c r="B1842" s="60" t="s">
        <v>5642</v>
      </c>
      <c r="C1842" s="60" t="s">
        <v>5643</v>
      </c>
      <c r="D1842" s="60" t="s">
        <v>5644</v>
      </c>
    </row>
    <row r="1843" spans="2:4" x14ac:dyDescent="0.35">
      <c r="B1843" s="60" t="s">
        <v>5645</v>
      </c>
      <c r="C1843" s="60" t="s">
        <v>5646</v>
      </c>
      <c r="D1843" s="60" t="s">
        <v>5647</v>
      </c>
    </row>
    <row r="1844" spans="2:4" x14ac:dyDescent="0.35">
      <c r="B1844" s="60" t="s">
        <v>5648</v>
      </c>
      <c r="C1844" s="60" t="s">
        <v>5649</v>
      </c>
      <c r="D1844" s="60" t="s">
        <v>5650</v>
      </c>
    </row>
    <row r="1845" spans="2:4" x14ac:dyDescent="0.35">
      <c r="B1845" s="60" t="s">
        <v>5651</v>
      </c>
      <c r="C1845" s="60" t="s">
        <v>5652</v>
      </c>
      <c r="D1845" s="60" t="s">
        <v>5653</v>
      </c>
    </row>
    <row r="1846" spans="2:4" x14ac:dyDescent="0.35">
      <c r="B1846" s="60" t="s">
        <v>5654</v>
      </c>
      <c r="C1846" s="60" t="s">
        <v>5655</v>
      </c>
      <c r="D1846" s="60" t="s">
        <v>5656</v>
      </c>
    </row>
    <row r="1847" spans="2:4" x14ac:dyDescent="0.35">
      <c r="B1847" s="60" t="s">
        <v>5657</v>
      </c>
      <c r="C1847" s="60" t="s">
        <v>5658</v>
      </c>
      <c r="D1847" s="60" t="s">
        <v>5659</v>
      </c>
    </row>
    <row r="1848" spans="2:4" x14ac:dyDescent="0.35">
      <c r="B1848" s="60" t="s">
        <v>5660</v>
      </c>
      <c r="C1848" s="60" t="s">
        <v>5661</v>
      </c>
      <c r="D1848" s="60" t="s">
        <v>5662</v>
      </c>
    </row>
    <row r="1849" spans="2:4" x14ac:dyDescent="0.35">
      <c r="B1849" s="60" t="s">
        <v>5663</v>
      </c>
      <c r="C1849" s="60" t="s">
        <v>5664</v>
      </c>
      <c r="D1849" s="60" t="s">
        <v>5665</v>
      </c>
    </row>
    <row r="1850" spans="2:4" x14ac:dyDescent="0.35">
      <c r="B1850" s="60" t="s">
        <v>5666</v>
      </c>
      <c r="C1850" s="60" t="s">
        <v>5667</v>
      </c>
      <c r="D1850" s="60" t="s">
        <v>5668</v>
      </c>
    </row>
    <row r="1851" spans="2:4" x14ac:dyDescent="0.35">
      <c r="B1851" s="60" t="s">
        <v>5669</v>
      </c>
      <c r="C1851" s="60" t="s">
        <v>5670</v>
      </c>
      <c r="D1851" s="60" t="s">
        <v>5671</v>
      </c>
    </row>
    <row r="1852" spans="2:4" x14ac:dyDescent="0.35">
      <c r="B1852" s="60" t="s">
        <v>5672</v>
      </c>
      <c r="C1852" s="60" t="s">
        <v>5673</v>
      </c>
      <c r="D1852" s="60" t="s">
        <v>5674</v>
      </c>
    </row>
    <row r="1853" spans="2:4" x14ac:dyDescent="0.35">
      <c r="B1853" s="60" t="s">
        <v>5675</v>
      </c>
      <c r="C1853" s="60" t="s">
        <v>5676</v>
      </c>
      <c r="D1853" s="60" t="s">
        <v>5677</v>
      </c>
    </row>
    <row r="1854" spans="2:4" x14ac:dyDescent="0.35">
      <c r="B1854" s="60" t="s">
        <v>5678</v>
      </c>
      <c r="C1854" s="60" t="s">
        <v>5679</v>
      </c>
      <c r="D1854" s="60" t="s">
        <v>5680</v>
      </c>
    </row>
    <row r="1855" spans="2:4" x14ac:dyDescent="0.35">
      <c r="B1855" s="60" t="s">
        <v>5681</v>
      </c>
      <c r="C1855" s="60" t="s">
        <v>5682</v>
      </c>
      <c r="D1855" s="60" t="s">
        <v>5683</v>
      </c>
    </row>
    <row r="1856" spans="2:4" x14ac:dyDescent="0.35">
      <c r="B1856" s="60" t="s">
        <v>5684</v>
      </c>
      <c r="C1856" s="60" t="s">
        <v>5685</v>
      </c>
      <c r="D1856" s="60" t="s">
        <v>5686</v>
      </c>
    </row>
    <row r="1857" spans="2:4" x14ac:dyDescent="0.35">
      <c r="B1857" s="60" t="s">
        <v>5687</v>
      </c>
      <c r="C1857" s="60" t="s">
        <v>5688</v>
      </c>
      <c r="D1857" s="60" t="s">
        <v>5689</v>
      </c>
    </row>
    <row r="1858" spans="2:4" x14ac:dyDescent="0.35">
      <c r="B1858" s="60" t="s">
        <v>5690</v>
      </c>
      <c r="C1858" s="60" t="s">
        <v>5691</v>
      </c>
      <c r="D1858" s="60" t="s">
        <v>5692</v>
      </c>
    </row>
    <row r="1859" spans="2:4" x14ac:dyDescent="0.35">
      <c r="B1859" s="60" t="s">
        <v>5693</v>
      </c>
      <c r="C1859" s="60" t="s">
        <v>5694</v>
      </c>
      <c r="D1859" s="60" t="s">
        <v>5695</v>
      </c>
    </row>
    <row r="1860" spans="2:4" x14ac:dyDescent="0.35">
      <c r="B1860" s="60" t="s">
        <v>5696</v>
      </c>
      <c r="C1860" s="60" t="s">
        <v>5697</v>
      </c>
      <c r="D1860" s="60" t="s">
        <v>5698</v>
      </c>
    </row>
    <row r="1861" spans="2:4" x14ac:dyDescent="0.35">
      <c r="B1861" s="60" t="s">
        <v>5699</v>
      </c>
      <c r="C1861" s="60" t="s">
        <v>5700</v>
      </c>
      <c r="D1861" s="60" t="s">
        <v>5701</v>
      </c>
    </row>
    <row r="1862" spans="2:4" x14ac:dyDescent="0.35">
      <c r="B1862" s="60" t="s">
        <v>5702</v>
      </c>
      <c r="C1862" s="60" t="s">
        <v>5703</v>
      </c>
      <c r="D1862" s="60" t="s">
        <v>5704</v>
      </c>
    </row>
    <row r="1863" spans="2:4" x14ac:dyDescent="0.35">
      <c r="B1863" s="60" t="s">
        <v>5705</v>
      </c>
      <c r="C1863" s="60" t="s">
        <v>5706</v>
      </c>
      <c r="D1863" s="60" t="s">
        <v>5707</v>
      </c>
    </row>
    <row r="1864" spans="2:4" x14ac:dyDescent="0.35">
      <c r="B1864" s="60" t="s">
        <v>5708</v>
      </c>
      <c r="C1864" s="60" t="s">
        <v>5709</v>
      </c>
      <c r="D1864" s="60" t="s">
        <v>5710</v>
      </c>
    </row>
    <row r="1865" spans="2:4" x14ac:dyDescent="0.35">
      <c r="B1865" s="60" t="s">
        <v>5711</v>
      </c>
      <c r="C1865" s="60" t="s">
        <v>5712</v>
      </c>
      <c r="D1865" s="60" t="s">
        <v>5713</v>
      </c>
    </row>
    <row r="1866" spans="2:4" x14ac:dyDescent="0.35">
      <c r="B1866" s="60" t="s">
        <v>5714</v>
      </c>
      <c r="C1866" s="60" t="s">
        <v>5715</v>
      </c>
      <c r="D1866" s="60" t="s">
        <v>5716</v>
      </c>
    </row>
    <row r="1867" spans="2:4" x14ac:dyDescent="0.35">
      <c r="B1867" s="60" t="s">
        <v>5717</v>
      </c>
      <c r="C1867" s="60" t="s">
        <v>5718</v>
      </c>
      <c r="D1867" s="60" t="s">
        <v>5719</v>
      </c>
    </row>
    <row r="1868" spans="2:4" x14ac:dyDescent="0.35">
      <c r="B1868" s="60" t="s">
        <v>5720</v>
      </c>
      <c r="C1868" s="60" t="s">
        <v>5721</v>
      </c>
      <c r="D1868" s="60" t="s">
        <v>5722</v>
      </c>
    </row>
    <row r="1869" spans="2:4" x14ac:dyDescent="0.35">
      <c r="B1869" s="60" t="s">
        <v>5723</v>
      </c>
      <c r="C1869" s="60" t="s">
        <v>5724</v>
      </c>
      <c r="D1869" s="60" t="s">
        <v>5725</v>
      </c>
    </row>
    <row r="1870" spans="2:4" x14ac:dyDescent="0.35">
      <c r="B1870" s="60" t="s">
        <v>5726</v>
      </c>
      <c r="C1870" s="60" t="s">
        <v>5727</v>
      </c>
      <c r="D1870" s="60" t="s">
        <v>5728</v>
      </c>
    </row>
    <row r="1871" spans="2:4" x14ac:dyDescent="0.35">
      <c r="B1871" s="60" t="s">
        <v>5729</v>
      </c>
      <c r="C1871" s="60" t="s">
        <v>5730</v>
      </c>
      <c r="D1871" s="60" t="s">
        <v>5731</v>
      </c>
    </row>
    <row r="1872" spans="2:4" x14ac:dyDescent="0.35">
      <c r="B1872" s="60" t="s">
        <v>5732</v>
      </c>
      <c r="C1872" s="60" t="s">
        <v>5733</v>
      </c>
      <c r="D1872" s="60" t="s">
        <v>5734</v>
      </c>
    </row>
    <row r="1873" spans="2:4" x14ac:dyDescent="0.35">
      <c r="B1873" s="60" t="s">
        <v>5732</v>
      </c>
      <c r="C1873" s="60" t="s">
        <v>5735</v>
      </c>
      <c r="D1873" s="60" t="s">
        <v>5736</v>
      </c>
    </row>
    <row r="1874" spans="2:4" x14ac:dyDescent="0.35">
      <c r="B1874" s="60" t="s">
        <v>5737</v>
      </c>
      <c r="C1874" s="60" t="s">
        <v>5738</v>
      </c>
      <c r="D1874" s="60" t="s">
        <v>5739</v>
      </c>
    </row>
    <row r="1875" spans="2:4" x14ac:dyDescent="0.35">
      <c r="B1875" s="60" t="s">
        <v>5740</v>
      </c>
      <c r="C1875" s="60" t="s">
        <v>5741</v>
      </c>
      <c r="D1875" s="60" t="s">
        <v>5742</v>
      </c>
    </row>
    <row r="1876" spans="2:4" x14ac:dyDescent="0.35">
      <c r="B1876" s="60" t="s">
        <v>5743</v>
      </c>
      <c r="C1876" s="60" t="s">
        <v>5744</v>
      </c>
      <c r="D1876" s="60" t="s">
        <v>5745</v>
      </c>
    </row>
    <row r="1877" spans="2:4" x14ac:dyDescent="0.35">
      <c r="B1877" s="60" t="s">
        <v>5746</v>
      </c>
      <c r="C1877" s="60" t="s">
        <v>5747</v>
      </c>
      <c r="D1877" s="60" t="s">
        <v>5748</v>
      </c>
    </row>
    <row r="1878" spans="2:4" x14ac:dyDescent="0.35">
      <c r="B1878" s="60" t="s">
        <v>5749</v>
      </c>
      <c r="C1878" s="60" t="s">
        <v>5750</v>
      </c>
      <c r="D1878" s="60" t="s">
        <v>5751</v>
      </c>
    </row>
    <row r="1879" spans="2:4" x14ac:dyDescent="0.35">
      <c r="B1879" s="60" t="s">
        <v>5752</v>
      </c>
      <c r="C1879" s="60" t="s">
        <v>5753</v>
      </c>
      <c r="D1879" s="60" t="s">
        <v>5754</v>
      </c>
    </row>
    <row r="1880" spans="2:4" x14ac:dyDescent="0.35">
      <c r="B1880" s="60" t="s">
        <v>5755</v>
      </c>
      <c r="C1880" s="60" t="s">
        <v>5756</v>
      </c>
      <c r="D1880" s="60" t="s">
        <v>5757</v>
      </c>
    </row>
    <row r="1881" spans="2:4" x14ac:dyDescent="0.35">
      <c r="B1881" s="60" t="s">
        <v>5758</v>
      </c>
      <c r="C1881" s="60" t="s">
        <v>5759</v>
      </c>
      <c r="D1881" s="60" t="s">
        <v>5760</v>
      </c>
    </row>
    <row r="1882" spans="2:4" x14ac:dyDescent="0.35">
      <c r="B1882" s="60" t="s">
        <v>5761</v>
      </c>
      <c r="C1882" s="60" t="s">
        <v>5762</v>
      </c>
      <c r="D1882" s="60" t="s">
        <v>5763</v>
      </c>
    </row>
    <row r="1883" spans="2:4" x14ac:dyDescent="0.35">
      <c r="B1883" s="60" t="s">
        <v>5764</v>
      </c>
      <c r="C1883" s="60" t="s">
        <v>5765</v>
      </c>
      <c r="D1883" s="60" t="s">
        <v>5766</v>
      </c>
    </row>
    <row r="1884" spans="2:4" x14ac:dyDescent="0.35">
      <c r="B1884" s="60" t="s">
        <v>5767</v>
      </c>
      <c r="C1884" s="60" t="s">
        <v>5768</v>
      </c>
      <c r="D1884" s="60" t="s">
        <v>5769</v>
      </c>
    </row>
    <row r="1885" spans="2:4" x14ac:dyDescent="0.35">
      <c r="B1885" s="60" t="s">
        <v>5770</v>
      </c>
      <c r="C1885" s="60" t="s">
        <v>5771</v>
      </c>
      <c r="D1885" s="60" t="s">
        <v>5772</v>
      </c>
    </row>
    <row r="1886" spans="2:4" x14ac:dyDescent="0.35">
      <c r="B1886" s="60" t="s">
        <v>5773</v>
      </c>
      <c r="C1886" s="60" t="s">
        <v>5774</v>
      </c>
      <c r="D1886" s="60" t="s">
        <v>5775</v>
      </c>
    </row>
    <row r="1887" spans="2:4" x14ac:dyDescent="0.35">
      <c r="B1887" s="60" t="s">
        <v>5776</v>
      </c>
      <c r="C1887" s="60" t="s">
        <v>5777</v>
      </c>
      <c r="D1887" s="60" t="s">
        <v>5778</v>
      </c>
    </row>
    <row r="1888" spans="2:4" x14ac:dyDescent="0.35">
      <c r="B1888" s="60" t="s">
        <v>5779</v>
      </c>
      <c r="C1888" s="60" t="s">
        <v>5780</v>
      </c>
      <c r="D1888" s="60" t="s">
        <v>5781</v>
      </c>
    </row>
    <row r="1889" spans="2:4" x14ac:dyDescent="0.35">
      <c r="B1889" s="60" t="s">
        <v>5782</v>
      </c>
      <c r="C1889" s="60" t="s">
        <v>5783</v>
      </c>
      <c r="D1889" s="60" t="s">
        <v>5784</v>
      </c>
    </row>
    <row r="1890" spans="2:4" x14ac:dyDescent="0.35">
      <c r="B1890" s="60" t="s">
        <v>5785</v>
      </c>
      <c r="C1890" s="60" t="s">
        <v>5786</v>
      </c>
      <c r="D1890" s="60" t="s">
        <v>5787</v>
      </c>
    </row>
    <row r="1891" spans="2:4" x14ac:dyDescent="0.35">
      <c r="B1891" s="60" t="s">
        <v>5788</v>
      </c>
      <c r="C1891" s="60" t="s">
        <v>5789</v>
      </c>
      <c r="D1891" s="60" t="s">
        <v>5790</v>
      </c>
    </row>
    <row r="1892" spans="2:4" x14ac:dyDescent="0.35">
      <c r="B1892" s="60" t="s">
        <v>5791</v>
      </c>
      <c r="C1892" s="60" t="s">
        <v>5792</v>
      </c>
      <c r="D1892" s="60" t="s">
        <v>5793</v>
      </c>
    </row>
    <row r="1893" spans="2:4" x14ac:dyDescent="0.35">
      <c r="B1893" s="60" t="s">
        <v>5794</v>
      </c>
      <c r="C1893" s="60" t="s">
        <v>5795</v>
      </c>
      <c r="D1893" s="60" t="s">
        <v>5796</v>
      </c>
    </row>
    <row r="1894" spans="2:4" x14ac:dyDescent="0.35">
      <c r="B1894" s="60" t="s">
        <v>5797</v>
      </c>
      <c r="C1894" s="60" t="s">
        <v>5798</v>
      </c>
      <c r="D1894" s="60" t="s">
        <v>5799</v>
      </c>
    </row>
    <row r="1895" spans="2:4" x14ac:dyDescent="0.35">
      <c r="B1895" s="60" t="s">
        <v>5800</v>
      </c>
      <c r="C1895" s="60" t="s">
        <v>5801</v>
      </c>
      <c r="D1895" s="60" t="s">
        <v>5802</v>
      </c>
    </row>
    <row r="1896" spans="2:4" x14ac:dyDescent="0.35">
      <c r="B1896" s="60" t="s">
        <v>5803</v>
      </c>
      <c r="C1896" s="60" t="s">
        <v>5804</v>
      </c>
      <c r="D1896" s="60" t="s">
        <v>5805</v>
      </c>
    </row>
    <row r="1897" spans="2:4" x14ac:dyDescent="0.35">
      <c r="B1897" s="60" t="s">
        <v>5806</v>
      </c>
      <c r="C1897" s="60" t="s">
        <v>5807</v>
      </c>
      <c r="D1897" s="60" t="s">
        <v>5808</v>
      </c>
    </row>
    <row r="1898" spans="2:4" x14ac:dyDescent="0.35">
      <c r="B1898" s="60" t="s">
        <v>5809</v>
      </c>
      <c r="C1898" s="60" t="s">
        <v>5810</v>
      </c>
      <c r="D1898" s="60" t="s">
        <v>5811</v>
      </c>
    </row>
    <row r="1899" spans="2:4" x14ac:dyDescent="0.35">
      <c r="B1899" s="60" t="s">
        <v>5812</v>
      </c>
      <c r="C1899" s="60" t="s">
        <v>5813</v>
      </c>
      <c r="D1899" s="60" t="s">
        <v>5814</v>
      </c>
    </row>
    <row r="1900" spans="2:4" x14ac:dyDescent="0.35">
      <c r="B1900" s="60" t="s">
        <v>5815</v>
      </c>
      <c r="C1900" s="60" t="s">
        <v>5816</v>
      </c>
      <c r="D1900" s="60" t="s">
        <v>5817</v>
      </c>
    </row>
    <row r="1901" spans="2:4" x14ac:dyDescent="0.35">
      <c r="B1901" s="60" t="s">
        <v>5818</v>
      </c>
      <c r="C1901" s="60" t="s">
        <v>5819</v>
      </c>
      <c r="D1901" s="60" t="s">
        <v>5820</v>
      </c>
    </row>
    <row r="1902" spans="2:4" x14ac:dyDescent="0.35">
      <c r="B1902" s="60" t="s">
        <v>5821</v>
      </c>
      <c r="C1902" s="60" t="s">
        <v>5822</v>
      </c>
      <c r="D1902" s="60" t="s">
        <v>5823</v>
      </c>
    </row>
    <row r="1903" spans="2:4" x14ac:dyDescent="0.35">
      <c r="B1903" s="60" t="s">
        <v>5824</v>
      </c>
      <c r="C1903" s="60" t="s">
        <v>5825</v>
      </c>
      <c r="D1903" s="60" t="s">
        <v>5826</v>
      </c>
    </row>
    <row r="1904" spans="2:4" x14ac:dyDescent="0.35">
      <c r="B1904" s="60" t="s">
        <v>5827</v>
      </c>
      <c r="C1904" s="60" t="s">
        <v>5828</v>
      </c>
      <c r="D1904" s="60" t="s">
        <v>5829</v>
      </c>
    </row>
    <row r="1905" spans="2:4" x14ac:dyDescent="0.35">
      <c r="B1905" s="60" t="s">
        <v>5830</v>
      </c>
      <c r="C1905" s="60" t="s">
        <v>5831</v>
      </c>
      <c r="D1905" s="60" t="s">
        <v>5832</v>
      </c>
    </row>
    <row r="1906" spans="2:4" x14ac:dyDescent="0.35">
      <c r="B1906" s="60" t="s">
        <v>5833</v>
      </c>
      <c r="C1906" s="60" t="s">
        <v>5834</v>
      </c>
      <c r="D1906" s="60" t="s">
        <v>5835</v>
      </c>
    </row>
    <row r="1907" spans="2:4" x14ac:dyDescent="0.35">
      <c r="B1907" s="60" t="s">
        <v>5836</v>
      </c>
      <c r="C1907" s="60" t="s">
        <v>5837</v>
      </c>
      <c r="D1907" s="60" t="s">
        <v>5838</v>
      </c>
    </row>
    <row r="1908" spans="2:4" x14ac:dyDescent="0.35">
      <c r="B1908" s="60" t="s">
        <v>5839</v>
      </c>
      <c r="C1908" s="60" t="s">
        <v>5840</v>
      </c>
      <c r="D1908" s="60" t="s">
        <v>5841</v>
      </c>
    </row>
    <row r="1909" spans="2:4" x14ac:dyDescent="0.35">
      <c r="B1909" s="60" t="s">
        <v>5842</v>
      </c>
      <c r="C1909" s="60" t="s">
        <v>5843</v>
      </c>
      <c r="D1909" s="60" t="s">
        <v>5844</v>
      </c>
    </row>
    <row r="1910" spans="2:4" x14ac:dyDescent="0.35">
      <c r="B1910" s="60" t="s">
        <v>5845</v>
      </c>
      <c r="C1910" s="60" t="s">
        <v>5846</v>
      </c>
      <c r="D1910" s="60" t="s">
        <v>5847</v>
      </c>
    </row>
    <row r="1911" spans="2:4" x14ac:dyDescent="0.35">
      <c r="B1911" s="60" t="s">
        <v>5848</v>
      </c>
      <c r="C1911" s="60" t="s">
        <v>5849</v>
      </c>
      <c r="D1911" s="60" t="s">
        <v>5850</v>
      </c>
    </row>
    <row r="1912" spans="2:4" x14ac:dyDescent="0.35">
      <c r="B1912" s="60" t="s">
        <v>5851</v>
      </c>
      <c r="C1912" s="60" t="s">
        <v>5852</v>
      </c>
      <c r="D1912" s="60" t="s">
        <v>5853</v>
      </c>
    </row>
    <row r="1913" spans="2:4" x14ac:dyDescent="0.35">
      <c r="B1913" s="60" t="s">
        <v>5854</v>
      </c>
      <c r="C1913" s="60" t="s">
        <v>5855</v>
      </c>
      <c r="D1913" s="60" t="s">
        <v>5856</v>
      </c>
    </row>
    <row r="1914" spans="2:4" x14ac:dyDescent="0.35">
      <c r="B1914" s="60" t="s">
        <v>5857</v>
      </c>
      <c r="C1914" s="60" t="s">
        <v>5858</v>
      </c>
      <c r="D1914" s="60" t="s">
        <v>5859</v>
      </c>
    </row>
    <row r="1915" spans="2:4" x14ac:dyDescent="0.35">
      <c r="B1915" s="60" t="s">
        <v>5860</v>
      </c>
      <c r="C1915" s="60" t="s">
        <v>5861</v>
      </c>
      <c r="D1915" s="60" t="s">
        <v>5862</v>
      </c>
    </row>
    <row r="1916" spans="2:4" x14ac:dyDescent="0.35">
      <c r="B1916" s="60" t="s">
        <v>5863</v>
      </c>
      <c r="C1916" s="60" t="s">
        <v>5864</v>
      </c>
      <c r="D1916" s="60" t="s">
        <v>5865</v>
      </c>
    </row>
    <row r="1917" spans="2:4" x14ac:dyDescent="0.35">
      <c r="B1917" s="60" t="s">
        <v>5866</v>
      </c>
      <c r="C1917" s="60" t="s">
        <v>5867</v>
      </c>
      <c r="D1917" s="60" t="s">
        <v>5868</v>
      </c>
    </row>
    <row r="1918" spans="2:4" x14ac:dyDescent="0.35">
      <c r="B1918" s="60" t="s">
        <v>5869</v>
      </c>
      <c r="C1918" s="60" t="s">
        <v>5870</v>
      </c>
      <c r="D1918" s="60" t="s">
        <v>5871</v>
      </c>
    </row>
    <row r="1919" spans="2:4" x14ac:dyDescent="0.35">
      <c r="B1919" s="60" t="s">
        <v>5872</v>
      </c>
      <c r="C1919" s="60" t="s">
        <v>5873</v>
      </c>
      <c r="D1919" s="60" t="s">
        <v>5874</v>
      </c>
    </row>
    <row r="1920" spans="2:4" x14ac:dyDescent="0.35">
      <c r="B1920" s="60" t="s">
        <v>5875</v>
      </c>
      <c r="C1920" s="60" t="s">
        <v>5876</v>
      </c>
      <c r="D1920" s="60" t="s">
        <v>5877</v>
      </c>
    </row>
    <row r="1921" spans="2:4" x14ac:dyDescent="0.35">
      <c r="B1921" s="60" t="s">
        <v>5878</v>
      </c>
      <c r="C1921" s="60" t="s">
        <v>5879</v>
      </c>
      <c r="D1921" s="60" t="s">
        <v>5880</v>
      </c>
    </row>
    <row r="1922" spans="2:4" x14ac:dyDescent="0.35">
      <c r="B1922" s="60" t="s">
        <v>5881</v>
      </c>
      <c r="C1922" s="60" t="s">
        <v>5882</v>
      </c>
      <c r="D1922" s="60" t="s">
        <v>5883</v>
      </c>
    </row>
    <row r="1923" spans="2:4" x14ac:dyDescent="0.35">
      <c r="B1923" s="60" t="s">
        <v>5884</v>
      </c>
      <c r="C1923" s="60" t="s">
        <v>5885</v>
      </c>
      <c r="D1923" s="60" t="s">
        <v>5886</v>
      </c>
    </row>
    <row r="1924" spans="2:4" x14ac:dyDescent="0.35">
      <c r="B1924" s="60" t="s">
        <v>5887</v>
      </c>
      <c r="C1924" s="60" t="s">
        <v>5888</v>
      </c>
      <c r="D1924" s="60" t="s">
        <v>5889</v>
      </c>
    </row>
    <row r="1925" spans="2:4" x14ac:dyDescent="0.35">
      <c r="B1925" s="60" t="s">
        <v>5890</v>
      </c>
      <c r="C1925" s="60" t="s">
        <v>5891</v>
      </c>
      <c r="D1925" s="60" t="s">
        <v>5892</v>
      </c>
    </row>
    <row r="1926" spans="2:4" x14ac:dyDescent="0.35">
      <c r="B1926" s="60" t="s">
        <v>5893</v>
      </c>
      <c r="C1926" s="60" t="s">
        <v>5894</v>
      </c>
      <c r="D1926" s="60" t="s">
        <v>5895</v>
      </c>
    </row>
    <row r="1927" spans="2:4" x14ac:dyDescent="0.35">
      <c r="B1927" s="60" t="s">
        <v>5896</v>
      </c>
      <c r="C1927" s="60" t="s">
        <v>5897</v>
      </c>
      <c r="D1927" s="60" t="s">
        <v>5898</v>
      </c>
    </row>
    <row r="1928" spans="2:4" x14ac:dyDescent="0.35">
      <c r="B1928" s="60" t="s">
        <v>5899</v>
      </c>
      <c r="C1928" s="60" t="s">
        <v>5900</v>
      </c>
      <c r="D1928" s="60" t="s">
        <v>5901</v>
      </c>
    </row>
    <row r="1929" spans="2:4" x14ac:dyDescent="0.35">
      <c r="B1929" s="60" t="s">
        <v>5902</v>
      </c>
      <c r="C1929" s="60" t="s">
        <v>5903</v>
      </c>
      <c r="D1929" s="60" t="s">
        <v>5904</v>
      </c>
    </row>
    <row r="1930" spans="2:4" x14ac:dyDescent="0.35">
      <c r="B1930" s="60" t="s">
        <v>5905</v>
      </c>
      <c r="C1930" s="60" t="s">
        <v>5906</v>
      </c>
      <c r="D1930" s="60" t="s">
        <v>5907</v>
      </c>
    </row>
    <row r="1931" spans="2:4" x14ac:dyDescent="0.35">
      <c r="B1931" s="60" t="s">
        <v>5908</v>
      </c>
      <c r="C1931" s="60" t="s">
        <v>5909</v>
      </c>
      <c r="D1931" s="60" t="s">
        <v>5910</v>
      </c>
    </row>
    <row r="1932" spans="2:4" x14ac:dyDescent="0.35">
      <c r="B1932" s="60" t="s">
        <v>5911</v>
      </c>
      <c r="C1932" s="60" t="s">
        <v>5912</v>
      </c>
      <c r="D1932" s="60" t="s">
        <v>5913</v>
      </c>
    </row>
    <row r="1933" spans="2:4" x14ac:dyDescent="0.35">
      <c r="B1933" s="60" t="s">
        <v>5914</v>
      </c>
      <c r="C1933" s="60" t="s">
        <v>5915</v>
      </c>
      <c r="D1933" s="60" t="s">
        <v>5916</v>
      </c>
    </row>
    <row r="1934" spans="2:4" x14ac:dyDescent="0.35">
      <c r="B1934" s="60" t="s">
        <v>5917</v>
      </c>
      <c r="C1934" s="60" t="s">
        <v>5918</v>
      </c>
      <c r="D1934" s="60" t="s">
        <v>5919</v>
      </c>
    </row>
    <row r="1935" spans="2:4" x14ac:dyDescent="0.35">
      <c r="B1935" s="60" t="s">
        <v>5920</v>
      </c>
      <c r="C1935" s="60" t="s">
        <v>5921</v>
      </c>
      <c r="D1935" s="60" t="s">
        <v>5922</v>
      </c>
    </row>
    <row r="1936" spans="2:4" x14ac:dyDescent="0.35">
      <c r="B1936" s="60" t="s">
        <v>5923</v>
      </c>
      <c r="C1936" s="60" t="s">
        <v>5924</v>
      </c>
      <c r="D1936" s="60" t="s">
        <v>5925</v>
      </c>
    </row>
    <row r="1937" spans="2:4" x14ac:dyDescent="0.35">
      <c r="B1937" s="60" t="s">
        <v>5926</v>
      </c>
      <c r="C1937" s="60" t="s">
        <v>5927</v>
      </c>
      <c r="D1937" s="60" t="s">
        <v>5928</v>
      </c>
    </row>
    <row r="1938" spans="2:4" x14ac:dyDescent="0.35">
      <c r="B1938" s="60" t="s">
        <v>5929</v>
      </c>
      <c r="C1938" s="60" t="s">
        <v>5930</v>
      </c>
      <c r="D1938" s="60" t="s">
        <v>5931</v>
      </c>
    </row>
    <row r="1939" spans="2:4" x14ac:dyDescent="0.35">
      <c r="B1939" s="60" t="s">
        <v>5932</v>
      </c>
      <c r="C1939" s="60" t="s">
        <v>5933</v>
      </c>
      <c r="D1939" s="60" t="s">
        <v>5934</v>
      </c>
    </row>
    <row r="1940" spans="2:4" x14ac:dyDescent="0.35">
      <c r="B1940" s="60" t="s">
        <v>5935</v>
      </c>
      <c r="C1940" s="60" t="s">
        <v>5936</v>
      </c>
      <c r="D1940" s="60" t="s">
        <v>5937</v>
      </c>
    </row>
    <row r="1941" spans="2:4" x14ac:dyDescent="0.35">
      <c r="B1941" s="60" t="s">
        <v>5938</v>
      </c>
      <c r="C1941" s="60" t="s">
        <v>5939</v>
      </c>
      <c r="D1941" s="60" t="s">
        <v>5940</v>
      </c>
    </row>
    <row r="1942" spans="2:4" x14ac:dyDescent="0.35">
      <c r="B1942" s="60" t="s">
        <v>5941</v>
      </c>
      <c r="C1942" s="60" t="s">
        <v>5942</v>
      </c>
      <c r="D1942" s="60" t="s">
        <v>5943</v>
      </c>
    </row>
    <row r="1943" spans="2:4" x14ac:dyDescent="0.35">
      <c r="B1943" s="60" t="s">
        <v>5944</v>
      </c>
      <c r="C1943" s="60" t="s">
        <v>5945</v>
      </c>
      <c r="D1943" s="60" t="s">
        <v>5946</v>
      </c>
    </row>
    <row r="1944" spans="2:4" x14ac:dyDescent="0.35">
      <c r="B1944" s="60" t="s">
        <v>5947</v>
      </c>
      <c r="C1944" s="60" t="s">
        <v>5948</v>
      </c>
      <c r="D1944" s="60" t="s">
        <v>5949</v>
      </c>
    </row>
    <row r="1945" spans="2:4" x14ac:dyDescent="0.35">
      <c r="B1945" s="60" t="s">
        <v>5950</v>
      </c>
      <c r="C1945" s="60" t="s">
        <v>5951</v>
      </c>
      <c r="D1945" s="60" t="s">
        <v>5952</v>
      </c>
    </row>
    <row r="1946" spans="2:4" x14ac:dyDescent="0.35">
      <c r="B1946" s="60" t="s">
        <v>5953</v>
      </c>
      <c r="C1946" s="60" t="s">
        <v>5954</v>
      </c>
      <c r="D1946" s="60" t="s">
        <v>5955</v>
      </c>
    </row>
    <row r="1947" spans="2:4" x14ac:dyDescent="0.35">
      <c r="B1947" s="60" t="s">
        <v>5956</v>
      </c>
      <c r="C1947" s="60" t="s">
        <v>5957</v>
      </c>
      <c r="D1947" s="60" t="s">
        <v>5958</v>
      </c>
    </row>
    <row r="1948" spans="2:4" x14ac:dyDescent="0.35">
      <c r="B1948" s="60" t="s">
        <v>5959</v>
      </c>
      <c r="C1948" s="60" t="s">
        <v>5960</v>
      </c>
      <c r="D1948" s="60" t="s">
        <v>5961</v>
      </c>
    </row>
    <row r="1949" spans="2:4" x14ac:dyDescent="0.35">
      <c r="B1949" s="60" t="s">
        <v>5962</v>
      </c>
      <c r="C1949" s="60" t="s">
        <v>5963</v>
      </c>
      <c r="D1949" s="60" t="s">
        <v>5964</v>
      </c>
    </row>
    <row r="1950" spans="2:4" x14ac:dyDescent="0.35">
      <c r="B1950" s="60" t="s">
        <v>5965</v>
      </c>
      <c r="C1950" s="60" t="s">
        <v>5966</v>
      </c>
      <c r="D1950" s="60" t="s">
        <v>5967</v>
      </c>
    </row>
    <row r="1951" spans="2:4" x14ac:dyDescent="0.35">
      <c r="B1951" s="60" t="s">
        <v>5968</v>
      </c>
      <c r="C1951" s="60" t="s">
        <v>5969</v>
      </c>
      <c r="D1951" s="60" t="s">
        <v>5970</v>
      </c>
    </row>
    <row r="1952" spans="2:4" x14ac:dyDescent="0.35">
      <c r="B1952" s="60" t="s">
        <v>5971</v>
      </c>
      <c r="C1952" s="60" t="s">
        <v>5972</v>
      </c>
      <c r="D1952" s="60" t="s">
        <v>5973</v>
      </c>
    </row>
    <row r="1953" spans="2:4" x14ac:dyDescent="0.35">
      <c r="B1953" s="60" t="s">
        <v>5974</v>
      </c>
      <c r="C1953" s="60" t="s">
        <v>5975</v>
      </c>
      <c r="D1953" s="60" t="s">
        <v>5976</v>
      </c>
    </row>
    <row r="1954" spans="2:4" x14ac:dyDescent="0.35">
      <c r="B1954" s="60" t="s">
        <v>5977</v>
      </c>
      <c r="C1954" s="60" t="s">
        <v>5978</v>
      </c>
      <c r="D1954" s="60" t="s">
        <v>5979</v>
      </c>
    </row>
    <row r="1955" spans="2:4" x14ac:dyDescent="0.35">
      <c r="B1955" s="60" t="s">
        <v>5980</v>
      </c>
      <c r="C1955" s="60" t="s">
        <v>5981</v>
      </c>
      <c r="D1955" s="60" t="s">
        <v>5982</v>
      </c>
    </row>
    <row r="1956" spans="2:4" x14ac:dyDescent="0.35">
      <c r="B1956" s="60" t="s">
        <v>5983</v>
      </c>
      <c r="C1956" s="60" t="s">
        <v>5984</v>
      </c>
      <c r="D1956" s="60" t="s">
        <v>5985</v>
      </c>
    </row>
    <row r="1957" spans="2:4" x14ac:dyDescent="0.35">
      <c r="B1957" s="60" t="s">
        <v>5986</v>
      </c>
      <c r="C1957" s="60" t="s">
        <v>5987</v>
      </c>
      <c r="D1957" s="60" t="s">
        <v>5988</v>
      </c>
    </row>
    <row r="1958" spans="2:4" x14ac:dyDescent="0.35">
      <c r="B1958" s="60" t="s">
        <v>5989</v>
      </c>
      <c r="C1958" s="60" t="s">
        <v>5990</v>
      </c>
      <c r="D1958" s="60" t="s">
        <v>5991</v>
      </c>
    </row>
    <row r="1959" spans="2:4" x14ac:dyDescent="0.35">
      <c r="B1959" s="60" t="s">
        <v>5992</v>
      </c>
      <c r="C1959" s="60" t="s">
        <v>5993</v>
      </c>
      <c r="D1959" s="60" t="s">
        <v>5994</v>
      </c>
    </row>
    <row r="1960" spans="2:4" x14ac:dyDescent="0.35">
      <c r="B1960" s="60" t="s">
        <v>5995</v>
      </c>
      <c r="C1960" s="60" t="s">
        <v>5996</v>
      </c>
      <c r="D1960" s="60" t="s">
        <v>5997</v>
      </c>
    </row>
    <row r="1961" spans="2:4" x14ac:dyDescent="0.35">
      <c r="B1961" s="60" t="s">
        <v>5998</v>
      </c>
      <c r="C1961" s="60" t="s">
        <v>5999</v>
      </c>
      <c r="D1961" s="60" t="s">
        <v>6000</v>
      </c>
    </row>
    <row r="1962" spans="2:4" x14ac:dyDescent="0.35">
      <c r="B1962" s="60" t="s">
        <v>6001</v>
      </c>
      <c r="C1962" s="60" t="s">
        <v>6002</v>
      </c>
      <c r="D1962" s="60" t="s">
        <v>6003</v>
      </c>
    </row>
    <row r="1963" spans="2:4" x14ac:dyDescent="0.35">
      <c r="B1963" s="60" t="s">
        <v>6004</v>
      </c>
      <c r="C1963" s="60" t="s">
        <v>6005</v>
      </c>
      <c r="D1963" s="60" t="s">
        <v>6006</v>
      </c>
    </row>
    <row r="1964" spans="2:4" x14ac:dyDescent="0.35">
      <c r="B1964" s="60" t="s">
        <v>6007</v>
      </c>
      <c r="C1964" s="60" t="s">
        <v>6008</v>
      </c>
      <c r="D1964" s="60" t="s">
        <v>6009</v>
      </c>
    </row>
    <row r="1965" spans="2:4" x14ac:dyDescent="0.35">
      <c r="B1965" s="60" t="s">
        <v>6010</v>
      </c>
      <c r="C1965" s="60" t="s">
        <v>6011</v>
      </c>
      <c r="D1965" s="60" t="s">
        <v>6012</v>
      </c>
    </row>
    <row r="1966" spans="2:4" x14ac:dyDescent="0.35">
      <c r="B1966" s="60" t="s">
        <v>6013</v>
      </c>
      <c r="C1966" s="60" t="s">
        <v>6014</v>
      </c>
      <c r="D1966" s="60" t="s">
        <v>6015</v>
      </c>
    </row>
    <row r="1967" spans="2:4" x14ac:dyDescent="0.35">
      <c r="B1967" s="60" t="s">
        <v>6016</v>
      </c>
      <c r="C1967" s="60" t="s">
        <v>6017</v>
      </c>
      <c r="D1967" s="60" t="s">
        <v>6018</v>
      </c>
    </row>
    <row r="1968" spans="2:4" x14ac:dyDescent="0.35">
      <c r="B1968" s="60" t="s">
        <v>6019</v>
      </c>
      <c r="C1968" s="60" t="s">
        <v>6020</v>
      </c>
      <c r="D1968" s="60" t="s">
        <v>6021</v>
      </c>
    </row>
    <row r="1969" spans="2:4" x14ac:dyDescent="0.35">
      <c r="B1969" s="60" t="s">
        <v>6022</v>
      </c>
      <c r="C1969" s="60" t="s">
        <v>6023</v>
      </c>
      <c r="D1969" s="60" t="s">
        <v>6024</v>
      </c>
    </row>
    <row r="1970" spans="2:4" x14ac:dyDescent="0.35">
      <c r="B1970" s="60" t="s">
        <v>6025</v>
      </c>
      <c r="C1970" s="60" t="s">
        <v>6026</v>
      </c>
      <c r="D1970" s="60" t="s">
        <v>6027</v>
      </c>
    </row>
    <row r="1971" spans="2:4" x14ac:dyDescent="0.35">
      <c r="B1971" s="60" t="s">
        <v>6028</v>
      </c>
      <c r="C1971" s="60" t="s">
        <v>6029</v>
      </c>
      <c r="D1971" s="60" t="s">
        <v>6030</v>
      </c>
    </row>
    <row r="1972" spans="2:4" x14ac:dyDescent="0.35">
      <c r="B1972" s="60" t="s">
        <v>6031</v>
      </c>
      <c r="C1972" s="60" t="s">
        <v>6032</v>
      </c>
      <c r="D1972" s="60" t="s">
        <v>6033</v>
      </c>
    </row>
    <row r="1973" spans="2:4" x14ac:dyDescent="0.35">
      <c r="B1973" s="60" t="s">
        <v>6034</v>
      </c>
      <c r="C1973" s="60" t="s">
        <v>6035</v>
      </c>
      <c r="D1973" s="60" t="s">
        <v>6015</v>
      </c>
    </row>
    <row r="1974" spans="2:4" x14ac:dyDescent="0.35">
      <c r="B1974" s="60" t="s">
        <v>6036</v>
      </c>
      <c r="C1974" s="60" t="s">
        <v>6037</v>
      </c>
      <c r="D1974" s="60" t="s">
        <v>6038</v>
      </c>
    </row>
    <row r="1975" spans="2:4" x14ac:dyDescent="0.35">
      <c r="B1975" s="60" t="s">
        <v>6039</v>
      </c>
      <c r="C1975" s="60" t="s">
        <v>6040</v>
      </c>
      <c r="D1975" s="60" t="s">
        <v>6041</v>
      </c>
    </row>
    <row r="1976" spans="2:4" x14ac:dyDescent="0.35">
      <c r="B1976" s="60" t="s">
        <v>6042</v>
      </c>
      <c r="C1976" s="60" t="s">
        <v>6043</v>
      </c>
      <c r="D1976" s="60" t="s">
        <v>6044</v>
      </c>
    </row>
    <row r="1977" spans="2:4" x14ac:dyDescent="0.35">
      <c r="B1977" s="60" t="s">
        <v>6045</v>
      </c>
      <c r="C1977" s="60" t="s">
        <v>6046</v>
      </c>
      <c r="D1977" s="60" t="s">
        <v>6047</v>
      </c>
    </row>
    <row r="1978" spans="2:4" x14ac:dyDescent="0.35">
      <c r="B1978" s="60" t="s">
        <v>6048</v>
      </c>
      <c r="C1978" s="60" t="s">
        <v>6049</v>
      </c>
      <c r="D1978" s="60" t="s">
        <v>6050</v>
      </c>
    </row>
    <row r="1979" spans="2:4" x14ac:dyDescent="0.35">
      <c r="B1979" s="60" t="s">
        <v>6051</v>
      </c>
      <c r="C1979" s="60" t="s">
        <v>6052</v>
      </c>
      <c r="D1979" s="60" t="s">
        <v>6053</v>
      </c>
    </row>
    <row r="1980" spans="2:4" x14ac:dyDescent="0.35">
      <c r="B1980" s="60" t="s">
        <v>6054</v>
      </c>
      <c r="C1980" s="60" t="s">
        <v>6055</v>
      </c>
      <c r="D1980" s="60" t="s">
        <v>6056</v>
      </c>
    </row>
    <row r="1981" spans="2:4" x14ac:dyDescent="0.35">
      <c r="B1981" s="60" t="s">
        <v>6057</v>
      </c>
      <c r="C1981" s="60" t="s">
        <v>6058</v>
      </c>
      <c r="D1981" s="60" t="s">
        <v>6059</v>
      </c>
    </row>
    <row r="1982" spans="2:4" x14ac:dyDescent="0.35">
      <c r="B1982" s="60" t="s">
        <v>6060</v>
      </c>
      <c r="C1982" s="60" t="s">
        <v>6061</v>
      </c>
      <c r="D1982" s="60" t="s">
        <v>6062</v>
      </c>
    </row>
    <row r="1983" spans="2:4" x14ac:dyDescent="0.35">
      <c r="B1983" s="60" t="s">
        <v>6063</v>
      </c>
      <c r="C1983" s="60" t="s">
        <v>6064</v>
      </c>
      <c r="D1983" s="60" t="s">
        <v>6065</v>
      </c>
    </row>
    <row r="1984" spans="2:4" x14ac:dyDescent="0.35">
      <c r="B1984" s="60" t="s">
        <v>6066</v>
      </c>
      <c r="C1984" s="60" t="s">
        <v>6067</v>
      </c>
      <c r="D1984" s="60" t="s">
        <v>6068</v>
      </c>
    </row>
    <row r="1985" spans="2:4" x14ac:dyDescent="0.35">
      <c r="B1985" s="60" t="s">
        <v>6066</v>
      </c>
      <c r="C1985" s="60" t="s">
        <v>6069</v>
      </c>
      <c r="D1985" s="60" t="s">
        <v>6070</v>
      </c>
    </row>
    <row r="1986" spans="2:4" x14ac:dyDescent="0.35">
      <c r="B1986" s="60" t="s">
        <v>6071</v>
      </c>
      <c r="C1986" s="60" t="s">
        <v>6072</v>
      </c>
      <c r="D1986" s="60" t="s">
        <v>6073</v>
      </c>
    </row>
    <row r="1987" spans="2:4" x14ac:dyDescent="0.35">
      <c r="B1987" s="60" t="s">
        <v>6074</v>
      </c>
      <c r="C1987" s="60" t="s">
        <v>6075</v>
      </c>
      <c r="D1987" s="60" t="s">
        <v>6076</v>
      </c>
    </row>
    <row r="1988" spans="2:4" x14ac:dyDescent="0.35">
      <c r="B1988" s="60" t="s">
        <v>6077</v>
      </c>
      <c r="C1988" s="60" t="s">
        <v>6078</v>
      </c>
      <c r="D1988" s="60" t="s">
        <v>6079</v>
      </c>
    </row>
    <row r="1989" spans="2:4" x14ac:dyDescent="0.35">
      <c r="B1989" s="60" t="s">
        <v>6080</v>
      </c>
      <c r="C1989" s="60" t="s">
        <v>6081</v>
      </c>
      <c r="D1989" s="60" t="s">
        <v>6082</v>
      </c>
    </row>
    <row r="1990" spans="2:4" x14ac:dyDescent="0.35">
      <c r="B1990" s="60" t="s">
        <v>6083</v>
      </c>
      <c r="C1990" s="60" t="s">
        <v>6084</v>
      </c>
      <c r="D1990" s="60" t="s">
        <v>6085</v>
      </c>
    </row>
    <row r="1991" spans="2:4" x14ac:dyDescent="0.35">
      <c r="B1991" s="60" t="s">
        <v>6086</v>
      </c>
      <c r="C1991" s="60" t="s">
        <v>6087</v>
      </c>
      <c r="D1991" s="60" t="s">
        <v>6088</v>
      </c>
    </row>
    <row r="1992" spans="2:4" x14ac:dyDescent="0.35">
      <c r="B1992" s="60" t="s">
        <v>6089</v>
      </c>
      <c r="C1992" s="60" t="s">
        <v>6090</v>
      </c>
      <c r="D1992" s="60" t="s">
        <v>6091</v>
      </c>
    </row>
    <row r="1993" spans="2:4" x14ac:dyDescent="0.35">
      <c r="B1993" s="60" t="s">
        <v>6092</v>
      </c>
      <c r="C1993" s="60" t="s">
        <v>6093</v>
      </c>
      <c r="D1993" s="60" t="s">
        <v>6094</v>
      </c>
    </row>
    <row r="1994" spans="2:4" x14ac:dyDescent="0.35">
      <c r="B1994" s="60" t="s">
        <v>6095</v>
      </c>
      <c r="C1994" s="60" t="s">
        <v>6096</v>
      </c>
      <c r="D1994" s="60" t="s">
        <v>6097</v>
      </c>
    </row>
    <row r="1995" spans="2:4" x14ac:dyDescent="0.35">
      <c r="B1995" s="60" t="s">
        <v>6098</v>
      </c>
      <c r="C1995" s="60" t="s">
        <v>6099</v>
      </c>
      <c r="D1995" s="60" t="s">
        <v>6100</v>
      </c>
    </row>
    <row r="1996" spans="2:4" x14ac:dyDescent="0.35">
      <c r="B1996" s="60" t="s">
        <v>6101</v>
      </c>
      <c r="C1996" s="60" t="s">
        <v>6102</v>
      </c>
      <c r="D1996" s="60" t="s">
        <v>6103</v>
      </c>
    </row>
    <row r="1997" spans="2:4" x14ac:dyDescent="0.35">
      <c r="B1997" s="60" t="s">
        <v>6104</v>
      </c>
      <c r="C1997" s="60" t="s">
        <v>6105</v>
      </c>
      <c r="D1997" s="60" t="s">
        <v>6106</v>
      </c>
    </row>
    <row r="1998" spans="2:4" x14ac:dyDescent="0.35">
      <c r="B1998" s="60" t="s">
        <v>6107</v>
      </c>
      <c r="C1998" s="60" t="s">
        <v>6108</v>
      </c>
      <c r="D1998" s="60" t="s">
        <v>6109</v>
      </c>
    </row>
    <row r="1999" spans="2:4" x14ac:dyDescent="0.35">
      <c r="B1999" s="60" t="s">
        <v>6110</v>
      </c>
      <c r="C1999" s="60" t="s">
        <v>6111</v>
      </c>
      <c r="D1999" s="60" t="s">
        <v>6112</v>
      </c>
    </row>
    <row r="2000" spans="2:4" x14ac:dyDescent="0.35">
      <c r="B2000" s="60" t="s">
        <v>6110</v>
      </c>
      <c r="C2000" s="60" t="s">
        <v>6113</v>
      </c>
      <c r="D2000" s="60" t="s">
        <v>6114</v>
      </c>
    </row>
    <row r="2001" spans="2:4" x14ac:dyDescent="0.35">
      <c r="B2001" s="60" t="s">
        <v>6115</v>
      </c>
      <c r="C2001" s="60" t="s">
        <v>6116</v>
      </c>
      <c r="D2001" s="60" t="s">
        <v>6117</v>
      </c>
    </row>
    <row r="2002" spans="2:4" x14ac:dyDescent="0.35">
      <c r="B2002" s="60" t="s">
        <v>6118</v>
      </c>
      <c r="C2002" s="60" t="s">
        <v>6119</v>
      </c>
      <c r="D2002" s="60" t="s">
        <v>6120</v>
      </c>
    </row>
    <row r="2003" spans="2:4" x14ac:dyDescent="0.35">
      <c r="B2003" s="60" t="s">
        <v>6121</v>
      </c>
      <c r="C2003" s="60" t="s">
        <v>6122</v>
      </c>
      <c r="D2003" s="60" t="s">
        <v>6123</v>
      </c>
    </row>
    <row r="2004" spans="2:4" x14ac:dyDescent="0.35">
      <c r="B2004" s="60" t="s">
        <v>6124</v>
      </c>
      <c r="C2004" s="60" t="s">
        <v>6125</v>
      </c>
      <c r="D2004" s="60" t="s">
        <v>6126</v>
      </c>
    </row>
    <row r="2005" spans="2:4" x14ac:dyDescent="0.35">
      <c r="B2005" s="60" t="s">
        <v>6127</v>
      </c>
      <c r="C2005" s="60" t="s">
        <v>6128</v>
      </c>
      <c r="D2005" s="60" t="s">
        <v>6129</v>
      </c>
    </row>
    <row r="2006" spans="2:4" x14ac:dyDescent="0.35">
      <c r="B2006" s="60" t="s">
        <v>6130</v>
      </c>
      <c r="C2006" s="60" t="s">
        <v>6131</v>
      </c>
      <c r="D2006" s="60" t="s">
        <v>6132</v>
      </c>
    </row>
    <row r="2007" spans="2:4" x14ac:dyDescent="0.35">
      <c r="B2007" s="60" t="s">
        <v>6133</v>
      </c>
      <c r="C2007" s="60" t="s">
        <v>6134</v>
      </c>
      <c r="D2007" s="60" t="s">
        <v>6135</v>
      </c>
    </row>
    <row r="2008" spans="2:4" x14ac:dyDescent="0.35">
      <c r="B2008" s="60" t="s">
        <v>6136</v>
      </c>
      <c r="C2008" s="60" t="s">
        <v>6137</v>
      </c>
      <c r="D2008" s="60" t="s">
        <v>6138</v>
      </c>
    </row>
    <row r="2009" spans="2:4" x14ac:dyDescent="0.35">
      <c r="B2009" s="60" t="s">
        <v>6139</v>
      </c>
      <c r="C2009" s="60" t="s">
        <v>6140</v>
      </c>
      <c r="D2009" s="60" t="s">
        <v>6141</v>
      </c>
    </row>
    <row r="2010" spans="2:4" x14ac:dyDescent="0.35">
      <c r="B2010" s="60" t="s">
        <v>6142</v>
      </c>
      <c r="C2010" s="60" t="s">
        <v>6143</v>
      </c>
      <c r="D2010" s="60" t="s">
        <v>6144</v>
      </c>
    </row>
    <row r="2011" spans="2:4" x14ac:dyDescent="0.35">
      <c r="B2011" s="60" t="s">
        <v>6145</v>
      </c>
      <c r="C2011" s="60" t="s">
        <v>6146</v>
      </c>
      <c r="D2011" s="60" t="s">
        <v>6147</v>
      </c>
    </row>
    <row r="2012" spans="2:4" x14ac:dyDescent="0.35">
      <c r="B2012" s="60" t="s">
        <v>6148</v>
      </c>
      <c r="C2012" s="60" t="s">
        <v>6149</v>
      </c>
      <c r="D2012" s="60" t="s">
        <v>6150</v>
      </c>
    </row>
    <row r="2013" spans="2:4" x14ac:dyDescent="0.35">
      <c r="B2013" s="60" t="s">
        <v>6151</v>
      </c>
      <c r="C2013" s="60" t="s">
        <v>6152</v>
      </c>
      <c r="D2013" s="60" t="s">
        <v>6153</v>
      </c>
    </row>
    <row r="2014" spans="2:4" x14ac:dyDescent="0.35">
      <c r="B2014" s="60" t="s">
        <v>6154</v>
      </c>
      <c r="C2014" s="60" t="s">
        <v>6155</v>
      </c>
      <c r="D2014" s="60" t="s">
        <v>6156</v>
      </c>
    </row>
    <row r="2015" spans="2:4" x14ac:dyDescent="0.35">
      <c r="B2015" s="60" t="s">
        <v>6157</v>
      </c>
      <c r="C2015" s="60" t="s">
        <v>6158</v>
      </c>
      <c r="D2015" s="60" t="s">
        <v>6159</v>
      </c>
    </row>
    <row r="2016" spans="2:4" x14ac:dyDescent="0.35">
      <c r="B2016" s="60" t="s">
        <v>6160</v>
      </c>
      <c r="C2016" s="60" t="s">
        <v>6161</v>
      </c>
      <c r="D2016" s="60" t="s">
        <v>6162</v>
      </c>
    </row>
    <row r="2017" spans="2:4" x14ac:dyDescent="0.35">
      <c r="B2017" s="60" t="s">
        <v>6163</v>
      </c>
      <c r="C2017" s="60" t="s">
        <v>6164</v>
      </c>
      <c r="D2017" s="60" t="s">
        <v>6165</v>
      </c>
    </row>
    <row r="2018" spans="2:4" x14ac:dyDescent="0.35">
      <c r="B2018" s="60" t="s">
        <v>6166</v>
      </c>
      <c r="C2018" s="60" t="s">
        <v>6167</v>
      </c>
      <c r="D2018" s="60" t="s">
        <v>6168</v>
      </c>
    </row>
    <row r="2019" spans="2:4" x14ac:dyDescent="0.35">
      <c r="B2019" s="60" t="s">
        <v>6169</v>
      </c>
      <c r="C2019" s="60" t="s">
        <v>6170</v>
      </c>
      <c r="D2019" s="60" t="s">
        <v>6171</v>
      </c>
    </row>
    <row r="2020" spans="2:4" x14ac:dyDescent="0.35">
      <c r="B2020" s="60" t="s">
        <v>6172</v>
      </c>
      <c r="C2020" s="60" t="s">
        <v>6173</v>
      </c>
      <c r="D2020" s="60" t="s">
        <v>6174</v>
      </c>
    </row>
    <row r="2021" spans="2:4" x14ac:dyDescent="0.35">
      <c r="B2021" s="60" t="s">
        <v>6175</v>
      </c>
      <c r="C2021" s="60" t="s">
        <v>6176</v>
      </c>
      <c r="D2021" s="60" t="s">
        <v>6177</v>
      </c>
    </row>
    <row r="2022" spans="2:4" x14ac:dyDescent="0.35">
      <c r="B2022" s="60" t="s">
        <v>6178</v>
      </c>
      <c r="C2022" s="60" t="s">
        <v>6179</v>
      </c>
      <c r="D2022" s="60" t="s">
        <v>6180</v>
      </c>
    </row>
    <row r="2023" spans="2:4" x14ac:dyDescent="0.35">
      <c r="B2023" s="60" t="s">
        <v>6181</v>
      </c>
      <c r="C2023" s="60" t="s">
        <v>6182</v>
      </c>
      <c r="D2023" s="60" t="s">
        <v>6183</v>
      </c>
    </row>
    <row r="2024" spans="2:4" x14ac:dyDescent="0.35">
      <c r="B2024" s="60" t="s">
        <v>6184</v>
      </c>
      <c r="C2024" s="60" t="s">
        <v>6185</v>
      </c>
      <c r="D2024" s="60" t="s">
        <v>6186</v>
      </c>
    </row>
    <row r="2025" spans="2:4" x14ac:dyDescent="0.35">
      <c r="B2025" s="60" t="s">
        <v>6187</v>
      </c>
      <c r="C2025" s="60" t="s">
        <v>6188</v>
      </c>
      <c r="D2025" s="60" t="s">
        <v>6189</v>
      </c>
    </row>
    <row r="2026" spans="2:4" x14ac:dyDescent="0.35">
      <c r="B2026" s="60" t="s">
        <v>6190</v>
      </c>
      <c r="C2026" s="60" t="s">
        <v>6191</v>
      </c>
      <c r="D2026" s="60" t="s">
        <v>6192</v>
      </c>
    </row>
    <row r="2027" spans="2:4" x14ac:dyDescent="0.35">
      <c r="B2027" s="60" t="s">
        <v>6193</v>
      </c>
      <c r="C2027" s="60" t="s">
        <v>6194</v>
      </c>
      <c r="D2027" s="60" t="s">
        <v>6195</v>
      </c>
    </row>
    <row r="2028" spans="2:4" x14ac:dyDescent="0.35">
      <c r="B2028" s="60" t="s">
        <v>6196</v>
      </c>
      <c r="C2028" s="60" t="s">
        <v>6197</v>
      </c>
      <c r="D2028" s="60" t="s">
        <v>6198</v>
      </c>
    </row>
    <row r="2029" spans="2:4" x14ac:dyDescent="0.35">
      <c r="B2029" s="60" t="s">
        <v>6199</v>
      </c>
      <c r="C2029" s="60" t="s">
        <v>6200</v>
      </c>
      <c r="D2029" s="60" t="s">
        <v>6201</v>
      </c>
    </row>
    <row r="2030" spans="2:4" x14ac:dyDescent="0.35">
      <c r="B2030" s="60" t="s">
        <v>6202</v>
      </c>
      <c r="C2030" s="60" t="s">
        <v>6203</v>
      </c>
      <c r="D2030" s="60" t="s">
        <v>6204</v>
      </c>
    </row>
    <row r="2031" spans="2:4" x14ac:dyDescent="0.35">
      <c r="B2031" s="60" t="s">
        <v>6205</v>
      </c>
      <c r="C2031" s="60" t="s">
        <v>6206</v>
      </c>
      <c r="D2031" s="60" t="s">
        <v>6207</v>
      </c>
    </row>
    <row r="2032" spans="2:4" x14ac:dyDescent="0.35">
      <c r="B2032" s="60" t="s">
        <v>6205</v>
      </c>
      <c r="C2032" s="60" t="s">
        <v>6208</v>
      </c>
      <c r="D2032" s="60" t="s">
        <v>6209</v>
      </c>
    </row>
    <row r="2033" spans="2:4" x14ac:dyDescent="0.35">
      <c r="B2033" s="60" t="s">
        <v>6210</v>
      </c>
      <c r="C2033" s="60" t="s">
        <v>6211</v>
      </c>
      <c r="D2033" s="60" t="s">
        <v>6212</v>
      </c>
    </row>
    <row r="2034" spans="2:4" x14ac:dyDescent="0.35">
      <c r="B2034" s="60" t="s">
        <v>6213</v>
      </c>
      <c r="C2034" s="60" t="s">
        <v>6214</v>
      </c>
      <c r="D2034" s="60" t="s">
        <v>6215</v>
      </c>
    </row>
    <row r="2035" spans="2:4" x14ac:dyDescent="0.35">
      <c r="B2035" s="60" t="s">
        <v>6216</v>
      </c>
      <c r="C2035" s="60" t="s">
        <v>6217</v>
      </c>
      <c r="D2035" s="60" t="s">
        <v>6218</v>
      </c>
    </row>
    <row r="2036" spans="2:4" x14ac:dyDescent="0.35">
      <c r="B2036" s="60" t="s">
        <v>6219</v>
      </c>
      <c r="C2036" s="60" t="s">
        <v>6220</v>
      </c>
      <c r="D2036" s="60" t="s">
        <v>6221</v>
      </c>
    </row>
    <row r="2037" spans="2:4" x14ac:dyDescent="0.35">
      <c r="B2037" s="60" t="s">
        <v>6222</v>
      </c>
      <c r="C2037" s="60" t="s">
        <v>6223</v>
      </c>
      <c r="D2037" s="60" t="s">
        <v>6224</v>
      </c>
    </row>
    <row r="2038" spans="2:4" x14ac:dyDescent="0.35">
      <c r="B2038" s="60" t="s">
        <v>6225</v>
      </c>
      <c r="C2038" s="60" t="s">
        <v>6226</v>
      </c>
      <c r="D2038" s="60" t="s">
        <v>6227</v>
      </c>
    </row>
    <row r="2039" spans="2:4" x14ac:dyDescent="0.35">
      <c r="B2039" s="60" t="s">
        <v>6228</v>
      </c>
      <c r="C2039" s="60" t="s">
        <v>6229</v>
      </c>
      <c r="D2039" s="60" t="s">
        <v>6230</v>
      </c>
    </row>
    <row r="2040" spans="2:4" x14ac:dyDescent="0.35">
      <c r="B2040" s="60" t="s">
        <v>6231</v>
      </c>
      <c r="C2040" s="60" t="s">
        <v>6232</v>
      </c>
      <c r="D2040" s="60" t="s">
        <v>6233</v>
      </c>
    </row>
    <row r="2041" spans="2:4" x14ac:dyDescent="0.35">
      <c r="B2041" s="60" t="s">
        <v>6234</v>
      </c>
      <c r="C2041" s="60" t="s">
        <v>6235</v>
      </c>
      <c r="D2041" s="60" t="s">
        <v>6236</v>
      </c>
    </row>
    <row r="2042" spans="2:4" x14ac:dyDescent="0.35">
      <c r="B2042" s="60" t="s">
        <v>6237</v>
      </c>
      <c r="C2042" s="60" t="s">
        <v>6238</v>
      </c>
      <c r="D2042" s="60" t="s">
        <v>6239</v>
      </c>
    </row>
    <row r="2043" spans="2:4" x14ac:dyDescent="0.35">
      <c r="B2043" s="60" t="s">
        <v>6240</v>
      </c>
      <c r="C2043" s="60" t="s">
        <v>6241</v>
      </c>
      <c r="D2043" s="60" t="s">
        <v>6242</v>
      </c>
    </row>
    <row r="2044" spans="2:4" x14ac:dyDescent="0.35">
      <c r="B2044" s="60" t="s">
        <v>6243</v>
      </c>
      <c r="C2044" s="60" t="s">
        <v>6244</v>
      </c>
      <c r="D2044" s="60" t="s">
        <v>6245</v>
      </c>
    </row>
    <row r="2045" spans="2:4" x14ac:dyDescent="0.35">
      <c r="B2045" s="60" t="s">
        <v>6246</v>
      </c>
      <c r="C2045" s="60" t="s">
        <v>6247</v>
      </c>
      <c r="D2045" s="60" t="s">
        <v>6248</v>
      </c>
    </row>
    <row r="2046" spans="2:4" x14ac:dyDescent="0.35">
      <c r="B2046" s="60" t="s">
        <v>6249</v>
      </c>
      <c r="C2046" s="60" t="s">
        <v>6250</v>
      </c>
      <c r="D2046" s="60" t="s">
        <v>6251</v>
      </c>
    </row>
    <row r="2047" spans="2:4" x14ac:dyDescent="0.35">
      <c r="B2047" s="60" t="s">
        <v>6252</v>
      </c>
      <c r="C2047" s="60" t="s">
        <v>6253</v>
      </c>
      <c r="D2047" s="60" t="s">
        <v>6254</v>
      </c>
    </row>
    <row r="2048" spans="2:4" x14ac:dyDescent="0.35">
      <c r="B2048" s="60" t="s">
        <v>6255</v>
      </c>
      <c r="C2048" s="60" t="s">
        <v>6256</v>
      </c>
      <c r="D2048" s="60" t="s">
        <v>6257</v>
      </c>
    </row>
    <row r="2049" spans="2:4" x14ac:dyDescent="0.35">
      <c r="B2049" s="60" t="s">
        <v>6258</v>
      </c>
      <c r="C2049" s="60" t="s">
        <v>6259</v>
      </c>
      <c r="D2049" s="60" t="s">
        <v>6260</v>
      </c>
    </row>
    <row r="2050" spans="2:4" x14ac:dyDescent="0.35">
      <c r="B2050" s="60" t="s">
        <v>6261</v>
      </c>
      <c r="C2050" s="60" t="s">
        <v>6262</v>
      </c>
      <c r="D2050" s="60" t="s">
        <v>6263</v>
      </c>
    </row>
    <row r="2051" spans="2:4" x14ac:dyDescent="0.35">
      <c r="B2051" s="60" t="s">
        <v>6264</v>
      </c>
      <c r="C2051" s="60" t="s">
        <v>6265</v>
      </c>
      <c r="D2051" s="60" t="s">
        <v>6266</v>
      </c>
    </row>
    <row r="2052" spans="2:4" x14ac:dyDescent="0.35">
      <c r="B2052" s="60" t="s">
        <v>6264</v>
      </c>
      <c r="C2052" s="60" t="s">
        <v>6267</v>
      </c>
      <c r="D2052" s="60" t="s">
        <v>6268</v>
      </c>
    </row>
    <row r="2053" spans="2:4" x14ac:dyDescent="0.35">
      <c r="B2053" s="60" t="s">
        <v>6269</v>
      </c>
      <c r="C2053" s="60" t="s">
        <v>6270</v>
      </c>
      <c r="D2053" s="60" t="s">
        <v>6271</v>
      </c>
    </row>
    <row r="2054" spans="2:4" x14ac:dyDescent="0.35">
      <c r="B2054" s="60" t="s">
        <v>6272</v>
      </c>
      <c r="C2054" s="60" t="s">
        <v>6273</v>
      </c>
      <c r="D2054" s="60" t="s">
        <v>6274</v>
      </c>
    </row>
    <row r="2055" spans="2:4" x14ac:dyDescent="0.35">
      <c r="B2055" s="60" t="s">
        <v>6275</v>
      </c>
      <c r="C2055" s="60" t="s">
        <v>6276</v>
      </c>
      <c r="D2055" s="60" t="s">
        <v>6277</v>
      </c>
    </row>
    <row r="2056" spans="2:4" x14ac:dyDescent="0.35">
      <c r="B2056" s="60" t="s">
        <v>6278</v>
      </c>
      <c r="C2056" s="60" t="s">
        <v>6279</v>
      </c>
      <c r="D2056" s="60" t="s">
        <v>6280</v>
      </c>
    </row>
    <row r="2057" spans="2:4" x14ac:dyDescent="0.35">
      <c r="B2057" s="60" t="s">
        <v>6281</v>
      </c>
      <c r="C2057" s="60" t="s">
        <v>6282</v>
      </c>
      <c r="D2057" s="60" t="s">
        <v>6283</v>
      </c>
    </row>
    <row r="2058" spans="2:4" x14ac:dyDescent="0.35">
      <c r="B2058" s="60" t="s">
        <v>6284</v>
      </c>
      <c r="C2058" s="60" t="s">
        <v>6285</v>
      </c>
      <c r="D2058" s="60" t="s">
        <v>6286</v>
      </c>
    </row>
    <row r="2059" spans="2:4" x14ac:dyDescent="0.35">
      <c r="B2059" s="60" t="s">
        <v>6287</v>
      </c>
      <c r="C2059" s="60" t="s">
        <v>6288</v>
      </c>
      <c r="D2059" s="60" t="s">
        <v>6289</v>
      </c>
    </row>
    <row r="2060" spans="2:4" x14ac:dyDescent="0.35">
      <c r="B2060" s="60" t="s">
        <v>6290</v>
      </c>
      <c r="C2060" s="60" t="s">
        <v>6291</v>
      </c>
      <c r="D2060" s="60" t="s">
        <v>6292</v>
      </c>
    </row>
    <row r="2061" spans="2:4" x14ac:dyDescent="0.35">
      <c r="B2061" s="60" t="s">
        <v>6293</v>
      </c>
      <c r="C2061" s="60" t="s">
        <v>6294</v>
      </c>
      <c r="D2061" s="60" t="s">
        <v>6295</v>
      </c>
    </row>
    <row r="2062" spans="2:4" x14ac:dyDescent="0.35">
      <c r="B2062" s="60" t="s">
        <v>6296</v>
      </c>
      <c r="C2062" s="60" t="s">
        <v>6297</v>
      </c>
      <c r="D2062" s="60" t="s">
        <v>6298</v>
      </c>
    </row>
    <row r="2063" spans="2:4" x14ac:dyDescent="0.35">
      <c r="B2063" s="60" t="s">
        <v>6299</v>
      </c>
      <c r="C2063" s="60" t="s">
        <v>6300</v>
      </c>
      <c r="D2063" s="60" t="s">
        <v>6301</v>
      </c>
    </row>
    <row r="2064" spans="2:4" x14ac:dyDescent="0.35">
      <c r="B2064" s="60" t="s">
        <v>6302</v>
      </c>
      <c r="C2064" s="60" t="s">
        <v>6303</v>
      </c>
      <c r="D2064" s="60" t="s">
        <v>6304</v>
      </c>
    </row>
    <row r="2065" spans="2:4" x14ac:dyDescent="0.35">
      <c r="B2065" s="60" t="s">
        <v>6305</v>
      </c>
      <c r="C2065" s="60" t="s">
        <v>6306</v>
      </c>
      <c r="D2065" s="60" t="s">
        <v>6307</v>
      </c>
    </row>
    <row r="2066" spans="2:4" x14ac:dyDescent="0.35">
      <c r="B2066" s="60" t="s">
        <v>6308</v>
      </c>
      <c r="C2066" s="60" t="s">
        <v>6309</v>
      </c>
      <c r="D2066" s="60" t="s">
        <v>6310</v>
      </c>
    </row>
    <row r="2067" spans="2:4" x14ac:dyDescent="0.35">
      <c r="B2067" s="60" t="s">
        <v>6311</v>
      </c>
      <c r="C2067" s="60" t="s">
        <v>6312</v>
      </c>
      <c r="D2067" s="60" t="s">
        <v>6313</v>
      </c>
    </row>
    <row r="2068" spans="2:4" x14ac:dyDescent="0.35">
      <c r="B2068" s="60" t="s">
        <v>6314</v>
      </c>
      <c r="C2068" s="60" t="s">
        <v>6315</v>
      </c>
      <c r="D2068" s="60" t="s">
        <v>6316</v>
      </c>
    </row>
    <row r="2069" spans="2:4" x14ac:dyDescent="0.35">
      <c r="B2069" s="60" t="s">
        <v>6317</v>
      </c>
      <c r="C2069" s="60" t="s">
        <v>6318</v>
      </c>
      <c r="D2069" s="60" t="s">
        <v>6319</v>
      </c>
    </row>
    <row r="2070" spans="2:4" x14ac:dyDescent="0.35">
      <c r="B2070" s="60" t="s">
        <v>6320</v>
      </c>
      <c r="C2070" s="60" t="s">
        <v>6321</v>
      </c>
      <c r="D2070" s="60" t="s">
        <v>6322</v>
      </c>
    </row>
    <row r="2071" spans="2:4" x14ac:dyDescent="0.35">
      <c r="B2071" s="60" t="s">
        <v>6323</v>
      </c>
      <c r="C2071" s="60" t="s">
        <v>6324</v>
      </c>
      <c r="D2071" s="60" t="s">
        <v>6325</v>
      </c>
    </row>
    <row r="2072" spans="2:4" x14ac:dyDescent="0.35">
      <c r="B2072" s="60" t="s">
        <v>6326</v>
      </c>
      <c r="C2072" s="60" t="s">
        <v>6327</v>
      </c>
      <c r="D2072" s="60" t="s">
        <v>6328</v>
      </c>
    </row>
    <row r="2073" spans="2:4" x14ac:dyDescent="0.35">
      <c r="B2073" s="60" t="s">
        <v>6329</v>
      </c>
      <c r="C2073" s="60" t="s">
        <v>6330</v>
      </c>
      <c r="D2073" s="60" t="s">
        <v>6331</v>
      </c>
    </row>
    <row r="2074" spans="2:4" x14ac:dyDescent="0.35">
      <c r="B2074" s="60" t="s">
        <v>6332</v>
      </c>
      <c r="C2074" s="60" t="s">
        <v>6333</v>
      </c>
      <c r="D2074" s="60" t="s">
        <v>6334</v>
      </c>
    </row>
    <row r="2075" spans="2:4" x14ac:dyDescent="0.35">
      <c r="B2075" s="60" t="s">
        <v>6335</v>
      </c>
      <c r="C2075" s="60" t="s">
        <v>6336</v>
      </c>
      <c r="D2075" s="60" t="s">
        <v>6337</v>
      </c>
    </row>
    <row r="2076" spans="2:4" x14ac:dyDescent="0.35">
      <c r="B2076" s="60" t="s">
        <v>6338</v>
      </c>
      <c r="C2076" s="60" t="s">
        <v>6339</v>
      </c>
      <c r="D2076" s="60" t="s">
        <v>6340</v>
      </c>
    </row>
    <row r="2077" spans="2:4" x14ac:dyDescent="0.35">
      <c r="B2077" s="60" t="s">
        <v>6341</v>
      </c>
      <c r="C2077" s="60" t="s">
        <v>6342</v>
      </c>
      <c r="D2077" s="60" t="s">
        <v>6343</v>
      </c>
    </row>
    <row r="2078" spans="2:4" x14ac:dyDescent="0.35">
      <c r="B2078" s="60" t="s">
        <v>6344</v>
      </c>
      <c r="C2078" s="60" t="s">
        <v>6345</v>
      </c>
      <c r="D2078" s="60" t="s">
        <v>6346</v>
      </c>
    </row>
    <row r="2079" spans="2:4" x14ac:dyDescent="0.35">
      <c r="B2079" s="60" t="s">
        <v>6347</v>
      </c>
      <c r="C2079" s="60" t="s">
        <v>6348</v>
      </c>
      <c r="D2079" s="60" t="s">
        <v>6349</v>
      </c>
    </row>
    <row r="2080" spans="2:4" x14ac:dyDescent="0.35">
      <c r="B2080" s="60" t="s">
        <v>6350</v>
      </c>
      <c r="C2080" s="60" t="s">
        <v>6351</v>
      </c>
      <c r="D2080" s="60" t="s">
        <v>6352</v>
      </c>
    </row>
    <row r="2081" spans="2:4" x14ac:dyDescent="0.35">
      <c r="B2081" s="60" t="s">
        <v>6353</v>
      </c>
      <c r="C2081" s="60" t="s">
        <v>6354</v>
      </c>
      <c r="D2081" s="60" t="s">
        <v>6355</v>
      </c>
    </row>
    <row r="2082" spans="2:4" x14ac:dyDescent="0.35">
      <c r="B2082" s="60" t="s">
        <v>6356</v>
      </c>
      <c r="C2082" s="60" t="s">
        <v>6357</v>
      </c>
      <c r="D2082" s="60" t="s">
        <v>6358</v>
      </c>
    </row>
    <row r="2083" spans="2:4" x14ac:dyDescent="0.35">
      <c r="B2083" s="60" t="s">
        <v>6359</v>
      </c>
      <c r="C2083" s="60" t="s">
        <v>6360</v>
      </c>
      <c r="D2083" s="60" t="s">
        <v>6361</v>
      </c>
    </row>
    <row r="2084" spans="2:4" x14ac:dyDescent="0.35">
      <c r="B2084" s="60" t="s">
        <v>6362</v>
      </c>
      <c r="C2084" s="60" t="s">
        <v>6363</v>
      </c>
      <c r="D2084" s="60" t="s">
        <v>6364</v>
      </c>
    </row>
    <row r="2085" spans="2:4" x14ac:dyDescent="0.35">
      <c r="B2085" s="60" t="s">
        <v>6365</v>
      </c>
      <c r="C2085" s="60" t="s">
        <v>6366</v>
      </c>
      <c r="D2085" s="60" t="s">
        <v>6367</v>
      </c>
    </row>
    <row r="2086" spans="2:4" x14ac:dyDescent="0.35">
      <c r="B2086" s="60" t="s">
        <v>6368</v>
      </c>
      <c r="C2086" s="60" t="s">
        <v>6369</v>
      </c>
      <c r="D2086" s="60" t="s">
        <v>6370</v>
      </c>
    </row>
    <row r="2087" spans="2:4" x14ac:dyDescent="0.35">
      <c r="B2087" s="60" t="s">
        <v>6371</v>
      </c>
      <c r="C2087" s="60" t="s">
        <v>6372</v>
      </c>
      <c r="D2087" s="60" t="s">
        <v>6373</v>
      </c>
    </row>
    <row r="2088" spans="2:4" x14ac:dyDescent="0.35">
      <c r="B2088" s="60" t="s">
        <v>6374</v>
      </c>
      <c r="C2088" s="60" t="s">
        <v>6375</v>
      </c>
      <c r="D2088" s="60" t="s">
        <v>6376</v>
      </c>
    </row>
    <row r="2089" spans="2:4" x14ac:dyDescent="0.35">
      <c r="B2089" s="60" t="s">
        <v>6377</v>
      </c>
      <c r="C2089" s="60" t="s">
        <v>6378</v>
      </c>
      <c r="D2089" s="60" t="s">
        <v>6379</v>
      </c>
    </row>
    <row r="2090" spans="2:4" x14ac:dyDescent="0.35">
      <c r="B2090" s="60" t="s">
        <v>6380</v>
      </c>
      <c r="C2090" s="60" t="s">
        <v>6381</v>
      </c>
      <c r="D2090" s="60" t="s">
        <v>6382</v>
      </c>
    </row>
    <row r="2091" spans="2:4" x14ac:dyDescent="0.35">
      <c r="B2091" s="60" t="s">
        <v>6383</v>
      </c>
      <c r="C2091" s="60" t="s">
        <v>6384</v>
      </c>
      <c r="D2091" s="60" t="s">
        <v>6385</v>
      </c>
    </row>
    <row r="2092" spans="2:4" x14ac:dyDescent="0.35">
      <c r="B2092" s="60" t="s">
        <v>6386</v>
      </c>
      <c r="C2092" s="60" t="s">
        <v>6387</v>
      </c>
      <c r="D2092" s="60" t="s">
        <v>6388</v>
      </c>
    </row>
    <row r="2093" spans="2:4" x14ac:dyDescent="0.35">
      <c r="B2093" s="60" t="s">
        <v>6389</v>
      </c>
      <c r="C2093" s="60" t="s">
        <v>6390</v>
      </c>
      <c r="D2093" s="60" t="s">
        <v>6391</v>
      </c>
    </row>
    <row r="2094" spans="2:4" x14ac:dyDescent="0.35">
      <c r="B2094" s="60" t="s">
        <v>6392</v>
      </c>
      <c r="C2094" s="60" t="s">
        <v>6393</v>
      </c>
      <c r="D2094" s="60" t="s">
        <v>6394</v>
      </c>
    </row>
    <row r="2095" spans="2:4" x14ac:dyDescent="0.35">
      <c r="B2095" s="60" t="s">
        <v>6395</v>
      </c>
      <c r="C2095" s="60" t="s">
        <v>6396</v>
      </c>
      <c r="D2095" s="60" t="s">
        <v>6397</v>
      </c>
    </row>
    <row r="2096" spans="2:4" x14ac:dyDescent="0.35">
      <c r="B2096" s="60" t="s">
        <v>6398</v>
      </c>
      <c r="C2096" s="60" t="s">
        <v>6399</v>
      </c>
      <c r="D2096" s="60" t="s">
        <v>6400</v>
      </c>
    </row>
    <row r="2097" spans="2:4" x14ac:dyDescent="0.35">
      <c r="B2097" s="60" t="s">
        <v>6401</v>
      </c>
      <c r="C2097" s="60" t="s">
        <v>6402</v>
      </c>
      <c r="D2097" s="60" t="s">
        <v>6403</v>
      </c>
    </row>
    <row r="2098" spans="2:4" x14ac:dyDescent="0.35">
      <c r="B2098" s="60" t="s">
        <v>6404</v>
      </c>
      <c r="C2098" s="60" t="s">
        <v>6405</v>
      </c>
      <c r="D2098" s="60" t="s">
        <v>6406</v>
      </c>
    </row>
    <row r="2099" spans="2:4" x14ac:dyDescent="0.35">
      <c r="B2099" s="60" t="s">
        <v>6407</v>
      </c>
      <c r="C2099" s="60" t="s">
        <v>6408</v>
      </c>
      <c r="D2099" s="60" t="s">
        <v>6409</v>
      </c>
    </row>
    <row r="2100" spans="2:4" x14ac:dyDescent="0.35">
      <c r="B2100" s="60" t="s">
        <v>6410</v>
      </c>
      <c r="C2100" s="60" t="s">
        <v>6411</v>
      </c>
      <c r="D2100" s="60" t="s">
        <v>6412</v>
      </c>
    </row>
    <row r="2101" spans="2:4" x14ac:dyDescent="0.35">
      <c r="B2101" s="60" t="s">
        <v>6413</v>
      </c>
      <c r="C2101" s="60" t="s">
        <v>6414</v>
      </c>
      <c r="D2101" s="60" t="s">
        <v>6415</v>
      </c>
    </row>
    <row r="2102" spans="2:4" x14ac:dyDescent="0.35">
      <c r="B2102" s="60" t="s">
        <v>6416</v>
      </c>
      <c r="C2102" s="60" t="s">
        <v>6417</v>
      </c>
      <c r="D2102" s="60" t="s">
        <v>6418</v>
      </c>
    </row>
    <row r="2103" spans="2:4" x14ac:dyDescent="0.35">
      <c r="B2103" s="60" t="s">
        <v>6419</v>
      </c>
      <c r="C2103" s="60" t="s">
        <v>6420</v>
      </c>
      <c r="D2103" s="60" t="s">
        <v>6421</v>
      </c>
    </row>
    <row r="2104" spans="2:4" x14ac:dyDescent="0.35">
      <c r="B2104" s="60" t="s">
        <v>6422</v>
      </c>
      <c r="C2104" s="60" t="s">
        <v>6423</v>
      </c>
      <c r="D2104" s="60" t="s">
        <v>6424</v>
      </c>
    </row>
    <row r="2105" spans="2:4" x14ac:dyDescent="0.35">
      <c r="B2105" s="60" t="s">
        <v>6425</v>
      </c>
      <c r="C2105" s="60" t="s">
        <v>6426</v>
      </c>
      <c r="D2105" s="60" t="s">
        <v>6427</v>
      </c>
    </row>
    <row r="2106" spans="2:4" x14ac:dyDescent="0.35">
      <c r="B2106" s="60" t="s">
        <v>6428</v>
      </c>
      <c r="C2106" s="60" t="s">
        <v>6429</v>
      </c>
      <c r="D2106" s="60" t="s">
        <v>6430</v>
      </c>
    </row>
    <row r="2107" spans="2:4" x14ac:dyDescent="0.35">
      <c r="B2107" s="60" t="s">
        <v>6431</v>
      </c>
      <c r="C2107" s="60" t="s">
        <v>6432</v>
      </c>
      <c r="D2107" s="60" t="s">
        <v>6433</v>
      </c>
    </row>
    <row r="2108" spans="2:4" x14ac:dyDescent="0.35">
      <c r="B2108" s="60" t="s">
        <v>6434</v>
      </c>
      <c r="C2108" s="60" t="s">
        <v>6435</v>
      </c>
      <c r="D2108" s="60" t="s">
        <v>6436</v>
      </c>
    </row>
    <row r="2109" spans="2:4" x14ac:dyDescent="0.35">
      <c r="B2109" s="60" t="s">
        <v>6437</v>
      </c>
      <c r="C2109" s="60" t="s">
        <v>6438</v>
      </c>
      <c r="D2109" s="60" t="s">
        <v>6439</v>
      </c>
    </row>
    <row r="2110" spans="2:4" x14ac:dyDescent="0.35">
      <c r="B2110" s="60" t="s">
        <v>6440</v>
      </c>
      <c r="C2110" s="60" t="s">
        <v>6441</v>
      </c>
      <c r="D2110" s="60" t="s">
        <v>6442</v>
      </c>
    </row>
    <row r="2111" spans="2:4" x14ac:dyDescent="0.35">
      <c r="B2111" s="60" t="s">
        <v>6443</v>
      </c>
      <c r="C2111" s="60" t="s">
        <v>6444</v>
      </c>
      <c r="D2111" s="60" t="s">
        <v>6445</v>
      </c>
    </row>
    <row r="2112" spans="2:4" x14ac:dyDescent="0.35">
      <c r="B2112" s="60" t="s">
        <v>6446</v>
      </c>
      <c r="C2112" s="60" t="s">
        <v>6447</v>
      </c>
      <c r="D2112" s="60" t="s">
        <v>6448</v>
      </c>
    </row>
    <row r="2113" spans="2:4" x14ac:dyDescent="0.35">
      <c r="B2113" s="60" t="s">
        <v>6449</v>
      </c>
      <c r="C2113" s="60" t="s">
        <v>6450</v>
      </c>
      <c r="D2113" s="60" t="s">
        <v>6451</v>
      </c>
    </row>
    <row r="2114" spans="2:4" x14ac:dyDescent="0.35">
      <c r="B2114" s="60" t="s">
        <v>6452</v>
      </c>
      <c r="C2114" s="60" t="s">
        <v>6453</v>
      </c>
      <c r="D2114" s="60" t="s">
        <v>6021</v>
      </c>
    </row>
    <row r="2115" spans="2:4" x14ac:dyDescent="0.35">
      <c r="B2115" s="60" t="s">
        <v>6454</v>
      </c>
      <c r="C2115" s="60" t="s">
        <v>6455</v>
      </c>
      <c r="D2115" s="60" t="s">
        <v>6456</v>
      </c>
    </row>
    <row r="2116" spans="2:4" x14ac:dyDescent="0.35">
      <c r="B2116" s="60" t="s">
        <v>6457</v>
      </c>
      <c r="C2116" s="60" t="s">
        <v>6458</v>
      </c>
      <c r="D2116" s="60" t="s">
        <v>6459</v>
      </c>
    </row>
    <row r="2117" spans="2:4" x14ac:dyDescent="0.35">
      <c r="B2117" s="60" t="s">
        <v>6460</v>
      </c>
      <c r="C2117" s="60" t="s">
        <v>6461</v>
      </c>
      <c r="D2117" s="60" t="s">
        <v>6462</v>
      </c>
    </row>
    <row r="2118" spans="2:4" x14ac:dyDescent="0.35">
      <c r="B2118" s="60" t="s">
        <v>6463</v>
      </c>
      <c r="C2118" s="60" t="s">
        <v>6464</v>
      </c>
      <c r="D2118" s="60" t="s">
        <v>6465</v>
      </c>
    </row>
    <row r="2119" spans="2:4" x14ac:dyDescent="0.35">
      <c r="B2119" s="60" t="s">
        <v>6466</v>
      </c>
      <c r="C2119" s="60" t="s">
        <v>6467</v>
      </c>
      <c r="D2119" s="60" t="s">
        <v>6468</v>
      </c>
    </row>
    <row r="2120" spans="2:4" x14ac:dyDescent="0.35">
      <c r="B2120" s="60" t="s">
        <v>6469</v>
      </c>
      <c r="C2120" s="60" t="s">
        <v>6470</v>
      </c>
      <c r="D2120" s="60" t="s">
        <v>6471</v>
      </c>
    </row>
    <row r="2121" spans="2:4" x14ac:dyDescent="0.35">
      <c r="B2121" s="60" t="s">
        <v>6472</v>
      </c>
      <c r="C2121" s="60" t="s">
        <v>6473</v>
      </c>
      <c r="D2121" s="60" t="s">
        <v>6474</v>
      </c>
    </row>
    <row r="2122" spans="2:4" x14ac:dyDescent="0.35">
      <c r="B2122" s="60" t="s">
        <v>6475</v>
      </c>
      <c r="C2122" s="60" t="s">
        <v>6476</v>
      </c>
      <c r="D2122" s="60" t="s">
        <v>6477</v>
      </c>
    </row>
    <row r="2123" spans="2:4" x14ac:dyDescent="0.35">
      <c r="B2123" s="60" t="s">
        <v>6478</v>
      </c>
      <c r="C2123" s="60" t="s">
        <v>6479</v>
      </c>
      <c r="D2123" s="60" t="s">
        <v>6480</v>
      </c>
    </row>
    <row r="2124" spans="2:4" x14ac:dyDescent="0.35">
      <c r="B2124" s="60" t="s">
        <v>6481</v>
      </c>
      <c r="C2124" s="60" t="s">
        <v>6482</v>
      </c>
      <c r="D2124" s="60" t="s">
        <v>6483</v>
      </c>
    </row>
    <row r="2125" spans="2:4" x14ac:dyDescent="0.35">
      <c r="B2125" s="60" t="s">
        <v>6484</v>
      </c>
      <c r="C2125" s="60" t="s">
        <v>6485</v>
      </c>
      <c r="D2125" s="60" t="s">
        <v>6486</v>
      </c>
    </row>
    <row r="2126" spans="2:4" x14ac:dyDescent="0.35">
      <c r="B2126" s="60" t="s">
        <v>6487</v>
      </c>
      <c r="C2126" s="60" t="s">
        <v>6488</v>
      </c>
      <c r="D2126" s="60" t="s">
        <v>6489</v>
      </c>
    </row>
    <row r="2127" spans="2:4" x14ac:dyDescent="0.35">
      <c r="B2127" s="60" t="s">
        <v>6490</v>
      </c>
      <c r="C2127" s="60" t="s">
        <v>6491</v>
      </c>
      <c r="D2127" s="60" t="s">
        <v>6492</v>
      </c>
    </row>
    <row r="2128" spans="2:4" x14ac:dyDescent="0.35">
      <c r="B2128" s="60" t="s">
        <v>6493</v>
      </c>
      <c r="C2128" s="60" t="s">
        <v>6494</v>
      </c>
      <c r="D2128" s="60" t="s">
        <v>6495</v>
      </c>
    </row>
    <row r="2129" spans="2:4" x14ac:dyDescent="0.35">
      <c r="B2129" s="60" t="s">
        <v>6496</v>
      </c>
      <c r="C2129" s="60" t="s">
        <v>6497</v>
      </c>
      <c r="D2129" s="60" t="s">
        <v>6498</v>
      </c>
    </row>
    <row r="2130" spans="2:4" x14ac:dyDescent="0.35">
      <c r="B2130" s="60" t="s">
        <v>6499</v>
      </c>
      <c r="C2130" s="60" t="s">
        <v>6500</v>
      </c>
      <c r="D2130" s="60" t="s">
        <v>6501</v>
      </c>
    </row>
    <row r="2131" spans="2:4" x14ac:dyDescent="0.35">
      <c r="B2131" s="60" t="s">
        <v>6502</v>
      </c>
      <c r="C2131" s="60" t="s">
        <v>6503</v>
      </c>
      <c r="D2131" s="60" t="s">
        <v>6504</v>
      </c>
    </row>
    <row r="2132" spans="2:4" x14ac:dyDescent="0.35">
      <c r="B2132" s="60" t="s">
        <v>6505</v>
      </c>
      <c r="C2132" s="60" t="s">
        <v>6506</v>
      </c>
      <c r="D2132" s="60" t="s">
        <v>6507</v>
      </c>
    </row>
    <row r="2133" spans="2:4" x14ac:dyDescent="0.35">
      <c r="B2133" s="60" t="s">
        <v>6508</v>
      </c>
      <c r="C2133" s="60" t="s">
        <v>6509</v>
      </c>
      <c r="D2133" s="60" t="s">
        <v>6510</v>
      </c>
    </row>
    <row r="2134" spans="2:4" x14ac:dyDescent="0.35">
      <c r="B2134" s="60" t="s">
        <v>6511</v>
      </c>
      <c r="C2134" s="60" t="s">
        <v>6512</v>
      </c>
      <c r="D2134" s="60" t="s">
        <v>6513</v>
      </c>
    </row>
    <row r="2135" spans="2:4" x14ac:dyDescent="0.35">
      <c r="B2135" s="60" t="s">
        <v>6511</v>
      </c>
      <c r="C2135" s="60" t="s">
        <v>6514</v>
      </c>
      <c r="D2135" s="60" t="s">
        <v>6515</v>
      </c>
    </row>
    <row r="2136" spans="2:4" x14ac:dyDescent="0.35">
      <c r="B2136" s="60" t="s">
        <v>6516</v>
      </c>
      <c r="C2136" s="60" t="s">
        <v>6517</v>
      </c>
      <c r="D2136" s="60" t="s">
        <v>6518</v>
      </c>
    </row>
    <row r="2137" spans="2:4" x14ac:dyDescent="0.35">
      <c r="B2137" s="60" t="s">
        <v>6519</v>
      </c>
      <c r="C2137" s="60" t="s">
        <v>6520</v>
      </c>
      <c r="D2137" s="60" t="s">
        <v>6521</v>
      </c>
    </row>
    <row r="2138" spans="2:4" x14ac:dyDescent="0.35">
      <c r="B2138" s="60" t="s">
        <v>6522</v>
      </c>
      <c r="C2138" s="60" t="s">
        <v>6523</v>
      </c>
      <c r="D2138" s="60" t="s">
        <v>6524</v>
      </c>
    </row>
    <row r="2139" spans="2:4" x14ac:dyDescent="0.35">
      <c r="B2139" s="60" t="s">
        <v>6525</v>
      </c>
      <c r="C2139" s="60" t="s">
        <v>6526</v>
      </c>
      <c r="D2139" s="60" t="s">
        <v>6527</v>
      </c>
    </row>
    <row r="2140" spans="2:4" x14ac:dyDescent="0.35">
      <c r="B2140" s="60" t="s">
        <v>6528</v>
      </c>
      <c r="C2140" s="60" t="s">
        <v>6529</v>
      </c>
      <c r="D2140" s="60" t="s">
        <v>6530</v>
      </c>
    </row>
    <row r="2141" spans="2:4" x14ac:dyDescent="0.35">
      <c r="B2141" s="60" t="s">
        <v>6531</v>
      </c>
      <c r="C2141" s="60" t="s">
        <v>6532</v>
      </c>
      <c r="D2141" s="60" t="s">
        <v>6533</v>
      </c>
    </row>
    <row r="2142" spans="2:4" x14ac:dyDescent="0.35">
      <c r="B2142" s="60" t="s">
        <v>6534</v>
      </c>
      <c r="C2142" s="60" t="s">
        <v>6535</v>
      </c>
      <c r="D2142" s="60" t="s">
        <v>6536</v>
      </c>
    </row>
    <row r="2143" spans="2:4" x14ac:dyDescent="0.35">
      <c r="B2143" s="60" t="s">
        <v>6537</v>
      </c>
      <c r="C2143" s="60" t="s">
        <v>6538</v>
      </c>
      <c r="D2143" s="60" t="s">
        <v>6539</v>
      </c>
    </row>
    <row r="2144" spans="2:4" x14ac:dyDescent="0.35">
      <c r="B2144" s="60" t="s">
        <v>6537</v>
      </c>
      <c r="C2144" s="60" t="s">
        <v>6540</v>
      </c>
      <c r="D2144" s="60" t="s">
        <v>6541</v>
      </c>
    </row>
    <row r="2145" spans="2:4" x14ac:dyDescent="0.35">
      <c r="B2145" s="60" t="s">
        <v>6542</v>
      </c>
      <c r="C2145" s="60" t="s">
        <v>6543</v>
      </c>
      <c r="D2145" s="60" t="s">
        <v>6544</v>
      </c>
    </row>
    <row r="2146" spans="2:4" x14ac:dyDescent="0.35">
      <c r="B2146" s="60" t="s">
        <v>6545</v>
      </c>
      <c r="C2146" s="60" t="s">
        <v>6546</v>
      </c>
      <c r="D2146" s="60" t="s">
        <v>6547</v>
      </c>
    </row>
    <row r="2147" spans="2:4" x14ac:dyDescent="0.35">
      <c r="B2147" s="60" t="s">
        <v>6545</v>
      </c>
      <c r="C2147" s="60" t="s">
        <v>6548</v>
      </c>
      <c r="D2147" s="60" t="s">
        <v>6549</v>
      </c>
    </row>
    <row r="2148" spans="2:4" x14ac:dyDescent="0.35">
      <c r="B2148" s="60" t="s">
        <v>6550</v>
      </c>
      <c r="C2148" s="60" t="s">
        <v>6551</v>
      </c>
      <c r="D2148" s="60" t="s">
        <v>6552</v>
      </c>
    </row>
    <row r="2149" spans="2:4" x14ac:dyDescent="0.35">
      <c r="B2149" s="60" t="s">
        <v>6553</v>
      </c>
      <c r="C2149" s="60" t="s">
        <v>6554</v>
      </c>
      <c r="D2149" s="60" t="s">
        <v>6555</v>
      </c>
    </row>
    <row r="2150" spans="2:4" x14ac:dyDescent="0.35">
      <c r="B2150" s="60" t="s">
        <v>6556</v>
      </c>
      <c r="C2150" s="60" t="s">
        <v>6557</v>
      </c>
      <c r="D2150" s="60" t="s">
        <v>6558</v>
      </c>
    </row>
    <row r="2151" spans="2:4" x14ac:dyDescent="0.35">
      <c r="B2151" s="60" t="s">
        <v>6559</v>
      </c>
      <c r="C2151" s="60" t="s">
        <v>6560</v>
      </c>
      <c r="D2151" s="60" t="s">
        <v>6561</v>
      </c>
    </row>
    <row r="2152" spans="2:4" x14ac:dyDescent="0.35">
      <c r="B2152" s="60" t="s">
        <v>6562</v>
      </c>
      <c r="C2152" s="60" t="s">
        <v>6563</v>
      </c>
      <c r="D2152" s="60" t="s">
        <v>6564</v>
      </c>
    </row>
    <row r="2153" spans="2:4" x14ac:dyDescent="0.35">
      <c r="B2153" s="60" t="s">
        <v>6565</v>
      </c>
      <c r="C2153" s="60" t="s">
        <v>6566</v>
      </c>
      <c r="D2153" s="60" t="s">
        <v>6567</v>
      </c>
    </row>
    <row r="2154" spans="2:4" x14ac:dyDescent="0.35">
      <c r="B2154" s="60" t="s">
        <v>6568</v>
      </c>
      <c r="C2154" s="60" t="s">
        <v>6569</v>
      </c>
      <c r="D2154" s="60" t="s">
        <v>6570</v>
      </c>
    </row>
    <row r="2155" spans="2:4" x14ac:dyDescent="0.35">
      <c r="B2155" s="60" t="s">
        <v>6571</v>
      </c>
      <c r="C2155" s="60" t="s">
        <v>6572</v>
      </c>
      <c r="D2155" s="60" t="s">
        <v>6573</v>
      </c>
    </row>
    <row r="2156" spans="2:4" x14ac:dyDescent="0.35">
      <c r="B2156" s="60" t="s">
        <v>6574</v>
      </c>
      <c r="C2156" s="60" t="s">
        <v>6575</v>
      </c>
      <c r="D2156" s="60" t="s">
        <v>6576</v>
      </c>
    </row>
    <row r="2157" spans="2:4" x14ac:dyDescent="0.35">
      <c r="B2157" s="60" t="s">
        <v>6577</v>
      </c>
      <c r="C2157" s="60" t="s">
        <v>6578</v>
      </c>
      <c r="D2157" s="60" t="s">
        <v>6579</v>
      </c>
    </row>
    <row r="2158" spans="2:4" x14ac:dyDescent="0.35">
      <c r="B2158" s="60" t="s">
        <v>6580</v>
      </c>
      <c r="C2158" s="60" t="s">
        <v>6581</v>
      </c>
      <c r="D2158" s="60" t="s">
        <v>6582</v>
      </c>
    </row>
    <row r="2159" spans="2:4" x14ac:dyDescent="0.35">
      <c r="B2159" s="60" t="s">
        <v>6583</v>
      </c>
      <c r="C2159" s="60" t="s">
        <v>6584</v>
      </c>
      <c r="D2159" s="60" t="s">
        <v>6585</v>
      </c>
    </row>
    <row r="2160" spans="2:4" x14ac:dyDescent="0.35">
      <c r="B2160" s="60" t="s">
        <v>6586</v>
      </c>
      <c r="C2160" s="60" t="s">
        <v>6587</v>
      </c>
      <c r="D2160" s="60" t="s">
        <v>6588</v>
      </c>
    </row>
    <row r="2161" spans="2:4" x14ac:dyDescent="0.35">
      <c r="B2161" s="60" t="s">
        <v>6589</v>
      </c>
      <c r="C2161" s="60" t="s">
        <v>6590</v>
      </c>
      <c r="D2161" s="60" t="s">
        <v>6591</v>
      </c>
    </row>
    <row r="2162" spans="2:4" x14ac:dyDescent="0.35">
      <c r="B2162" s="60" t="s">
        <v>6592</v>
      </c>
      <c r="C2162" s="60" t="s">
        <v>6593</v>
      </c>
      <c r="D2162" s="60" t="s">
        <v>6594</v>
      </c>
    </row>
    <row r="2163" spans="2:4" x14ac:dyDescent="0.35">
      <c r="B2163" s="60" t="s">
        <v>6595</v>
      </c>
      <c r="C2163" s="60" t="s">
        <v>6596</v>
      </c>
      <c r="D2163" s="60" t="s">
        <v>6597</v>
      </c>
    </row>
    <row r="2164" spans="2:4" x14ac:dyDescent="0.35">
      <c r="B2164" s="60" t="s">
        <v>6598</v>
      </c>
      <c r="C2164" s="60" t="s">
        <v>6599</v>
      </c>
      <c r="D2164" s="60" t="s">
        <v>6600</v>
      </c>
    </row>
    <row r="2165" spans="2:4" x14ac:dyDescent="0.35">
      <c r="B2165" s="60" t="s">
        <v>6601</v>
      </c>
      <c r="C2165" s="60" t="s">
        <v>6602</v>
      </c>
      <c r="D2165" s="60" t="s">
        <v>6603</v>
      </c>
    </row>
    <row r="2166" spans="2:4" x14ac:dyDescent="0.35">
      <c r="B2166" s="60" t="s">
        <v>6604</v>
      </c>
      <c r="C2166" s="60" t="s">
        <v>6605</v>
      </c>
      <c r="D2166" s="60" t="s">
        <v>6606</v>
      </c>
    </row>
    <row r="2167" spans="2:4" x14ac:dyDescent="0.35">
      <c r="B2167" s="60" t="s">
        <v>6607</v>
      </c>
      <c r="C2167" s="60" t="s">
        <v>6608</v>
      </c>
      <c r="D2167" s="60" t="s">
        <v>6609</v>
      </c>
    </row>
    <row r="2168" spans="2:4" x14ac:dyDescent="0.35">
      <c r="B2168" s="60" t="s">
        <v>6610</v>
      </c>
      <c r="C2168" s="60" t="s">
        <v>6611</v>
      </c>
      <c r="D2168" s="60" t="s">
        <v>6612</v>
      </c>
    </row>
    <row r="2169" spans="2:4" x14ac:dyDescent="0.35">
      <c r="B2169" s="60" t="s">
        <v>6613</v>
      </c>
      <c r="C2169" s="60" t="s">
        <v>6614</v>
      </c>
      <c r="D2169" s="60" t="s">
        <v>6615</v>
      </c>
    </row>
    <row r="2170" spans="2:4" x14ac:dyDescent="0.35">
      <c r="B2170" s="60" t="s">
        <v>6616</v>
      </c>
      <c r="C2170" s="60" t="s">
        <v>6617</v>
      </c>
      <c r="D2170" s="60" t="s">
        <v>6618</v>
      </c>
    </row>
    <row r="2171" spans="2:4" x14ac:dyDescent="0.35">
      <c r="B2171" s="60" t="s">
        <v>6619</v>
      </c>
      <c r="C2171" s="60" t="s">
        <v>6620</v>
      </c>
      <c r="D2171" s="60" t="s">
        <v>6621</v>
      </c>
    </row>
    <row r="2172" spans="2:4" x14ac:dyDescent="0.35">
      <c r="B2172" s="60" t="s">
        <v>6622</v>
      </c>
      <c r="C2172" s="60" t="s">
        <v>6623</v>
      </c>
      <c r="D2172" s="60" t="s">
        <v>6624</v>
      </c>
    </row>
    <row r="2173" spans="2:4" x14ac:dyDescent="0.35">
      <c r="B2173" s="60" t="s">
        <v>6625</v>
      </c>
      <c r="C2173" s="60" t="s">
        <v>6626</v>
      </c>
      <c r="D2173" s="60" t="s">
        <v>6627</v>
      </c>
    </row>
    <row r="2174" spans="2:4" x14ac:dyDescent="0.35">
      <c r="B2174" s="60" t="s">
        <v>6628</v>
      </c>
      <c r="C2174" s="60" t="s">
        <v>6629</v>
      </c>
      <c r="D2174" s="60" t="s">
        <v>6630</v>
      </c>
    </row>
    <row r="2175" spans="2:4" x14ac:dyDescent="0.35">
      <c r="B2175" s="60" t="s">
        <v>6631</v>
      </c>
      <c r="C2175" s="60" t="s">
        <v>6632</v>
      </c>
      <c r="D2175" s="60" t="s">
        <v>6633</v>
      </c>
    </row>
    <row r="2176" spans="2:4" x14ac:dyDescent="0.35">
      <c r="B2176" s="60" t="s">
        <v>6634</v>
      </c>
      <c r="C2176" s="60" t="s">
        <v>6635</v>
      </c>
      <c r="D2176" s="60" t="s">
        <v>6636</v>
      </c>
    </row>
    <row r="2177" spans="2:4" x14ac:dyDescent="0.35">
      <c r="B2177" s="60" t="s">
        <v>6637</v>
      </c>
      <c r="C2177" s="60" t="s">
        <v>6638</v>
      </c>
      <c r="D2177" s="60" t="s">
        <v>6639</v>
      </c>
    </row>
    <row r="2178" spans="2:4" x14ac:dyDescent="0.35">
      <c r="B2178" s="60" t="s">
        <v>6640</v>
      </c>
      <c r="C2178" s="60" t="s">
        <v>6641</v>
      </c>
      <c r="D2178" s="60" t="s">
        <v>6642</v>
      </c>
    </row>
    <row r="2179" spans="2:4" x14ac:dyDescent="0.35">
      <c r="B2179" s="60" t="s">
        <v>6643</v>
      </c>
      <c r="C2179" s="60" t="s">
        <v>6644</v>
      </c>
      <c r="D2179" s="60" t="s">
        <v>6645</v>
      </c>
    </row>
    <row r="2180" spans="2:4" x14ac:dyDescent="0.35">
      <c r="B2180" s="60" t="s">
        <v>6643</v>
      </c>
      <c r="C2180" s="60" t="s">
        <v>6646</v>
      </c>
      <c r="D2180" s="60" t="s">
        <v>6647</v>
      </c>
    </row>
    <row r="2181" spans="2:4" x14ac:dyDescent="0.35">
      <c r="B2181" s="60" t="s">
        <v>6648</v>
      </c>
      <c r="C2181" s="60" t="s">
        <v>6649</v>
      </c>
      <c r="D2181" s="60" t="s">
        <v>6650</v>
      </c>
    </row>
    <row r="2182" spans="2:4" x14ac:dyDescent="0.35">
      <c r="B2182" s="60" t="s">
        <v>6651</v>
      </c>
      <c r="C2182" s="60" t="s">
        <v>6652</v>
      </c>
      <c r="D2182" s="60" t="s">
        <v>6653</v>
      </c>
    </row>
    <row r="2183" spans="2:4" x14ac:dyDescent="0.35">
      <c r="B2183" s="60" t="s">
        <v>6654</v>
      </c>
      <c r="C2183" s="60" t="s">
        <v>6655</v>
      </c>
      <c r="D2183" s="60" t="s">
        <v>6656</v>
      </c>
    </row>
    <row r="2184" spans="2:4" x14ac:dyDescent="0.35">
      <c r="B2184" s="60" t="s">
        <v>6657</v>
      </c>
      <c r="C2184" s="60" t="s">
        <v>6658</v>
      </c>
      <c r="D2184" s="60" t="s">
        <v>6659</v>
      </c>
    </row>
    <row r="2185" spans="2:4" x14ac:dyDescent="0.35">
      <c r="B2185" s="60" t="s">
        <v>6660</v>
      </c>
      <c r="C2185" s="60" t="s">
        <v>6661</v>
      </c>
      <c r="D2185" s="60" t="s">
        <v>3250</v>
      </c>
    </row>
    <row r="2186" spans="2:4" x14ac:dyDescent="0.35">
      <c r="B2186" s="60" t="s">
        <v>6662</v>
      </c>
      <c r="C2186" s="60" t="s">
        <v>6663</v>
      </c>
      <c r="D2186" s="60" t="s">
        <v>6664</v>
      </c>
    </row>
    <row r="2187" spans="2:4" x14ac:dyDescent="0.35">
      <c r="B2187" s="60" t="s">
        <v>6665</v>
      </c>
      <c r="C2187" s="60" t="s">
        <v>6666</v>
      </c>
      <c r="D2187" s="60" t="s">
        <v>6667</v>
      </c>
    </row>
    <row r="2188" spans="2:4" x14ac:dyDescent="0.35">
      <c r="B2188" s="60" t="s">
        <v>6668</v>
      </c>
      <c r="C2188" s="60" t="s">
        <v>6669</v>
      </c>
      <c r="D2188" s="60" t="s">
        <v>6670</v>
      </c>
    </row>
    <row r="2189" spans="2:4" x14ac:dyDescent="0.35">
      <c r="B2189" s="60" t="s">
        <v>6671</v>
      </c>
      <c r="C2189" s="60" t="s">
        <v>6672</v>
      </c>
      <c r="D2189" s="60" t="s">
        <v>6673</v>
      </c>
    </row>
    <row r="2190" spans="2:4" x14ac:dyDescent="0.35">
      <c r="B2190" s="60" t="s">
        <v>6674</v>
      </c>
      <c r="C2190" s="60" t="s">
        <v>6675</v>
      </c>
      <c r="D2190" s="60" t="s">
        <v>6676</v>
      </c>
    </row>
    <row r="2191" spans="2:4" x14ac:dyDescent="0.35">
      <c r="B2191" s="60" t="s">
        <v>6677</v>
      </c>
      <c r="C2191" s="60" t="s">
        <v>6678</v>
      </c>
      <c r="D2191" s="60" t="s">
        <v>6679</v>
      </c>
    </row>
    <row r="2192" spans="2:4" x14ac:dyDescent="0.35">
      <c r="B2192" s="60" t="s">
        <v>6680</v>
      </c>
      <c r="C2192" s="60" t="s">
        <v>6681</v>
      </c>
      <c r="D2192" s="60" t="s">
        <v>6682</v>
      </c>
    </row>
    <row r="2193" spans="2:4" x14ac:dyDescent="0.35">
      <c r="B2193" s="60" t="s">
        <v>6683</v>
      </c>
      <c r="C2193" s="60" t="s">
        <v>6684</v>
      </c>
      <c r="D2193" s="60" t="s">
        <v>6685</v>
      </c>
    </row>
    <row r="2194" spans="2:4" x14ac:dyDescent="0.35">
      <c r="B2194" s="60" t="s">
        <v>6686</v>
      </c>
      <c r="C2194" s="60" t="s">
        <v>6687</v>
      </c>
      <c r="D2194" s="60" t="s">
        <v>6688</v>
      </c>
    </row>
    <row r="2195" spans="2:4" x14ac:dyDescent="0.35">
      <c r="B2195" s="60" t="s">
        <v>6689</v>
      </c>
      <c r="C2195" s="60" t="s">
        <v>6690</v>
      </c>
      <c r="D2195" s="60" t="s">
        <v>6691</v>
      </c>
    </row>
    <row r="2196" spans="2:4" x14ac:dyDescent="0.35">
      <c r="B2196" s="60" t="s">
        <v>6692</v>
      </c>
      <c r="C2196" s="60" t="s">
        <v>6693</v>
      </c>
      <c r="D2196" s="60" t="s">
        <v>6694</v>
      </c>
    </row>
    <row r="2197" spans="2:4" x14ac:dyDescent="0.35">
      <c r="B2197" s="60" t="s">
        <v>6695</v>
      </c>
      <c r="C2197" s="60" t="s">
        <v>6696</v>
      </c>
      <c r="D2197" s="60" t="s">
        <v>6697</v>
      </c>
    </row>
    <row r="2198" spans="2:4" x14ac:dyDescent="0.35">
      <c r="B2198" s="60" t="s">
        <v>6698</v>
      </c>
      <c r="C2198" s="60" t="s">
        <v>6699</v>
      </c>
      <c r="D2198" s="60" t="s">
        <v>6700</v>
      </c>
    </row>
    <row r="2199" spans="2:4" x14ac:dyDescent="0.35">
      <c r="B2199" s="60" t="s">
        <v>6701</v>
      </c>
      <c r="C2199" s="60" t="s">
        <v>6702</v>
      </c>
      <c r="D2199" s="60" t="s">
        <v>6703</v>
      </c>
    </row>
    <row r="2200" spans="2:4" x14ac:dyDescent="0.35">
      <c r="B2200" s="60" t="s">
        <v>6704</v>
      </c>
      <c r="C2200" s="60" t="s">
        <v>6705</v>
      </c>
      <c r="D2200" s="60" t="s">
        <v>6706</v>
      </c>
    </row>
    <row r="2201" spans="2:4" x14ac:dyDescent="0.35">
      <c r="B2201" s="60" t="s">
        <v>6704</v>
      </c>
      <c r="C2201" s="60" t="s">
        <v>6707</v>
      </c>
      <c r="D2201" s="60" t="s">
        <v>6708</v>
      </c>
    </row>
    <row r="2202" spans="2:4" x14ac:dyDescent="0.35">
      <c r="B2202" s="60" t="s">
        <v>6709</v>
      </c>
      <c r="C2202" s="60" t="s">
        <v>6710</v>
      </c>
      <c r="D2202" s="60" t="s">
        <v>6711</v>
      </c>
    </row>
    <row r="2203" spans="2:4" x14ac:dyDescent="0.35">
      <c r="B2203" s="60" t="s">
        <v>6712</v>
      </c>
      <c r="C2203" s="60" t="s">
        <v>6713</v>
      </c>
      <c r="D2203" s="60" t="s">
        <v>6714</v>
      </c>
    </row>
    <row r="2204" spans="2:4" x14ac:dyDescent="0.35">
      <c r="B2204" s="60" t="s">
        <v>6715</v>
      </c>
      <c r="C2204" s="60" t="s">
        <v>6716</v>
      </c>
      <c r="D2204" s="60" t="s">
        <v>6717</v>
      </c>
    </row>
    <row r="2205" spans="2:4" x14ac:dyDescent="0.35">
      <c r="B2205" s="60" t="s">
        <v>6718</v>
      </c>
      <c r="C2205" s="60" t="s">
        <v>6719</v>
      </c>
      <c r="D2205" s="60" t="s">
        <v>6720</v>
      </c>
    </row>
    <row r="2206" spans="2:4" x14ac:dyDescent="0.35">
      <c r="B2206" s="60" t="s">
        <v>6721</v>
      </c>
      <c r="C2206" s="60" t="s">
        <v>6722</v>
      </c>
      <c r="D2206" s="60" t="s">
        <v>6723</v>
      </c>
    </row>
    <row r="2207" spans="2:4" x14ac:dyDescent="0.35">
      <c r="B2207" s="60" t="s">
        <v>6721</v>
      </c>
      <c r="C2207" s="60" t="s">
        <v>6724</v>
      </c>
      <c r="D2207" s="60" t="s">
        <v>6725</v>
      </c>
    </row>
    <row r="2208" spans="2:4" x14ac:dyDescent="0.35">
      <c r="B2208" s="60" t="s">
        <v>6726</v>
      </c>
      <c r="C2208" s="60" t="s">
        <v>6727</v>
      </c>
      <c r="D2208" s="60" t="s">
        <v>6728</v>
      </c>
    </row>
    <row r="2209" spans="2:4" x14ac:dyDescent="0.35">
      <c r="B2209" s="60" t="s">
        <v>6729</v>
      </c>
      <c r="C2209" s="60" t="s">
        <v>6730</v>
      </c>
      <c r="D2209" s="60" t="s">
        <v>6731</v>
      </c>
    </row>
    <row r="2210" spans="2:4" x14ac:dyDescent="0.35">
      <c r="B2210" s="60" t="s">
        <v>6732</v>
      </c>
      <c r="C2210" s="60" t="s">
        <v>6733</v>
      </c>
      <c r="D2210" s="60" t="s">
        <v>6734</v>
      </c>
    </row>
    <row r="2211" spans="2:4" x14ac:dyDescent="0.35">
      <c r="B2211" s="60" t="s">
        <v>6735</v>
      </c>
      <c r="C2211" s="60" t="s">
        <v>6736</v>
      </c>
      <c r="D2211" s="60" t="s">
        <v>6737</v>
      </c>
    </row>
    <row r="2212" spans="2:4" x14ac:dyDescent="0.35">
      <c r="B2212" s="60" t="s">
        <v>6738</v>
      </c>
      <c r="C2212" s="60" t="s">
        <v>6739</v>
      </c>
      <c r="D2212" s="60" t="s">
        <v>6740</v>
      </c>
    </row>
    <row r="2213" spans="2:4" x14ac:dyDescent="0.35">
      <c r="B2213" s="60" t="s">
        <v>6741</v>
      </c>
      <c r="C2213" s="60" t="s">
        <v>6742</v>
      </c>
      <c r="D2213" s="60" t="s">
        <v>6743</v>
      </c>
    </row>
    <row r="2214" spans="2:4" x14ac:dyDescent="0.35">
      <c r="B2214" s="60" t="s">
        <v>6744</v>
      </c>
      <c r="C2214" s="60" t="s">
        <v>6745</v>
      </c>
      <c r="D2214" s="60" t="s">
        <v>6746</v>
      </c>
    </row>
    <row r="2215" spans="2:4" x14ac:dyDescent="0.35">
      <c r="B2215" s="60" t="s">
        <v>6747</v>
      </c>
      <c r="C2215" s="60" t="s">
        <v>6748</v>
      </c>
      <c r="D2215" s="60" t="s">
        <v>6749</v>
      </c>
    </row>
    <row r="2216" spans="2:4" x14ac:dyDescent="0.35">
      <c r="B2216" s="60" t="s">
        <v>6750</v>
      </c>
      <c r="C2216" s="60" t="s">
        <v>6751</v>
      </c>
      <c r="D2216" s="60" t="s">
        <v>6752</v>
      </c>
    </row>
    <row r="2217" spans="2:4" x14ac:dyDescent="0.35">
      <c r="B2217" s="60" t="s">
        <v>6753</v>
      </c>
      <c r="C2217" s="60" t="s">
        <v>6754</v>
      </c>
      <c r="D2217" s="60" t="s">
        <v>6755</v>
      </c>
    </row>
    <row r="2218" spans="2:4" x14ac:dyDescent="0.35">
      <c r="B2218" s="60" t="s">
        <v>6756</v>
      </c>
      <c r="C2218" s="60" t="s">
        <v>6757</v>
      </c>
      <c r="D2218" s="60" t="s">
        <v>6758</v>
      </c>
    </row>
    <row r="2219" spans="2:4" x14ac:dyDescent="0.35">
      <c r="B2219" s="60" t="s">
        <v>6759</v>
      </c>
      <c r="C2219" s="60" t="s">
        <v>6760</v>
      </c>
      <c r="D2219" s="60" t="s">
        <v>6761</v>
      </c>
    </row>
    <row r="2220" spans="2:4" x14ac:dyDescent="0.35">
      <c r="B2220" s="60" t="s">
        <v>6762</v>
      </c>
      <c r="C2220" s="60" t="s">
        <v>6763</v>
      </c>
      <c r="D2220" s="60" t="s">
        <v>6764</v>
      </c>
    </row>
    <row r="2221" spans="2:4" x14ac:dyDescent="0.35">
      <c r="B2221" s="60" t="s">
        <v>6765</v>
      </c>
      <c r="C2221" s="60" t="s">
        <v>6766</v>
      </c>
      <c r="D2221" s="60" t="s">
        <v>6767</v>
      </c>
    </row>
    <row r="2222" spans="2:4" x14ac:dyDescent="0.35">
      <c r="B2222" s="60" t="s">
        <v>6768</v>
      </c>
      <c r="C2222" s="60" t="s">
        <v>6769</v>
      </c>
      <c r="D2222" s="60" t="s">
        <v>6770</v>
      </c>
    </row>
    <row r="2223" spans="2:4" x14ac:dyDescent="0.35">
      <c r="B2223" s="60" t="s">
        <v>6771</v>
      </c>
      <c r="C2223" s="60" t="s">
        <v>6772</v>
      </c>
      <c r="D2223" s="60" t="s">
        <v>6773</v>
      </c>
    </row>
    <row r="2224" spans="2:4" x14ac:dyDescent="0.35">
      <c r="B2224" s="60" t="s">
        <v>6774</v>
      </c>
      <c r="C2224" s="60" t="s">
        <v>6775</v>
      </c>
      <c r="D2224" s="60" t="s">
        <v>6776</v>
      </c>
    </row>
    <row r="2225" spans="2:4" x14ac:dyDescent="0.35">
      <c r="B2225" s="60" t="s">
        <v>6777</v>
      </c>
      <c r="C2225" s="60" t="s">
        <v>6778</v>
      </c>
      <c r="D2225" s="60" t="s">
        <v>6779</v>
      </c>
    </row>
    <row r="2226" spans="2:4" x14ac:dyDescent="0.35">
      <c r="B2226" s="60" t="s">
        <v>6780</v>
      </c>
      <c r="C2226" s="60" t="s">
        <v>6781</v>
      </c>
      <c r="D2226" s="60" t="s">
        <v>6782</v>
      </c>
    </row>
    <row r="2227" spans="2:4" x14ac:dyDescent="0.35">
      <c r="B2227" s="60" t="s">
        <v>6783</v>
      </c>
      <c r="C2227" s="60" t="s">
        <v>6784</v>
      </c>
      <c r="D2227" s="60" t="s">
        <v>6785</v>
      </c>
    </row>
    <row r="2228" spans="2:4" x14ac:dyDescent="0.35">
      <c r="B2228" s="60" t="s">
        <v>6786</v>
      </c>
      <c r="C2228" s="60" t="s">
        <v>6787</v>
      </c>
      <c r="D2228" s="60" t="s">
        <v>6788</v>
      </c>
    </row>
    <row r="2229" spans="2:4" x14ac:dyDescent="0.35">
      <c r="B2229" s="60" t="s">
        <v>6789</v>
      </c>
      <c r="C2229" s="60" t="s">
        <v>6790</v>
      </c>
      <c r="D2229" s="60" t="s">
        <v>6791</v>
      </c>
    </row>
    <row r="2230" spans="2:4" x14ac:dyDescent="0.35">
      <c r="B2230" s="60" t="s">
        <v>6789</v>
      </c>
      <c r="C2230" s="60" t="s">
        <v>6792</v>
      </c>
      <c r="D2230" s="60" t="s">
        <v>6793</v>
      </c>
    </row>
    <row r="2231" spans="2:4" x14ac:dyDescent="0.35">
      <c r="B2231" s="60" t="s">
        <v>6794</v>
      </c>
      <c r="C2231" s="60" t="s">
        <v>6795</v>
      </c>
      <c r="D2231" s="60" t="s">
        <v>6796</v>
      </c>
    </row>
    <row r="2232" spans="2:4" x14ac:dyDescent="0.35">
      <c r="B2232" s="60" t="s">
        <v>6797</v>
      </c>
      <c r="C2232" s="60" t="s">
        <v>6798</v>
      </c>
      <c r="D2232" s="60" t="s">
        <v>6799</v>
      </c>
    </row>
    <row r="2233" spans="2:4" x14ac:dyDescent="0.35">
      <c r="B2233" s="60" t="s">
        <v>6800</v>
      </c>
      <c r="C2233" s="60" t="s">
        <v>6801</v>
      </c>
      <c r="D2233" s="60" t="s">
        <v>6802</v>
      </c>
    </row>
    <row r="2234" spans="2:4" x14ac:dyDescent="0.35">
      <c r="B2234" s="60" t="s">
        <v>6803</v>
      </c>
      <c r="C2234" s="60" t="s">
        <v>6804</v>
      </c>
      <c r="D2234" s="60" t="s">
        <v>6805</v>
      </c>
    </row>
    <row r="2235" spans="2:4" x14ac:dyDescent="0.35">
      <c r="B2235" s="60" t="s">
        <v>6806</v>
      </c>
      <c r="C2235" s="60" t="s">
        <v>6807</v>
      </c>
      <c r="D2235" s="60" t="s">
        <v>6808</v>
      </c>
    </row>
    <row r="2236" spans="2:4" x14ac:dyDescent="0.35">
      <c r="B2236" s="60" t="s">
        <v>6809</v>
      </c>
      <c r="C2236" s="60" t="s">
        <v>6810</v>
      </c>
      <c r="D2236" s="60" t="s">
        <v>6811</v>
      </c>
    </row>
    <row r="2237" spans="2:4" x14ac:dyDescent="0.35">
      <c r="B2237" s="60" t="s">
        <v>6812</v>
      </c>
      <c r="C2237" s="60" t="s">
        <v>6813</v>
      </c>
      <c r="D2237" s="60" t="s">
        <v>6814</v>
      </c>
    </row>
    <row r="2238" spans="2:4" x14ac:dyDescent="0.35">
      <c r="B2238" s="60" t="s">
        <v>6815</v>
      </c>
      <c r="C2238" s="60" t="s">
        <v>6816</v>
      </c>
      <c r="D2238" s="60" t="s">
        <v>6817</v>
      </c>
    </row>
    <row r="2239" spans="2:4" x14ac:dyDescent="0.35">
      <c r="B2239" s="60" t="s">
        <v>6818</v>
      </c>
      <c r="C2239" s="60" t="s">
        <v>6819</v>
      </c>
      <c r="D2239" s="60" t="s">
        <v>6820</v>
      </c>
    </row>
    <row r="2240" spans="2:4" x14ac:dyDescent="0.35">
      <c r="B2240" s="60" t="s">
        <v>6821</v>
      </c>
      <c r="C2240" s="60" t="s">
        <v>6822</v>
      </c>
      <c r="D2240" s="60" t="s">
        <v>6823</v>
      </c>
    </row>
    <row r="2241" spans="2:4" x14ac:dyDescent="0.35">
      <c r="B2241" s="60" t="s">
        <v>6824</v>
      </c>
      <c r="C2241" s="60" t="s">
        <v>6825</v>
      </c>
      <c r="D2241" s="60" t="s">
        <v>6826</v>
      </c>
    </row>
    <row r="2242" spans="2:4" x14ac:dyDescent="0.35">
      <c r="B2242" s="60" t="s">
        <v>6827</v>
      </c>
      <c r="C2242" s="60" t="s">
        <v>6828</v>
      </c>
      <c r="D2242" s="60" t="s">
        <v>6829</v>
      </c>
    </row>
    <row r="2243" spans="2:4" x14ac:dyDescent="0.35">
      <c r="B2243" s="60" t="s">
        <v>6830</v>
      </c>
      <c r="C2243" s="60" t="s">
        <v>6831</v>
      </c>
      <c r="D2243" s="60" t="s">
        <v>6832</v>
      </c>
    </row>
    <row r="2244" spans="2:4" x14ac:dyDescent="0.35">
      <c r="B2244" s="60" t="s">
        <v>6833</v>
      </c>
      <c r="C2244" s="60" t="s">
        <v>6834</v>
      </c>
      <c r="D2244" s="60" t="s">
        <v>6835</v>
      </c>
    </row>
    <row r="2245" spans="2:4" x14ac:dyDescent="0.35">
      <c r="B2245" s="60" t="s">
        <v>6836</v>
      </c>
      <c r="C2245" s="60" t="s">
        <v>6837</v>
      </c>
      <c r="D2245" s="60" t="s">
        <v>6838</v>
      </c>
    </row>
    <row r="2246" spans="2:4" x14ac:dyDescent="0.35">
      <c r="B2246" s="60" t="s">
        <v>6839</v>
      </c>
      <c r="C2246" s="60" t="s">
        <v>6840</v>
      </c>
      <c r="D2246" s="60" t="s">
        <v>6841</v>
      </c>
    </row>
    <row r="2247" spans="2:4" x14ac:dyDescent="0.35">
      <c r="B2247" s="60" t="s">
        <v>6842</v>
      </c>
      <c r="C2247" s="60" t="s">
        <v>6843</v>
      </c>
      <c r="D2247" s="60" t="s">
        <v>6844</v>
      </c>
    </row>
    <row r="2248" spans="2:4" x14ac:dyDescent="0.35">
      <c r="B2248" s="60" t="s">
        <v>6845</v>
      </c>
      <c r="C2248" s="60" t="s">
        <v>6846</v>
      </c>
      <c r="D2248" s="60" t="s">
        <v>6847</v>
      </c>
    </row>
    <row r="2249" spans="2:4" x14ac:dyDescent="0.35">
      <c r="B2249" s="60" t="s">
        <v>6848</v>
      </c>
      <c r="C2249" s="60" t="s">
        <v>6849</v>
      </c>
      <c r="D2249" s="60" t="s">
        <v>6850</v>
      </c>
    </row>
    <row r="2250" spans="2:4" x14ac:dyDescent="0.35">
      <c r="B2250" s="60" t="s">
        <v>6851</v>
      </c>
      <c r="C2250" s="60" t="s">
        <v>6852</v>
      </c>
      <c r="D2250" s="60" t="s">
        <v>6853</v>
      </c>
    </row>
    <row r="2251" spans="2:4" x14ac:dyDescent="0.35">
      <c r="B2251" s="60" t="s">
        <v>6854</v>
      </c>
      <c r="C2251" s="60" t="s">
        <v>6855</v>
      </c>
      <c r="D2251" s="60" t="s">
        <v>6856</v>
      </c>
    </row>
    <row r="2252" spans="2:4" x14ac:dyDescent="0.35">
      <c r="B2252" s="60" t="s">
        <v>6854</v>
      </c>
      <c r="C2252" s="60" t="s">
        <v>6857</v>
      </c>
      <c r="D2252" s="60" t="s">
        <v>6858</v>
      </c>
    </row>
    <row r="2253" spans="2:4" x14ac:dyDescent="0.35">
      <c r="B2253" s="60" t="s">
        <v>6859</v>
      </c>
      <c r="C2253" s="60" t="s">
        <v>6860</v>
      </c>
      <c r="D2253" s="60" t="s">
        <v>6861</v>
      </c>
    </row>
    <row r="2254" spans="2:4" x14ac:dyDescent="0.35">
      <c r="B2254" s="60" t="s">
        <v>6862</v>
      </c>
      <c r="C2254" s="60" t="s">
        <v>6863</v>
      </c>
      <c r="D2254" s="60" t="s">
        <v>6864</v>
      </c>
    </row>
    <row r="2255" spans="2:4" x14ac:dyDescent="0.35">
      <c r="B2255" s="60" t="s">
        <v>6865</v>
      </c>
      <c r="C2255" s="60" t="s">
        <v>6866</v>
      </c>
      <c r="D2255" s="60" t="s">
        <v>6867</v>
      </c>
    </row>
    <row r="2256" spans="2:4" x14ac:dyDescent="0.35">
      <c r="B2256" s="60" t="s">
        <v>6868</v>
      </c>
      <c r="C2256" s="60" t="s">
        <v>6869</v>
      </c>
      <c r="D2256" s="60" t="s">
        <v>6870</v>
      </c>
    </row>
    <row r="2257" spans="2:4" x14ac:dyDescent="0.35">
      <c r="B2257" s="60" t="s">
        <v>6871</v>
      </c>
      <c r="C2257" s="60" t="s">
        <v>6855</v>
      </c>
      <c r="D2257" s="60" t="s">
        <v>6872</v>
      </c>
    </row>
    <row r="2258" spans="2:4" x14ac:dyDescent="0.35">
      <c r="B2258" s="60" t="s">
        <v>6873</v>
      </c>
      <c r="C2258" s="60" t="s">
        <v>6874</v>
      </c>
      <c r="D2258" s="60" t="s">
        <v>6875</v>
      </c>
    </row>
    <row r="2259" spans="2:4" x14ac:dyDescent="0.35">
      <c r="B2259" s="60" t="s">
        <v>6876</v>
      </c>
      <c r="C2259" s="60" t="s">
        <v>6877</v>
      </c>
      <c r="D2259" s="60" t="s">
        <v>6878</v>
      </c>
    </row>
    <row r="2260" spans="2:4" x14ac:dyDescent="0.35">
      <c r="B2260" s="60" t="s">
        <v>6879</v>
      </c>
      <c r="C2260" s="60" t="s">
        <v>6880</v>
      </c>
      <c r="D2260" s="60" t="s">
        <v>6881</v>
      </c>
    </row>
    <row r="2261" spans="2:4" x14ac:dyDescent="0.35">
      <c r="B2261" s="60" t="s">
        <v>6882</v>
      </c>
      <c r="C2261" s="60" t="s">
        <v>6883</v>
      </c>
      <c r="D2261" s="60" t="s">
        <v>6884</v>
      </c>
    </row>
    <row r="2262" spans="2:4" x14ac:dyDescent="0.35">
      <c r="B2262" s="60" t="s">
        <v>6885</v>
      </c>
      <c r="C2262" s="60" t="s">
        <v>6886</v>
      </c>
      <c r="D2262" s="60" t="s">
        <v>6887</v>
      </c>
    </row>
    <row r="2263" spans="2:4" x14ac:dyDescent="0.35">
      <c r="B2263" s="60" t="s">
        <v>6888</v>
      </c>
      <c r="C2263" s="60" t="s">
        <v>6889</v>
      </c>
      <c r="D2263" s="60" t="s">
        <v>6890</v>
      </c>
    </row>
    <row r="2264" spans="2:4" x14ac:dyDescent="0.35">
      <c r="B2264" s="60" t="s">
        <v>6891</v>
      </c>
      <c r="C2264" s="60" t="s">
        <v>6892</v>
      </c>
      <c r="D2264" s="60" t="s">
        <v>6893</v>
      </c>
    </row>
    <row r="2265" spans="2:4" x14ac:dyDescent="0.35">
      <c r="B2265" s="60" t="s">
        <v>6894</v>
      </c>
      <c r="C2265" s="60" t="s">
        <v>6895</v>
      </c>
      <c r="D2265" s="60" t="s">
        <v>6896</v>
      </c>
    </row>
    <row r="2266" spans="2:4" x14ac:dyDescent="0.35">
      <c r="B2266" s="60" t="s">
        <v>6897</v>
      </c>
      <c r="C2266" s="60" t="s">
        <v>6898</v>
      </c>
      <c r="D2266" s="60" t="s">
        <v>6899</v>
      </c>
    </row>
    <row r="2267" spans="2:4" x14ac:dyDescent="0.35">
      <c r="B2267" s="60" t="s">
        <v>6900</v>
      </c>
      <c r="C2267" s="60" t="s">
        <v>6901</v>
      </c>
      <c r="D2267" s="60" t="s">
        <v>6902</v>
      </c>
    </row>
    <row r="2268" spans="2:4" x14ac:dyDescent="0.35">
      <c r="B2268" s="60" t="s">
        <v>6903</v>
      </c>
      <c r="C2268" s="60" t="s">
        <v>6904</v>
      </c>
      <c r="D2268" s="60" t="s">
        <v>6905</v>
      </c>
    </row>
    <row r="2269" spans="2:4" x14ac:dyDescent="0.35">
      <c r="B2269" s="60" t="s">
        <v>6906</v>
      </c>
      <c r="C2269" s="60" t="s">
        <v>6907</v>
      </c>
      <c r="D2269" s="60" t="s">
        <v>6908</v>
      </c>
    </row>
    <row r="2270" spans="2:4" x14ac:dyDescent="0.35">
      <c r="B2270" s="60" t="s">
        <v>6909</v>
      </c>
      <c r="C2270" s="60" t="s">
        <v>6910</v>
      </c>
      <c r="D2270" s="60" t="s">
        <v>6911</v>
      </c>
    </row>
    <row r="2271" spans="2:4" x14ac:dyDescent="0.35">
      <c r="B2271" s="60" t="s">
        <v>6912</v>
      </c>
      <c r="C2271" s="60" t="s">
        <v>6913</v>
      </c>
      <c r="D2271" s="60" t="s">
        <v>6914</v>
      </c>
    </row>
    <row r="2272" spans="2:4" x14ac:dyDescent="0.35">
      <c r="B2272" s="60" t="s">
        <v>6915</v>
      </c>
      <c r="C2272" s="60" t="s">
        <v>6916</v>
      </c>
      <c r="D2272" s="60" t="s">
        <v>6917</v>
      </c>
    </row>
    <row r="2273" spans="2:4" x14ac:dyDescent="0.35">
      <c r="B2273" s="60" t="s">
        <v>6918</v>
      </c>
      <c r="C2273" s="60" t="s">
        <v>6919</v>
      </c>
      <c r="D2273" s="60" t="s">
        <v>6920</v>
      </c>
    </row>
    <row r="2274" spans="2:4" x14ac:dyDescent="0.35">
      <c r="B2274" s="60" t="s">
        <v>6921</v>
      </c>
      <c r="C2274" s="60" t="s">
        <v>6922</v>
      </c>
      <c r="D2274" s="60" t="s">
        <v>6923</v>
      </c>
    </row>
    <row r="2275" spans="2:4" x14ac:dyDescent="0.35">
      <c r="B2275" s="60" t="s">
        <v>6924</v>
      </c>
      <c r="C2275" s="60" t="s">
        <v>6925</v>
      </c>
      <c r="D2275" s="60" t="s">
        <v>6926</v>
      </c>
    </row>
    <row r="2276" spans="2:4" x14ac:dyDescent="0.35">
      <c r="B2276" s="60" t="s">
        <v>6927</v>
      </c>
      <c r="C2276" s="60" t="s">
        <v>6928</v>
      </c>
      <c r="D2276" s="60" t="s">
        <v>6929</v>
      </c>
    </row>
    <row r="2277" spans="2:4" x14ac:dyDescent="0.35">
      <c r="B2277" s="60" t="s">
        <v>6930</v>
      </c>
      <c r="C2277" s="60" t="s">
        <v>6931</v>
      </c>
      <c r="D2277" s="60" t="s">
        <v>6932</v>
      </c>
    </row>
    <row r="2278" spans="2:4" x14ac:dyDescent="0.35">
      <c r="B2278" s="60" t="s">
        <v>6933</v>
      </c>
      <c r="C2278" s="60" t="s">
        <v>6934</v>
      </c>
      <c r="D2278" s="60" t="s">
        <v>6935</v>
      </c>
    </row>
    <row r="2279" spans="2:4" x14ac:dyDescent="0.35">
      <c r="B2279" s="60" t="s">
        <v>6936</v>
      </c>
      <c r="C2279" s="60" t="s">
        <v>6937</v>
      </c>
      <c r="D2279" s="60" t="s">
        <v>6938</v>
      </c>
    </row>
    <row r="2280" spans="2:4" x14ac:dyDescent="0.35">
      <c r="B2280" s="60" t="s">
        <v>6939</v>
      </c>
      <c r="C2280" s="60" t="s">
        <v>6940</v>
      </c>
      <c r="D2280" s="60" t="s">
        <v>6941</v>
      </c>
    </row>
    <row r="2281" spans="2:4" x14ac:dyDescent="0.35">
      <c r="B2281" s="60" t="s">
        <v>6942</v>
      </c>
      <c r="C2281" s="60" t="s">
        <v>6943</v>
      </c>
      <c r="D2281" s="60" t="s">
        <v>6944</v>
      </c>
    </row>
    <row r="2282" spans="2:4" x14ac:dyDescent="0.35">
      <c r="B2282" s="60" t="s">
        <v>6945</v>
      </c>
      <c r="C2282" s="60" t="s">
        <v>6946</v>
      </c>
      <c r="D2282" s="60" t="s">
        <v>6947</v>
      </c>
    </row>
    <row r="2283" spans="2:4" x14ac:dyDescent="0.35">
      <c r="B2283" s="60" t="s">
        <v>6948</v>
      </c>
      <c r="C2283" s="60" t="s">
        <v>6949</v>
      </c>
      <c r="D2283" s="60" t="s">
        <v>6950</v>
      </c>
    </row>
    <row r="2284" spans="2:4" x14ac:dyDescent="0.35">
      <c r="B2284" s="60" t="s">
        <v>6951</v>
      </c>
      <c r="C2284" s="60" t="s">
        <v>6952</v>
      </c>
      <c r="D2284" s="60" t="s">
        <v>6953</v>
      </c>
    </row>
    <row r="2285" spans="2:4" x14ac:dyDescent="0.35">
      <c r="B2285" s="60" t="s">
        <v>6954</v>
      </c>
      <c r="C2285" s="60" t="s">
        <v>6955</v>
      </c>
      <c r="D2285" s="60" t="s">
        <v>6956</v>
      </c>
    </row>
    <row r="2286" spans="2:4" x14ac:dyDescent="0.35">
      <c r="B2286" s="60" t="s">
        <v>6957</v>
      </c>
      <c r="C2286" s="60" t="s">
        <v>6958</v>
      </c>
      <c r="D2286" s="60" t="s">
        <v>6959</v>
      </c>
    </row>
    <row r="2287" spans="2:4" x14ac:dyDescent="0.35">
      <c r="B2287" s="60" t="s">
        <v>6960</v>
      </c>
      <c r="C2287" s="60" t="s">
        <v>6961</v>
      </c>
      <c r="D2287" s="60" t="s">
        <v>6962</v>
      </c>
    </row>
    <row r="2288" spans="2:4" x14ac:dyDescent="0.35">
      <c r="B2288" s="60" t="s">
        <v>6963</v>
      </c>
      <c r="C2288" s="60" t="s">
        <v>6964</v>
      </c>
      <c r="D2288" s="60" t="s">
        <v>6965</v>
      </c>
    </row>
    <row r="2289" spans="2:4" x14ac:dyDescent="0.35">
      <c r="B2289" s="60" t="s">
        <v>6966</v>
      </c>
      <c r="C2289" s="60" t="s">
        <v>6967</v>
      </c>
      <c r="D2289" s="60" t="s">
        <v>6968</v>
      </c>
    </row>
    <row r="2290" spans="2:4" x14ac:dyDescent="0.35">
      <c r="B2290" s="60" t="s">
        <v>6969</v>
      </c>
      <c r="C2290" s="60" t="s">
        <v>6970</v>
      </c>
      <c r="D2290" s="60" t="s">
        <v>6971</v>
      </c>
    </row>
    <row r="2291" spans="2:4" x14ac:dyDescent="0.35">
      <c r="B2291" s="60" t="s">
        <v>6972</v>
      </c>
      <c r="C2291" s="60" t="s">
        <v>6973</v>
      </c>
      <c r="D2291" s="60" t="s">
        <v>6974</v>
      </c>
    </row>
    <row r="2292" spans="2:4" x14ac:dyDescent="0.35">
      <c r="B2292" s="60" t="s">
        <v>6975</v>
      </c>
      <c r="C2292" s="60" t="s">
        <v>6976</v>
      </c>
      <c r="D2292" s="60" t="s">
        <v>6977</v>
      </c>
    </row>
    <row r="2293" spans="2:4" x14ac:dyDescent="0.35">
      <c r="B2293" s="60" t="s">
        <v>6978</v>
      </c>
      <c r="C2293" s="60" t="s">
        <v>6979</v>
      </c>
      <c r="D2293" s="60" t="s">
        <v>6980</v>
      </c>
    </row>
    <row r="2294" spans="2:4" x14ac:dyDescent="0.35">
      <c r="B2294" s="60" t="s">
        <v>6981</v>
      </c>
      <c r="C2294" s="60" t="s">
        <v>6982</v>
      </c>
      <c r="D2294" s="60" t="s">
        <v>6983</v>
      </c>
    </row>
    <row r="2295" spans="2:4" x14ac:dyDescent="0.35">
      <c r="B2295" s="60" t="s">
        <v>6984</v>
      </c>
      <c r="C2295" s="60" t="s">
        <v>6985</v>
      </c>
      <c r="D2295" s="60" t="s">
        <v>6986</v>
      </c>
    </row>
    <row r="2296" spans="2:4" x14ac:dyDescent="0.35">
      <c r="B2296" s="60" t="s">
        <v>6987</v>
      </c>
      <c r="C2296" s="60" t="s">
        <v>6988</v>
      </c>
      <c r="D2296" s="60" t="s">
        <v>6989</v>
      </c>
    </row>
    <row r="2297" spans="2:4" x14ac:dyDescent="0.35">
      <c r="B2297" s="60" t="s">
        <v>6990</v>
      </c>
      <c r="C2297" s="60" t="s">
        <v>6991</v>
      </c>
      <c r="D2297" s="60" t="s">
        <v>6992</v>
      </c>
    </row>
    <row r="2298" spans="2:4" x14ac:dyDescent="0.35">
      <c r="B2298" s="60" t="s">
        <v>6993</v>
      </c>
      <c r="C2298" s="60" t="s">
        <v>6994</v>
      </c>
      <c r="D2298" s="60" t="s">
        <v>6995</v>
      </c>
    </row>
    <row r="2299" spans="2:4" x14ac:dyDescent="0.35">
      <c r="B2299" s="60" t="s">
        <v>6996</v>
      </c>
      <c r="C2299" s="60" t="s">
        <v>6997</v>
      </c>
      <c r="D2299" s="60" t="s">
        <v>6998</v>
      </c>
    </row>
    <row r="2300" spans="2:4" x14ac:dyDescent="0.35">
      <c r="B2300" s="60" t="s">
        <v>6999</v>
      </c>
      <c r="C2300" s="60" t="s">
        <v>7000</v>
      </c>
      <c r="D2300" s="60" t="s">
        <v>7001</v>
      </c>
    </row>
    <row r="2301" spans="2:4" x14ac:dyDescent="0.35">
      <c r="B2301" s="60" t="s">
        <v>7002</v>
      </c>
      <c r="C2301" s="60" t="s">
        <v>7003</v>
      </c>
      <c r="D2301" s="60" t="s">
        <v>7004</v>
      </c>
    </row>
    <row r="2302" spans="2:4" x14ac:dyDescent="0.35">
      <c r="B2302" s="60" t="s">
        <v>7005</v>
      </c>
      <c r="C2302" s="60" t="s">
        <v>7006</v>
      </c>
      <c r="D2302" s="60" t="s">
        <v>7007</v>
      </c>
    </row>
    <row r="2303" spans="2:4" x14ac:dyDescent="0.35">
      <c r="B2303" s="60" t="s">
        <v>7008</v>
      </c>
      <c r="C2303" s="60" t="s">
        <v>7009</v>
      </c>
      <c r="D2303" s="60" t="s">
        <v>7010</v>
      </c>
    </row>
    <row r="2304" spans="2:4" x14ac:dyDescent="0.35">
      <c r="B2304" s="60" t="s">
        <v>7011</v>
      </c>
      <c r="C2304" s="60" t="s">
        <v>7012</v>
      </c>
      <c r="D2304" s="60" t="s">
        <v>7013</v>
      </c>
    </row>
    <row r="2305" spans="2:4" x14ac:dyDescent="0.35">
      <c r="B2305" s="60" t="s">
        <v>7011</v>
      </c>
      <c r="C2305" s="60" t="s">
        <v>7014</v>
      </c>
      <c r="D2305" s="60" t="s">
        <v>7015</v>
      </c>
    </row>
    <row r="2306" spans="2:4" x14ac:dyDescent="0.35">
      <c r="B2306" s="60" t="s">
        <v>7016</v>
      </c>
      <c r="C2306" s="60" t="s">
        <v>7017</v>
      </c>
      <c r="D2306" s="60" t="s">
        <v>7018</v>
      </c>
    </row>
    <row r="2307" spans="2:4" x14ac:dyDescent="0.35">
      <c r="B2307" s="60" t="s">
        <v>7019</v>
      </c>
      <c r="C2307" s="60" t="s">
        <v>7020</v>
      </c>
      <c r="D2307" s="60" t="s">
        <v>7021</v>
      </c>
    </row>
    <row r="2308" spans="2:4" x14ac:dyDescent="0.35">
      <c r="B2308" s="60" t="s">
        <v>7022</v>
      </c>
      <c r="C2308" s="60" t="s">
        <v>7023</v>
      </c>
      <c r="D2308" s="60" t="s">
        <v>7024</v>
      </c>
    </row>
    <row r="2309" spans="2:4" x14ac:dyDescent="0.35">
      <c r="B2309" s="60" t="s">
        <v>7025</v>
      </c>
      <c r="C2309" s="60" t="s">
        <v>7026</v>
      </c>
      <c r="D2309" s="60" t="s">
        <v>7027</v>
      </c>
    </row>
    <row r="2310" spans="2:4" x14ac:dyDescent="0.35">
      <c r="B2310" s="60" t="s">
        <v>7028</v>
      </c>
      <c r="C2310" s="60" t="s">
        <v>7009</v>
      </c>
      <c r="D2310" s="60" t="s">
        <v>7029</v>
      </c>
    </row>
    <row r="2311" spans="2:4" x14ac:dyDescent="0.35">
      <c r="B2311" s="60" t="s">
        <v>7030</v>
      </c>
      <c r="C2311" s="60" t="s">
        <v>7031</v>
      </c>
      <c r="D2311" s="60" t="s">
        <v>7032</v>
      </c>
    </row>
    <row r="2312" spans="2:4" x14ac:dyDescent="0.35">
      <c r="B2312" s="60" t="s">
        <v>7033</v>
      </c>
      <c r="C2312" s="60" t="s">
        <v>7034</v>
      </c>
      <c r="D2312" s="60" t="s">
        <v>7035</v>
      </c>
    </row>
    <row r="2313" spans="2:4" x14ac:dyDescent="0.35">
      <c r="B2313" s="60" t="s">
        <v>7036</v>
      </c>
      <c r="C2313" s="60" t="s">
        <v>7037</v>
      </c>
      <c r="D2313" s="60" t="s">
        <v>7038</v>
      </c>
    </row>
    <row r="2314" spans="2:4" x14ac:dyDescent="0.35">
      <c r="B2314" s="60" t="s">
        <v>7039</v>
      </c>
      <c r="C2314" s="60" t="s">
        <v>7039</v>
      </c>
      <c r="D2314" s="60" t="s">
        <v>7040</v>
      </c>
    </row>
    <row r="2315" spans="2:4" x14ac:dyDescent="0.35">
      <c r="B2315" s="60" t="s">
        <v>7041</v>
      </c>
      <c r="C2315" s="60" t="s">
        <v>7042</v>
      </c>
      <c r="D2315" s="60" t="s">
        <v>7043</v>
      </c>
    </row>
    <row r="2316" spans="2:4" x14ac:dyDescent="0.35">
      <c r="B2316" s="60" t="s">
        <v>7044</v>
      </c>
      <c r="C2316" s="60" t="s">
        <v>7045</v>
      </c>
      <c r="D2316" s="60" t="s">
        <v>7046</v>
      </c>
    </row>
    <row r="2317" spans="2:4" x14ac:dyDescent="0.35">
      <c r="B2317" s="60" t="s">
        <v>7047</v>
      </c>
      <c r="C2317" s="60" t="s">
        <v>7048</v>
      </c>
      <c r="D2317" s="60" t="s">
        <v>7049</v>
      </c>
    </row>
    <row r="2318" spans="2:4" x14ac:dyDescent="0.35">
      <c r="B2318" s="60" t="s">
        <v>7050</v>
      </c>
      <c r="C2318" s="60" t="s">
        <v>7051</v>
      </c>
      <c r="D2318" s="60" t="s">
        <v>7052</v>
      </c>
    </row>
    <row r="2319" spans="2:4" x14ac:dyDescent="0.35">
      <c r="B2319" s="60" t="s">
        <v>7053</v>
      </c>
      <c r="C2319" s="60" t="s">
        <v>7054</v>
      </c>
      <c r="D2319" s="60" t="s">
        <v>7055</v>
      </c>
    </row>
    <row r="2320" spans="2:4" x14ac:dyDescent="0.35">
      <c r="B2320" s="60" t="s">
        <v>7056</v>
      </c>
      <c r="C2320" s="60" t="s">
        <v>7057</v>
      </c>
      <c r="D2320" s="60" t="s">
        <v>7058</v>
      </c>
    </row>
    <row r="2321" spans="2:4" x14ac:dyDescent="0.35">
      <c r="B2321" s="60" t="s">
        <v>7059</v>
      </c>
      <c r="C2321" s="60" t="s">
        <v>7060</v>
      </c>
      <c r="D2321" s="60" t="s">
        <v>7061</v>
      </c>
    </row>
    <row r="2322" spans="2:4" x14ac:dyDescent="0.35">
      <c r="B2322" s="60" t="s">
        <v>7062</v>
      </c>
      <c r="C2322" s="60" t="s">
        <v>7063</v>
      </c>
      <c r="D2322" s="60" t="s">
        <v>7064</v>
      </c>
    </row>
    <row r="2323" spans="2:4" x14ac:dyDescent="0.35">
      <c r="B2323" s="60" t="s">
        <v>7065</v>
      </c>
      <c r="C2323" s="60" t="s">
        <v>7066</v>
      </c>
      <c r="D2323" s="60" t="s">
        <v>7067</v>
      </c>
    </row>
    <row r="2324" spans="2:4" x14ac:dyDescent="0.35">
      <c r="B2324" s="60" t="s">
        <v>7068</v>
      </c>
      <c r="C2324" s="60" t="s">
        <v>7069</v>
      </c>
      <c r="D2324" s="60" t="s">
        <v>7070</v>
      </c>
    </row>
    <row r="2325" spans="2:4" x14ac:dyDescent="0.35">
      <c r="B2325" s="60" t="s">
        <v>7071</v>
      </c>
      <c r="C2325" s="60" t="s">
        <v>7072</v>
      </c>
      <c r="D2325" s="60" t="s">
        <v>7073</v>
      </c>
    </row>
    <row r="2326" spans="2:4" x14ac:dyDescent="0.35">
      <c r="B2326" s="60" t="s">
        <v>7074</v>
      </c>
      <c r="C2326" s="60" t="s">
        <v>7075</v>
      </c>
      <c r="D2326" s="60" t="s">
        <v>7076</v>
      </c>
    </row>
    <row r="2327" spans="2:4" x14ac:dyDescent="0.35">
      <c r="B2327" s="60" t="s">
        <v>7077</v>
      </c>
      <c r="C2327" s="60" t="s">
        <v>7078</v>
      </c>
      <c r="D2327" s="60" t="s">
        <v>7079</v>
      </c>
    </row>
    <row r="2328" spans="2:4" x14ac:dyDescent="0.35">
      <c r="B2328" s="60" t="s">
        <v>7080</v>
      </c>
      <c r="C2328" s="60" t="s">
        <v>7081</v>
      </c>
      <c r="D2328" s="60" t="s">
        <v>7082</v>
      </c>
    </row>
    <row r="2329" spans="2:4" x14ac:dyDescent="0.35">
      <c r="B2329" s="60" t="s">
        <v>7080</v>
      </c>
      <c r="C2329" s="60" t="s">
        <v>7083</v>
      </c>
      <c r="D2329" s="60" t="s">
        <v>7084</v>
      </c>
    </row>
    <row r="2330" spans="2:4" x14ac:dyDescent="0.35">
      <c r="B2330" s="60" t="s">
        <v>7085</v>
      </c>
      <c r="C2330" s="60" t="s">
        <v>7086</v>
      </c>
      <c r="D2330" s="60" t="s">
        <v>7087</v>
      </c>
    </row>
    <row r="2331" spans="2:4" x14ac:dyDescent="0.35">
      <c r="B2331" s="60" t="s">
        <v>7088</v>
      </c>
      <c r="C2331" s="60" t="s">
        <v>7089</v>
      </c>
      <c r="D2331" s="60" t="s">
        <v>7090</v>
      </c>
    </row>
    <row r="2332" spans="2:4" x14ac:dyDescent="0.35">
      <c r="B2332" s="60" t="s">
        <v>7091</v>
      </c>
      <c r="C2332" s="60" t="s">
        <v>7092</v>
      </c>
      <c r="D2332" s="60" t="s">
        <v>7093</v>
      </c>
    </row>
    <row r="2333" spans="2:4" x14ac:dyDescent="0.35">
      <c r="B2333" s="60" t="s">
        <v>7094</v>
      </c>
      <c r="C2333" s="60" t="s">
        <v>7095</v>
      </c>
      <c r="D2333" s="60" t="s">
        <v>7096</v>
      </c>
    </row>
    <row r="2334" spans="2:4" x14ac:dyDescent="0.35">
      <c r="B2334" s="60" t="s">
        <v>7097</v>
      </c>
      <c r="C2334" s="60" t="s">
        <v>7098</v>
      </c>
      <c r="D2334" s="60" t="s">
        <v>7099</v>
      </c>
    </row>
    <row r="2335" spans="2:4" x14ac:dyDescent="0.35">
      <c r="B2335" s="60" t="s">
        <v>7097</v>
      </c>
      <c r="C2335" s="60" t="s">
        <v>7100</v>
      </c>
      <c r="D2335" s="60" t="s">
        <v>7101</v>
      </c>
    </row>
    <row r="2336" spans="2:4" x14ac:dyDescent="0.35">
      <c r="B2336" s="60" t="s">
        <v>7102</v>
      </c>
      <c r="C2336" s="60" t="s">
        <v>7103</v>
      </c>
      <c r="D2336" s="60" t="s">
        <v>7104</v>
      </c>
    </row>
    <row r="2337" spans="2:4" x14ac:dyDescent="0.35">
      <c r="B2337" s="60" t="s">
        <v>7105</v>
      </c>
      <c r="C2337" s="60" t="s">
        <v>7106</v>
      </c>
      <c r="D2337" s="60" t="s">
        <v>7107</v>
      </c>
    </row>
    <row r="2338" spans="2:4" x14ac:dyDescent="0.35">
      <c r="B2338" s="60" t="s">
        <v>7108</v>
      </c>
      <c r="C2338" s="60" t="s">
        <v>7109</v>
      </c>
      <c r="D2338" s="60" t="s">
        <v>7110</v>
      </c>
    </row>
    <row r="2339" spans="2:4" x14ac:dyDescent="0.35">
      <c r="B2339" s="60" t="s">
        <v>7111</v>
      </c>
      <c r="C2339" s="60" t="s">
        <v>7112</v>
      </c>
      <c r="D2339" s="60" t="s">
        <v>7113</v>
      </c>
    </row>
    <row r="2340" spans="2:4" x14ac:dyDescent="0.35">
      <c r="B2340" s="60" t="s">
        <v>7114</v>
      </c>
      <c r="C2340" s="60" t="s">
        <v>7115</v>
      </c>
      <c r="D2340" s="60" t="s">
        <v>7116</v>
      </c>
    </row>
    <row r="2341" spans="2:4" x14ac:dyDescent="0.35">
      <c r="B2341" s="60" t="s">
        <v>7117</v>
      </c>
      <c r="C2341" s="60" t="s">
        <v>7118</v>
      </c>
      <c r="D2341" s="60" t="s">
        <v>7119</v>
      </c>
    </row>
    <row r="2342" spans="2:4" x14ac:dyDescent="0.35">
      <c r="B2342" s="60" t="s">
        <v>7120</v>
      </c>
      <c r="C2342" s="60" t="s">
        <v>7121</v>
      </c>
      <c r="D2342" s="60" t="s">
        <v>7122</v>
      </c>
    </row>
    <row r="2343" spans="2:4" x14ac:dyDescent="0.35">
      <c r="B2343" s="60" t="s">
        <v>7123</v>
      </c>
      <c r="C2343" s="60" t="s">
        <v>7124</v>
      </c>
      <c r="D2343" s="60" t="s">
        <v>7125</v>
      </c>
    </row>
    <row r="2344" spans="2:4" x14ac:dyDescent="0.35">
      <c r="B2344" s="60" t="s">
        <v>7126</v>
      </c>
      <c r="C2344" s="60" t="s">
        <v>7127</v>
      </c>
      <c r="D2344" s="60" t="s">
        <v>7128</v>
      </c>
    </row>
    <row r="2345" spans="2:4" x14ac:dyDescent="0.35">
      <c r="B2345" s="60" t="s">
        <v>7129</v>
      </c>
      <c r="C2345" s="60" t="s">
        <v>7130</v>
      </c>
      <c r="D2345" s="60" t="s">
        <v>7131</v>
      </c>
    </row>
    <row r="2346" spans="2:4" x14ac:dyDescent="0.35">
      <c r="B2346" s="60" t="s">
        <v>7132</v>
      </c>
      <c r="C2346" s="60" t="s">
        <v>7133</v>
      </c>
      <c r="D2346" s="60" t="s">
        <v>7134</v>
      </c>
    </row>
    <row r="2347" spans="2:4" x14ac:dyDescent="0.35">
      <c r="B2347" s="60" t="s">
        <v>7135</v>
      </c>
      <c r="C2347" s="60" t="s">
        <v>7136</v>
      </c>
      <c r="D2347" s="60" t="s">
        <v>7137</v>
      </c>
    </row>
    <row r="2348" spans="2:4" x14ac:dyDescent="0.35">
      <c r="B2348" s="60" t="s">
        <v>7138</v>
      </c>
      <c r="C2348" s="60" t="s">
        <v>7139</v>
      </c>
      <c r="D2348" s="60" t="s">
        <v>7140</v>
      </c>
    </row>
    <row r="2349" spans="2:4" x14ac:dyDescent="0.35">
      <c r="B2349" s="60" t="s">
        <v>7141</v>
      </c>
      <c r="C2349" s="60" t="s">
        <v>7142</v>
      </c>
      <c r="D2349" s="60" t="s">
        <v>7143</v>
      </c>
    </row>
    <row r="2350" spans="2:4" x14ac:dyDescent="0.35">
      <c r="B2350" s="60" t="s">
        <v>7144</v>
      </c>
      <c r="C2350" s="60" t="s">
        <v>7145</v>
      </c>
      <c r="D2350" s="60" t="s">
        <v>7146</v>
      </c>
    </row>
    <row r="2351" spans="2:4" x14ac:dyDescent="0.35">
      <c r="B2351" s="60" t="s">
        <v>7147</v>
      </c>
      <c r="C2351" s="60" t="s">
        <v>7148</v>
      </c>
      <c r="D2351" s="60" t="s">
        <v>7149</v>
      </c>
    </row>
    <row r="2352" spans="2:4" x14ac:dyDescent="0.35">
      <c r="B2352" s="60" t="s">
        <v>7150</v>
      </c>
      <c r="C2352" s="60" t="s">
        <v>7151</v>
      </c>
      <c r="D2352" s="60" t="s">
        <v>7152</v>
      </c>
    </row>
    <row r="2353" spans="2:4" x14ac:dyDescent="0.35">
      <c r="B2353" s="60" t="s">
        <v>7153</v>
      </c>
      <c r="C2353" s="60" t="s">
        <v>7154</v>
      </c>
      <c r="D2353" s="60" t="s">
        <v>7155</v>
      </c>
    </row>
    <row r="2354" spans="2:4" x14ac:dyDescent="0.35">
      <c r="B2354" s="60" t="s">
        <v>7156</v>
      </c>
      <c r="C2354" s="60" t="s">
        <v>7157</v>
      </c>
      <c r="D2354" s="60" t="s">
        <v>7158</v>
      </c>
    </row>
    <row r="2355" spans="2:4" x14ac:dyDescent="0.35">
      <c r="B2355" s="60" t="s">
        <v>7159</v>
      </c>
      <c r="C2355" s="60" t="s">
        <v>7160</v>
      </c>
      <c r="D2355" s="60" t="s">
        <v>7161</v>
      </c>
    </row>
    <row r="2356" spans="2:4" x14ac:dyDescent="0.35">
      <c r="B2356" s="60" t="s">
        <v>7162</v>
      </c>
      <c r="C2356" s="60" t="s">
        <v>7163</v>
      </c>
      <c r="D2356" s="60" t="s">
        <v>7164</v>
      </c>
    </row>
    <row r="2357" spans="2:4" x14ac:dyDescent="0.35">
      <c r="B2357" s="60" t="s">
        <v>7165</v>
      </c>
      <c r="C2357" s="60" t="s">
        <v>7166</v>
      </c>
      <c r="D2357" s="60" t="s">
        <v>7167</v>
      </c>
    </row>
    <row r="2358" spans="2:4" x14ac:dyDescent="0.35">
      <c r="B2358" s="60" t="s">
        <v>7168</v>
      </c>
      <c r="C2358" s="60" t="s">
        <v>7169</v>
      </c>
      <c r="D2358" s="60" t="s">
        <v>7170</v>
      </c>
    </row>
    <row r="2359" spans="2:4" x14ac:dyDescent="0.35">
      <c r="B2359" s="60" t="s">
        <v>7171</v>
      </c>
      <c r="C2359" s="60" t="s">
        <v>7172</v>
      </c>
      <c r="D2359" s="60" t="s">
        <v>7173</v>
      </c>
    </row>
    <row r="2360" spans="2:4" x14ac:dyDescent="0.35">
      <c r="B2360" s="60" t="s">
        <v>7174</v>
      </c>
      <c r="C2360" s="60" t="s">
        <v>7175</v>
      </c>
      <c r="D2360" s="60" t="s">
        <v>7176</v>
      </c>
    </row>
    <row r="2361" spans="2:4" x14ac:dyDescent="0.35">
      <c r="B2361" s="60" t="s">
        <v>7177</v>
      </c>
      <c r="C2361" s="60" t="s">
        <v>7178</v>
      </c>
      <c r="D2361" s="60" t="s">
        <v>7179</v>
      </c>
    </row>
    <row r="2362" spans="2:4" x14ac:dyDescent="0.35">
      <c r="B2362" s="60" t="s">
        <v>7180</v>
      </c>
      <c r="C2362" s="60" t="s">
        <v>7181</v>
      </c>
      <c r="D2362" s="60" t="s">
        <v>7182</v>
      </c>
    </row>
    <row r="2363" spans="2:4" x14ac:dyDescent="0.35">
      <c r="B2363" s="60" t="s">
        <v>7183</v>
      </c>
      <c r="C2363" s="60" t="s">
        <v>7184</v>
      </c>
      <c r="D2363" s="60" t="s">
        <v>7185</v>
      </c>
    </row>
    <row r="2364" spans="2:4" x14ac:dyDescent="0.35">
      <c r="B2364" s="60" t="s">
        <v>7186</v>
      </c>
      <c r="C2364" s="60" t="s">
        <v>7187</v>
      </c>
      <c r="D2364" s="60" t="s">
        <v>7188</v>
      </c>
    </row>
    <row r="2365" spans="2:4" x14ac:dyDescent="0.35">
      <c r="B2365" s="60" t="s">
        <v>7189</v>
      </c>
      <c r="C2365" s="60" t="s">
        <v>7190</v>
      </c>
      <c r="D2365" s="60" t="s">
        <v>7191</v>
      </c>
    </row>
    <row r="2366" spans="2:4" x14ac:dyDescent="0.35">
      <c r="B2366" s="60" t="s">
        <v>7192</v>
      </c>
      <c r="C2366" s="60" t="s">
        <v>7193</v>
      </c>
      <c r="D2366" s="60" t="s">
        <v>7194</v>
      </c>
    </row>
    <row r="2367" spans="2:4" x14ac:dyDescent="0.35">
      <c r="B2367" s="60" t="s">
        <v>7195</v>
      </c>
      <c r="C2367" s="60" t="s">
        <v>7196</v>
      </c>
      <c r="D2367" s="60" t="s">
        <v>7197</v>
      </c>
    </row>
    <row r="2368" spans="2:4" x14ac:dyDescent="0.35">
      <c r="B2368" s="60" t="s">
        <v>7198</v>
      </c>
      <c r="C2368" s="60" t="s">
        <v>7199</v>
      </c>
      <c r="D2368" s="60" t="s">
        <v>7200</v>
      </c>
    </row>
    <row r="2369" spans="2:4" x14ac:dyDescent="0.35">
      <c r="B2369" s="60" t="s">
        <v>7201</v>
      </c>
      <c r="C2369" s="60" t="s">
        <v>7202</v>
      </c>
      <c r="D2369" s="60" t="s">
        <v>7203</v>
      </c>
    </row>
    <row r="2370" spans="2:4" x14ac:dyDescent="0.35">
      <c r="B2370" s="60" t="s">
        <v>7204</v>
      </c>
      <c r="C2370" s="60" t="s">
        <v>7205</v>
      </c>
      <c r="D2370" s="60" t="s">
        <v>7206</v>
      </c>
    </row>
    <row r="2371" spans="2:4" x14ac:dyDescent="0.35">
      <c r="B2371" s="60" t="s">
        <v>7207</v>
      </c>
      <c r="C2371" s="60" t="s">
        <v>7208</v>
      </c>
      <c r="D2371" s="60" t="s">
        <v>7209</v>
      </c>
    </row>
    <row r="2372" spans="2:4" x14ac:dyDescent="0.35">
      <c r="B2372" s="60" t="s">
        <v>7210</v>
      </c>
      <c r="C2372" s="60" t="s">
        <v>7211</v>
      </c>
      <c r="D2372" s="60" t="s">
        <v>7212</v>
      </c>
    </row>
    <row r="2373" spans="2:4" x14ac:dyDescent="0.35">
      <c r="B2373" s="60" t="s">
        <v>7213</v>
      </c>
      <c r="C2373" s="60" t="s">
        <v>7214</v>
      </c>
      <c r="D2373" s="60" t="s">
        <v>7215</v>
      </c>
    </row>
    <row r="2374" spans="2:4" x14ac:dyDescent="0.35">
      <c r="B2374" s="60" t="s">
        <v>7216</v>
      </c>
      <c r="C2374" s="60" t="s">
        <v>7217</v>
      </c>
      <c r="D2374" s="60" t="s">
        <v>7218</v>
      </c>
    </row>
    <row r="2375" spans="2:4" x14ac:dyDescent="0.35">
      <c r="B2375" s="60" t="s">
        <v>7219</v>
      </c>
      <c r="C2375" s="60" t="s">
        <v>7220</v>
      </c>
      <c r="D2375" s="60" t="s">
        <v>7221</v>
      </c>
    </row>
    <row r="2376" spans="2:4" x14ac:dyDescent="0.35">
      <c r="B2376" s="60" t="s">
        <v>7222</v>
      </c>
      <c r="C2376" s="60" t="s">
        <v>7223</v>
      </c>
      <c r="D2376" s="60" t="s">
        <v>7224</v>
      </c>
    </row>
    <row r="2377" spans="2:4" x14ac:dyDescent="0.35">
      <c r="B2377" s="60" t="s">
        <v>7225</v>
      </c>
      <c r="C2377" s="60" t="s">
        <v>7226</v>
      </c>
      <c r="D2377" s="60" t="s">
        <v>7227</v>
      </c>
    </row>
    <row r="2378" spans="2:4" x14ac:dyDescent="0.35">
      <c r="B2378" s="60" t="s">
        <v>7228</v>
      </c>
      <c r="C2378" s="60" t="s">
        <v>7229</v>
      </c>
      <c r="D2378" s="60" t="s">
        <v>7230</v>
      </c>
    </row>
    <row r="2379" spans="2:4" x14ac:dyDescent="0.35">
      <c r="B2379" s="60" t="s">
        <v>7231</v>
      </c>
      <c r="C2379" s="60" t="s">
        <v>7232</v>
      </c>
      <c r="D2379" s="60" t="s">
        <v>7233</v>
      </c>
    </row>
    <row r="2380" spans="2:4" x14ac:dyDescent="0.35">
      <c r="B2380" s="60" t="s">
        <v>7234</v>
      </c>
      <c r="C2380" s="60" t="s">
        <v>7235</v>
      </c>
      <c r="D2380" s="60" t="s">
        <v>7236</v>
      </c>
    </row>
    <row r="2381" spans="2:4" x14ac:dyDescent="0.35">
      <c r="B2381" s="60" t="s">
        <v>7237</v>
      </c>
      <c r="C2381" s="60" t="s">
        <v>7238</v>
      </c>
      <c r="D2381" s="60" t="s">
        <v>7239</v>
      </c>
    </row>
    <row r="2382" spans="2:4" x14ac:dyDescent="0.35">
      <c r="B2382" s="60" t="s">
        <v>7240</v>
      </c>
      <c r="C2382" s="60" t="s">
        <v>7241</v>
      </c>
      <c r="D2382" s="60" t="s">
        <v>7242</v>
      </c>
    </row>
    <row r="2383" spans="2:4" x14ac:dyDescent="0.35">
      <c r="B2383" s="60" t="s">
        <v>7243</v>
      </c>
      <c r="C2383" s="60" t="s">
        <v>7244</v>
      </c>
      <c r="D2383" s="60" t="s">
        <v>7245</v>
      </c>
    </row>
    <row r="2384" spans="2:4" x14ac:dyDescent="0.35">
      <c r="B2384" s="60" t="s">
        <v>7243</v>
      </c>
      <c r="C2384" s="60" t="s">
        <v>7246</v>
      </c>
      <c r="D2384" s="60" t="s">
        <v>7247</v>
      </c>
    </row>
    <row r="2385" spans="2:4" x14ac:dyDescent="0.35">
      <c r="B2385" s="60" t="s">
        <v>7248</v>
      </c>
      <c r="C2385" s="60" t="s">
        <v>7249</v>
      </c>
      <c r="D2385" s="60" t="s">
        <v>7250</v>
      </c>
    </row>
    <row r="2386" spans="2:4" x14ac:dyDescent="0.35">
      <c r="B2386" s="60" t="s">
        <v>7251</v>
      </c>
      <c r="C2386" s="60" t="s">
        <v>7252</v>
      </c>
      <c r="D2386" s="60" t="s">
        <v>7253</v>
      </c>
    </row>
    <row r="2387" spans="2:4" x14ac:dyDescent="0.35">
      <c r="B2387" s="60" t="s">
        <v>7254</v>
      </c>
      <c r="C2387" s="60" t="s">
        <v>7255</v>
      </c>
      <c r="D2387" s="60" t="s">
        <v>7256</v>
      </c>
    </row>
    <row r="2388" spans="2:4" x14ac:dyDescent="0.35">
      <c r="B2388" s="60" t="s">
        <v>7257</v>
      </c>
      <c r="C2388" s="60" t="s">
        <v>7258</v>
      </c>
      <c r="D2388" s="60" t="s">
        <v>7259</v>
      </c>
    </row>
    <row r="2389" spans="2:4" x14ac:dyDescent="0.35">
      <c r="B2389" s="60" t="s">
        <v>7260</v>
      </c>
      <c r="C2389" s="60" t="s">
        <v>7261</v>
      </c>
      <c r="D2389" s="60" t="s">
        <v>7262</v>
      </c>
    </row>
    <row r="2390" spans="2:4" x14ac:dyDescent="0.35">
      <c r="B2390" s="60" t="s">
        <v>7263</v>
      </c>
      <c r="C2390" s="60" t="s">
        <v>7264</v>
      </c>
      <c r="D2390" s="60" t="s">
        <v>7265</v>
      </c>
    </row>
    <row r="2391" spans="2:4" x14ac:dyDescent="0.35">
      <c r="B2391" s="60" t="s">
        <v>7266</v>
      </c>
      <c r="C2391" s="60" t="s">
        <v>7267</v>
      </c>
      <c r="D2391" s="60" t="s">
        <v>7268</v>
      </c>
    </row>
    <row r="2392" spans="2:4" x14ac:dyDescent="0.35">
      <c r="B2392" s="60" t="s">
        <v>7269</v>
      </c>
      <c r="C2392" s="60" t="s">
        <v>7270</v>
      </c>
      <c r="D2392" s="60" t="s">
        <v>7271</v>
      </c>
    </row>
    <row r="2393" spans="2:4" x14ac:dyDescent="0.35">
      <c r="B2393" s="60" t="s">
        <v>7272</v>
      </c>
      <c r="C2393" s="60" t="s">
        <v>7273</v>
      </c>
      <c r="D2393" s="60" t="s">
        <v>7274</v>
      </c>
    </row>
    <row r="2394" spans="2:4" x14ac:dyDescent="0.35">
      <c r="B2394" s="60" t="s">
        <v>7275</v>
      </c>
      <c r="C2394" s="60" t="s">
        <v>7276</v>
      </c>
      <c r="D2394" s="60" t="s">
        <v>7277</v>
      </c>
    </row>
    <row r="2395" spans="2:4" x14ac:dyDescent="0.35">
      <c r="B2395" s="60" t="s">
        <v>7278</v>
      </c>
      <c r="C2395" s="60" t="s">
        <v>7279</v>
      </c>
      <c r="D2395" s="60" t="s">
        <v>7280</v>
      </c>
    </row>
    <row r="2396" spans="2:4" x14ac:dyDescent="0.35">
      <c r="B2396" s="60" t="s">
        <v>7281</v>
      </c>
      <c r="C2396" s="60" t="s">
        <v>7282</v>
      </c>
      <c r="D2396" s="60" t="s">
        <v>7283</v>
      </c>
    </row>
    <row r="2397" spans="2:4" x14ac:dyDescent="0.35">
      <c r="B2397" s="60" t="s">
        <v>7284</v>
      </c>
      <c r="C2397" s="60" t="s">
        <v>7285</v>
      </c>
      <c r="D2397" s="60" t="s">
        <v>7286</v>
      </c>
    </row>
    <row r="2398" spans="2:4" x14ac:dyDescent="0.35">
      <c r="B2398" s="60" t="s">
        <v>7287</v>
      </c>
      <c r="C2398" s="60" t="s">
        <v>7288</v>
      </c>
      <c r="D2398" s="60" t="s">
        <v>7289</v>
      </c>
    </row>
    <row r="2399" spans="2:4" x14ac:dyDescent="0.35">
      <c r="B2399" s="60" t="s">
        <v>7290</v>
      </c>
      <c r="C2399" s="60" t="s">
        <v>7291</v>
      </c>
      <c r="D2399" s="60" t="s">
        <v>7292</v>
      </c>
    </row>
    <row r="2400" spans="2:4" x14ac:dyDescent="0.35">
      <c r="B2400" s="60" t="s">
        <v>7293</v>
      </c>
      <c r="C2400" s="60" t="s">
        <v>7294</v>
      </c>
      <c r="D2400" s="60" t="s">
        <v>7295</v>
      </c>
    </row>
    <row r="2401" spans="2:4" x14ac:dyDescent="0.35">
      <c r="B2401" s="60" t="s">
        <v>7293</v>
      </c>
      <c r="C2401" s="60" t="s">
        <v>7296</v>
      </c>
      <c r="D2401" s="60" t="s">
        <v>7297</v>
      </c>
    </row>
    <row r="2402" spans="2:4" x14ac:dyDescent="0.35">
      <c r="B2402" s="60" t="s">
        <v>7298</v>
      </c>
      <c r="C2402" s="60" t="s">
        <v>7299</v>
      </c>
      <c r="D2402" s="60" t="s">
        <v>7300</v>
      </c>
    </row>
    <row r="2403" spans="2:4" x14ac:dyDescent="0.35">
      <c r="B2403" s="60" t="s">
        <v>7301</v>
      </c>
      <c r="C2403" s="60" t="s">
        <v>7302</v>
      </c>
      <c r="D2403" s="60" t="s">
        <v>7303</v>
      </c>
    </row>
    <row r="2404" spans="2:4" x14ac:dyDescent="0.35">
      <c r="B2404" s="60" t="s">
        <v>7304</v>
      </c>
      <c r="C2404" s="60" t="s">
        <v>7305</v>
      </c>
      <c r="D2404" s="60" t="s">
        <v>7306</v>
      </c>
    </row>
    <row r="2405" spans="2:4" x14ac:dyDescent="0.35">
      <c r="B2405" s="60" t="s">
        <v>7307</v>
      </c>
      <c r="C2405" s="60" t="s">
        <v>7308</v>
      </c>
      <c r="D2405" s="60" t="s">
        <v>7309</v>
      </c>
    </row>
    <row r="2406" spans="2:4" x14ac:dyDescent="0.35">
      <c r="B2406" s="60" t="s">
        <v>7310</v>
      </c>
      <c r="C2406" s="60" t="s">
        <v>7311</v>
      </c>
      <c r="D2406" s="60" t="s">
        <v>7312</v>
      </c>
    </row>
    <row r="2407" spans="2:4" x14ac:dyDescent="0.35">
      <c r="B2407" s="60" t="s">
        <v>7313</v>
      </c>
      <c r="C2407" s="60" t="s">
        <v>7314</v>
      </c>
      <c r="D2407" s="60" t="s">
        <v>7315</v>
      </c>
    </row>
    <row r="2408" spans="2:4" x14ac:dyDescent="0.35">
      <c r="B2408" s="60" t="s">
        <v>7316</v>
      </c>
      <c r="C2408" s="60" t="s">
        <v>7317</v>
      </c>
      <c r="D2408" s="60" t="s">
        <v>7318</v>
      </c>
    </row>
    <row r="2409" spans="2:4" x14ac:dyDescent="0.35">
      <c r="B2409" s="60" t="s">
        <v>7319</v>
      </c>
      <c r="C2409" s="60" t="s">
        <v>7320</v>
      </c>
      <c r="D2409" s="60" t="s">
        <v>7321</v>
      </c>
    </row>
    <row r="2410" spans="2:4" x14ac:dyDescent="0.35">
      <c r="B2410" s="60" t="s">
        <v>7322</v>
      </c>
      <c r="C2410" s="60" t="s">
        <v>7323</v>
      </c>
      <c r="D2410" s="60" t="s">
        <v>7324</v>
      </c>
    </row>
    <row r="2411" spans="2:4" x14ac:dyDescent="0.35">
      <c r="B2411" s="60" t="s">
        <v>7325</v>
      </c>
      <c r="C2411" s="60" t="s">
        <v>7326</v>
      </c>
      <c r="D2411" s="60" t="s">
        <v>7327</v>
      </c>
    </row>
    <row r="2412" spans="2:4" x14ac:dyDescent="0.35">
      <c r="B2412" s="60" t="s">
        <v>7328</v>
      </c>
      <c r="C2412" s="60" t="s">
        <v>7329</v>
      </c>
      <c r="D2412" s="60" t="s">
        <v>7330</v>
      </c>
    </row>
    <row r="2413" spans="2:4" x14ac:dyDescent="0.35">
      <c r="B2413" s="60" t="s">
        <v>7331</v>
      </c>
      <c r="C2413" s="60" t="s">
        <v>7332</v>
      </c>
      <c r="D2413" s="60" t="s">
        <v>7333</v>
      </c>
    </row>
    <row r="2414" spans="2:4" x14ac:dyDescent="0.35">
      <c r="B2414" s="60" t="s">
        <v>7334</v>
      </c>
      <c r="C2414" s="60" t="s">
        <v>7335</v>
      </c>
      <c r="D2414" s="60" t="s">
        <v>7336</v>
      </c>
    </row>
    <row r="2415" spans="2:4" x14ac:dyDescent="0.35">
      <c r="B2415" s="60" t="s">
        <v>7337</v>
      </c>
      <c r="C2415" s="60" t="s">
        <v>7338</v>
      </c>
      <c r="D2415" s="60" t="s">
        <v>7339</v>
      </c>
    </row>
    <row r="2416" spans="2:4" x14ac:dyDescent="0.35">
      <c r="B2416" s="60" t="s">
        <v>7340</v>
      </c>
      <c r="C2416" s="60" t="s">
        <v>7341</v>
      </c>
      <c r="D2416" s="60" t="s">
        <v>7342</v>
      </c>
    </row>
    <row r="2417" spans="2:4" x14ac:dyDescent="0.35">
      <c r="B2417" s="60" t="s">
        <v>7343</v>
      </c>
      <c r="C2417" s="60" t="s">
        <v>7344</v>
      </c>
      <c r="D2417" s="60" t="s">
        <v>7345</v>
      </c>
    </row>
    <row r="2418" spans="2:4" x14ac:dyDescent="0.35">
      <c r="B2418" s="60" t="s">
        <v>7346</v>
      </c>
      <c r="C2418" s="60" t="s">
        <v>7347</v>
      </c>
      <c r="D2418" s="60" t="s">
        <v>7348</v>
      </c>
    </row>
    <row r="2419" spans="2:4" x14ac:dyDescent="0.35">
      <c r="B2419" s="60" t="s">
        <v>7349</v>
      </c>
      <c r="C2419" s="60" t="s">
        <v>7350</v>
      </c>
      <c r="D2419" s="60" t="s">
        <v>7351</v>
      </c>
    </row>
    <row r="2420" spans="2:4" x14ac:dyDescent="0.35">
      <c r="B2420" s="60" t="s">
        <v>7349</v>
      </c>
      <c r="C2420" s="60" t="s">
        <v>7352</v>
      </c>
      <c r="D2420" s="60" t="s">
        <v>7353</v>
      </c>
    </row>
    <row r="2421" spans="2:4" x14ac:dyDescent="0.35">
      <c r="B2421" s="60" t="s">
        <v>7354</v>
      </c>
      <c r="C2421" s="60" t="s">
        <v>7355</v>
      </c>
      <c r="D2421" s="60" t="s">
        <v>7356</v>
      </c>
    </row>
    <row r="2422" spans="2:4" x14ac:dyDescent="0.35">
      <c r="B2422" s="60" t="s">
        <v>7357</v>
      </c>
      <c r="C2422" s="60" t="s">
        <v>7358</v>
      </c>
      <c r="D2422" s="60" t="s">
        <v>7359</v>
      </c>
    </row>
    <row r="2423" spans="2:4" x14ac:dyDescent="0.35">
      <c r="B2423" s="60" t="s">
        <v>7360</v>
      </c>
      <c r="C2423" s="60" t="s">
        <v>7361</v>
      </c>
      <c r="D2423" s="60" t="s">
        <v>7362</v>
      </c>
    </row>
    <row r="2424" spans="2:4" x14ac:dyDescent="0.35">
      <c r="B2424" s="60" t="s">
        <v>7363</v>
      </c>
      <c r="C2424" s="60" t="s">
        <v>7364</v>
      </c>
      <c r="D2424" s="60" t="s">
        <v>7365</v>
      </c>
    </row>
    <row r="2425" spans="2:4" x14ac:dyDescent="0.35">
      <c r="B2425" s="60" t="s">
        <v>7366</v>
      </c>
      <c r="C2425" s="60" t="s">
        <v>7367</v>
      </c>
      <c r="D2425" s="60" t="s">
        <v>7368</v>
      </c>
    </row>
    <row r="2426" spans="2:4" x14ac:dyDescent="0.35">
      <c r="B2426" s="60" t="s">
        <v>7369</v>
      </c>
      <c r="C2426" s="60" t="s">
        <v>7370</v>
      </c>
      <c r="D2426" s="60" t="s">
        <v>7371</v>
      </c>
    </row>
    <row r="2427" spans="2:4" x14ac:dyDescent="0.35">
      <c r="B2427" s="60" t="s">
        <v>7372</v>
      </c>
      <c r="C2427" s="60" t="s">
        <v>7373</v>
      </c>
      <c r="D2427" s="60" t="s">
        <v>7374</v>
      </c>
    </row>
    <row r="2428" spans="2:4" x14ac:dyDescent="0.35">
      <c r="B2428" s="60" t="s">
        <v>7375</v>
      </c>
      <c r="C2428" s="60" t="s">
        <v>7376</v>
      </c>
      <c r="D2428" s="60" t="s">
        <v>7377</v>
      </c>
    </row>
    <row r="2429" spans="2:4" x14ac:dyDescent="0.35">
      <c r="B2429" s="60" t="s">
        <v>7378</v>
      </c>
      <c r="C2429" s="60" t="s">
        <v>7379</v>
      </c>
      <c r="D2429" s="60" t="s">
        <v>7380</v>
      </c>
    </row>
    <row r="2430" spans="2:4" x14ac:dyDescent="0.35">
      <c r="B2430" s="60" t="s">
        <v>7381</v>
      </c>
      <c r="C2430" s="60" t="s">
        <v>7382</v>
      </c>
      <c r="D2430" s="60" t="s">
        <v>7383</v>
      </c>
    </row>
    <row r="2431" spans="2:4" x14ac:dyDescent="0.35">
      <c r="B2431" s="60" t="s">
        <v>7384</v>
      </c>
      <c r="C2431" s="60" t="s">
        <v>7385</v>
      </c>
      <c r="D2431" s="60" t="s">
        <v>7386</v>
      </c>
    </row>
    <row r="2432" spans="2:4" x14ac:dyDescent="0.35">
      <c r="B2432" s="60" t="s">
        <v>7387</v>
      </c>
      <c r="C2432" s="60" t="s">
        <v>7388</v>
      </c>
      <c r="D2432" s="60" t="s">
        <v>7389</v>
      </c>
    </row>
    <row r="2433" spans="2:4" x14ac:dyDescent="0.35">
      <c r="B2433" s="60" t="s">
        <v>7390</v>
      </c>
      <c r="C2433" s="60" t="s">
        <v>7391</v>
      </c>
      <c r="D2433" s="60" t="s">
        <v>7392</v>
      </c>
    </row>
    <row r="2434" spans="2:4" x14ac:dyDescent="0.35">
      <c r="B2434" s="60" t="s">
        <v>7393</v>
      </c>
      <c r="C2434" s="60" t="s">
        <v>7394</v>
      </c>
      <c r="D2434" s="60" t="s">
        <v>7395</v>
      </c>
    </row>
    <row r="2435" spans="2:4" x14ac:dyDescent="0.35">
      <c r="B2435" s="60" t="s">
        <v>7396</v>
      </c>
      <c r="C2435" s="60" t="s">
        <v>7397</v>
      </c>
      <c r="D2435" s="60" t="s">
        <v>7398</v>
      </c>
    </row>
    <row r="2436" spans="2:4" x14ac:dyDescent="0.35">
      <c r="B2436" s="60" t="s">
        <v>7399</v>
      </c>
      <c r="C2436" s="60" t="s">
        <v>7400</v>
      </c>
      <c r="D2436" s="60" t="s">
        <v>7401</v>
      </c>
    </row>
    <row r="2437" spans="2:4" x14ac:dyDescent="0.35">
      <c r="B2437" s="60" t="s">
        <v>7402</v>
      </c>
      <c r="C2437" s="60" t="s">
        <v>7403</v>
      </c>
      <c r="D2437" s="60" t="s">
        <v>7404</v>
      </c>
    </row>
    <row r="2438" spans="2:4" x14ac:dyDescent="0.35">
      <c r="B2438" s="60" t="s">
        <v>7405</v>
      </c>
      <c r="C2438" s="60" t="s">
        <v>7406</v>
      </c>
      <c r="D2438" s="60" t="s">
        <v>7407</v>
      </c>
    </row>
    <row r="2439" spans="2:4" x14ac:dyDescent="0.35">
      <c r="B2439" s="60" t="s">
        <v>7408</v>
      </c>
      <c r="C2439" s="60" t="s">
        <v>7409</v>
      </c>
      <c r="D2439" s="60" t="s">
        <v>7410</v>
      </c>
    </row>
    <row r="2440" spans="2:4" x14ac:dyDescent="0.35">
      <c r="B2440" s="60" t="s">
        <v>7411</v>
      </c>
      <c r="C2440" s="60" t="s">
        <v>7412</v>
      </c>
      <c r="D2440" s="60" t="s">
        <v>7413</v>
      </c>
    </row>
    <row r="2441" spans="2:4" x14ac:dyDescent="0.35">
      <c r="B2441" s="60" t="s">
        <v>7414</v>
      </c>
      <c r="C2441" s="60" t="s">
        <v>7415</v>
      </c>
      <c r="D2441" s="60" t="s">
        <v>7416</v>
      </c>
    </row>
    <row r="2442" spans="2:4" x14ac:dyDescent="0.35">
      <c r="B2442" s="60" t="s">
        <v>7417</v>
      </c>
      <c r="C2442" s="60" t="s">
        <v>7418</v>
      </c>
      <c r="D2442" s="60" t="s">
        <v>7419</v>
      </c>
    </row>
    <row r="2443" spans="2:4" x14ac:dyDescent="0.35">
      <c r="B2443" s="60" t="s">
        <v>7420</v>
      </c>
      <c r="C2443" s="60" t="s">
        <v>7421</v>
      </c>
      <c r="D2443" s="60" t="s">
        <v>7422</v>
      </c>
    </row>
    <row r="2444" spans="2:4" x14ac:dyDescent="0.35">
      <c r="B2444" s="60" t="s">
        <v>7423</v>
      </c>
      <c r="C2444" s="60" t="s">
        <v>7424</v>
      </c>
      <c r="D2444" s="60" t="s">
        <v>7425</v>
      </c>
    </row>
    <row r="2445" spans="2:4" x14ac:dyDescent="0.35">
      <c r="B2445" s="60" t="s">
        <v>7423</v>
      </c>
      <c r="C2445" s="60" t="s">
        <v>7426</v>
      </c>
      <c r="D2445" s="60" t="s">
        <v>7427</v>
      </c>
    </row>
    <row r="2446" spans="2:4" x14ac:dyDescent="0.35">
      <c r="B2446" s="60" t="s">
        <v>7428</v>
      </c>
      <c r="C2446" s="60" t="s">
        <v>7429</v>
      </c>
      <c r="D2446" s="60" t="s">
        <v>7430</v>
      </c>
    </row>
    <row r="2447" spans="2:4" x14ac:dyDescent="0.35">
      <c r="B2447" s="60" t="s">
        <v>7431</v>
      </c>
      <c r="C2447" s="60" t="s">
        <v>7432</v>
      </c>
      <c r="D2447" s="60" t="s">
        <v>7433</v>
      </c>
    </row>
    <row r="2448" spans="2:4" x14ac:dyDescent="0.35">
      <c r="B2448" s="60" t="s">
        <v>7434</v>
      </c>
      <c r="C2448" s="60" t="s">
        <v>7435</v>
      </c>
      <c r="D2448" s="60" t="s">
        <v>7436</v>
      </c>
    </row>
    <row r="2449" spans="2:4" x14ac:dyDescent="0.35">
      <c r="B2449" s="60" t="s">
        <v>7437</v>
      </c>
      <c r="C2449" s="60" t="s">
        <v>7438</v>
      </c>
      <c r="D2449" s="60" t="s">
        <v>7439</v>
      </c>
    </row>
    <row r="2450" spans="2:4" x14ac:dyDescent="0.35">
      <c r="B2450" s="60" t="s">
        <v>7440</v>
      </c>
      <c r="C2450" s="60" t="s">
        <v>7441</v>
      </c>
      <c r="D2450" s="60" t="s">
        <v>7442</v>
      </c>
    </row>
    <row r="2451" spans="2:4" x14ac:dyDescent="0.35">
      <c r="B2451" s="60" t="s">
        <v>7443</v>
      </c>
      <c r="C2451" s="60" t="s">
        <v>7444</v>
      </c>
      <c r="D2451" s="60" t="s">
        <v>7445</v>
      </c>
    </row>
    <row r="2452" spans="2:4" x14ac:dyDescent="0.35">
      <c r="B2452" s="60" t="s">
        <v>7446</v>
      </c>
      <c r="C2452" s="60" t="s">
        <v>7447</v>
      </c>
      <c r="D2452" s="60" t="s">
        <v>7448</v>
      </c>
    </row>
    <row r="2453" spans="2:4" x14ac:dyDescent="0.35">
      <c r="B2453" s="60" t="s">
        <v>7449</v>
      </c>
      <c r="C2453" s="60" t="s">
        <v>7450</v>
      </c>
      <c r="D2453" s="60" t="s">
        <v>7451</v>
      </c>
    </row>
    <row r="2454" spans="2:4" x14ac:dyDescent="0.35">
      <c r="B2454" s="60" t="s">
        <v>7452</v>
      </c>
      <c r="C2454" s="60" t="s">
        <v>7453</v>
      </c>
      <c r="D2454" s="60" t="s">
        <v>7454</v>
      </c>
    </row>
    <row r="2455" spans="2:4" x14ac:dyDescent="0.35">
      <c r="B2455" s="60" t="s">
        <v>7455</v>
      </c>
      <c r="C2455" s="60" t="s">
        <v>7456</v>
      </c>
      <c r="D2455" s="60" t="s">
        <v>7457</v>
      </c>
    </row>
    <row r="2456" spans="2:4" x14ac:dyDescent="0.35">
      <c r="B2456" s="60" t="s">
        <v>7458</v>
      </c>
      <c r="C2456" s="60" t="s">
        <v>7459</v>
      </c>
      <c r="D2456" s="60" t="s">
        <v>7460</v>
      </c>
    </row>
    <row r="2457" spans="2:4" x14ac:dyDescent="0.35">
      <c r="B2457" s="60" t="s">
        <v>7461</v>
      </c>
      <c r="C2457" s="60" t="s">
        <v>7462</v>
      </c>
      <c r="D2457" s="60" t="s">
        <v>7463</v>
      </c>
    </row>
    <row r="2458" spans="2:4" x14ac:dyDescent="0.35">
      <c r="B2458" s="60" t="s">
        <v>7464</v>
      </c>
      <c r="C2458" s="60" t="s">
        <v>7465</v>
      </c>
      <c r="D2458" s="60" t="s">
        <v>7466</v>
      </c>
    </row>
    <row r="2459" spans="2:4" x14ac:dyDescent="0.35">
      <c r="B2459" s="60" t="s">
        <v>7467</v>
      </c>
      <c r="C2459" s="60" t="s">
        <v>7468</v>
      </c>
      <c r="D2459" s="60" t="s">
        <v>7469</v>
      </c>
    </row>
    <row r="2460" spans="2:4" x14ac:dyDescent="0.35">
      <c r="B2460" s="60" t="s">
        <v>7470</v>
      </c>
      <c r="C2460" s="60" t="s">
        <v>7471</v>
      </c>
      <c r="D2460" s="60" t="s">
        <v>7472</v>
      </c>
    </row>
    <row r="2461" spans="2:4" x14ac:dyDescent="0.35">
      <c r="B2461" s="60" t="s">
        <v>7473</v>
      </c>
      <c r="C2461" s="60" t="s">
        <v>7474</v>
      </c>
      <c r="D2461" s="60" t="s">
        <v>7475</v>
      </c>
    </row>
    <row r="2462" spans="2:4" x14ac:dyDescent="0.35">
      <c r="B2462" s="60" t="s">
        <v>7476</v>
      </c>
      <c r="C2462" s="60" t="s">
        <v>7477</v>
      </c>
      <c r="D2462" s="60" t="s">
        <v>7478</v>
      </c>
    </row>
    <row r="2463" spans="2:4" x14ac:dyDescent="0.35">
      <c r="B2463" s="60" t="s">
        <v>7479</v>
      </c>
      <c r="C2463" s="60" t="s">
        <v>7480</v>
      </c>
      <c r="D2463" s="60" t="s">
        <v>7481</v>
      </c>
    </row>
    <row r="2464" spans="2:4" x14ac:dyDescent="0.35">
      <c r="B2464" s="60" t="s">
        <v>7482</v>
      </c>
      <c r="C2464" s="60" t="s">
        <v>7483</v>
      </c>
      <c r="D2464" s="60" t="s">
        <v>7484</v>
      </c>
    </row>
    <row r="2465" spans="2:4" x14ac:dyDescent="0.35">
      <c r="B2465" s="60" t="s">
        <v>7485</v>
      </c>
      <c r="C2465" s="60" t="s">
        <v>7486</v>
      </c>
      <c r="D2465" s="60" t="s">
        <v>7487</v>
      </c>
    </row>
    <row r="2466" spans="2:4" x14ac:dyDescent="0.35">
      <c r="B2466" s="60" t="s">
        <v>7488</v>
      </c>
      <c r="C2466" s="60" t="s">
        <v>7489</v>
      </c>
      <c r="D2466" s="60" t="s">
        <v>7490</v>
      </c>
    </row>
    <row r="2467" spans="2:4" x14ac:dyDescent="0.35">
      <c r="B2467" s="60" t="s">
        <v>7491</v>
      </c>
      <c r="C2467" s="60" t="s">
        <v>7492</v>
      </c>
      <c r="D2467" s="60" t="s">
        <v>7493</v>
      </c>
    </row>
    <row r="2468" spans="2:4" x14ac:dyDescent="0.35">
      <c r="B2468" s="60" t="s">
        <v>7494</v>
      </c>
      <c r="C2468" s="60" t="s">
        <v>7495</v>
      </c>
      <c r="D2468" s="60" t="s">
        <v>7496</v>
      </c>
    </row>
    <row r="2469" spans="2:4" x14ac:dyDescent="0.35">
      <c r="B2469" s="60" t="s">
        <v>7497</v>
      </c>
      <c r="C2469" s="60" t="s">
        <v>7498</v>
      </c>
      <c r="D2469" s="60" t="s">
        <v>7499</v>
      </c>
    </row>
    <row r="2470" spans="2:4" x14ac:dyDescent="0.35">
      <c r="B2470" s="60" t="s">
        <v>7500</v>
      </c>
      <c r="C2470" s="60" t="s">
        <v>7501</v>
      </c>
      <c r="D2470" s="60" t="s">
        <v>7502</v>
      </c>
    </row>
    <row r="2471" spans="2:4" x14ac:dyDescent="0.35">
      <c r="B2471" s="60" t="s">
        <v>7503</v>
      </c>
      <c r="C2471" s="60" t="s">
        <v>7504</v>
      </c>
      <c r="D2471" s="60" t="s">
        <v>7505</v>
      </c>
    </row>
    <row r="2472" spans="2:4" x14ac:dyDescent="0.35">
      <c r="B2472" s="60" t="s">
        <v>7506</v>
      </c>
      <c r="C2472" s="60" t="s">
        <v>7507</v>
      </c>
      <c r="D2472" s="60" t="s">
        <v>7508</v>
      </c>
    </row>
    <row r="2473" spans="2:4" x14ac:dyDescent="0.35">
      <c r="B2473" s="60" t="s">
        <v>7509</v>
      </c>
      <c r="C2473" s="60" t="s">
        <v>7510</v>
      </c>
      <c r="D2473" s="60" t="s">
        <v>7511</v>
      </c>
    </row>
    <row r="2474" spans="2:4" x14ac:dyDescent="0.35">
      <c r="B2474" s="60" t="s">
        <v>7512</v>
      </c>
      <c r="C2474" s="60" t="s">
        <v>7513</v>
      </c>
      <c r="D2474" s="60" t="s">
        <v>7514</v>
      </c>
    </row>
    <row r="2475" spans="2:4" x14ac:dyDescent="0.35">
      <c r="B2475" s="60" t="s">
        <v>7515</v>
      </c>
      <c r="C2475" s="60" t="s">
        <v>7516</v>
      </c>
      <c r="D2475" s="60" t="s">
        <v>7517</v>
      </c>
    </row>
    <row r="2476" spans="2:4" x14ac:dyDescent="0.35">
      <c r="B2476" s="60" t="s">
        <v>7518</v>
      </c>
      <c r="C2476" s="60" t="s">
        <v>7519</v>
      </c>
      <c r="D2476" s="60" t="s">
        <v>7520</v>
      </c>
    </row>
    <row r="2477" spans="2:4" x14ac:dyDescent="0.35">
      <c r="B2477" s="60" t="s">
        <v>7521</v>
      </c>
      <c r="C2477" s="60" t="s">
        <v>7522</v>
      </c>
      <c r="D2477" s="60" t="s">
        <v>7523</v>
      </c>
    </row>
    <row r="2478" spans="2:4" x14ac:dyDescent="0.35">
      <c r="B2478" s="60" t="s">
        <v>7524</v>
      </c>
      <c r="C2478" s="60" t="s">
        <v>7525</v>
      </c>
      <c r="D2478" s="60" t="s">
        <v>7526</v>
      </c>
    </row>
    <row r="2479" spans="2:4" x14ac:dyDescent="0.35">
      <c r="B2479" s="60" t="s">
        <v>7527</v>
      </c>
      <c r="C2479" s="60" t="s">
        <v>7528</v>
      </c>
      <c r="D2479" s="60" t="s">
        <v>7529</v>
      </c>
    </row>
    <row r="2480" spans="2:4" x14ac:dyDescent="0.35">
      <c r="B2480" s="60" t="s">
        <v>7530</v>
      </c>
      <c r="C2480" s="60" t="s">
        <v>7531</v>
      </c>
      <c r="D2480" s="60" t="s">
        <v>7532</v>
      </c>
    </row>
    <row r="2481" spans="2:4" x14ac:dyDescent="0.35">
      <c r="B2481" s="60" t="s">
        <v>7533</v>
      </c>
      <c r="C2481" s="60" t="s">
        <v>7534</v>
      </c>
      <c r="D2481" s="60" t="s">
        <v>7535</v>
      </c>
    </row>
    <row r="2482" spans="2:4" x14ac:dyDescent="0.35">
      <c r="B2482" s="60" t="s">
        <v>7536</v>
      </c>
      <c r="C2482" s="60" t="s">
        <v>7537</v>
      </c>
      <c r="D2482" s="60" t="s">
        <v>7538</v>
      </c>
    </row>
    <row r="2483" spans="2:4" x14ac:dyDescent="0.35">
      <c r="B2483" s="60" t="s">
        <v>7539</v>
      </c>
      <c r="C2483" s="60" t="s">
        <v>7540</v>
      </c>
      <c r="D2483" s="60" t="s">
        <v>7541</v>
      </c>
    </row>
    <row r="2484" spans="2:4" x14ac:dyDescent="0.35">
      <c r="B2484" s="60" t="s">
        <v>7542</v>
      </c>
      <c r="C2484" s="60" t="s">
        <v>7543</v>
      </c>
      <c r="D2484" s="60" t="s">
        <v>7544</v>
      </c>
    </row>
    <row r="2485" spans="2:4" x14ac:dyDescent="0.35">
      <c r="B2485" s="60" t="s">
        <v>7545</v>
      </c>
      <c r="C2485" s="60" t="s">
        <v>7546</v>
      </c>
      <c r="D2485" s="60" t="s">
        <v>7547</v>
      </c>
    </row>
    <row r="2486" spans="2:4" x14ac:dyDescent="0.35">
      <c r="B2486" s="60" t="s">
        <v>7548</v>
      </c>
      <c r="C2486" s="60" t="s">
        <v>7549</v>
      </c>
      <c r="D2486" s="60" t="s">
        <v>7550</v>
      </c>
    </row>
    <row r="2487" spans="2:4" x14ac:dyDescent="0.35">
      <c r="B2487" s="60" t="s">
        <v>7551</v>
      </c>
      <c r="C2487" s="60" t="s">
        <v>7552</v>
      </c>
      <c r="D2487" s="60" t="s">
        <v>7553</v>
      </c>
    </row>
    <row r="2488" spans="2:4" x14ac:dyDescent="0.35">
      <c r="B2488" s="60" t="s">
        <v>7554</v>
      </c>
      <c r="C2488" s="60" t="s">
        <v>7555</v>
      </c>
      <c r="D2488" s="60" t="s">
        <v>7556</v>
      </c>
    </row>
    <row r="2489" spans="2:4" x14ac:dyDescent="0.35">
      <c r="B2489" s="60" t="s">
        <v>7557</v>
      </c>
      <c r="C2489" s="60" t="s">
        <v>7558</v>
      </c>
      <c r="D2489" s="60" t="s">
        <v>7559</v>
      </c>
    </row>
    <row r="2490" spans="2:4" x14ac:dyDescent="0.35">
      <c r="B2490" s="60" t="s">
        <v>7560</v>
      </c>
      <c r="C2490" s="60" t="s">
        <v>7561</v>
      </c>
      <c r="D2490" s="60" t="s">
        <v>7562</v>
      </c>
    </row>
    <row r="2491" spans="2:4" x14ac:dyDescent="0.35">
      <c r="B2491" s="60" t="s">
        <v>7563</v>
      </c>
      <c r="C2491" s="60" t="s">
        <v>7564</v>
      </c>
      <c r="D2491" s="60" t="s">
        <v>7565</v>
      </c>
    </row>
    <row r="2492" spans="2:4" x14ac:dyDescent="0.35">
      <c r="B2492" s="60" t="s">
        <v>7566</v>
      </c>
      <c r="C2492" s="60" t="s">
        <v>7549</v>
      </c>
      <c r="D2492" s="60" t="s">
        <v>7550</v>
      </c>
    </row>
    <row r="2493" spans="2:4" x14ac:dyDescent="0.35">
      <c r="B2493" s="60" t="s">
        <v>7567</v>
      </c>
      <c r="C2493" s="60" t="s">
        <v>7568</v>
      </c>
      <c r="D2493" s="60" t="s">
        <v>7569</v>
      </c>
    </row>
    <row r="2494" spans="2:4" x14ac:dyDescent="0.35">
      <c r="B2494" s="60" t="s">
        <v>7570</v>
      </c>
      <c r="C2494" s="60" t="s">
        <v>7571</v>
      </c>
      <c r="D2494" s="60" t="s">
        <v>7572</v>
      </c>
    </row>
    <row r="2495" spans="2:4" x14ac:dyDescent="0.35">
      <c r="B2495" s="60" t="s">
        <v>7573</v>
      </c>
      <c r="C2495" s="60" t="s">
        <v>7574</v>
      </c>
      <c r="D2495" s="60" t="s">
        <v>7575</v>
      </c>
    </row>
    <row r="2496" spans="2:4" x14ac:dyDescent="0.35">
      <c r="B2496" s="60" t="s">
        <v>7576</v>
      </c>
      <c r="C2496" s="60" t="s">
        <v>7577</v>
      </c>
      <c r="D2496" s="60" t="s">
        <v>7578</v>
      </c>
    </row>
    <row r="2497" spans="2:4" x14ac:dyDescent="0.35">
      <c r="B2497" s="60" t="s">
        <v>7579</v>
      </c>
      <c r="C2497" s="60" t="s">
        <v>7580</v>
      </c>
      <c r="D2497" s="60" t="s">
        <v>7581</v>
      </c>
    </row>
    <row r="2498" spans="2:4" x14ac:dyDescent="0.35">
      <c r="B2498" s="60" t="s">
        <v>7582</v>
      </c>
      <c r="C2498" s="60" t="s">
        <v>7583</v>
      </c>
      <c r="D2498" s="60" t="s">
        <v>7584</v>
      </c>
    </row>
    <row r="2499" spans="2:4" x14ac:dyDescent="0.35">
      <c r="B2499" s="60" t="s">
        <v>7585</v>
      </c>
      <c r="C2499" s="60" t="s">
        <v>7586</v>
      </c>
      <c r="D2499" s="60" t="s">
        <v>7587</v>
      </c>
    </row>
    <row r="2500" spans="2:4" x14ac:dyDescent="0.35">
      <c r="B2500" s="60" t="s">
        <v>7588</v>
      </c>
      <c r="C2500" s="60" t="s">
        <v>7589</v>
      </c>
      <c r="D2500" s="60" t="s">
        <v>7590</v>
      </c>
    </row>
    <row r="2501" spans="2:4" x14ac:dyDescent="0.35">
      <c r="B2501" s="60" t="s">
        <v>7591</v>
      </c>
      <c r="C2501" s="60" t="s">
        <v>7592</v>
      </c>
      <c r="D2501" s="60" t="s">
        <v>7593</v>
      </c>
    </row>
    <row r="2502" spans="2:4" x14ac:dyDescent="0.35">
      <c r="B2502" s="60" t="s">
        <v>7594</v>
      </c>
      <c r="C2502" s="60" t="s">
        <v>7595</v>
      </c>
      <c r="D2502" s="60" t="s">
        <v>7596</v>
      </c>
    </row>
    <row r="2503" spans="2:4" x14ac:dyDescent="0.35">
      <c r="B2503" s="60" t="s">
        <v>7597</v>
      </c>
      <c r="C2503" s="60" t="s">
        <v>7598</v>
      </c>
      <c r="D2503" s="60" t="s">
        <v>7599</v>
      </c>
    </row>
    <row r="2504" spans="2:4" x14ac:dyDescent="0.35">
      <c r="B2504" s="60" t="s">
        <v>7600</v>
      </c>
      <c r="C2504" s="60" t="s">
        <v>7601</v>
      </c>
      <c r="D2504" s="60" t="s">
        <v>7602</v>
      </c>
    </row>
    <row r="2505" spans="2:4" x14ac:dyDescent="0.35">
      <c r="B2505" s="60" t="s">
        <v>7603</v>
      </c>
      <c r="C2505" s="60" t="s">
        <v>7604</v>
      </c>
      <c r="D2505" s="60" t="s">
        <v>7605</v>
      </c>
    </row>
    <row r="2506" spans="2:4" x14ac:dyDescent="0.35">
      <c r="B2506" s="60" t="s">
        <v>7606</v>
      </c>
      <c r="C2506" s="60" t="s">
        <v>7607</v>
      </c>
      <c r="D2506" s="60" t="s">
        <v>7608</v>
      </c>
    </row>
    <row r="2507" spans="2:4" x14ac:dyDescent="0.35">
      <c r="B2507" s="60" t="s">
        <v>7609</v>
      </c>
      <c r="C2507" s="60" t="s">
        <v>7610</v>
      </c>
      <c r="D2507" s="60" t="s">
        <v>7611</v>
      </c>
    </row>
    <row r="2508" spans="2:4" x14ac:dyDescent="0.35">
      <c r="B2508" s="60" t="s">
        <v>7612</v>
      </c>
      <c r="C2508" s="60" t="s">
        <v>7613</v>
      </c>
      <c r="D2508" s="60" t="s">
        <v>7614</v>
      </c>
    </row>
    <row r="2509" spans="2:4" x14ac:dyDescent="0.35">
      <c r="B2509" s="60" t="s">
        <v>7615</v>
      </c>
      <c r="C2509" s="60" t="s">
        <v>7616</v>
      </c>
      <c r="D2509" s="60" t="s">
        <v>7617</v>
      </c>
    </row>
    <row r="2510" spans="2:4" x14ac:dyDescent="0.35">
      <c r="B2510" s="60" t="s">
        <v>7618</v>
      </c>
      <c r="C2510" s="60" t="s">
        <v>7619</v>
      </c>
      <c r="D2510" s="60" t="s">
        <v>7620</v>
      </c>
    </row>
    <row r="2511" spans="2:4" x14ac:dyDescent="0.35">
      <c r="B2511" s="60" t="s">
        <v>7618</v>
      </c>
      <c r="C2511" s="60" t="s">
        <v>7621</v>
      </c>
      <c r="D2511" s="60" t="s">
        <v>7622</v>
      </c>
    </row>
    <row r="2512" spans="2:4" x14ac:dyDescent="0.35">
      <c r="B2512" s="60" t="s">
        <v>7623</v>
      </c>
      <c r="C2512" s="60" t="s">
        <v>7624</v>
      </c>
      <c r="D2512" s="60" t="s">
        <v>7625</v>
      </c>
    </row>
    <row r="2513" spans="2:4" x14ac:dyDescent="0.35">
      <c r="B2513" s="60" t="s">
        <v>7626</v>
      </c>
      <c r="C2513" s="60" t="s">
        <v>7627</v>
      </c>
      <c r="D2513" s="60" t="s">
        <v>7628</v>
      </c>
    </row>
    <row r="2514" spans="2:4" x14ac:dyDescent="0.35">
      <c r="B2514" s="60" t="s">
        <v>7629</v>
      </c>
      <c r="C2514" s="60" t="s">
        <v>7630</v>
      </c>
      <c r="D2514" s="60" t="s">
        <v>7631</v>
      </c>
    </row>
    <row r="2515" spans="2:4" x14ac:dyDescent="0.35">
      <c r="B2515" s="60" t="s">
        <v>7632</v>
      </c>
      <c r="C2515" s="60" t="s">
        <v>7633</v>
      </c>
      <c r="D2515" s="60" t="s">
        <v>7634</v>
      </c>
    </row>
    <row r="2516" spans="2:4" x14ac:dyDescent="0.35">
      <c r="B2516" s="60" t="s">
        <v>7635</v>
      </c>
      <c r="C2516" s="60" t="s">
        <v>7636</v>
      </c>
      <c r="D2516" s="60" t="s">
        <v>7637</v>
      </c>
    </row>
    <row r="2517" spans="2:4" x14ac:dyDescent="0.35">
      <c r="B2517" s="60" t="s">
        <v>7638</v>
      </c>
      <c r="C2517" s="60" t="s">
        <v>7639</v>
      </c>
      <c r="D2517" s="60" t="s">
        <v>7640</v>
      </c>
    </row>
    <row r="2518" spans="2:4" x14ac:dyDescent="0.35">
      <c r="B2518" s="60" t="s">
        <v>7641</v>
      </c>
      <c r="C2518" s="60" t="s">
        <v>7642</v>
      </c>
      <c r="D2518" s="60" t="s">
        <v>7643</v>
      </c>
    </row>
    <row r="2519" spans="2:4" x14ac:dyDescent="0.35">
      <c r="B2519" s="60" t="s">
        <v>7644</v>
      </c>
      <c r="C2519" s="60" t="s">
        <v>7645</v>
      </c>
      <c r="D2519" s="60" t="s">
        <v>7646</v>
      </c>
    </row>
    <row r="2520" spans="2:4" x14ac:dyDescent="0.35">
      <c r="B2520" s="60" t="s">
        <v>7647</v>
      </c>
      <c r="C2520" s="60" t="s">
        <v>7648</v>
      </c>
      <c r="D2520" s="60" t="s">
        <v>7649</v>
      </c>
    </row>
    <row r="2521" spans="2:4" x14ac:dyDescent="0.35">
      <c r="B2521" s="60" t="s">
        <v>7650</v>
      </c>
      <c r="C2521" s="60" t="s">
        <v>7651</v>
      </c>
      <c r="D2521" s="60" t="s">
        <v>7652</v>
      </c>
    </row>
    <row r="2522" spans="2:4" x14ac:dyDescent="0.35">
      <c r="B2522" s="60" t="s">
        <v>7653</v>
      </c>
      <c r="C2522" s="60" t="s">
        <v>7654</v>
      </c>
      <c r="D2522" s="60" t="s">
        <v>7655</v>
      </c>
    </row>
    <row r="2523" spans="2:4" x14ac:dyDescent="0.35">
      <c r="B2523" s="60" t="s">
        <v>7656</v>
      </c>
      <c r="C2523" s="60" t="s">
        <v>7657</v>
      </c>
      <c r="D2523" s="60" t="s">
        <v>7658</v>
      </c>
    </row>
    <row r="2524" spans="2:4" x14ac:dyDescent="0.35">
      <c r="B2524" s="60" t="s">
        <v>7659</v>
      </c>
      <c r="C2524" s="60" t="s">
        <v>7660</v>
      </c>
      <c r="D2524" s="60" t="s">
        <v>7661</v>
      </c>
    </row>
    <row r="2525" spans="2:4" x14ac:dyDescent="0.35">
      <c r="B2525" s="60" t="s">
        <v>7662</v>
      </c>
      <c r="C2525" s="60" t="s">
        <v>7663</v>
      </c>
      <c r="D2525" s="60" t="s">
        <v>7664</v>
      </c>
    </row>
    <row r="2526" spans="2:4" x14ac:dyDescent="0.35">
      <c r="B2526" s="60" t="s">
        <v>7665</v>
      </c>
      <c r="C2526" s="60" t="s">
        <v>7666</v>
      </c>
      <c r="D2526" s="60" t="s">
        <v>7667</v>
      </c>
    </row>
    <row r="2527" spans="2:4" x14ac:dyDescent="0.35">
      <c r="B2527" s="60" t="s">
        <v>7668</v>
      </c>
      <c r="C2527" s="60" t="s">
        <v>7669</v>
      </c>
      <c r="D2527" s="60" t="s">
        <v>7670</v>
      </c>
    </row>
    <row r="2528" spans="2:4" x14ac:dyDescent="0.35">
      <c r="B2528" s="60" t="s">
        <v>7671</v>
      </c>
      <c r="C2528" s="60" t="s">
        <v>7672</v>
      </c>
      <c r="D2528" s="60" t="s">
        <v>7673</v>
      </c>
    </row>
    <row r="2529" spans="2:4" x14ac:dyDescent="0.35">
      <c r="B2529" s="60" t="s">
        <v>7674</v>
      </c>
      <c r="C2529" s="60" t="s">
        <v>7675</v>
      </c>
      <c r="D2529" s="60" t="s">
        <v>7676</v>
      </c>
    </row>
    <row r="2530" spans="2:4" x14ac:dyDescent="0.35">
      <c r="B2530" s="60" t="s">
        <v>7677</v>
      </c>
      <c r="C2530" s="60" t="s">
        <v>7678</v>
      </c>
      <c r="D2530" s="60" t="s">
        <v>7679</v>
      </c>
    </row>
    <row r="2531" spans="2:4" x14ac:dyDescent="0.35">
      <c r="B2531" s="60" t="s">
        <v>7680</v>
      </c>
      <c r="C2531" s="60" t="s">
        <v>7681</v>
      </c>
      <c r="D2531" s="60" t="s">
        <v>7682</v>
      </c>
    </row>
    <row r="2532" spans="2:4" x14ac:dyDescent="0.35">
      <c r="B2532" s="60" t="s">
        <v>7683</v>
      </c>
      <c r="C2532" s="60" t="s">
        <v>7684</v>
      </c>
      <c r="D2532" s="60" t="s">
        <v>7685</v>
      </c>
    </row>
    <row r="2533" spans="2:4" x14ac:dyDescent="0.35">
      <c r="B2533" s="60" t="s">
        <v>7686</v>
      </c>
      <c r="C2533" s="60" t="s">
        <v>7687</v>
      </c>
      <c r="D2533" s="60" t="s">
        <v>7688</v>
      </c>
    </row>
    <row r="2534" spans="2:4" x14ac:dyDescent="0.35">
      <c r="B2534" s="60" t="s">
        <v>7689</v>
      </c>
      <c r="C2534" s="60" t="s">
        <v>7690</v>
      </c>
      <c r="D2534" s="60" t="s">
        <v>7691</v>
      </c>
    </row>
    <row r="2535" spans="2:4" x14ac:dyDescent="0.35">
      <c r="B2535" s="60" t="s">
        <v>7692</v>
      </c>
      <c r="C2535" s="60" t="s">
        <v>7693</v>
      </c>
      <c r="D2535" s="60" t="s">
        <v>7694</v>
      </c>
    </row>
    <row r="2536" spans="2:4" x14ac:dyDescent="0.35">
      <c r="B2536" s="60" t="s">
        <v>7695</v>
      </c>
      <c r="C2536" s="60" t="s">
        <v>7696</v>
      </c>
      <c r="D2536" s="60" t="s">
        <v>7697</v>
      </c>
    </row>
    <row r="2537" spans="2:4" x14ac:dyDescent="0.35">
      <c r="B2537" s="60" t="s">
        <v>7698</v>
      </c>
      <c r="C2537" s="60" t="s">
        <v>7699</v>
      </c>
      <c r="D2537" s="60" t="s">
        <v>7700</v>
      </c>
    </row>
    <row r="2538" spans="2:4" x14ac:dyDescent="0.35">
      <c r="B2538" s="60" t="s">
        <v>7701</v>
      </c>
      <c r="C2538" s="60" t="s">
        <v>7702</v>
      </c>
      <c r="D2538" s="60" t="s">
        <v>7703</v>
      </c>
    </row>
    <row r="2539" spans="2:4" x14ac:dyDescent="0.35">
      <c r="B2539" s="60" t="s">
        <v>7704</v>
      </c>
      <c r="C2539" s="60" t="s">
        <v>7705</v>
      </c>
      <c r="D2539" s="60" t="s">
        <v>7706</v>
      </c>
    </row>
    <row r="2540" spans="2:4" x14ac:dyDescent="0.35">
      <c r="B2540" s="60" t="s">
        <v>7707</v>
      </c>
      <c r="C2540" s="60" t="s">
        <v>7708</v>
      </c>
      <c r="D2540" s="60" t="s">
        <v>7709</v>
      </c>
    </row>
    <row r="2541" spans="2:4" x14ac:dyDescent="0.35">
      <c r="B2541" s="60" t="s">
        <v>7710</v>
      </c>
      <c r="C2541" s="60" t="s">
        <v>7711</v>
      </c>
      <c r="D2541" s="60" t="s">
        <v>7712</v>
      </c>
    </row>
    <row r="2542" spans="2:4" x14ac:dyDescent="0.35">
      <c r="B2542" s="60" t="s">
        <v>7713</v>
      </c>
      <c r="C2542" s="60" t="s">
        <v>7714</v>
      </c>
      <c r="D2542" s="60" t="s">
        <v>7715</v>
      </c>
    </row>
    <row r="2543" spans="2:4" x14ac:dyDescent="0.35">
      <c r="B2543" s="60" t="s">
        <v>7716</v>
      </c>
      <c r="C2543" s="60" t="s">
        <v>7717</v>
      </c>
      <c r="D2543" s="60" t="s">
        <v>7718</v>
      </c>
    </row>
    <row r="2544" spans="2:4" x14ac:dyDescent="0.35">
      <c r="B2544" s="60" t="s">
        <v>7719</v>
      </c>
      <c r="C2544" s="60" t="s">
        <v>7720</v>
      </c>
      <c r="D2544" s="60" t="s">
        <v>7721</v>
      </c>
    </row>
    <row r="2545" spans="2:4" x14ac:dyDescent="0.35">
      <c r="B2545" s="60" t="s">
        <v>7722</v>
      </c>
      <c r="C2545" s="60" t="s">
        <v>7723</v>
      </c>
      <c r="D2545" s="60" t="s">
        <v>7724</v>
      </c>
    </row>
    <row r="2546" spans="2:4" x14ac:dyDescent="0.35">
      <c r="B2546" s="60" t="s">
        <v>7725</v>
      </c>
      <c r="C2546" s="60" t="s">
        <v>7726</v>
      </c>
      <c r="D2546" s="60" t="s">
        <v>7727</v>
      </c>
    </row>
    <row r="2547" spans="2:4" x14ac:dyDescent="0.35">
      <c r="B2547" s="60" t="s">
        <v>7728</v>
      </c>
      <c r="C2547" s="60" t="s">
        <v>7729</v>
      </c>
      <c r="D2547" s="60" t="s">
        <v>7730</v>
      </c>
    </row>
    <row r="2548" spans="2:4" x14ac:dyDescent="0.35">
      <c r="B2548" s="60" t="s">
        <v>7731</v>
      </c>
      <c r="C2548" s="60" t="s">
        <v>7732</v>
      </c>
      <c r="D2548" s="60" t="s">
        <v>7733</v>
      </c>
    </row>
    <row r="2549" spans="2:4" x14ac:dyDescent="0.35">
      <c r="B2549" s="60" t="s">
        <v>7734</v>
      </c>
      <c r="C2549" s="60" t="s">
        <v>7735</v>
      </c>
      <c r="D2549" s="60" t="s">
        <v>7736</v>
      </c>
    </row>
    <row r="2550" spans="2:4" x14ac:dyDescent="0.35">
      <c r="B2550" s="60" t="s">
        <v>7737</v>
      </c>
      <c r="C2550" s="60" t="s">
        <v>7738</v>
      </c>
      <c r="D2550" s="60" t="s">
        <v>7739</v>
      </c>
    </row>
    <row r="2551" spans="2:4" x14ac:dyDescent="0.35">
      <c r="B2551" s="60" t="s">
        <v>7740</v>
      </c>
      <c r="C2551" s="60" t="s">
        <v>7741</v>
      </c>
      <c r="D2551" s="60" t="s">
        <v>7742</v>
      </c>
    </row>
    <row r="2552" spans="2:4" x14ac:dyDescent="0.35">
      <c r="B2552" s="60" t="s">
        <v>7743</v>
      </c>
      <c r="C2552" s="60" t="s">
        <v>7744</v>
      </c>
      <c r="D2552" s="60" t="s">
        <v>7745</v>
      </c>
    </row>
    <row r="2553" spans="2:4" x14ac:dyDescent="0.35">
      <c r="B2553" s="60" t="s">
        <v>7746</v>
      </c>
      <c r="C2553" s="60" t="s">
        <v>7747</v>
      </c>
      <c r="D2553" s="60" t="s">
        <v>7748</v>
      </c>
    </row>
    <row r="2554" spans="2:4" x14ac:dyDescent="0.35">
      <c r="B2554" s="60" t="s">
        <v>7749</v>
      </c>
      <c r="C2554" s="60" t="s">
        <v>7750</v>
      </c>
      <c r="D2554" s="60" t="s">
        <v>7751</v>
      </c>
    </row>
    <row r="2555" spans="2:4" x14ac:dyDescent="0.35">
      <c r="B2555" s="60" t="s">
        <v>7752</v>
      </c>
      <c r="C2555" s="60" t="s">
        <v>7752</v>
      </c>
      <c r="D2555" s="60" t="s">
        <v>7753</v>
      </c>
    </row>
    <row r="2556" spans="2:4" x14ac:dyDescent="0.35">
      <c r="B2556" s="60" t="s">
        <v>7754</v>
      </c>
      <c r="C2556" s="60" t="s">
        <v>7755</v>
      </c>
      <c r="D2556" s="60" t="s">
        <v>7756</v>
      </c>
    </row>
    <row r="2557" spans="2:4" x14ac:dyDescent="0.35">
      <c r="B2557" s="60" t="s">
        <v>7757</v>
      </c>
      <c r="C2557" s="60" t="s">
        <v>7758</v>
      </c>
      <c r="D2557" s="60" t="s">
        <v>7759</v>
      </c>
    </row>
    <row r="2558" spans="2:4" x14ac:dyDescent="0.35">
      <c r="B2558" s="60" t="s">
        <v>7760</v>
      </c>
      <c r="C2558" s="60" t="s">
        <v>7761</v>
      </c>
      <c r="D2558" s="60" t="s">
        <v>7762</v>
      </c>
    </row>
    <row r="2559" spans="2:4" x14ac:dyDescent="0.35">
      <c r="B2559" s="60" t="s">
        <v>7763</v>
      </c>
      <c r="C2559" s="60" t="s">
        <v>7764</v>
      </c>
      <c r="D2559" s="60" t="s">
        <v>7765</v>
      </c>
    </row>
    <row r="2560" spans="2:4" x14ac:dyDescent="0.35">
      <c r="B2560" s="60" t="s">
        <v>7766</v>
      </c>
      <c r="C2560" s="60" t="s">
        <v>7767</v>
      </c>
      <c r="D2560" s="60" t="s">
        <v>7768</v>
      </c>
    </row>
    <row r="2561" spans="2:4" x14ac:dyDescent="0.35">
      <c r="B2561" s="60" t="s">
        <v>7769</v>
      </c>
      <c r="C2561" s="60" t="s">
        <v>7770</v>
      </c>
      <c r="D2561" s="60" t="s">
        <v>7771</v>
      </c>
    </row>
    <row r="2562" spans="2:4" x14ac:dyDescent="0.35">
      <c r="B2562" s="60" t="s">
        <v>7772</v>
      </c>
      <c r="C2562" s="60" t="s">
        <v>7773</v>
      </c>
      <c r="D2562" s="60" t="s">
        <v>7774</v>
      </c>
    </row>
    <row r="2563" spans="2:4" x14ac:dyDescent="0.35">
      <c r="B2563" s="60" t="s">
        <v>7775</v>
      </c>
      <c r="C2563" s="60" t="s">
        <v>7776</v>
      </c>
      <c r="D2563" s="60" t="s">
        <v>7777</v>
      </c>
    </row>
    <row r="2564" spans="2:4" x14ac:dyDescent="0.35">
      <c r="B2564" s="60" t="s">
        <v>7778</v>
      </c>
      <c r="C2564" s="60" t="s">
        <v>7779</v>
      </c>
      <c r="D2564" s="60" t="s">
        <v>7780</v>
      </c>
    </row>
    <row r="2565" spans="2:4" x14ac:dyDescent="0.35">
      <c r="B2565" s="60" t="s">
        <v>7781</v>
      </c>
      <c r="C2565" s="60" t="s">
        <v>7782</v>
      </c>
      <c r="D2565" s="60" t="s">
        <v>7783</v>
      </c>
    </row>
    <row r="2566" spans="2:4" x14ac:dyDescent="0.35">
      <c r="B2566" s="60" t="s">
        <v>7784</v>
      </c>
      <c r="C2566" s="60" t="s">
        <v>7785</v>
      </c>
      <c r="D2566" s="60" t="s">
        <v>7786</v>
      </c>
    </row>
    <row r="2567" spans="2:4" x14ac:dyDescent="0.35">
      <c r="B2567" s="60" t="s">
        <v>7787</v>
      </c>
      <c r="C2567" s="60" t="s">
        <v>7788</v>
      </c>
      <c r="D2567" s="60" t="s">
        <v>7789</v>
      </c>
    </row>
    <row r="2568" spans="2:4" x14ac:dyDescent="0.35">
      <c r="B2568" s="60" t="s">
        <v>7790</v>
      </c>
      <c r="C2568" s="60" t="s">
        <v>7791</v>
      </c>
      <c r="D2568" s="60" t="s">
        <v>7792</v>
      </c>
    </row>
    <row r="2569" spans="2:4" x14ac:dyDescent="0.35">
      <c r="B2569" s="60" t="s">
        <v>7793</v>
      </c>
      <c r="C2569" s="60" t="s">
        <v>7794</v>
      </c>
      <c r="D2569" s="60" t="s">
        <v>7795</v>
      </c>
    </row>
    <row r="2570" spans="2:4" x14ac:dyDescent="0.35">
      <c r="B2570" s="60" t="s">
        <v>7796</v>
      </c>
      <c r="C2570" s="60" t="s">
        <v>7797</v>
      </c>
      <c r="D2570" s="60" t="s">
        <v>7798</v>
      </c>
    </row>
    <row r="2571" spans="2:4" x14ac:dyDescent="0.35">
      <c r="B2571" s="60" t="s">
        <v>7799</v>
      </c>
      <c r="C2571" s="60" t="s">
        <v>7800</v>
      </c>
      <c r="D2571" s="60" t="s">
        <v>7801</v>
      </c>
    </row>
    <row r="2572" spans="2:4" x14ac:dyDescent="0.35">
      <c r="B2572" s="60" t="s">
        <v>7802</v>
      </c>
      <c r="C2572" s="60" t="s">
        <v>7803</v>
      </c>
      <c r="D2572" s="60" t="s">
        <v>7804</v>
      </c>
    </row>
    <row r="2573" spans="2:4" x14ac:dyDescent="0.35">
      <c r="B2573" s="60" t="s">
        <v>7805</v>
      </c>
      <c r="C2573" s="60" t="s">
        <v>7806</v>
      </c>
      <c r="D2573" s="60" t="s">
        <v>7807</v>
      </c>
    </row>
    <row r="2574" spans="2:4" x14ac:dyDescent="0.35">
      <c r="B2574" s="60" t="s">
        <v>7808</v>
      </c>
      <c r="C2574" s="60" t="s">
        <v>7809</v>
      </c>
      <c r="D2574" s="60" t="s">
        <v>7810</v>
      </c>
    </row>
    <row r="2575" spans="2:4" x14ac:dyDescent="0.35">
      <c r="B2575" s="60" t="s">
        <v>7811</v>
      </c>
      <c r="C2575" s="60" t="s">
        <v>7812</v>
      </c>
      <c r="D2575" s="60" t="s">
        <v>7813</v>
      </c>
    </row>
    <row r="2576" spans="2:4" x14ac:dyDescent="0.35">
      <c r="B2576" s="60" t="s">
        <v>7814</v>
      </c>
      <c r="C2576" s="60" t="s">
        <v>7815</v>
      </c>
      <c r="D2576" s="60" t="s">
        <v>7816</v>
      </c>
    </row>
    <row r="2577" spans="2:4" x14ac:dyDescent="0.35">
      <c r="B2577" s="60" t="s">
        <v>7817</v>
      </c>
      <c r="C2577" s="60" t="s">
        <v>7818</v>
      </c>
      <c r="D2577" s="60" t="s">
        <v>7819</v>
      </c>
    </row>
    <row r="2578" spans="2:4" x14ac:dyDescent="0.35">
      <c r="B2578" s="60" t="s">
        <v>7820</v>
      </c>
      <c r="C2578" s="60" t="s">
        <v>7821</v>
      </c>
      <c r="D2578" s="60" t="s">
        <v>7822</v>
      </c>
    </row>
    <row r="2579" spans="2:4" x14ac:dyDescent="0.35">
      <c r="B2579" s="60" t="s">
        <v>7823</v>
      </c>
      <c r="C2579" s="60" t="s">
        <v>7824</v>
      </c>
      <c r="D2579" s="60" t="s">
        <v>7825</v>
      </c>
    </row>
    <row r="2580" spans="2:4" x14ac:dyDescent="0.35">
      <c r="B2580" s="60" t="s">
        <v>7826</v>
      </c>
      <c r="C2580" s="60" t="s">
        <v>7827</v>
      </c>
      <c r="D2580" s="60" t="s">
        <v>7828</v>
      </c>
    </row>
    <row r="2581" spans="2:4" x14ac:dyDescent="0.35">
      <c r="B2581" s="60" t="s">
        <v>7829</v>
      </c>
      <c r="C2581" s="60" t="s">
        <v>7830</v>
      </c>
      <c r="D2581" s="60" t="s">
        <v>7831</v>
      </c>
    </row>
    <row r="2582" spans="2:4" x14ac:dyDescent="0.35">
      <c r="B2582" s="60" t="s">
        <v>7832</v>
      </c>
      <c r="C2582" s="60" t="s">
        <v>7833</v>
      </c>
      <c r="D2582" s="60" t="s">
        <v>7834</v>
      </c>
    </row>
    <row r="2583" spans="2:4" x14ac:dyDescent="0.35">
      <c r="B2583" s="60" t="s">
        <v>7835</v>
      </c>
      <c r="C2583" s="60" t="s">
        <v>7836</v>
      </c>
      <c r="D2583" s="60" t="s">
        <v>7837</v>
      </c>
    </row>
    <row r="2584" spans="2:4" x14ac:dyDescent="0.35">
      <c r="B2584" s="60" t="s">
        <v>7838</v>
      </c>
      <c r="C2584" s="60" t="s">
        <v>7839</v>
      </c>
      <c r="D2584" s="60" t="s">
        <v>7840</v>
      </c>
    </row>
    <row r="2585" spans="2:4" x14ac:dyDescent="0.35">
      <c r="B2585" s="60" t="s">
        <v>7841</v>
      </c>
      <c r="C2585" s="60" t="s">
        <v>7842</v>
      </c>
      <c r="D2585" s="60" t="s">
        <v>7843</v>
      </c>
    </row>
    <row r="2586" spans="2:4" x14ac:dyDescent="0.35">
      <c r="B2586" s="60" t="s">
        <v>7841</v>
      </c>
      <c r="C2586" s="60" t="s">
        <v>7844</v>
      </c>
      <c r="D2586" s="60" t="s">
        <v>7843</v>
      </c>
    </row>
    <row r="2587" spans="2:4" x14ac:dyDescent="0.35">
      <c r="B2587" s="60" t="s">
        <v>7845</v>
      </c>
      <c r="C2587" s="60" t="s">
        <v>7846</v>
      </c>
      <c r="D2587" s="60" t="s">
        <v>7847</v>
      </c>
    </row>
    <row r="2588" spans="2:4" x14ac:dyDescent="0.35">
      <c r="B2588" s="60" t="s">
        <v>7848</v>
      </c>
      <c r="C2588" s="60" t="s">
        <v>7849</v>
      </c>
      <c r="D2588" s="60" t="s">
        <v>7850</v>
      </c>
    </row>
    <row r="2589" spans="2:4" x14ac:dyDescent="0.35">
      <c r="B2589" s="60" t="s">
        <v>7851</v>
      </c>
      <c r="C2589" s="60" t="s">
        <v>7852</v>
      </c>
      <c r="D2589" s="60" t="s">
        <v>7853</v>
      </c>
    </row>
    <row r="2590" spans="2:4" x14ac:dyDescent="0.35">
      <c r="B2590" s="60" t="s">
        <v>7854</v>
      </c>
      <c r="C2590" s="60" t="s">
        <v>7855</v>
      </c>
      <c r="D2590" s="60" t="s">
        <v>7856</v>
      </c>
    </row>
    <row r="2591" spans="2:4" x14ac:dyDescent="0.35">
      <c r="B2591" s="60" t="s">
        <v>7857</v>
      </c>
      <c r="C2591" s="60" t="s">
        <v>7858</v>
      </c>
      <c r="D2591" s="60" t="s">
        <v>7859</v>
      </c>
    </row>
    <row r="2592" spans="2:4" x14ac:dyDescent="0.35">
      <c r="B2592" s="60" t="s">
        <v>7860</v>
      </c>
      <c r="C2592" s="60" t="s">
        <v>7861</v>
      </c>
      <c r="D2592" s="60" t="s">
        <v>7862</v>
      </c>
    </row>
    <row r="2593" spans="2:4" x14ac:dyDescent="0.35">
      <c r="B2593" s="60" t="s">
        <v>7863</v>
      </c>
      <c r="C2593" s="60" t="s">
        <v>7864</v>
      </c>
      <c r="D2593" s="60" t="s">
        <v>7865</v>
      </c>
    </row>
    <row r="2594" spans="2:4" x14ac:dyDescent="0.35">
      <c r="B2594" s="60" t="s">
        <v>7866</v>
      </c>
      <c r="C2594" s="60" t="s">
        <v>7867</v>
      </c>
      <c r="D2594" s="60" t="s">
        <v>7868</v>
      </c>
    </row>
    <row r="2595" spans="2:4" x14ac:dyDescent="0.35">
      <c r="B2595" s="60" t="s">
        <v>7869</v>
      </c>
      <c r="C2595" s="60" t="s">
        <v>7870</v>
      </c>
      <c r="D2595" s="60" t="s">
        <v>7871</v>
      </c>
    </row>
    <row r="2596" spans="2:4" x14ac:dyDescent="0.35">
      <c r="B2596" s="60" t="s">
        <v>7872</v>
      </c>
      <c r="C2596" s="60" t="s">
        <v>7873</v>
      </c>
      <c r="D2596" s="60" t="s">
        <v>7874</v>
      </c>
    </row>
    <row r="2597" spans="2:4" x14ac:dyDescent="0.35">
      <c r="B2597" s="60" t="s">
        <v>7875</v>
      </c>
      <c r="C2597" s="60" t="s">
        <v>7876</v>
      </c>
      <c r="D2597" s="60" t="s">
        <v>7877</v>
      </c>
    </row>
    <row r="2598" spans="2:4" x14ac:dyDescent="0.35">
      <c r="B2598" s="60" t="s">
        <v>7878</v>
      </c>
      <c r="C2598" s="60" t="s">
        <v>7879</v>
      </c>
      <c r="D2598" s="60" t="s">
        <v>7880</v>
      </c>
    </row>
    <row r="2599" spans="2:4" x14ac:dyDescent="0.35">
      <c r="B2599" s="60" t="s">
        <v>7881</v>
      </c>
      <c r="C2599" s="60" t="s">
        <v>7882</v>
      </c>
      <c r="D2599" s="60" t="s">
        <v>7883</v>
      </c>
    </row>
    <row r="2600" spans="2:4" x14ac:dyDescent="0.35">
      <c r="B2600" s="60" t="s">
        <v>7884</v>
      </c>
      <c r="C2600" s="60" t="s">
        <v>7885</v>
      </c>
      <c r="D2600" s="60" t="s">
        <v>7886</v>
      </c>
    </row>
    <row r="2601" spans="2:4" x14ac:dyDescent="0.35">
      <c r="B2601" s="60" t="s">
        <v>7887</v>
      </c>
      <c r="C2601" s="60" t="s">
        <v>7888</v>
      </c>
      <c r="D2601" s="60" t="s">
        <v>7889</v>
      </c>
    </row>
    <row r="2602" spans="2:4" x14ac:dyDescent="0.35">
      <c r="B2602" s="60" t="s">
        <v>7890</v>
      </c>
      <c r="C2602" s="60" t="s">
        <v>7891</v>
      </c>
      <c r="D2602" s="60" t="s">
        <v>7892</v>
      </c>
    </row>
    <row r="2603" spans="2:4" x14ac:dyDescent="0.35">
      <c r="B2603" s="60" t="s">
        <v>7893</v>
      </c>
      <c r="C2603" s="60" t="s">
        <v>7894</v>
      </c>
      <c r="D2603" s="60" t="s">
        <v>7895</v>
      </c>
    </row>
    <row r="2604" spans="2:4" x14ac:dyDescent="0.35">
      <c r="B2604" s="60" t="s">
        <v>7896</v>
      </c>
      <c r="C2604" s="60" t="s">
        <v>7897</v>
      </c>
      <c r="D2604" s="60" t="s">
        <v>7898</v>
      </c>
    </row>
    <row r="2605" spans="2:4" x14ac:dyDescent="0.35">
      <c r="B2605" s="60" t="s">
        <v>7899</v>
      </c>
      <c r="C2605" s="60" t="s">
        <v>7900</v>
      </c>
      <c r="D2605" s="60" t="s">
        <v>7901</v>
      </c>
    </row>
    <row r="2606" spans="2:4" x14ac:dyDescent="0.35">
      <c r="B2606" s="60" t="s">
        <v>7902</v>
      </c>
      <c r="C2606" s="60" t="s">
        <v>7903</v>
      </c>
      <c r="D2606" s="60" t="s">
        <v>7904</v>
      </c>
    </row>
    <row r="2607" spans="2:4" x14ac:dyDescent="0.35">
      <c r="B2607" s="60" t="s">
        <v>7905</v>
      </c>
      <c r="C2607" s="60" t="s">
        <v>7906</v>
      </c>
      <c r="D2607" s="60" t="s">
        <v>7907</v>
      </c>
    </row>
    <row r="2608" spans="2:4" x14ac:dyDescent="0.35">
      <c r="B2608" s="60" t="s">
        <v>7908</v>
      </c>
      <c r="C2608" s="60" t="s">
        <v>7909</v>
      </c>
      <c r="D2608" s="60" t="s">
        <v>7910</v>
      </c>
    </row>
    <row r="2609" spans="2:4" x14ac:dyDescent="0.35">
      <c r="B2609" s="60" t="s">
        <v>7911</v>
      </c>
      <c r="C2609" s="60" t="s">
        <v>7912</v>
      </c>
      <c r="D2609" s="60" t="s">
        <v>7913</v>
      </c>
    </row>
    <row r="2610" spans="2:4" x14ac:dyDescent="0.35">
      <c r="B2610" s="60" t="s">
        <v>7914</v>
      </c>
      <c r="C2610" s="60" t="s">
        <v>7915</v>
      </c>
      <c r="D2610" s="60" t="s">
        <v>7916</v>
      </c>
    </row>
    <row r="2611" spans="2:4" x14ac:dyDescent="0.35">
      <c r="B2611" s="60" t="s">
        <v>7917</v>
      </c>
      <c r="C2611" s="60" t="s">
        <v>7918</v>
      </c>
      <c r="D2611" s="60" t="s">
        <v>7919</v>
      </c>
    </row>
    <row r="2612" spans="2:4" x14ac:dyDescent="0.35">
      <c r="B2612" s="60" t="s">
        <v>7920</v>
      </c>
      <c r="C2612" s="60" t="s">
        <v>7921</v>
      </c>
      <c r="D2612" s="60" t="s">
        <v>7922</v>
      </c>
    </row>
    <row r="2613" spans="2:4" x14ac:dyDescent="0.35">
      <c r="B2613" s="60" t="s">
        <v>7923</v>
      </c>
      <c r="C2613" s="60" t="s">
        <v>7924</v>
      </c>
      <c r="D2613" s="60" t="s">
        <v>7925</v>
      </c>
    </row>
    <row r="2614" spans="2:4" x14ac:dyDescent="0.35">
      <c r="B2614" s="60" t="s">
        <v>7926</v>
      </c>
      <c r="C2614" s="60" t="s">
        <v>7927</v>
      </c>
      <c r="D2614" s="60" t="s">
        <v>7928</v>
      </c>
    </row>
    <row r="2615" spans="2:4" x14ac:dyDescent="0.35">
      <c r="B2615" s="60" t="s">
        <v>7929</v>
      </c>
      <c r="C2615" s="60" t="s">
        <v>7930</v>
      </c>
      <c r="D2615" s="60" t="s">
        <v>7931</v>
      </c>
    </row>
    <row r="2616" spans="2:4" x14ac:dyDescent="0.35">
      <c r="B2616" s="60" t="s">
        <v>7932</v>
      </c>
      <c r="C2616" s="60" t="s">
        <v>7933</v>
      </c>
      <c r="D2616" s="60" t="s">
        <v>7934</v>
      </c>
    </row>
    <row r="2617" spans="2:4" x14ac:dyDescent="0.35">
      <c r="B2617" s="60" t="s">
        <v>7935</v>
      </c>
      <c r="C2617" s="60" t="s">
        <v>7936</v>
      </c>
      <c r="D2617" s="60" t="s">
        <v>7937</v>
      </c>
    </row>
    <row r="2618" spans="2:4" x14ac:dyDescent="0.35">
      <c r="B2618" s="60" t="s">
        <v>7938</v>
      </c>
      <c r="C2618" s="60" t="s">
        <v>7939</v>
      </c>
      <c r="D2618" s="60" t="s">
        <v>7940</v>
      </c>
    </row>
    <row r="2619" spans="2:4" x14ac:dyDescent="0.35">
      <c r="B2619" s="60" t="s">
        <v>7941</v>
      </c>
      <c r="C2619" s="60" t="s">
        <v>7942</v>
      </c>
      <c r="D2619" s="60" t="s">
        <v>7943</v>
      </c>
    </row>
    <row r="2620" spans="2:4" x14ac:dyDescent="0.35">
      <c r="B2620" s="60" t="s">
        <v>7944</v>
      </c>
      <c r="C2620" s="60" t="s">
        <v>7945</v>
      </c>
      <c r="D2620" s="60" t="s">
        <v>7946</v>
      </c>
    </row>
    <row r="2621" spans="2:4" x14ac:dyDescent="0.35">
      <c r="B2621" s="60" t="s">
        <v>7947</v>
      </c>
      <c r="C2621" s="60" t="s">
        <v>7948</v>
      </c>
      <c r="D2621" s="60" t="s">
        <v>7949</v>
      </c>
    </row>
    <row r="2622" spans="2:4" x14ac:dyDescent="0.35">
      <c r="B2622" s="60" t="s">
        <v>7950</v>
      </c>
      <c r="C2622" s="60" t="s">
        <v>7951</v>
      </c>
      <c r="D2622" s="60" t="s">
        <v>7952</v>
      </c>
    </row>
    <row r="2623" spans="2:4" x14ac:dyDescent="0.35">
      <c r="B2623" s="60" t="s">
        <v>7953</v>
      </c>
      <c r="C2623" s="60" t="s">
        <v>7954</v>
      </c>
      <c r="D2623" s="60" t="s">
        <v>7955</v>
      </c>
    </row>
    <row r="2624" spans="2:4" x14ac:dyDescent="0.35">
      <c r="B2624" s="60" t="s">
        <v>7956</v>
      </c>
      <c r="C2624" s="60" t="s">
        <v>7957</v>
      </c>
      <c r="D2624" s="60" t="s">
        <v>7958</v>
      </c>
    </row>
    <row r="2625" spans="2:4" x14ac:dyDescent="0.35">
      <c r="B2625" s="60" t="s">
        <v>7959</v>
      </c>
      <c r="C2625" s="60" t="s">
        <v>7960</v>
      </c>
      <c r="D2625" s="60" t="s">
        <v>7961</v>
      </c>
    </row>
    <row r="2626" spans="2:4" x14ac:dyDescent="0.35">
      <c r="B2626" s="60" t="s">
        <v>7962</v>
      </c>
      <c r="C2626" s="60" t="s">
        <v>7963</v>
      </c>
      <c r="D2626" s="60" t="s">
        <v>7964</v>
      </c>
    </row>
    <row r="2627" spans="2:4" x14ac:dyDescent="0.35">
      <c r="B2627" s="60" t="s">
        <v>7965</v>
      </c>
      <c r="C2627" s="60" t="s">
        <v>7966</v>
      </c>
      <c r="D2627" s="60" t="s">
        <v>7967</v>
      </c>
    </row>
    <row r="2628" spans="2:4" x14ac:dyDescent="0.35">
      <c r="B2628" s="60" t="s">
        <v>7968</v>
      </c>
      <c r="C2628" s="60" t="s">
        <v>7969</v>
      </c>
      <c r="D2628" s="60" t="s">
        <v>7970</v>
      </c>
    </row>
    <row r="2629" spans="2:4" x14ac:dyDescent="0.35">
      <c r="B2629" s="60" t="s">
        <v>7971</v>
      </c>
      <c r="C2629" s="60" t="s">
        <v>7972</v>
      </c>
      <c r="D2629" s="60" t="s">
        <v>7973</v>
      </c>
    </row>
    <row r="2630" spans="2:4" x14ac:dyDescent="0.35">
      <c r="B2630" s="60" t="s">
        <v>7974</v>
      </c>
      <c r="C2630" s="60" t="s">
        <v>7975</v>
      </c>
      <c r="D2630" s="60" t="s">
        <v>7976</v>
      </c>
    </row>
    <row r="2631" spans="2:4" x14ac:dyDescent="0.35">
      <c r="B2631" s="60" t="s">
        <v>7977</v>
      </c>
      <c r="C2631" s="60" t="s">
        <v>7978</v>
      </c>
      <c r="D2631" s="60" t="s">
        <v>7979</v>
      </c>
    </row>
    <row r="2632" spans="2:4" x14ac:dyDescent="0.35">
      <c r="B2632" s="60" t="s">
        <v>7980</v>
      </c>
      <c r="C2632" s="60" t="s">
        <v>7981</v>
      </c>
      <c r="D2632" s="60" t="s">
        <v>7982</v>
      </c>
    </row>
    <row r="2633" spans="2:4" x14ac:dyDescent="0.35">
      <c r="B2633" s="60" t="s">
        <v>7983</v>
      </c>
      <c r="C2633" s="60" t="s">
        <v>7984</v>
      </c>
      <c r="D2633" s="60" t="s">
        <v>7985</v>
      </c>
    </row>
    <row r="2634" spans="2:4" x14ac:dyDescent="0.35">
      <c r="B2634" s="60" t="s">
        <v>7986</v>
      </c>
      <c r="C2634" s="60" t="s">
        <v>7987</v>
      </c>
      <c r="D2634" s="60" t="s">
        <v>7988</v>
      </c>
    </row>
    <row r="2635" spans="2:4" x14ac:dyDescent="0.35">
      <c r="B2635" s="60" t="s">
        <v>7989</v>
      </c>
      <c r="C2635" s="60" t="s">
        <v>7990</v>
      </c>
      <c r="D2635" s="60" t="s">
        <v>7991</v>
      </c>
    </row>
    <row r="2636" spans="2:4" x14ac:dyDescent="0.35">
      <c r="B2636" s="60" t="s">
        <v>7992</v>
      </c>
      <c r="C2636" s="60" t="s">
        <v>7993</v>
      </c>
      <c r="D2636" s="60" t="s">
        <v>7994</v>
      </c>
    </row>
    <row r="2637" spans="2:4" x14ac:dyDescent="0.35">
      <c r="B2637" s="60" t="s">
        <v>7995</v>
      </c>
      <c r="C2637" s="60" t="s">
        <v>7996</v>
      </c>
      <c r="D2637" s="60" t="s">
        <v>7997</v>
      </c>
    </row>
    <row r="2638" spans="2:4" x14ac:dyDescent="0.35">
      <c r="B2638" s="60" t="s">
        <v>7998</v>
      </c>
      <c r="C2638" s="60" t="s">
        <v>7999</v>
      </c>
      <c r="D2638" s="60" t="s">
        <v>8000</v>
      </c>
    </row>
    <row r="2639" spans="2:4" x14ac:dyDescent="0.35">
      <c r="B2639" s="60" t="s">
        <v>8001</v>
      </c>
      <c r="C2639" s="60" t="s">
        <v>8002</v>
      </c>
      <c r="D2639" s="60" t="s">
        <v>8003</v>
      </c>
    </row>
    <row r="2640" spans="2:4" x14ac:dyDescent="0.35">
      <c r="B2640" s="60" t="s">
        <v>8004</v>
      </c>
      <c r="C2640" s="60" t="s">
        <v>8005</v>
      </c>
      <c r="D2640" s="60" t="s">
        <v>8006</v>
      </c>
    </row>
    <row r="2641" spans="2:4" x14ac:dyDescent="0.35">
      <c r="B2641" s="60" t="s">
        <v>8007</v>
      </c>
      <c r="C2641" s="60" t="s">
        <v>8008</v>
      </c>
      <c r="D2641" s="60" t="s">
        <v>8009</v>
      </c>
    </row>
    <row r="2642" spans="2:4" x14ac:dyDescent="0.35">
      <c r="B2642" s="60" t="s">
        <v>8010</v>
      </c>
      <c r="C2642" s="60" t="s">
        <v>8011</v>
      </c>
      <c r="D2642" s="60" t="s">
        <v>8012</v>
      </c>
    </row>
    <row r="2643" spans="2:4" x14ac:dyDescent="0.35">
      <c r="B2643" s="60" t="s">
        <v>8013</v>
      </c>
      <c r="C2643" s="60" t="s">
        <v>8014</v>
      </c>
      <c r="D2643" s="60" t="s">
        <v>8015</v>
      </c>
    </row>
    <row r="2644" spans="2:4" x14ac:dyDescent="0.35">
      <c r="B2644" s="60" t="s">
        <v>8016</v>
      </c>
      <c r="C2644" s="60" t="s">
        <v>8017</v>
      </c>
      <c r="D2644" s="60" t="s">
        <v>8018</v>
      </c>
    </row>
    <row r="2645" spans="2:4" x14ac:dyDescent="0.35">
      <c r="B2645" s="60" t="s">
        <v>8019</v>
      </c>
      <c r="C2645" s="60" t="s">
        <v>8020</v>
      </c>
      <c r="D2645" s="60" t="s">
        <v>8021</v>
      </c>
    </row>
    <row r="2646" spans="2:4" x14ac:dyDescent="0.35">
      <c r="B2646" s="60" t="s">
        <v>8022</v>
      </c>
      <c r="C2646" s="60" t="s">
        <v>8023</v>
      </c>
      <c r="D2646" s="60" t="s">
        <v>8024</v>
      </c>
    </row>
    <row r="2647" spans="2:4" x14ac:dyDescent="0.35">
      <c r="B2647" s="60" t="s">
        <v>8025</v>
      </c>
      <c r="C2647" s="60" t="s">
        <v>8026</v>
      </c>
      <c r="D2647" s="60" t="s">
        <v>8027</v>
      </c>
    </row>
    <row r="2648" spans="2:4" x14ac:dyDescent="0.35">
      <c r="B2648" s="60" t="s">
        <v>8028</v>
      </c>
      <c r="C2648" s="60" t="s">
        <v>8029</v>
      </c>
      <c r="D2648" s="60" t="s">
        <v>8030</v>
      </c>
    </row>
    <row r="2649" spans="2:4" x14ac:dyDescent="0.35">
      <c r="B2649" s="60" t="s">
        <v>8031</v>
      </c>
      <c r="C2649" s="60" t="s">
        <v>8032</v>
      </c>
      <c r="D2649" s="60" t="s">
        <v>8033</v>
      </c>
    </row>
    <row r="2650" spans="2:4" x14ac:dyDescent="0.35">
      <c r="B2650" s="60" t="s">
        <v>8034</v>
      </c>
      <c r="C2650" s="60" t="s">
        <v>8035</v>
      </c>
      <c r="D2650" s="60" t="s">
        <v>8036</v>
      </c>
    </row>
    <row r="2651" spans="2:4" x14ac:dyDescent="0.35">
      <c r="B2651" s="60" t="s">
        <v>8037</v>
      </c>
      <c r="C2651" s="60" t="s">
        <v>8038</v>
      </c>
      <c r="D2651" s="60" t="s">
        <v>8039</v>
      </c>
    </row>
    <row r="2652" spans="2:4" x14ac:dyDescent="0.35">
      <c r="B2652" s="60" t="s">
        <v>8040</v>
      </c>
      <c r="C2652" s="60" t="s">
        <v>8041</v>
      </c>
      <c r="D2652" s="60" t="s">
        <v>8042</v>
      </c>
    </row>
    <row r="2653" spans="2:4" x14ac:dyDescent="0.35">
      <c r="B2653" s="60" t="s">
        <v>8043</v>
      </c>
      <c r="C2653" s="60" t="s">
        <v>8044</v>
      </c>
      <c r="D2653" s="60" t="s">
        <v>8045</v>
      </c>
    </row>
    <row r="2654" spans="2:4" x14ac:dyDescent="0.35">
      <c r="B2654" s="60" t="s">
        <v>8046</v>
      </c>
      <c r="C2654" s="60" t="s">
        <v>8047</v>
      </c>
      <c r="D2654" s="60" t="s">
        <v>8048</v>
      </c>
    </row>
    <row r="2655" spans="2:4" x14ac:dyDescent="0.35">
      <c r="B2655" s="60" t="s">
        <v>8049</v>
      </c>
      <c r="C2655" s="60" t="s">
        <v>8050</v>
      </c>
      <c r="D2655" s="60" t="s">
        <v>8051</v>
      </c>
    </row>
    <row r="2656" spans="2:4" x14ac:dyDescent="0.35">
      <c r="B2656" s="60" t="s">
        <v>8052</v>
      </c>
      <c r="C2656" s="60" t="s">
        <v>8053</v>
      </c>
      <c r="D2656" s="60" t="s">
        <v>8054</v>
      </c>
    </row>
    <row r="2657" spans="2:4" x14ac:dyDescent="0.35">
      <c r="B2657" s="60" t="s">
        <v>8055</v>
      </c>
      <c r="C2657" s="60" t="s">
        <v>8056</v>
      </c>
      <c r="D2657" s="60" t="s">
        <v>8057</v>
      </c>
    </row>
    <row r="2658" spans="2:4" x14ac:dyDescent="0.35">
      <c r="B2658" s="60" t="s">
        <v>8058</v>
      </c>
      <c r="C2658" s="60" t="s">
        <v>8059</v>
      </c>
      <c r="D2658" s="60" t="s">
        <v>8060</v>
      </c>
    </row>
    <row r="2659" spans="2:4" x14ac:dyDescent="0.35">
      <c r="B2659" s="60" t="s">
        <v>8061</v>
      </c>
      <c r="C2659" s="60" t="s">
        <v>8062</v>
      </c>
      <c r="D2659" s="60" t="s">
        <v>8063</v>
      </c>
    </row>
    <row r="2660" spans="2:4" x14ac:dyDescent="0.35">
      <c r="B2660" s="60" t="s">
        <v>8064</v>
      </c>
      <c r="C2660" s="60" t="s">
        <v>8065</v>
      </c>
      <c r="D2660" s="60" t="s">
        <v>8066</v>
      </c>
    </row>
    <row r="2661" spans="2:4" x14ac:dyDescent="0.35">
      <c r="B2661" s="60" t="s">
        <v>8067</v>
      </c>
      <c r="C2661" s="60" t="s">
        <v>8068</v>
      </c>
      <c r="D2661" s="60" t="s">
        <v>8069</v>
      </c>
    </row>
    <row r="2662" spans="2:4" x14ac:dyDescent="0.35">
      <c r="B2662" s="60" t="s">
        <v>8070</v>
      </c>
      <c r="C2662" s="60" t="s">
        <v>8071</v>
      </c>
      <c r="D2662" s="60" t="s">
        <v>8072</v>
      </c>
    </row>
    <row r="2663" spans="2:4" x14ac:dyDescent="0.35">
      <c r="B2663" s="60" t="s">
        <v>8073</v>
      </c>
      <c r="C2663" s="60" t="s">
        <v>8074</v>
      </c>
      <c r="D2663" s="60" t="s">
        <v>8075</v>
      </c>
    </row>
    <row r="2664" spans="2:4" x14ac:dyDescent="0.35">
      <c r="B2664" s="60" t="s">
        <v>8076</v>
      </c>
      <c r="C2664" s="60" t="s">
        <v>8077</v>
      </c>
      <c r="D2664" s="60" t="s">
        <v>8078</v>
      </c>
    </row>
    <row r="2665" spans="2:4" x14ac:dyDescent="0.35">
      <c r="B2665" s="60" t="s">
        <v>8079</v>
      </c>
      <c r="C2665" s="60" t="s">
        <v>8080</v>
      </c>
      <c r="D2665" s="60" t="s">
        <v>8081</v>
      </c>
    </row>
    <row r="2666" spans="2:4" x14ac:dyDescent="0.35">
      <c r="B2666" s="60" t="s">
        <v>8082</v>
      </c>
      <c r="C2666" s="60" t="s">
        <v>8083</v>
      </c>
      <c r="D2666" s="60" t="s">
        <v>8084</v>
      </c>
    </row>
    <row r="2667" spans="2:4" x14ac:dyDescent="0.35">
      <c r="B2667" s="60" t="s">
        <v>8085</v>
      </c>
      <c r="C2667" s="60" t="s">
        <v>8086</v>
      </c>
      <c r="D2667" s="60" t="s">
        <v>8087</v>
      </c>
    </row>
    <row r="2668" spans="2:4" x14ac:dyDescent="0.35">
      <c r="B2668" s="60" t="s">
        <v>8088</v>
      </c>
      <c r="C2668" s="60" t="s">
        <v>8089</v>
      </c>
      <c r="D2668" s="60" t="s">
        <v>8090</v>
      </c>
    </row>
    <row r="2669" spans="2:4" x14ac:dyDescent="0.35">
      <c r="B2669" s="60" t="s">
        <v>8091</v>
      </c>
      <c r="C2669" s="60" t="s">
        <v>8092</v>
      </c>
      <c r="D2669" s="60" t="s">
        <v>8093</v>
      </c>
    </row>
    <row r="2670" spans="2:4" x14ac:dyDescent="0.35">
      <c r="B2670" s="60" t="s">
        <v>8094</v>
      </c>
      <c r="C2670" s="60" t="s">
        <v>8095</v>
      </c>
      <c r="D2670" s="60" t="s">
        <v>8096</v>
      </c>
    </row>
    <row r="2671" spans="2:4" x14ac:dyDescent="0.35">
      <c r="B2671" s="60" t="s">
        <v>8097</v>
      </c>
      <c r="C2671" s="60" t="s">
        <v>8098</v>
      </c>
      <c r="D2671" s="60" t="s">
        <v>8099</v>
      </c>
    </row>
    <row r="2672" spans="2:4" x14ac:dyDescent="0.35">
      <c r="B2672" s="60" t="s">
        <v>8100</v>
      </c>
      <c r="C2672" s="60" t="s">
        <v>8101</v>
      </c>
      <c r="D2672" s="60" t="s">
        <v>8102</v>
      </c>
    </row>
    <row r="2673" spans="2:4" x14ac:dyDescent="0.35">
      <c r="B2673" s="60" t="s">
        <v>8103</v>
      </c>
      <c r="C2673" s="60" t="s">
        <v>8104</v>
      </c>
      <c r="D2673" s="60" t="s">
        <v>8105</v>
      </c>
    </row>
    <row r="2674" spans="2:4" x14ac:dyDescent="0.35">
      <c r="B2674" s="60" t="s">
        <v>8106</v>
      </c>
      <c r="C2674" s="60" t="s">
        <v>8107</v>
      </c>
      <c r="D2674" s="60" t="s">
        <v>8108</v>
      </c>
    </row>
    <row r="2675" spans="2:4" x14ac:dyDescent="0.35">
      <c r="B2675" s="60" t="s">
        <v>8109</v>
      </c>
      <c r="C2675" s="60" t="s">
        <v>8110</v>
      </c>
      <c r="D2675" s="60" t="s">
        <v>8111</v>
      </c>
    </row>
    <row r="2676" spans="2:4" x14ac:dyDescent="0.35">
      <c r="B2676" s="60" t="s">
        <v>8112</v>
      </c>
      <c r="C2676" s="60" t="s">
        <v>8113</v>
      </c>
      <c r="D2676" s="60" t="s">
        <v>8114</v>
      </c>
    </row>
    <row r="2677" spans="2:4" x14ac:dyDescent="0.35">
      <c r="B2677" s="60" t="s">
        <v>8115</v>
      </c>
      <c r="C2677" s="60" t="s">
        <v>8116</v>
      </c>
      <c r="D2677" s="60" t="s">
        <v>8117</v>
      </c>
    </row>
    <row r="2678" spans="2:4" x14ac:dyDescent="0.35">
      <c r="B2678" s="60" t="s">
        <v>8118</v>
      </c>
      <c r="C2678" s="60" t="s">
        <v>8119</v>
      </c>
      <c r="D2678" s="60" t="s">
        <v>8120</v>
      </c>
    </row>
    <row r="2679" spans="2:4" x14ac:dyDescent="0.35">
      <c r="B2679" s="60" t="s">
        <v>8121</v>
      </c>
      <c r="C2679" s="60" t="s">
        <v>8122</v>
      </c>
      <c r="D2679" s="60" t="s">
        <v>8123</v>
      </c>
    </row>
    <row r="2680" spans="2:4" x14ac:dyDescent="0.35">
      <c r="B2680" s="60" t="s">
        <v>8124</v>
      </c>
      <c r="C2680" s="60" t="s">
        <v>8125</v>
      </c>
      <c r="D2680" s="60" t="s">
        <v>8126</v>
      </c>
    </row>
    <row r="2681" spans="2:4" x14ac:dyDescent="0.35">
      <c r="B2681" s="60" t="s">
        <v>8127</v>
      </c>
      <c r="C2681" s="60" t="s">
        <v>8128</v>
      </c>
      <c r="D2681" s="60" t="s">
        <v>8129</v>
      </c>
    </row>
    <row r="2682" spans="2:4" x14ac:dyDescent="0.35">
      <c r="B2682" s="60" t="s">
        <v>8130</v>
      </c>
      <c r="C2682" s="60" t="s">
        <v>8131</v>
      </c>
      <c r="D2682" s="60" t="s">
        <v>8132</v>
      </c>
    </row>
    <row r="2683" spans="2:4" x14ac:dyDescent="0.35">
      <c r="B2683" s="60" t="s">
        <v>8133</v>
      </c>
      <c r="C2683" s="60" t="s">
        <v>8134</v>
      </c>
      <c r="D2683" s="60" t="s">
        <v>8135</v>
      </c>
    </row>
    <row r="2684" spans="2:4" x14ac:dyDescent="0.35">
      <c r="B2684" s="60" t="s">
        <v>8136</v>
      </c>
      <c r="C2684" s="60" t="s">
        <v>8137</v>
      </c>
      <c r="D2684" s="60" t="s">
        <v>8138</v>
      </c>
    </row>
    <row r="2685" spans="2:4" x14ac:dyDescent="0.35">
      <c r="B2685" s="60" t="s">
        <v>8139</v>
      </c>
      <c r="C2685" s="60" t="s">
        <v>8140</v>
      </c>
      <c r="D2685" s="60" t="s">
        <v>8141</v>
      </c>
    </row>
    <row r="2686" spans="2:4" x14ac:dyDescent="0.35">
      <c r="B2686" s="60" t="s">
        <v>8139</v>
      </c>
      <c r="C2686" s="60" t="s">
        <v>8142</v>
      </c>
      <c r="D2686" s="60" t="s">
        <v>8141</v>
      </c>
    </row>
    <row r="2687" spans="2:4" x14ac:dyDescent="0.35">
      <c r="B2687" s="60" t="s">
        <v>8143</v>
      </c>
      <c r="C2687" s="60" t="s">
        <v>8144</v>
      </c>
      <c r="D2687" s="60" t="s">
        <v>8145</v>
      </c>
    </row>
    <row r="2688" spans="2:4" x14ac:dyDescent="0.35">
      <c r="B2688" s="60" t="s">
        <v>8146</v>
      </c>
      <c r="C2688" s="60" t="s">
        <v>8147</v>
      </c>
      <c r="D2688" s="60" t="s">
        <v>8148</v>
      </c>
    </row>
    <row r="2689" spans="2:4" x14ac:dyDescent="0.35">
      <c r="B2689" s="60" t="s">
        <v>8149</v>
      </c>
      <c r="C2689" s="60" t="s">
        <v>8150</v>
      </c>
      <c r="D2689" s="60" t="s">
        <v>8151</v>
      </c>
    </row>
    <row r="2690" spans="2:4" x14ac:dyDescent="0.35">
      <c r="B2690" s="60" t="s">
        <v>8152</v>
      </c>
      <c r="C2690" s="60" t="s">
        <v>8153</v>
      </c>
      <c r="D2690" s="60" t="s">
        <v>8154</v>
      </c>
    </row>
    <row r="2691" spans="2:4" x14ac:dyDescent="0.35">
      <c r="B2691" s="60" t="s">
        <v>8155</v>
      </c>
      <c r="C2691" s="60" t="s">
        <v>8156</v>
      </c>
      <c r="D2691" s="60" t="s">
        <v>8157</v>
      </c>
    </row>
    <row r="2692" spans="2:4" x14ac:dyDescent="0.35">
      <c r="B2692" s="60" t="s">
        <v>8158</v>
      </c>
      <c r="C2692" s="60" t="s">
        <v>8159</v>
      </c>
      <c r="D2692" s="60" t="s">
        <v>8160</v>
      </c>
    </row>
    <row r="2693" spans="2:4" x14ac:dyDescent="0.35">
      <c r="B2693" s="60" t="s">
        <v>8161</v>
      </c>
      <c r="C2693" s="60" t="s">
        <v>8162</v>
      </c>
      <c r="D2693" s="60" t="s">
        <v>8163</v>
      </c>
    </row>
    <row r="2694" spans="2:4" x14ac:dyDescent="0.35">
      <c r="B2694" s="60" t="s">
        <v>8164</v>
      </c>
      <c r="C2694" s="60" t="s">
        <v>8165</v>
      </c>
      <c r="D2694" s="60" t="s">
        <v>8166</v>
      </c>
    </row>
    <row r="2695" spans="2:4" x14ac:dyDescent="0.35">
      <c r="B2695" s="60" t="s">
        <v>8167</v>
      </c>
      <c r="C2695" s="60" t="s">
        <v>8168</v>
      </c>
      <c r="D2695" s="60" t="s">
        <v>8169</v>
      </c>
    </row>
    <row r="2696" spans="2:4" x14ac:dyDescent="0.35">
      <c r="B2696" s="60" t="s">
        <v>8170</v>
      </c>
      <c r="C2696" s="60" t="s">
        <v>8171</v>
      </c>
      <c r="D2696" s="60" t="s">
        <v>8172</v>
      </c>
    </row>
    <row r="2697" spans="2:4" x14ac:dyDescent="0.35">
      <c r="B2697" s="60" t="s">
        <v>8173</v>
      </c>
      <c r="C2697" s="60" t="s">
        <v>8174</v>
      </c>
      <c r="D2697" s="60" t="s">
        <v>8175</v>
      </c>
    </row>
    <row r="2698" spans="2:4" x14ac:dyDescent="0.35">
      <c r="B2698" s="60" t="s">
        <v>8176</v>
      </c>
      <c r="C2698" s="60" t="s">
        <v>8177</v>
      </c>
      <c r="D2698" s="60" t="s">
        <v>8178</v>
      </c>
    </row>
    <row r="2699" spans="2:4" x14ac:dyDescent="0.35">
      <c r="B2699" s="60" t="s">
        <v>8179</v>
      </c>
      <c r="C2699" s="60" t="s">
        <v>8180</v>
      </c>
      <c r="D2699" s="60" t="s">
        <v>8181</v>
      </c>
    </row>
    <row r="2700" spans="2:4" x14ac:dyDescent="0.35">
      <c r="B2700" s="60" t="s">
        <v>8182</v>
      </c>
      <c r="C2700" s="60" t="s">
        <v>8183</v>
      </c>
      <c r="D2700" s="60" t="s">
        <v>8184</v>
      </c>
    </row>
    <row r="2701" spans="2:4" x14ac:dyDescent="0.35">
      <c r="B2701" s="60" t="s">
        <v>8185</v>
      </c>
      <c r="C2701" s="60" t="s">
        <v>8186</v>
      </c>
      <c r="D2701" s="60" t="s">
        <v>8187</v>
      </c>
    </row>
    <row r="2702" spans="2:4" x14ac:dyDescent="0.35">
      <c r="B2702" s="60" t="s">
        <v>8188</v>
      </c>
      <c r="C2702" s="60" t="s">
        <v>8189</v>
      </c>
      <c r="D2702" s="60" t="s">
        <v>8190</v>
      </c>
    </row>
    <row r="2703" spans="2:4" x14ac:dyDescent="0.35">
      <c r="B2703" s="60" t="s">
        <v>8191</v>
      </c>
      <c r="C2703" s="60" t="s">
        <v>8192</v>
      </c>
      <c r="D2703" s="60" t="s">
        <v>8193</v>
      </c>
    </row>
    <row r="2704" spans="2:4" x14ac:dyDescent="0.35">
      <c r="B2704" s="60" t="s">
        <v>8194</v>
      </c>
      <c r="C2704" s="60" t="s">
        <v>8195</v>
      </c>
      <c r="D2704" s="60" t="s">
        <v>8196</v>
      </c>
    </row>
    <row r="2705" spans="2:4" x14ac:dyDescent="0.35">
      <c r="B2705" s="60" t="s">
        <v>8197</v>
      </c>
      <c r="C2705" s="60" t="s">
        <v>8198</v>
      </c>
      <c r="D2705" s="60" t="s">
        <v>8199</v>
      </c>
    </row>
    <row r="2706" spans="2:4" x14ac:dyDescent="0.35">
      <c r="B2706" s="60" t="s">
        <v>8200</v>
      </c>
      <c r="C2706" s="60" t="s">
        <v>8201</v>
      </c>
      <c r="D2706" s="60" t="s">
        <v>8202</v>
      </c>
    </row>
    <row r="2707" spans="2:4" x14ac:dyDescent="0.35">
      <c r="B2707" s="60" t="s">
        <v>8203</v>
      </c>
      <c r="C2707" s="60" t="s">
        <v>8204</v>
      </c>
      <c r="D2707" s="60" t="s">
        <v>8205</v>
      </c>
    </row>
    <row r="2708" spans="2:4" x14ac:dyDescent="0.35">
      <c r="B2708" s="60" t="s">
        <v>8206</v>
      </c>
      <c r="C2708" s="60" t="s">
        <v>8207</v>
      </c>
      <c r="D2708" s="60" t="s">
        <v>8208</v>
      </c>
    </row>
    <row r="2709" spans="2:4" x14ac:dyDescent="0.35">
      <c r="B2709" s="60" t="s">
        <v>8209</v>
      </c>
      <c r="C2709" s="60" t="s">
        <v>8210</v>
      </c>
      <c r="D2709" s="60" t="s">
        <v>8211</v>
      </c>
    </row>
    <row r="2710" spans="2:4" x14ac:dyDescent="0.35">
      <c r="B2710" s="60" t="s">
        <v>8212</v>
      </c>
      <c r="C2710" s="60" t="s">
        <v>8213</v>
      </c>
      <c r="D2710" s="60" t="s">
        <v>8214</v>
      </c>
    </row>
    <row r="2711" spans="2:4" x14ac:dyDescent="0.35">
      <c r="B2711" s="60" t="s">
        <v>8215</v>
      </c>
      <c r="C2711" s="60" t="s">
        <v>8216</v>
      </c>
      <c r="D2711" s="60" t="s">
        <v>8217</v>
      </c>
    </row>
    <row r="2712" spans="2:4" x14ac:dyDescent="0.35">
      <c r="B2712" s="60" t="s">
        <v>8218</v>
      </c>
      <c r="C2712" s="60" t="s">
        <v>8219</v>
      </c>
      <c r="D2712" s="60" t="s">
        <v>8220</v>
      </c>
    </row>
    <row r="2713" spans="2:4" x14ac:dyDescent="0.35">
      <c r="B2713" s="60" t="s">
        <v>8221</v>
      </c>
      <c r="C2713" s="60" t="s">
        <v>8222</v>
      </c>
      <c r="D2713" s="60" t="s">
        <v>8223</v>
      </c>
    </row>
    <row r="2714" spans="2:4" x14ac:dyDescent="0.35">
      <c r="B2714" s="60" t="s">
        <v>8224</v>
      </c>
      <c r="C2714" s="60" t="s">
        <v>8225</v>
      </c>
      <c r="D2714" s="60" t="s">
        <v>8226</v>
      </c>
    </row>
    <row r="2715" spans="2:4" x14ac:dyDescent="0.35">
      <c r="B2715" s="60" t="s">
        <v>8227</v>
      </c>
      <c r="C2715" s="60" t="s">
        <v>8228</v>
      </c>
      <c r="D2715" s="60" t="s">
        <v>8229</v>
      </c>
    </row>
    <row r="2716" spans="2:4" x14ac:dyDescent="0.35">
      <c r="B2716" s="60" t="s">
        <v>8230</v>
      </c>
      <c r="C2716" s="60" t="s">
        <v>8231</v>
      </c>
      <c r="D2716" s="60" t="s">
        <v>8232</v>
      </c>
    </row>
    <row r="2717" spans="2:4" x14ac:dyDescent="0.35">
      <c r="B2717" s="60" t="s">
        <v>8233</v>
      </c>
      <c r="C2717" s="60" t="s">
        <v>8234</v>
      </c>
      <c r="D2717" s="60" t="s">
        <v>8235</v>
      </c>
    </row>
    <row r="2718" spans="2:4" x14ac:dyDescent="0.35">
      <c r="B2718" s="60" t="s">
        <v>8236</v>
      </c>
      <c r="C2718" s="60" t="s">
        <v>8237</v>
      </c>
      <c r="D2718" s="60" t="s">
        <v>8238</v>
      </c>
    </row>
    <row r="2719" spans="2:4" x14ac:dyDescent="0.35">
      <c r="B2719" s="60" t="s">
        <v>8239</v>
      </c>
      <c r="C2719" s="60" t="s">
        <v>8240</v>
      </c>
      <c r="D2719" s="60" t="s">
        <v>8241</v>
      </c>
    </row>
    <row r="2720" spans="2:4" x14ac:dyDescent="0.35">
      <c r="B2720" s="60" t="s">
        <v>8242</v>
      </c>
      <c r="C2720" s="60" t="s">
        <v>8243</v>
      </c>
      <c r="D2720" s="60" t="s">
        <v>8244</v>
      </c>
    </row>
    <row r="2721" spans="2:4" x14ac:dyDescent="0.35">
      <c r="B2721" s="60" t="s">
        <v>8245</v>
      </c>
      <c r="C2721" s="60" t="s">
        <v>8246</v>
      </c>
      <c r="D2721" s="60" t="s">
        <v>8247</v>
      </c>
    </row>
    <row r="2722" spans="2:4" x14ac:dyDescent="0.35">
      <c r="B2722" s="60" t="s">
        <v>8248</v>
      </c>
      <c r="C2722" s="60" t="s">
        <v>8249</v>
      </c>
      <c r="D2722" s="60" t="s">
        <v>8250</v>
      </c>
    </row>
    <row r="2723" spans="2:4" x14ac:dyDescent="0.35">
      <c r="B2723" s="60" t="s">
        <v>8251</v>
      </c>
      <c r="C2723" s="60" t="s">
        <v>8252</v>
      </c>
      <c r="D2723" s="60" t="s">
        <v>8253</v>
      </c>
    </row>
    <row r="2724" spans="2:4" x14ac:dyDescent="0.35">
      <c r="B2724" s="60" t="s">
        <v>8254</v>
      </c>
      <c r="C2724" s="60" t="s">
        <v>8255</v>
      </c>
      <c r="D2724" s="60" t="s">
        <v>8256</v>
      </c>
    </row>
    <row r="2725" spans="2:4" x14ac:dyDescent="0.35">
      <c r="B2725" s="60" t="s">
        <v>8257</v>
      </c>
      <c r="C2725" s="60" t="s">
        <v>8258</v>
      </c>
      <c r="D2725" s="60" t="s">
        <v>8259</v>
      </c>
    </row>
    <row r="2726" spans="2:4" x14ac:dyDescent="0.35">
      <c r="B2726" s="60" t="s">
        <v>8260</v>
      </c>
      <c r="C2726" s="60" t="s">
        <v>8261</v>
      </c>
      <c r="D2726" s="60" t="s">
        <v>8262</v>
      </c>
    </row>
    <row r="2727" spans="2:4" x14ac:dyDescent="0.35">
      <c r="B2727" s="60" t="s">
        <v>8263</v>
      </c>
      <c r="C2727" s="60" t="s">
        <v>8264</v>
      </c>
      <c r="D2727" s="60" t="s">
        <v>8265</v>
      </c>
    </row>
    <row r="2728" spans="2:4" x14ac:dyDescent="0.35">
      <c r="B2728" s="60" t="s">
        <v>8266</v>
      </c>
      <c r="C2728" s="60" t="s">
        <v>8267</v>
      </c>
      <c r="D2728" s="60" t="s">
        <v>8268</v>
      </c>
    </row>
    <row r="2729" spans="2:4" x14ac:dyDescent="0.35">
      <c r="B2729" s="60" t="s">
        <v>8269</v>
      </c>
      <c r="C2729" s="60" t="s">
        <v>8270</v>
      </c>
      <c r="D2729" s="60" t="s">
        <v>8271</v>
      </c>
    </row>
    <row r="2730" spans="2:4" x14ac:dyDescent="0.35">
      <c r="B2730" s="60" t="s">
        <v>8272</v>
      </c>
      <c r="C2730" s="60" t="s">
        <v>8273</v>
      </c>
      <c r="D2730" s="60" t="s">
        <v>8274</v>
      </c>
    </row>
    <row r="2731" spans="2:4" x14ac:dyDescent="0.35">
      <c r="B2731" s="60" t="s">
        <v>8275</v>
      </c>
      <c r="C2731" s="60" t="s">
        <v>8276</v>
      </c>
      <c r="D2731" s="60" t="s">
        <v>8277</v>
      </c>
    </row>
    <row r="2732" spans="2:4" x14ac:dyDescent="0.35">
      <c r="B2732" s="60" t="s">
        <v>8278</v>
      </c>
      <c r="C2732" s="60" t="s">
        <v>8279</v>
      </c>
      <c r="D2732" s="60" t="s">
        <v>8280</v>
      </c>
    </row>
    <row r="2733" spans="2:4" x14ac:dyDescent="0.35">
      <c r="B2733" s="60" t="s">
        <v>8281</v>
      </c>
      <c r="C2733" s="60" t="s">
        <v>8282</v>
      </c>
      <c r="D2733" s="60" t="s">
        <v>8283</v>
      </c>
    </row>
    <row r="2734" spans="2:4" x14ac:dyDescent="0.35">
      <c r="B2734" s="60" t="s">
        <v>8284</v>
      </c>
      <c r="C2734" s="60" t="s">
        <v>8285</v>
      </c>
      <c r="D2734" s="60" t="s">
        <v>8286</v>
      </c>
    </row>
    <row r="2735" spans="2:4" x14ac:dyDescent="0.35">
      <c r="B2735" s="60" t="s">
        <v>8287</v>
      </c>
      <c r="C2735" s="60" t="s">
        <v>8288</v>
      </c>
      <c r="D2735" s="60" t="s">
        <v>8289</v>
      </c>
    </row>
    <row r="2736" spans="2:4" x14ac:dyDescent="0.35">
      <c r="B2736" s="60" t="s">
        <v>8290</v>
      </c>
      <c r="C2736" s="60" t="s">
        <v>8291</v>
      </c>
      <c r="D2736" s="60" t="s">
        <v>8292</v>
      </c>
    </row>
    <row r="2737" spans="2:4" x14ac:dyDescent="0.35">
      <c r="B2737" s="60" t="s">
        <v>8293</v>
      </c>
      <c r="C2737" s="60" t="s">
        <v>8294</v>
      </c>
      <c r="D2737" s="60" t="s">
        <v>8295</v>
      </c>
    </row>
    <row r="2738" spans="2:4" x14ac:dyDescent="0.35">
      <c r="B2738" s="60" t="s">
        <v>8296</v>
      </c>
      <c r="C2738" s="60" t="s">
        <v>8297</v>
      </c>
      <c r="D2738" s="60" t="s">
        <v>8298</v>
      </c>
    </row>
    <row r="2739" spans="2:4" x14ac:dyDescent="0.35">
      <c r="B2739" s="60" t="s">
        <v>8299</v>
      </c>
      <c r="C2739" s="60" t="s">
        <v>8300</v>
      </c>
      <c r="D2739" s="60" t="s">
        <v>8301</v>
      </c>
    </row>
    <row r="2740" spans="2:4" x14ac:dyDescent="0.35">
      <c r="B2740" s="60" t="s">
        <v>8302</v>
      </c>
      <c r="C2740" s="60" t="s">
        <v>8303</v>
      </c>
      <c r="D2740" s="60" t="s">
        <v>8304</v>
      </c>
    </row>
    <row r="2741" spans="2:4" x14ac:dyDescent="0.35">
      <c r="B2741" s="60" t="s">
        <v>8305</v>
      </c>
      <c r="C2741" s="60" t="s">
        <v>8306</v>
      </c>
      <c r="D2741" s="60" t="s">
        <v>8307</v>
      </c>
    </row>
    <row r="2742" spans="2:4" x14ac:dyDescent="0.35">
      <c r="B2742" s="60" t="s">
        <v>8308</v>
      </c>
      <c r="C2742" s="60" t="s">
        <v>8309</v>
      </c>
      <c r="D2742" s="60" t="s">
        <v>8310</v>
      </c>
    </row>
    <row r="2743" spans="2:4" x14ac:dyDescent="0.35">
      <c r="B2743" s="60" t="s">
        <v>8311</v>
      </c>
      <c r="C2743" s="60" t="s">
        <v>8312</v>
      </c>
      <c r="D2743" s="60" t="s">
        <v>8313</v>
      </c>
    </row>
    <row r="2744" spans="2:4" x14ac:dyDescent="0.35">
      <c r="B2744" s="60" t="s">
        <v>8314</v>
      </c>
      <c r="C2744" s="60" t="s">
        <v>8315</v>
      </c>
      <c r="D2744" s="60" t="s">
        <v>8316</v>
      </c>
    </row>
    <row r="2745" spans="2:4" x14ac:dyDescent="0.35">
      <c r="B2745" s="60" t="s">
        <v>8317</v>
      </c>
      <c r="C2745" s="60" t="s">
        <v>8318</v>
      </c>
      <c r="D2745" s="60" t="s">
        <v>8319</v>
      </c>
    </row>
    <row r="2746" spans="2:4" x14ac:dyDescent="0.35">
      <c r="B2746" s="60" t="s">
        <v>8320</v>
      </c>
      <c r="C2746" s="60" t="s">
        <v>8321</v>
      </c>
      <c r="D2746" s="60" t="s">
        <v>8322</v>
      </c>
    </row>
    <row r="2747" spans="2:4" x14ac:dyDescent="0.35">
      <c r="B2747" s="60" t="s">
        <v>8323</v>
      </c>
      <c r="C2747" s="60" t="s">
        <v>8324</v>
      </c>
      <c r="D2747" s="60" t="s">
        <v>8325</v>
      </c>
    </row>
    <row r="2748" spans="2:4" x14ac:dyDescent="0.35">
      <c r="B2748" s="60" t="s">
        <v>8326</v>
      </c>
      <c r="C2748" s="60" t="s">
        <v>8327</v>
      </c>
      <c r="D2748" s="60" t="s">
        <v>8328</v>
      </c>
    </row>
    <row r="2749" spans="2:4" x14ac:dyDescent="0.35">
      <c r="B2749" s="60" t="s">
        <v>8329</v>
      </c>
      <c r="C2749" s="60" t="s">
        <v>8330</v>
      </c>
      <c r="D2749" s="60" t="s">
        <v>8331</v>
      </c>
    </row>
    <row r="2750" spans="2:4" x14ac:dyDescent="0.35">
      <c r="B2750" s="60" t="s">
        <v>8332</v>
      </c>
      <c r="C2750" s="60" t="s">
        <v>8333</v>
      </c>
      <c r="D2750" s="60" t="s">
        <v>8334</v>
      </c>
    </row>
    <row r="2751" spans="2:4" x14ac:dyDescent="0.35">
      <c r="B2751" s="60" t="s">
        <v>8335</v>
      </c>
      <c r="C2751" s="60" t="s">
        <v>8336</v>
      </c>
      <c r="D2751" s="60" t="s">
        <v>8337</v>
      </c>
    </row>
    <row r="2752" spans="2:4" x14ac:dyDescent="0.35">
      <c r="B2752" s="60" t="s">
        <v>8338</v>
      </c>
      <c r="C2752" s="60" t="s">
        <v>8339</v>
      </c>
      <c r="D2752" s="60" t="s">
        <v>8340</v>
      </c>
    </row>
    <row r="2753" spans="2:4" x14ac:dyDescent="0.35">
      <c r="B2753" s="60" t="s">
        <v>8341</v>
      </c>
      <c r="C2753" s="60" t="s">
        <v>8342</v>
      </c>
      <c r="D2753" s="60" t="s">
        <v>8343</v>
      </c>
    </row>
    <row r="2754" spans="2:4" x14ac:dyDescent="0.35">
      <c r="B2754" s="60" t="s">
        <v>8344</v>
      </c>
      <c r="C2754" s="60" t="s">
        <v>8345</v>
      </c>
      <c r="D2754" s="60" t="s">
        <v>8346</v>
      </c>
    </row>
    <row r="2755" spans="2:4" x14ac:dyDescent="0.35">
      <c r="B2755" s="60" t="s">
        <v>8347</v>
      </c>
      <c r="C2755" s="60" t="s">
        <v>8348</v>
      </c>
      <c r="D2755" s="60" t="s">
        <v>8349</v>
      </c>
    </row>
    <row r="2756" spans="2:4" x14ac:dyDescent="0.35">
      <c r="B2756" s="60" t="s">
        <v>8350</v>
      </c>
      <c r="C2756" s="60" t="s">
        <v>8351</v>
      </c>
      <c r="D2756" s="60" t="s">
        <v>8352</v>
      </c>
    </row>
    <row r="2757" spans="2:4" x14ac:dyDescent="0.35">
      <c r="B2757" s="60" t="s">
        <v>8353</v>
      </c>
      <c r="C2757" s="60" t="s">
        <v>8354</v>
      </c>
      <c r="D2757" s="60" t="s">
        <v>8355</v>
      </c>
    </row>
    <row r="2758" spans="2:4" x14ac:dyDescent="0.35">
      <c r="B2758" s="60" t="s">
        <v>8356</v>
      </c>
      <c r="C2758" s="60" t="s">
        <v>8357</v>
      </c>
      <c r="D2758" s="60" t="s">
        <v>8358</v>
      </c>
    </row>
    <row r="2759" spans="2:4" x14ac:dyDescent="0.35">
      <c r="B2759" s="60" t="s">
        <v>8359</v>
      </c>
      <c r="C2759" s="60" t="s">
        <v>8360</v>
      </c>
      <c r="D2759" s="60" t="s">
        <v>8361</v>
      </c>
    </row>
    <row r="2760" spans="2:4" x14ac:dyDescent="0.35">
      <c r="B2760" s="60" t="s">
        <v>8362</v>
      </c>
      <c r="C2760" s="60" t="s">
        <v>8363</v>
      </c>
      <c r="D2760" s="60" t="s">
        <v>8364</v>
      </c>
    </row>
    <row r="2761" spans="2:4" x14ac:dyDescent="0.35">
      <c r="B2761" s="60" t="s">
        <v>8365</v>
      </c>
      <c r="C2761" s="60" t="s">
        <v>8366</v>
      </c>
      <c r="D2761" s="60" t="s">
        <v>8367</v>
      </c>
    </row>
    <row r="2762" spans="2:4" x14ac:dyDescent="0.35">
      <c r="B2762" s="60" t="s">
        <v>8368</v>
      </c>
      <c r="C2762" s="60" t="s">
        <v>8369</v>
      </c>
      <c r="D2762" s="60" t="s">
        <v>8370</v>
      </c>
    </row>
    <row r="2763" spans="2:4" x14ac:dyDescent="0.35">
      <c r="B2763" s="60" t="s">
        <v>8371</v>
      </c>
      <c r="C2763" s="60" t="s">
        <v>8372</v>
      </c>
      <c r="D2763" s="60" t="s">
        <v>8373</v>
      </c>
    </row>
    <row r="2764" spans="2:4" x14ac:dyDescent="0.35">
      <c r="B2764" s="60" t="s">
        <v>8374</v>
      </c>
      <c r="C2764" s="60" t="s">
        <v>8375</v>
      </c>
      <c r="D2764" s="60" t="s">
        <v>8376</v>
      </c>
    </row>
    <row r="2765" spans="2:4" x14ac:dyDescent="0.35">
      <c r="B2765" s="60" t="s">
        <v>8377</v>
      </c>
      <c r="C2765" s="60" t="s">
        <v>8378</v>
      </c>
      <c r="D2765" s="60" t="s">
        <v>8379</v>
      </c>
    </row>
    <row r="2766" spans="2:4" x14ac:dyDescent="0.35">
      <c r="B2766" s="60" t="s">
        <v>8380</v>
      </c>
      <c r="C2766" s="60" t="s">
        <v>8381</v>
      </c>
      <c r="D2766" s="60" t="s">
        <v>8382</v>
      </c>
    </row>
    <row r="2767" spans="2:4" x14ac:dyDescent="0.35">
      <c r="B2767" s="60" t="s">
        <v>8383</v>
      </c>
      <c r="C2767" s="60" t="s">
        <v>8384</v>
      </c>
      <c r="D2767" s="60" t="s">
        <v>8385</v>
      </c>
    </row>
    <row r="2768" spans="2:4" x14ac:dyDescent="0.35">
      <c r="B2768" s="60" t="s">
        <v>8386</v>
      </c>
      <c r="C2768" s="60" t="s">
        <v>8387</v>
      </c>
      <c r="D2768" s="60" t="s">
        <v>8388</v>
      </c>
    </row>
    <row r="2769" spans="2:4" x14ac:dyDescent="0.35">
      <c r="B2769" s="60" t="s">
        <v>8389</v>
      </c>
      <c r="C2769" s="60" t="s">
        <v>8390</v>
      </c>
      <c r="D2769" s="60" t="s">
        <v>8391</v>
      </c>
    </row>
    <row r="2770" spans="2:4" x14ac:dyDescent="0.35">
      <c r="B2770" s="60" t="s">
        <v>8392</v>
      </c>
      <c r="C2770" s="60" t="s">
        <v>8393</v>
      </c>
      <c r="D2770" s="60" t="s">
        <v>8394</v>
      </c>
    </row>
    <row r="2771" spans="2:4" x14ac:dyDescent="0.35">
      <c r="B2771" s="60" t="s">
        <v>8395</v>
      </c>
      <c r="C2771" s="60" t="s">
        <v>8396</v>
      </c>
      <c r="D2771" s="60" t="s">
        <v>8397</v>
      </c>
    </row>
    <row r="2772" spans="2:4" x14ac:dyDescent="0.35">
      <c r="B2772" s="60" t="s">
        <v>8398</v>
      </c>
      <c r="C2772" s="60" t="s">
        <v>8399</v>
      </c>
      <c r="D2772" s="60" t="s">
        <v>8400</v>
      </c>
    </row>
    <row r="2773" spans="2:4" x14ac:dyDescent="0.35">
      <c r="B2773" s="60" t="s">
        <v>8401</v>
      </c>
      <c r="C2773" s="60" t="s">
        <v>8402</v>
      </c>
      <c r="D2773" s="60" t="s">
        <v>8403</v>
      </c>
    </row>
    <row r="2774" spans="2:4" x14ac:dyDescent="0.35">
      <c r="B2774" s="60" t="s">
        <v>8404</v>
      </c>
      <c r="C2774" s="60" t="s">
        <v>8405</v>
      </c>
      <c r="D2774" s="60" t="s">
        <v>8406</v>
      </c>
    </row>
    <row r="2775" spans="2:4" x14ac:dyDescent="0.35">
      <c r="B2775" s="60" t="s">
        <v>8407</v>
      </c>
      <c r="C2775" s="60" t="s">
        <v>8408</v>
      </c>
      <c r="D2775" s="60" t="s">
        <v>8409</v>
      </c>
    </row>
    <row r="2776" spans="2:4" x14ac:dyDescent="0.35">
      <c r="B2776" s="60" t="s">
        <v>8410</v>
      </c>
      <c r="C2776" s="60" t="s">
        <v>8411</v>
      </c>
      <c r="D2776" s="60" t="s">
        <v>8412</v>
      </c>
    </row>
    <row r="2777" spans="2:4" x14ac:dyDescent="0.35">
      <c r="B2777" s="60" t="s">
        <v>8413</v>
      </c>
      <c r="C2777" s="60" t="s">
        <v>8414</v>
      </c>
      <c r="D2777" s="60" t="s">
        <v>8415</v>
      </c>
    </row>
    <row r="2778" spans="2:4" x14ac:dyDescent="0.35">
      <c r="B2778" s="60" t="s">
        <v>8416</v>
      </c>
      <c r="C2778" s="60" t="s">
        <v>8417</v>
      </c>
      <c r="D2778" s="60" t="s">
        <v>8418</v>
      </c>
    </row>
    <row r="2779" spans="2:4" x14ac:dyDescent="0.35">
      <c r="B2779" s="60" t="s">
        <v>8419</v>
      </c>
      <c r="C2779" s="60" t="s">
        <v>8420</v>
      </c>
      <c r="D2779" s="60" t="s">
        <v>8421</v>
      </c>
    </row>
    <row r="2780" spans="2:4" x14ac:dyDescent="0.35">
      <c r="B2780" s="60" t="s">
        <v>8422</v>
      </c>
      <c r="C2780" s="60" t="s">
        <v>8423</v>
      </c>
      <c r="D2780" s="60" t="s">
        <v>8424</v>
      </c>
    </row>
    <row r="2781" spans="2:4" x14ac:dyDescent="0.35">
      <c r="B2781" s="60" t="s">
        <v>8425</v>
      </c>
      <c r="C2781" s="60" t="s">
        <v>8426</v>
      </c>
      <c r="D2781" s="60" t="s">
        <v>8427</v>
      </c>
    </row>
    <row r="2782" spans="2:4" x14ac:dyDescent="0.35">
      <c r="B2782" s="60" t="s">
        <v>8428</v>
      </c>
      <c r="C2782" s="60" t="s">
        <v>8429</v>
      </c>
      <c r="D2782" s="60" t="s">
        <v>8430</v>
      </c>
    </row>
    <row r="2783" spans="2:4" x14ac:dyDescent="0.35">
      <c r="B2783" s="60" t="s">
        <v>8431</v>
      </c>
      <c r="C2783" s="60" t="s">
        <v>8432</v>
      </c>
      <c r="D2783" s="60" t="s">
        <v>8433</v>
      </c>
    </row>
    <row r="2784" spans="2:4" x14ac:dyDescent="0.35">
      <c r="B2784" s="60" t="s">
        <v>8434</v>
      </c>
      <c r="C2784" s="60" t="s">
        <v>8435</v>
      </c>
      <c r="D2784" s="60" t="s">
        <v>8436</v>
      </c>
    </row>
    <row r="2785" spans="2:4" x14ac:dyDescent="0.35">
      <c r="B2785" s="60" t="s">
        <v>8437</v>
      </c>
      <c r="C2785" s="60" t="s">
        <v>8438</v>
      </c>
      <c r="D2785" s="60" t="s">
        <v>8439</v>
      </c>
    </row>
    <row r="2786" spans="2:4" x14ac:dyDescent="0.35">
      <c r="B2786" s="60" t="s">
        <v>8440</v>
      </c>
      <c r="C2786" s="60" t="s">
        <v>8441</v>
      </c>
      <c r="D2786" s="60" t="s">
        <v>8442</v>
      </c>
    </row>
    <row r="2787" spans="2:4" x14ac:dyDescent="0.35">
      <c r="B2787" s="60" t="s">
        <v>8443</v>
      </c>
      <c r="C2787" s="60" t="s">
        <v>8444</v>
      </c>
      <c r="D2787" s="60" t="s">
        <v>8445</v>
      </c>
    </row>
    <row r="2788" spans="2:4" x14ac:dyDescent="0.35">
      <c r="B2788" s="60" t="s">
        <v>8446</v>
      </c>
      <c r="C2788" s="60" t="s">
        <v>8447</v>
      </c>
      <c r="D2788" s="60" t="s">
        <v>8448</v>
      </c>
    </row>
    <row r="2789" spans="2:4" x14ac:dyDescent="0.35">
      <c r="B2789" s="60" t="s">
        <v>8449</v>
      </c>
      <c r="C2789" s="60" t="s">
        <v>8450</v>
      </c>
      <c r="D2789" s="60" t="s">
        <v>8451</v>
      </c>
    </row>
    <row r="2790" spans="2:4" x14ac:dyDescent="0.35">
      <c r="B2790" s="60" t="s">
        <v>8452</v>
      </c>
      <c r="C2790" s="60" t="s">
        <v>8453</v>
      </c>
      <c r="D2790" s="60" t="s">
        <v>8454</v>
      </c>
    </row>
    <row r="2791" spans="2:4" x14ac:dyDescent="0.35">
      <c r="B2791" s="60" t="s">
        <v>8455</v>
      </c>
      <c r="C2791" s="60" t="s">
        <v>8456</v>
      </c>
      <c r="D2791" s="60" t="s">
        <v>8457</v>
      </c>
    </row>
    <row r="2792" spans="2:4" x14ac:dyDescent="0.35">
      <c r="B2792" s="60" t="s">
        <v>8458</v>
      </c>
      <c r="C2792" s="60" t="s">
        <v>8459</v>
      </c>
      <c r="D2792" s="60" t="s">
        <v>8460</v>
      </c>
    </row>
    <row r="2793" spans="2:4" x14ac:dyDescent="0.35">
      <c r="B2793" s="60" t="s">
        <v>8461</v>
      </c>
      <c r="C2793" s="60" t="s">
        <v>8462</v>
      </c>
      <c r="D2793" s="60" t="s">
        <v>8463</v>
      </c>
    </row>
    <row r="2794" spans="2:4" x14ac:dyDescent="0.35">
      <c r="B2794" s="60" t="s">
        <v>8464</v>
      </c>
      <c r="C2794" s="60" t="s">
        <v>8465</v>
      </c>
      <c r="D2794" s="60" t="s">
        <v>8466</v>
      </c>
    </row>
    <row r="2795" spans="2:4" x14ac:dyDescent="0.35">
      <c r="B2795" s="60" t="s">
        <v>8467</v>
      </c>
      <c r="C2795" s="60" t="s">
        <v>8468</v>
      </c>
      <c r="D2795" s="60" t="s">
        <v>8469</v>
      </c>
    </row>
    <row r="2796" spans="2:4" x14ac:dyDescent="0.35">
      <c r="B2796" s="60" t="s">
        <v>8470</v>
      </c>
      <c r="C2796" s="60" t="s">
        <v>8471</v>
      </c>
      <c r="D2796" s="60" t="s">
        <v>8472</v>
      </c>
    </row>
    <row r="2797" spans="2:4" x14ac:dyDescent="0.35">
      <c r="B2797" s="60" t="s">
        <v>8473</v>
      </c>
      <c r="C2797" s="60" t="s">
        <v>8474</v>
      </c>
      <c r="D2797" s="60" t="s">
        <v>8475</v>
      </c>
    </row>
    <row r="2798" spans="2:4" x14ac:dyDescent="0.35">
      <c r="B2798" s="60" t="s">
        <v>8476</v>
      </c>
      <c r="C2798" s="60" t="s">
        <v>8477</v>
      </c>
      <c r="D2798" s="60" t="s">
        <v>8478</v>
      </c>
    </row>
    <row r="2799" spans="2:4" x14ac:dyDescent="0.35">
      <c r="B2799" s="60" t="s">
        <v>8479</v>
      </c>
      <c r="C2799" s="60" t="s">
        <v>8480</v>
      </c>
      <c r="D2799" s="60" t="s">
        <v>8481</v>
      </c>
    </row>
    <row r="2800" spans="2:4" x14ac:dyDescent="0.35">
      <c r="B2800" s="60" t="s">
        <v>8482</v>
      </c>
      <c r="C2800" s="60" t="s">
        <v>8483</v>
      </c>
      <c r="D2800" s="60" t="s">
        <v>8484</v>
      </c>
    </row>
    <row r="2801" spans="2:4" x14ac:dyDescent="0.35">
      <c r="B2801" s="60" t="s">
        <v>8485</v>
      </c>
      <c r="C2801" s="60" t="s">
        <v>8486</v>
      </c>
      <c r="D2801" s="60" t="s">
        <v>8487</v>
      </c>
    </row>
    <row r="2802" spans="2:4" x14ac:dyDescent="0.35">
      <c r="B2802" s="60" t="s">
        <v>8488</v>
      </c>
      <c r="C2802" s="60" t="s">
        <v>8489</v>
      </c>
      <c r="D2802" s="60" t="s">
        <v>8490</v>
      </c>
    </row>
    <row r="2803" spans="2:4" x14ac:dyDescent="0.35">
      <c r="B2803" s="60" t="s">
        <v>8488</v>
      </c>
      <c r="C2803" s="60" t="s">
        <v>8491</v>
      </c>
      <c r="D2803" s="60" t="s">
        <v>8492</v>
      </c>
    </row>
    <row r="2804" spans="2:4" x14ac:dyDescent="0.35">
      <c r="B2804" s="60" t="s">
        <v>8493</v>
      </c>
      <c r="C2804" s="60" t="s">
        <v>8494</v>
      </c>
      <c r="D2804" s="60" t="s">
        <v>8495</v>
      </c>
    </row>
    <row r="2805" spans="2:4" x14ac:dyDescent="0.35">
      <c r="B2805" s="60" t="s">
        <v>8496</v>
      </c>
      <c r="C2805" s="60" t="s">
        <v>8497</v>
      </c>
      <c r="D2805" s="60" t="s">
        <v>8498</v>
      </c>
    </row>
    <row r="2806" spans="2:4" x14ac:dyDescent="0.35">
      <c r="B2806" s="60" t="s">
        <v>8499</v>
      </c>
      <c r="C2806" s="60" t="s">
        <v>8500</v>
      </c>
      <c r="D2806" s="60" t="s">
        <v>8501</v>
      </c>
    </row>
    <row r="2807" spans="2:4" x14ac:dyDescent="0.35">
      <c r="B2807" s="60" t="s">
        <v>8502</v>
      </c>
      <c r="C2807" s="60" t="s">
        <v>8503</v>
      </c>
      <c r="D2807" s="60" t="s">
        <v>8504</v>
      </c>
    </row>
    <row r="2808" spans="2:4" x14ac:dyDescent="0.35">
      <c r="B2808" s="60" t="s">
        <v>8505</v>
      </c>
      <c r="C2808" s="60" t="s">
        <v>8506</v>
      </c>
      <c r="D2808" s="60" t="s">
        <v>8507</v>
      </c>
    </row>
    <row r="2809" spans="2:4" x14ac:dyDescent="0.35">
      <c r="B2809" s="60" t="s">
        <v>8508</v>
      </c>
      <c r="C2809" s="60" t="s">
        <v>8509</v>
      </c>
      <c r="D2809" s="60" t="s">
        <v>8510</v>
      </c>
    </row>
    <row r="2810" spans="2:4" x14ac:dyDescent="0.35">
      <c r="B2810" s="60" t="s">
        <v>8511</v>
      </c>
      <c r="C2810" s="60" t="s">
        <v>8512</v>
      </c>
      <c r="D2810" s="60" t="s">
        <v>8406</v>
      </c>
    </row>
    <row r="2811" spans="2:4" x14ac:dyDescent="0.35">
      <c r="B2811" s="60" t="s">
        <v>8513</v>
      </c>
      <c r="C2811" s="60" t="s">
        <v>8514</v>
      </c>
      <c r="D2811" s="60" t="s">
        <v>8515</v>
      </c>
    </row>
    <row r="2812" spans="2:4" x14ac:dyDescent="0.35">
      <c r="B2812" s="60" t="s">
        <v>8516</v>
      </c>
      <c r="C2812" s="60" t="s">
        <v>8517</v>
      </c>
      <c r="D2812" s="60" t="s">
        <v>8518</v>
      </c>
    </row>
    <row r="2813" spans="2:4" x14ac:dyDescent="0.35">
      <c r="B2813" s="60" t="s">
        <v>8519</v>
      </c>
      <c r="C2813" s="60" t="s">
        <v>8520</v>
      </c>
      <c r="D2813" s="60" t="s">
        <v>8521</v>
      </c>
    </row>
    <row r="2814" spans="2:4" x14ac:dyDescent="0.35">
      <c r="B2814" s="60" t="s">
        <v>8522</v>
      </c>
      <c r="C2814" s="60" t="s">
        <v>8523</v>
      </c>
      <c r="D2814" s="60" t="s">
        <v>8524</v>
      </c>
    </row>
    <row r="2815" spans="2:4" x14ac:dyDescent="0.35">
      <c r="B2815" s="60" t="s">
        <v>8525</v>
      </c>
      <c r="C2815" s="60" t="s">
        <v>8526</v>
      </c>
      <c r="D2815" s="60" t="s">
        <v>8527</v>
      </c>
    </row>
    <row r="2816" spans="2:4" x14ac:dyDescent="0.35">
      <c r="B2816" s="60" t="s">
        <v>8528</v>
      </c>
      <c r="C2816" s="60" t="s">
        <v>8529</v>
      </c>
      <c r="D2816" s="60" t="s">
        <v>8530</v>
      </c>
    </row>
    <row r="2817" spans="2:4" x14ac:dyDescent="0.35">
      <c r="B2817" s="60" t="s">
        <v>8531</v>
      </c>
      <c r="C2817" s="60" t="s">
        <v>8532</v>
      </c>
      <c r="D2817" s="60" t="s">
        <v>8533</v>
      </c>
    </row>
    <row r="2818" spans="2:4" x14ac:dyDescent="0.35">
      <c r="B2818" s="60" t="s">
        <v>8534</v>
      </c>
      <c r="C2818" s="60" t="s">
        <v>8535</v>
      </c>
      <c r="D2818" s="60" t="s">
        <v>8536</v>
      </c>
    </row>
    <row r="2819" spans="2:4" x14ac:dyDescent="0.35">
      <c r="B2819" s="60" t="s">
        <v>8537</v>
      </c>
      <c r="C2819" s="60" t="s">
        <v>8538</v>
      </c>
      <c r="D2819" s="60" t="s">
        <v>8539</v>
      </c>
    </row>
    <row r="2820" spans="2:4" x14ac:dyDescent="0.35">
      <c r="B2820" s="60" t="s">
        <v>8540</v>
      </c>
      <c r="C2820" s="60" t="s">
        <v>8541</v>
      </c>
      <c r="D2820" s="60" t="s">
        <v>8542</v>
      </c>
    </row>
    <row r="2821" spans="2:4" x14ac:dyDescent="0.35">
      <c r="B2821" s="60" t="s">
        <v>8543</v>
      </c>
      <c r="C2821" s="60" t="s">
        <v>8544</v>
      </c>
      <c r="D2821" s="60" t="s">
        <v>8545</v>
      </c>
    </row>
    <row r="2822" spans="2:4" x14ac:dyDescent="0.35">
      <c r="B2822" s="60" t="s">
        <v>8546</v>
      </c>
      <c r="C2822" s="60" t="s">
        <v>8547</v>
      </c>
      <c r="D2822" s="60" t="s">
        <v>8548</v>
      </c>
    </row>
    <row r="2823" spans="2:4" x14ac:dyDescent="0.35">
      <c r="B2823" s="60" t="s">
        <v>8549</v>
      </c>
      <c r="C2823" s="60" t="s">
        <v>8550</v>
      </c>
      <c r="D2823" s="60" t="s">
        <v>8551</v>
      </c>
    </row>
    <row r="2824" spans="2:4" x14ac:dyDescent="0.35">
      <c r="B2824" s="60" t="s">
        <v>8552</v>
      </c>
      <c r="C2824" s="60" t="s">
        <v>8553</v>
      </c>
      <c r="D2824" s="60" t="s">
        <v>8554</v>
      </c>
    </row>
    <row r="2825" spans="2:4" x14ac:dyDescent="0.35">
      <c r="B2825" s="60" t="s">
        <v>8555</v>
      </c>
      <c r="C2825" s="60" t="s">
        <v>8556</v>
      </c>
      <c r="D2825" s="60" t="s">
        <v>8557</v>
      </c>
    </row>
    <row r="2826" spans="2:4" x14ac:dyDescent="0.35">
      <c r="B2826" s="60" t="s">
        <v>8558</v>
      </c>
      <c r="C2826" s="60" t="s">
        <v>8559</v>
      </c>
      <c r="D2826" s="60" t="s">
        <v>8560</v>
      </c>
    </row>
    <row r="2827" spans="2:4" x14ac:dyDescent="0.35">
      <c r="B2827" s="60" t="s">
        <v>8558</v>
      </c>
      <c r="C2827" s="60" t="s">
        <v>8561</v>
      </c>
      <c r="D2827" s="60" t="s">
        <v>8562</v>
      </c>
    </row>
    <row r="2828" spans="2:4" x14ac:dyDescent="0.35">
      <c r="B2828" s="60" t="s">
        <v>8563</v>
      </c>
      <c r="C2828" s="60" t="s">
        <v>8564</v>
      </c>
      <c r="D2828" s="60" t="s">
        <v>8565</v>
      </c>
    </row>
    <row r="2829" spans="2:4" x14ac:dyDescent="0.35">
      <c r="B2829" s="60" t="s">
        <v>8566</v>
      </c>
      <c r="C2829" s="60" t="s">
        <v>8567</v>
      </c>
      <c r="D2829" s="60" t="s">
        <v>8568</v>
      </c>
    </row>
    <row r="2830" spans="2:4" x14ac:dyDescent="0.35">
      <c r="B2830" s="60" t="s">
        <v>8569</v>
      </c>
      <c r="C2830" s="60" t="s">
        <v>8570</v>
      </c>
      <c r="D2830" s="60" t="s">
        <v>8571</v>
      </c>
    </row>
    <row r="2831" spans="2:4" x14ac:dyDescent="0.35">
      <c r="B2831" s="60" t="s">
        <v>8572</v>
      </c>
      <c r="C2831" s="60" t="s">
        <v>8573</v>
      </c>
      <c r="D2831" s="60" t="s">
        <v>8574</v>
      </c>
    </row>
    <row r="2832" spans="2:4" x14ac:dyDescent="0.35">
      <c r="B2832" s="60" t="s">
        <v>8575</v>
      </c>
      <c r="C2832" s="60" t="s">
        <v>8576</v>
      </c>
      <c r="D2832" s="60" t="s">
        <v>8577</v>
      </c>
    </row>
    <row r="2833" spans="2:4" x14ac:dyDescent="0.35">
      <c r="B2833" s="60" t="s">
        <v>8578</v>
      </c>
      <c r="C2833" s="60" t="s">
        <v>8579</v>
      </c>
      <c r="D2833" s="60" t="s">
        <v>8580</v>
      </c>
    </row>
    <row r="2834" spans="2:4" x14ac:dyDescent="0.35">
      <c r="B2834" s="60" t="s">
        <v>8581</v>
      </c>
      <c r="C2834" s="60" t="s">
        <v>8582</v>
      </c>
      <c r="D2834" s="60" t="s">
        <v>8583</v>
      </c>
    </row>
    <row r="2835" spans="2:4" x14ac:dyDescent="0.35">
      <c r="B2835" s="60" t="s">
        <v>8584</v>
      </c>
      <c r="C2835" s="60" t="s">
        <v>8585</v>
      </c>
      <c r="D2835" s="60" t="s">
        <v>8586</v>
      </c>
    </row>
    <row r="2836" spans="2:4" x14ac:dyDescent="0.35">
      <c r="B2836" s="60" t="s">
        <v>8587</v>
      </c>
      <c r="C2836" s="60" t="s">
        <v>8588</v>
      </c>
      <c r="D2836" s="60" t="s">
        <v>8589</v>
      </c>
    </row>
    <row r="2837" spans="2:4" x14ac:dyDescent="0.35">
      <c r="B2837" s="60" t="s">
        <v>8590</v>
      </c>
      <c r="C2837" s="60" t="s">
        <v>8591</v>
      </c>
      <c r="D2837" s="60" t="s">
        <v>8592</v>
      </c>
    </row>
    <row r="2838" spans="2:4" x14ac:dyDescent="0.35">
      <c r="B2838" s="60" t="s">
        <v>8593</v>
      </c>
      <c r="C2838" s="60" t="s">
        <v>8594</v>
      </c>
      <c r="D2838" s="60" t="s">
        <v>8595</v>
      </c>
    </row>
    <row r="2839" spans="2:4" x14ac:dyDescent="0.35">
      <c r="B2839" s="60" t="s">
        <v>8596</v>
      </c>
      <c r="C2839" s="60" t="s">
        <v>8597</v>
      </c>
      <c r="D2839" s="60" t="s">
        <v>8598</v>
      </c>
    </row>
    <row r="2840" spans="2:4" x14ac:dyDescent="0.35">
      <c r="B2840" s="60" t="s">
        <v>8599</v>
      </c>
      <c r="C2840" s="60" t="s">
        <v>8600</v>
      </c>
      <c r="D2840" s="60" t="s">
        <v>8601</v>
      </c>
    </row>
    <row r="2841" spans="2:4" x14ac:dyDescent="0.35">
      <c r="B2841" s="60" t="s">
        <v>8602</v>
      </c>
      <c r="C2841" s="60" t="s">
        <v>8603</v>
      </c>
      <c r="D2841" s="60" t="s">
        <v>8604</v>
      </c>
    </row>
    <row r="2842" spans="2:4" x14ac:dyDescent="0.35">
      <c r="B2842" s="60" t="s">
        <v>8605</v>
      </c>
      <c r="C2842" s="60" t="s">
        <v>8606</v>
      </c>
      <c r="D2842" s="60" t="s">
        <v>8607</v>
      </c>
    </row>
    <row r="2843" spans="2:4" x14ac:dyDescent="0.35">
      <c r="B2843" s="60" t="s">
        <v>8608</v>
      </c>
      <c r="C2843" s="60" t="s">
        <v>8609</v>
      </c>
      <c r="D2843" s="60" t="s">
        <v>8610</v>
      </c>
    </row>
    <row r="2844" spans="2:4" x14ac:dyDescent="0.35">
      <c r="B2844" s="60" t="s">
        <v>8611</v>
      </c>
      <c r="C2844" s="60" t="s">
        <v>8612</v>
      </c>
      <c r="D2844" s="60" t="s">
        <v>8613</v>
      </c>
    </row>
    <row r="2845" spans="2:4" x14ac:dyDescent="0.35">
      <c r="B2845" s="60" t="s">
        <v>8614</v>
      </c>
      <c r="C2845" s="60" t="s">
        <v>8615</v>
      </c>
      <c r="D2845" s="60" t="s">
        <v>8616</v>
      </c>
    </row>
    <row r="2846" spans="2:4" x14ac:dyDescent="0.35">
      <c r="B2846" s="60" t="s">
        <v>8617</v>
      </c>
      <c r="C2846" s="60" t="s">
        <v>8618</v>
      </c>
      <c r="D2846" s="60" t="s">
        <v>8619</v>
      </c>
    </row>
    <row r="2847" spans="2:4" x14ac:dyDescent="0.35">
      <c r="B2847" s="60" t="s">
        <v>8620</v>
      </c>
      <c r="C2847" s="60" t="s">
        <v>8621</v>
      </c>
      <c r="D2847" s="60" t="s">
        <v>8622</v>
      </c>
    </row>
    <row r="2848" spans="2:4" x14ac:dyDescent="0.35">
      <c r="B2848" s="60" t="s">
        <v>8623</v>
      </c>
      <c r="C2848" s="60" t="s">
        <v>8624</v>
      </c>
      <c r="D2848" s="60" t="s">
        <v>8625</v>
      </c>
    </row>
    <row r="2849" spans="2:4" x14ac:dyDescent="0.35">
      <c r="B2849" s="60" t="s">
        <v>8626</v>
      </c>
      <c r="C2849" s="60" t="s">
        <v>8627</v>
      </c>
      <c r="D2849" s="60" t="s">
        <v>8628</v>
      </c>
    </row>
    <row r="2850" spans="2:4" x14ac:dyDescent="0.35">
      <c r="B2850" s="60" t="s">
        <v>8629</v>
      </c>
      <c r="C2850" s="60" t="s">
        <v>8630</v>
      </c>
      <c r="D2850" s="60" t="s">
        <v>8631</v>
      </c>
    </row>
    <row r="2851" spans="2:4" x14ac:dyDescent="0.35">
      <c r="B2851" s="60" t="s">
        <v>8632</v>
      </c>
      <c r="C2851" s="60" t="s">
        <v>8633</v>
      </c>
      <c r="D2851" s="60" t="s">
        <v>8634</v>
      </c>
    </row>
    <row r="2852" spans="2:4" x14ac:dyDescent="0.35">
      <c r="B2852" s="60" t="s">
        <v>8635</v>
      </c>
      <c r="C2852" s="60" t="s">
        <v>8636</v>
      </c>
      <c r="D2852" s="60" t="s">
        <v>8637</v>
      </c>
    </row>
    <row r="2853" spans="2:4" x14ac:dyDescent="0.35">
      <c r="B2853" s="60" t="s">
        <v>8638</v>
      </c>
      <c r="C2853" s="60" t="s">
        <v>8639</v>
      </c>
      <c r="D2853" s="60" t="s">
        <v>8640</v>
      </c>
    </row>
    <row r="2854" spans="2:4" x14ac:dyDescent="0.35">
      <c r="B2854" s="60" t="s">
        <v>8641</v>
      </c>
      <c r="C2854" s="60" t="s">
        <v>8642</v>
      </c>
      <c r="D2854" s="60" t="s">
        <v>8643</v>
      </c>
    </row>
    <row r="2855" spans="2:4" x14ac:dyDescent="0.35">
      <c r="B2855" s="60" t="s">
        <v>8644</v>
      </c>
      <c r="C2855" s="60" t="s">
        <v>8645</v>
      </c>
      <c r="D2855" s="60" t="s">
        <v>8646</v>
      </c>
    </row>
    <row r="2856" spans="2:4" x14ac:dyDescent="0.35">
      <c r="B2856" s="60" t="s">
        <v>8647</v>
      </c>
      <c r="C2856" s="60" t="s">
        <v>8648</v>
      </c>
      <c r="D2856" s="60" t="s">
        <v>8649</v>
      </c>
    </row>
    <row r="2857" spans="2:4" x14ac:dyDescent="0.35">
      <c r="B2857" s="60" t="s">
        <v>8650</v>
      </c>
      <c r="C2857" s="60" t="s">
        <v>8651</v>
      </c>
      <c r="D2857" s="60" t="s">
        <v>8652</v>
      </c>
    </row>
    <row r="2858" spans="2:4" x14ac:dyDescent="0.35">
      <c r="B2858" s="60" t="s">
        <v>8653</v>
      </c>
      <c r="C2858" s="60" t="s">
        <v>8654</v>
      </c>
      <c r="D2858" s="60" t="s">
        <v>8655</v>
      </c>
    </row>
    <row r="2859" spans="2:4" x14ac:dyDescent="0.35">
      <c r="B2859" s="60" t="s">
        <v>8656</v>
      </c>
      <c r="C2859" s="60" t="s">
        <v>8657</v>
      </c>
      <c r="D2859" s="60" t="s">
        <v>8658</v>
      </c>
    </row>
    <row r="2860" spans="2:4" x14ac:dyDescent="0.35">
      <c r="B2860" s="60" t="s">
        <v>8656</v>
      </c>
      <c r="C2860" s="60" t="s">
        <v>8659</v>
      </c>
      <c r="D2860" s="60" t="s">
        <v>8660</v>
      </c>
    </row>
    <row r="2861" spans="2:4" x14ac:dyDescent="0.35">
      <c r="B2861" s="60" t="s">
        <v>8661</v>
      </c>
      <c r="C2861" s="60" t="s">
        <v>8662</v>
      </c>
      <c r="D2861" s="60" t="s">
        <v>8663</v>
      </c>
    </row>
    <row r="2862" spans="2:4" x14ac:dyDescent="0.35">
      <c r="B2862" s="60" t="s">
        <v>8664</v>
      </c>
      <c r="C2862" s="60" t="s">
        <v>8665</v>
      </c>
      <c r="D2862" s="60" t="s">
        <v>8666</v>
      </c>
    </row>
    <row r="2863" spans="2:4" x14ac:dyDescent="0.35">
      <c r="B2863" s="60" t="s">
        <v>8667</v>
      </c>
      <c r="C2863" s="60" t="s">
        <v>8668</v>
      </c>
      <c r="D2863" s="60" t="s">
        <v>8669</v>
      </c>
    </row>
    <row r="2864" spans="2:4" x14ac:dyDescent="0.35">
      <c r="B2864" s="60" t="s">
        <v>8670</v>
      </c>
      <c r="C2864" s="60" t="s">
        <v>8671</v>
      </c>
      <c r="D2864" s="60" t="s">
        <v>8672</v>
      </c>
    </row>
    <row r="2865" spans="2:4" x14ac:dyDescent="0.35">
      <c r="B2865" s="60" t="s">
        <v>8673</v>
      </c>
      <c r="C2865" s="60" t="s">
        <v>8674</v>
      </c>
      <c r="D2865" s="60" t="s">
        <v>8675</v>
      </c>
    </row>
    <row r="2866" spans="2:4" x14ac:dyDescent="0.35">
      <c r="B2866" s="60" t="s">
        <v>8676</v>
      </c>
      <c r="C2866" s="60" t="s">
        <v>8677</v>
      </c>
      <c r="D2866" s="60" t="s">
        <v>8678</v>
      </c>
    </row>
    <row r="2867" spans="2:4" x14ac:dyDescent="0.35">
      <c r="B2867" s="60" t="s">
        <v>8679</v>
      </c>
      <c r="C2867" s="60" t="s">
        <v>8680</v>
      </c>
      <c r="D2867" s="60" t="s">
        <v>8681</v>
      </c>
    </row>
    <row r="2868" spans="2:4" x14ac:dyDescent="0.35">
      <c r="B2868" s="60" t="s">
        <v>8682</v>
      </c>
      <c r="C2868" s="60" t="s">
        <v>8683</v>
      </c>
      <c r="D2868" s="60" t="s">
        <v>8684</v>
      </c>
    </row>
    <row r="2869" spans="2:4" x14ac:dyDescent="0.35">
      <c r="B2869" s="60" t="s">
        <v>8685</v>
      </c>
      <c r="C2869" s="60" t="s">
        <v>8686</v>
      </c>
      <c r="D2869" s="60" t="s">
        <v>8687</v>
      </c>
    </row>
    <row r="2870" spans="2:4" x14ac:dyDescent="0.35">
      <c r="B2870" s="60" t="s">
        <v>8688</v>
      </c>
      <c r="C2870" s="60" t="s">
        <v>8689</v>
      </c>
      <c r="D2870" s="60" t="s">
        <v>8690</v>
      </c>
    </row>
    <row r="2871" spans="2:4" x14ac:dyDescent="0.35">
      <c r="B2871" s="60" t="s">
        <v>8691</v>
      </c>
      <c r="C2871" s="60" t="s">
        <v>8692</v>
      </c>
      <c r="D2871" s="60" t="s">
        <v>8693</v>
      </c>
    </row>
    <row r="2872" spans="2:4" x14ac:dyDescent="0.35">
      <c r="B2872" s="60" t="s">
        <v>8694</v>
      </c>
      <c r="C2872" s="60" t="s">
        <v>8695</v>
      </c>
      <c r="D2872" s="60" t="s">
        <v>8696</v>
      </c>
    </row>
    <row r="2873" spans="2:4" x14ac:dyDescent="0.35">
      <c r="B2873" s="60" t="s">
        <v>8697</v>
      </c>
      <c r="C2873" s="60" t="s">
        <v>8698</v>
      </c>
      <c r="D2873" s="60" t="s">
        <v>8699</v>
      </c>
    </row>
    <row r="2874" spans="2:4" x14ac:dyDescent="0.35">
      <c r="B2874" s="60" t="s">
        <v>8700</v>
      </c>
      <c r="C2874" s="60" t="s">
        <v>8701</v>
      </c>
      <c r="D2874" s="60" t="s">
        <v>8702</v>
      </c>
    </row>
    <row r="2875" spans="2:4" x14ac:dyDescent="0.35">
      <c r="B2875" s="60" t="s">
        <v>8703</v>
      </c>
      <c r="C2875" s="60" t="s">
        <v>8704</v>
      </c>
      <c r="D2875" s="60" t="s">
        <v>8705</v>
      </c>
    </row>
    <row r="2876" spans="2:4" x14ac:dyDescent="0.35">
      <c r="B2876" s="60" t="s">
        <v>8706</v>
      </c>
      <c r="C2876" s="60" t="s">
        <v>8707</v>
      </c>
      <c r="D2876" s="60" t="s">
        <v>8708</v>
      </c>
    </row>
    <row r="2877" spans="2:4" x14ac:dyDescent="0.35">
      <c r="B2877" s="60" t="s">
        <v>8709</v>
      </c>
      <c r="C2877" s="60" t="s">
        <v>8710</v>
      </c>
      <c r="D2877" s="60" t="s">
        <v>8711</v>
      </c>
    </row>
    <row r="2878" spans="2:4" x14ac:dyDescent="0.35">
      <c r="B2878" s="60" t="s">
        <v>8712</v>
      </c>
      <c r="C2878" s="60" t="s">
        <v>8713</v>
      </c>
      <c r="D2878" s="60" t="s">
        <v>8714</v>
      </c>
    </row>
    <row r="2879" spans="2:4" x14ac:dyDescent="0.35">
      <c r="B2879" s="60" t="s">
        <v>8715</v>
      </c>
      <c r="C2879" s="60" t="s">
        <v>8716</v>
      </c>
      <c r="D2879" s="60" t="s">
        <v>8717</v>
      </c>
    </row>
    <row r="2880" spans="2:4" x14ac:dyDescent="0.35">
      <c r="B2880" s="60" t="s">
        <v>8718</v>
      </c>
      <c r="C2880" s="60" t="s">
        <v>8719</v>
      </c>
      <c r="D2880" s="60" t="s">
        <v>8720</v>
      </c>
    </row>
    <row r="2881" spans="2:4" x14ac:dyDescent="0.35">
      <c r="B2881" s="60" t="s">
        <v>8721</v>
      </c>
      <c r="C2881" s="60" t="s">
        <v>8722</v>
      </c>
      <c r="D2881" s="60" t="s">
        <v>8723</v>
      </c>
    </row>
    <row r="2882" spans="2:4" x14ac:dyDescent="0.35">
      <c r="B2882" s="60" t="s">
        <v>8724</v>
      </c>
      <c r="C2882" s="60" t="s">
        <v>8725</v>
      </c>
      <c r="D2882" s="60" t="s">
        <v>8726</v>
      </c>
    </row>
    <row r="2883" spans="2:4" x14ac:dyDescent="0.35">
      <c r="B2883" s="60" t="s">
        <v>8727</v>
      </c>
      <c r="C2883" s="60" t="s">
        <v>8728</v>
      </c>
      <c r="D2883" s="60" t="s">
        <v>8729</v>
      </c>
    </row>
    <row r="2884" spans="2:4" x14ac:dyDescent="0.35">
      <c r="B2884" s="60" t="s">
        <v>8730</v>
      </c>
      <c r="C2884" s="60" t="s">
        <v>8731</v>
      </c>
      <c r="D2884" s="60" t="s">
        <v>8732</v>
      </c>
    </row>
    <row r="2885" spans="2:4" x14ac:dyDescent="0.35">
      <c r="B2885" s="60" t="s">
        <v>8733</v>
      </c>
      <c r="C2885" s="60" t="s">
        <v>8734</v>
      </c>
      <c r="D2885" s="60" t="s">
        <v>8735</v>
      </c>
    </row>
    <row r="2886" spans="2:4" x14ac:dyDescent="0.35">
      <c r="B2886" s="60" t="s">
        <v>8736</v>
      </c>
      <c r="C2886" s="60" t="s">
        <v>8737</v>
      </c>
      <c r="D2886" s="60" t="s">
        <v>8738</v>
      </c>
    </row>
    <row r="2887" spans="2:4" x14ac:dyDescent="0.35">
      <c r="B2887" s="60" t="s">
        <v>8739</v>
      </c>
      <c r="C2887" s="60" t="s">
        <v>8740</v>
      </c>
      <c r="D2887" s="60" t="s">
        <v>8741</v>
      </c>
    </row>
    <row r="2888" spans="2:4" x14ac:dyDescent="0.35">
      <c r="B2888" s="60" t="s">
        <v>8742</v>
      </c>
      <c r="C2888" s="60" t="s">
        <v>8743</v>
      </c>
      <c r="D2888" s="60" t="s">
        <v>8744</v>
      </c>
    </row>
    <row r="2889" spans="2:4" x14ac:dyDescent="0.35">
      <c r="B2889" s="60" t="s">
        <v>8745</v>
      </c>
      <c r="C2889" s="60" t="s">
        <v>8746</v>
      </c>
      <c r="D2889" s="60" t="s">
        <v>8747</v>
      </c>
    </row>
    <row r="2890" spans="2:4" x14ac:dyDescent="0.35">
      <c r="B2890" s="60" t="s">
        <v>8748</v>
      </c>
      <c r="C2890" s="60" t="s">
        <v>8749</v>
      </c>
      <c r="D2890" s="60" t="s">
        <v>8750</v>
      </c>
    </row>
    <row r="2891" spans="2:4" x14ac:dyDescent="0.35">
      <c r="B2891" s="60" t="s">
        <v>8751</v>
      </c>
      <c r="C2891" s="60" t="s">
        <v>8752</v>
      </c>
      <c r="D2891" s="60" t="s">
        <v>8753</v>
      </c>
    </row>
    <row r="2892" spans="2:4" x14ac:dyDescent="0.35">
      <c r="B2892" s="60" t="s">
        <v>8754</v>
      </c>
      <c r="C2892" s="60" t="s">
        <v>8755</v>
      </c>
      <c r="D2892" s="60" t="s">
        <v>8756</v>
      </c>
    </row>
    <row r="2893" spans="2:4" x14ac:dyDescent="0.35">
      <c r="B2893" s="60" t="s">
        <v>8757</v>
      </c>
      <c r="C2893" s="60" t="s">
        <v>8758</v>
      </c>
      <c r="D2893" s="60" t="s">
        <v>8759</v>
      </c>
    </row>
    <row r="2894" spans="2:4" x14ac:dyDescent="0.35">
      <c r="B2894" s="60" t="s">
        <v>8760</v>
      </c>
      <c r="C2894" s="60" t="s">
        <v>8761</v>
      </c>
      <c r="D2894" s="60" t="s">
        <v>8762</v>
      </c>
    </row>
    <row r="2895" spans="2:4" x14ac:dyDescent="0.35">
      <c r="B2895" s="60" t="s">
        <v>8763</v>
      </c>
      <c r="C2895" s="60" t="s">
        <v>8764</v>
      </c>
      <c r="D2895" s="60" t="s">
        <v>8765</v>
      </c>
    </row>
    <row r="2896" spans="2:4" x14ac:dyDescent="0.35">
      <c r="B2896" s="60" t="s">
        <v>8766</v>
      </c>
      <c r="C2896" s="60" t="s">
        <v>8767</v>
      </c>
      <c r="D2896" s="60" t="s">
        <v>8768</v>
      </c>
    </row>
    <row r="2897" spans="2:4" x14ac:dyDescent="0.35">
      <c r="B2897" s="60" t="s">
        <v>8769</v>
      </c>
      <c r="C2897" s="60" t="s">
        <v>8770</v>
      </c>
      <c r="D2897" s="60" t="s">
        <v>8771</v>
      </c>
    </row>
    <row r="2898" spans="2:4" x14ac:dyDescent="0.35">
      <c r="B2898" s="60" t="s">
        <v>8772</v>
      </c>
      <c r="C2898" s="60" t="s">
        <v>8773</v>
      </c>
      <c r="D2898" s="60" t="s">
        <v>8774</v>
      </c>
    </row>
    <row r="2899" spans="2:4" x14ac:dyDescent="0.35">
      <c r="B2899" s="60" t="s">
        <v>8775</v>
      </c>
      <c r="C2899" s="60" t="s">
        <v>8776</v>
      </c>
      <c r="D2899" s="60" t="s">
        <v>8777</v>
      </c>
    </row>
    <row r="2900" spans="2:4" x14ac:dyDescent="0.35">
      <c r="B2900" s="60" t="s">
        <v>8778</v>
      </c>
      <c r="C2900" s="60" t="s">
        <v>8779</v>
      </c>
      <c r="D2900" s="60" t="s">
        <v>8780</v>
      </c>
    </row>
    <row r="2901" spans="2:4" x14ac:dyDescent="0.35">
      <c r="B2901" s="60" t="s">
        <v>8781</v>
      </c>
      <c r="C2901" s="60" t="s">
        <v>8782</v>
      </c>
      <c r="D2901" s="60" t="s">
        <v>8783</v>
      </c>
    </row>
    <row r="2902" spans="2:4" x14ac:dyDescent="0.35">
      <c r="B2902" s="60" t="s">
        <v>8784</v>
      </c>
      <c r="C2902" s="60" t="s">
        <v>8785</v>
      </c>
      <c r="D2902" s="60" t="s">
        <v>8786</v>
      </c>
    </row>
    <row r="2903" spans="2:4" x14ac:dyDescent="0.35">
      <c r="B2903" s="60" t="s">
        <v>8787</v>
      </c>
      <c r="C2903" s="60" t="s">
        <v>8788</v>
      </c>
      <c r="D2903" s="60" t="s">
        <v>8789</v>
      </c>
    </row>
    <row r="2904" spans="2:4" x14ac:dyDescent="0.35">
      <c r="B2904" s="60" t="s">
        <v>8790</v>
      </c>
      <c r="C2904" s="60" t="s">
        <v>8791</v>
      </c>
      <c r="D2904" s="60" t="s">
        <v>8792</v>
      </c>
    </row>
    <row r="2905" spans="2:4" x14ac:dyDescent="0.35">
      <c r="B2905" s="60" t="s">
        <v>8793</v>
      </c>
      <c r="C2905" s="60" t="s">
        <v>8794</v>
      </c>
      <c r="D2905" s="60" t="s">
        <v>8795</v>
      </c>
    </row>
    <row r="2906" spans="2:4" x14ac:dyDescent="0.35">
      <c r="B2906" s="60" t="s">
        <v>8796</v>
      </c>
      <c r="C2906" s="60" t="s">
        <v>8797</v>
      </c>
      <c r="D2906" s="60" t="s">
        <v>8798</v>
      </c>
    </row>
    <row r="2907" spans="2:4" x14ac:dyDescent="0.35">
      <c r="B2907" s="60" t="s">
        <v>8799</v>
      </c>
      <c r="C2907" s="60" t="s">
        <v>8800</v>
      </c>
      <c r="D2907" s="60" t="s">
        <v>8801</v>
      </c>
    </row>
    <row r="2908" spans="2:4" x14ac:dyDescent="0.35">
      <c r="B2908" s="60" t="s">
        <v>8802</v>
      </c>
      <c r="C2908" s="60" t="s">
        <v>8803</v>
      </c>
      <c r="D2908" s="60" t="s">
        <v>8804</v>
      </c>
    </row>
    <row r="2909" spans="2:4" x14ac:dyDescent="0.35">
      <c r="B2909" s="60" t="s">
        <v>8805</v>
      </c>
      <c r="C2909" s="60" t="s">
        <v>8806</v>
      </c>
      <c r="D2909" s="60" t="s">
        <v>8807</v>
      </c>
    </row>
    <row r="2910" spans="2:4" x14ac:dyDescent="0.35">
      <c r="B2910" s="60" t="s">
        <v>8808</v>
      </c>
      <c r="C2910" s="60" t="s">
        <v>8809</v>
      </c>
      <c r="D2910" s="60" t="s">
        <v>8810</v>
      </c>
    </row>
    <row r="2911" spans="2:4" x14ac:dyDescent="0.35">
      <c r="B2911" s="60" t="s">
        <v>8811</v>
      </c>
      <c r="C2911" s="60" t="s">
        <v>8812</v>
      </c>
      <c r="D2911" s="60" t="s">
        <v>8813</v>
      </c>
    </row>
    <row r="2912" spans="2:4" x14ac:dyDescent="0.35">
      <c r="B2912" s="60" t="s">
        <v>8814</v>
      </c>
      <c r="C2912" s="60" t="s">
        <v>8815</v>
      </c>
      <c r="D2912" s="60" t="s">
        <v>8816</v>
      </c>
    </row>
    <row r="2913" spans="2:4" x14ac:dyDescent="0.35">
      <c r="B2913" s="60" t="s">
        <v>8817</v>
      </c>
      <c r="C2913" s="60" t="s">
        <v>8818</v>
      </c>
      <c r="D2913" s="60" t="s">
        <v>8819</v>
      </c>
    </row>
    <row r="2914" spans="2:4" x14ac:dyDescent="0.35">
      <c r="B2914" s="60" t="s">
        <v>8817</v>
      </c>
      <c r="C2914" s="60" t="s">
        <v>8820</v>
      </c>
      <c r="D2914" s="60" t="s">
        <v>8821</v>
      </c>
    </row>
    <row r="2915" spans="2:4" x14ac:dyDescent="0.35">
      <c r="B2915" s="60" t="s">
        <v>8822</v>
      </c>
      <c r="C2915" s="60" t="s">
        <v>8823</v>
      </c>
      <c r="D2915" s="60" t="s">
        <v>8824</v>
      </c>
    </row>
    <row r="2916" spans="2:4" x14ac:dyDescent="0.35">
      <c r="B2916" s="60" t="s">
        <v>8825</v>
      </c>
      <c r="C2916" s="60" t="s">
        <v>8826</v>
      </c>
      <c r="D2916" s="60" t="s">
        <v>8827</v>
      </c>
    </row>
    <row r="2917" spans="2:4" x14ac:dyDescent="0.35">
      <c r="B2917" s="60" t="s">
        <v>8828</v>
      </c>
      <c r="C2917" s="60" t="s">
        <v>8829</v>
      </c>
      <c r="D2917" s="60" t="s">
        <v>8830</v>
      </c>
    </row>
    <row r="2918" spans="2:4" x14ac:dyDescent="0.35">
      <c r="B2918" s="60" t="s">
        <v>8831</v>
      </c>
      <c r="C2918" s="60" t="s">
        <v>8832</v>
      </c>
      <c r="D2918" s="60" t="s">
        <v>8833</v>
      </c>
    </row>
    <row r="2919" spans="2:4" x14ac:dyDescent="0.35">
      <c r="B2919" s="60" t="s">
        <v>8834</v>
      </c>
      <c r="C2919" s="60" t="s">
        <v>8835</v>
      </c>
      <c r="D2919" s="60" t="s">
        <v>8836</v>
      </c>
    </row>
    <row r="2920" spans="2:4" x14ac:dyDescent="0.35">
      <c r="B2920" s="60" t="s">
        <v>8837</v>
      </c>
      <c r="C2920" s="60" t="s">
        <v>8838</v>
      </c>
      <c r="D2920" s="60" t="s">
        <v>8839</v>
      </c>
    </row>
    <row r="2921" spans="2:4" x14ac:dyDescent="0.35">
      <c r="B2921" s="60" t="s">
        <v>8840</v>
      </c>
      <c r="C2921" s="60" t="s">
        <v>8841</v>
      </c>
      <c r="D2921" s="60" t="s">
        <v>8842</v>
      </c>
    </row>
    <row r="2922" spans="2:4" x14ac:dyDescent="0.35">
      <c r="B2922" s="60" t="s">
        <v>8843</v>
      </c>
      <c r="C2922" s="60" t="s">
        <v>8844</v>
      </c>
      <c r="D2922" s="60" t="s">
        <v>8845</v>
      </c>
    </row>
    <row r="2923" spans="2:4" x14ac:dyDescent="0.35">
      <c r="B2923" s="60" t="s">
        <v>8846</v>
      </c>
      <c r="C2923" s="60" t="s">
        <v>8847</v>
      </c>
      <c r="D2923" s="60" t="s">
        <v>8848</v>
      </c>
    </row>
    <row r="2924" spans="2:4" x14ac:dyDescent="0.35">
      <c r="B2924" s="60" t="s">
        <v>8849</v>
      </c>
      <c r="C2924" s="60" t="s">
        <v>8850</v>
      </c>
      <c r="D2924" s="60" t="s">
        <v>8851</v>
      </c>
    </row>
    <row r="2925" spans="2:4" x14ac:dyDescent="0.35">
      <c r="B2925" s="60" t="s">
        <v>8852</v>
      </c>
      <c r="C2925" s="60" t="s">
        <v>8853</v>
      </c>
      <c r="D2925" s="60" t="s">
        <v>8854</v>
      </c>
    </row>
    <row r="2926" spans="2:4" x14ac:dyDescent="0.35">
      <c r="B2926" s="60" t="s">
        <v>8855</v>
      </c>
      <c r="C2926" s="60" t="s">
        <v>8856</v>
      </c>
      <c r="D2926" s="60" t="s">
        <v>8857</v>
      </c>
    </row>
    <row r="2927" spans="2:4" x14ac:dyDescent="0.35">
      <c r="B2927" s="60" t="s">
        <v>8858</v>
      </c>
      <c r="C2927" s="60" t="s">
        <v>8859</v>
      </c>
      <c r="D2927" s="60" t="s">
        <v>8860</v>
      </c>
    </row>
    <row r="2928" spans="2:4" x14ac:dyDescent="0.35">
      <c r="B2928" s="60" t="s">
        <v>8861</v>
      </c>
      <c r="C2928" s="60" t="s">
        <v>8862</v>
      </c>
      <c r="D2928" s="60" t="s">
        <v>8863</v>
      </c>
    </row>
    <row r="2929" spans="2:4" x14ac:dyDescent="0.35">
      <c r="B2929" s="60" t="s">
        <v>8864</v>
      </c>
      <c r="C2929" s="60" t="s">
        <v>8865</v>
      </c>
      <c r="D2929" s="60" t="s">
        <v>8866</v>
      </c>
    </row>
    <row r="2930" spans="2:4" x14ac:dyDescent="0.35">
      <c r="B2930" s="60" t="s">
        <v>8867</v>
      </c>
      <c r="C2930" s="60" t="s">
        <v>8868</v>
      </c>
      <c r="D2930" s="60" t="s">
        <v>8869</v>
      </c>
    </row>
    <row r="2931" spans="2:4" x14ac:dyDescent="0.35">
      <c r="B2931" s="60" t="s">
        <v>8870</v>
      </c>
      <c r="C2931" s="60" t="s">
        <v>8871</v>
      </c>
      <c r="D2931" s="60" t="s">
        <v>8872</v>
      </c>
    </row>
    <row r="2932" spans="2:4" x14ac:dyDescent="0.35">
      <c r="B2932" s="60" t="s">
        <v>8873</v>
      </c>
      <c r="C2932" s="60" t="s">
        <v>8874</v>
      </c>
      <c r="D2932" s="60" t="s">
        <v>8875</v>
      </c>
    </row>
    <row r="2933" spans="2:4" x14ac:dyDescent="0.35">
      <c r="B2933" s="60" t="s">
        <v>8873</v>
      </c>
      <c r="C2933" s="60" t="s">
        <v>8876</v>
      </c>
      <c r="D2933" s="60" t="s">
        <v>8877</v>
      </c>
    </row>
    <row r="2934" spans="2:4" x14ac:dyDescent="0.35">
      <c r="B2934" s="60" t="s">
        <v>8878</v>
      </c>
      <c r="C2934" s="60" t="s">
        <v>8879</v>
      </c>
      <c r="D2934" s="60" t="s">
        <v>8880</v>
      </c>
    </row>
    <row r="2935" spans="2:4" x14ac:dyDescent="0.35">
      <c r="B2935" s="60" t="s">
        <v>8881</v>
      </c>
      <c r="C2935" s="60" t="s">
        <v>8882</v>
      </c>
      <c r="D2935" s="60" t="s">
        <v>8883</v>
      </c>
    </row>
    <row r="2936" spans="2:4" x14ac:dyDescent="0.35">
      <c r="B2936" s="60" t="s">
        <v>8884</v>
      </c>
      <c r="C2936" s="60" t="s">
        <v>8885</v>
      </c>
      <c r="D2936" s="60" t="s">
        <v>8886</v>
      </c>
    </row>
    <row r="2937" spans="2:4" x14ac:dyDescent="0.35">
      <c r="B2937" s="60" t="s">
        <v>8887</v>
      </c>
      <c r="C2937" s="60" t="s">
        <v>8888</v>
      </c>
      <c r="D2937" s="60" t="s">
        <v>8889</v>
      </c>
    </row>
    <row r="2938" spans="2:4" x14ac:dyDescent="0.35">
      <c r="B2938" s="60" t="s">
        <v>8890</v>
      </c>
      <c r="C2938" s="60" t="s">
        <v>8891</v>
      </c>
      <c r="D2938" s="60" t="s">
        <v>8892</v>
      </c>
    </row>
    <row r="2939" spans="2:4" x14ac:dyDescent="0.35">
      <c r="B2939" s="60" t="s">
        <v>8893</v>
      </c>
      <c r="C2939" s="60" t="s">
        <v>8894</v>
      </c>
      <c r="D2939" s="60" t="s">
        <v>8895</v>
      </c>
    </row>
    <row r="2940" spans="2:4" x14ac:dyDescent="0.35">
      <c r="B2940" s="60" t="s">
        <v>8896</v>
      </c>
      <c r="C2940" s="60" t="s">
        <v>8897</v>
      </c>
      <c r="D2940" s="60" t="s">
        <v>8898</v>
      </c>
    </row>
    <row r="2941" spans="2:4" x14ac:dyDescent="0.35">
      <c r="B2941" s="60" t="s">
        <v>8899</v>
      </c>
      <c r="C2941" s="60" t="s">
        <v>8900</v>
      </c>
      <c r="D2941" s="60" t="s">
        <v>8901</v>
      </c>
    </row>
    <row r="2942" spans="2:4" x14ac:dyDescent="0.35">
      <c r="B2942" s="60" t="s">
        <v>8902</v>
      </c>
      <c r="C2942" s="60" t="s">
        <v>8903</v>
      </c>
      <c r="D2942" s="60" t="s">
        <v>8904</v>
      </c>
    </row>
    <row r="2943" spans="2:4" x14ac:dyDescent="0.35">
      <c r="B2943" s="60" t="s">
        <v>8905</v>
      </c>
      <c r="C2943" s="60" t="s">
        <v>8906</v>
      </c>
      <c r="D2943" s="60" t="s">
        <v>8907</v>
      </c>
    </row>
    <row r="2944" spans="2:4" x14ac:dyDescent="0.35">
      <c r="B2944" s="60" t="s">
        <v>8908</v>
      </c>
      <c r="C2944" s="60" t="s">
        <v>8909</v>
      </c>
      <c r="D2944" s="60" t="s">
        <v>8910</v>
      </c>
    </row>
    <row r="2945" spans="2:4" x14ac:dyDescent="0.35">
      <c r="B2945" s="60" t="s">
        <v>8911</v>
      </c>
      <c r="C2945" s="60" t="s">
        <v>8912</v>
      </c>
      <c r="D2945" s="60" t="s">
        <v>8913</v>
      </c>
    </row>
    <row r="2946" spans="2:4" x14ac:dyDescent="0.35">
      <c r="B2946" s="60" t="s">
        <v>8914</v>
      </c>
      <c r="C2946" s="60" t="s">
        <v>8915</v>
      </c>
      <c r="D2946" s="60" t="s">
        <v>8916</v>
      </c>
    </row>
    <row r="2947" spans="2:4" x14ac:dyDescent="0.35">
      <c r="B2947" s="60" t="s">
        <v>8917</v>
      </c>
      <c r="C2947" s="60" t="s">
        <v>8918</v>
      </c>
      <c r="D2947" s="60" t="s">
        <v>8919</v>
      </c>
    </row>
    <row r="2948" spans="2:4" x14ac:dyDescent="0.35">
      <c r="B2948" s="60" t="s">
        <v>8920</v>
      </c>
      <c r="C2948" s="60" t="s">
        <v>8921</v>
      </c>
      <c r="D2948" s="60" t="s">
        <v>8922</v>
      </c>
    </row>
    <row r="2949" spans="2:4" x14ac:dyDescent="0.35">
      <c r="B2949" s="60" t="s">
        <v>8923</v>
      </c>
      <c r="C2949" s="60" t="s">
        <v>8924</v>
      </c>
      <c r="D2949" s="60" t="s">
        <v>8925</v>
      </c>
    </row>
    <row r="2950" spans="2:4" x14ac:dyDescent="0.35">
      <c r="B2950" s="60" t="s">
        <v>8926</v>
      </c>
      <c r="C2950" s="60" t="s">
        <v>8927</v>
      </c>
      <c r="D2950" s="60" t="s">
        <v>8928</v>
      </c>
    </row>
    <row r="2951" spans="2:4" x14ac:dyDescent="0.35">
      <c r="B2951" s="60" t="s">
        <v>8929</v>
      </c>
      <c r="C2951" s="60" t="s">
        <v>8930</v>
      </c>
      <c r="D2951" s="60" t="s">
        <v>8931</v>
      </c>
    </row>
    <row r="2952" spans="2:4" x14ac:dyDescent="0.35">
      <c r="B2952" s="60" t="s">
        <v>8932</v>
      </c>
      <c r="C2952" s="60" t="s">
        <v>8933</v>
      </c>
      <c r="D2952" s="60" t="s">
        <v>8934</v>
      </c>
    </row>
    <row r="2953" spans="2:4" x14ac:dyDescent="0.35">
      <c r="B2953" s="60" t="s">
        <v>8935</v>
      </c>
      <c r="C2953" s="60" t="s">
        <v>8936</v>
      </c>
      <c r="D2953" s="60" t="s">
        <v>8937</v>
      </c>
    </row>
    <row r="2954" spans="2:4" x14ac:dyDescent="0.35">
      <c r="B2954" s="60" t="s">
        <v>8938</v>
      </c>
      <c r="C2954" s="60" t="s">
        <v>8939</v>
      </c>
      <c r="D2954" s="60" t="s">
        <v>8940</v>
      </c>
    </row>
    <row r="2955" spans="2:4" x14ac:dyDescent="0.35">
      <c r="B2955" s="60" t="s">
        <v>8941</v>
      </c>
      <c r="C2955" s="60" t="s">
        <v>8942</v>
      </c>
      <c r="D2955" s="60" t="s">
        <v>8943</v>
      </c>
    </row>
    <row r="2956" spans="2:4" x14ac:dyDescent="0.35">
      <c r="B2956" s="60" t="s">
        <v>8944</v>
      </c>
      <c r="C2956" s="60" t="s">
        <v>8945</v>
      </c>
      <c r="D2956" s="60" t="s">
        <v>8946</v>
      </c>
    </row>
    <row r="2957" spans="2:4" x14ac:dyDescent="0.35">
      <c r="B2957" s="60" t="s">
        <v>8947</v>
      </c>
      <c r="C2957" s="60" t="s">
        <v>8948</v>
      </c>
      <c r="D2957" s="60" t="s">
        <v>8949</v>
      </c>
    </row>
    <row r="2958" spans="2:4" x14ac:dyDescent="0.35">
      <c r="B2958" s="60" t="s">
        <v>8950</v>
      </c>
      <c r="C2958" s="60" t="s">
        <v>8951</v>
      </c>
      <c r="D2958" s="60" t="s">
        <v>8952</v>
      </c>
    </row>
    <row r="2959" spans="2:4" x14ac:dyDescent="0.35">
      <c r="B2959" s="60" t="s">
        <v>8953</v>
      </c>
      <c r="C2959" s="60" t="s">
        <v>8954</v>
      </c>
      <c r="D2959" s="60" t="s">
        <v>8955</v>
      </c>
    </row>
    <row r="2960" spans="2:4" x14ac:dyDescent="0.35">
      <c r="B2960" s="60" t="s">
        <v>8956</v>
      </c>
      <c r="C2960" s="60" t="s">
        <v>8957</v>
      </c>
      <c r="D2960" s="60" t="s">
        <v>8958</v>
      </c>
    </row>
    <row r="2961" spans="2:4" x14ac:dyDescent="0.35">
      <c r="B2961" s="60" t="s">
        <v>8959</v>
      </c>
      <c r="C2961" s="60" t="s">
        <v>8960</v>
      </c>
      <c r="D2961" s="60" t="s">
        <v>8961</v>
      </c>
    </row>
    <row r="2962" spans="2:4" x14ac:dyDescent="0.35">
      <c r="B2962" s="60" t="s">
        <v>8962</v>
      </c>
      <c r="C2962" s="60" t="s">
        <v>8963</v>
      </c>
      <c r="D2962" s="60" t="s">
        <v>8964</v>
      </c>
    </row>
    <row r="2963" spans="2:4" x14ac:dyDescent="0.35">
      <c r="B2963" s="60" t="s">
        <v>8965</v>
      </c>
      <c r="C2963" s="60" t="s">
        <v>8966</v>
      </c>
      <c r="D2963" s="60" t="s">
        <v>8967</v>
      </c>
    </row>
    <row r="2964" spans="2:4" x14ac:dyDescent="0.35">
      <c r="B2964" s="60" t="s">
        <v>8968</v>
      </c>
      <c r="C2964" s="60" t="s">
        <v>8969</v>
      </c>
      <c r="D2964" s="60" t="s">
        <v>8970</v>
      </c>
    </row>
    <row r="2965" spans="2:4" x14ac:dyDescent="0.35">
      <c r="B2965" s="60" t="s">
        <v>8971</v>
      </c>
      <c r="C2965" s="60" t="s">
        <v>8972</v>
      </c>
      <c r="D2965" s="60" t="s">
        <v>8973</v>
      </c>
    </row>
    <row r="2966" spans="2:4" x14ac:dyDescent="0.35">
      <c r="B2966" s="60" t="s">
        <v>8974</v>
      </c>
      <c r="C2966" s="60" t="s">
        <v>8975</v>
      </c>
      <c r="D2966" s="60" t="s">
        <v>8976</v>
      </c>
    </row>
    <row r="2967" spans="2:4" x14ac:dyDescent="0.35">
      <c r="B2967" s="60" t="s">
        <v>8977</v>
      </c>
      <c r="C2967" s="60" t="s">
        <v>8978</v>
      </c>
      <c r="D2967" s="60" t="s">
        <v>8979</v>
      </c>
    </row>
    <row r="2968" spans="2:4" x14ac:dyDescent="0.35">
      <c r="B2968" s="60" t="s">
        <v>8980</v>
      </c>
      <c r="C2968" s="60" t="s">
        <v>8981</v>
      </c>
      <c r="D2968" s="60" t="s">
        <v>8982</v>
      </c>
    </row>
    <row r="2969" spans="2:4" x14ac:dyDescent="0.35">
      <c r="B2969" s="60" t="s">
        <v>8983</v>
      </c>
      <c r="C2969" s="60" t="s">
        <v>8984</v>
      </c>
      <c r="D2969" s="60" t="s">
        <v>8985</v>
      </c>
    </row>
    <row r="2970" spans="2:4" x14ac:dyDescent="0.35">
      <c r="B2970" s="60" t="s">
        <v>8986</v>
      </c>
      <c r="C2970" s="60" t="s">
        <v>8987</v>
      </c>
      <c r="D2970" s="60" t="s">
        <v>8988</v>
      </c>
    </row>
    <row r="2971" spans="2:4" x14ac:dyDescent="0.35">
      <c r="B2971" s="60" t="s">
        <v>8989</v>
      </c>
      <c r="C2971" s="60" t="s">
        <v>8990</v>
      </c>
      <c r="D2971" s="60" t="s">
        <v>8991</v>
      </c>
    </row>
    <row r="2972" spans="2:4" x14ac:dyDescent="0.35">
      <c r="B2972" s="60" t="s">
        <v>8992</v>
      </c>
      <c r="C2972" s="60" t="s">
        <v>8993</v>
      </c>
      <c r="D2972" s="60" t="s">
        <v>8994</v>
      </c>
    </row>
    <row r="2973" spans="2:4" x14ac:dyDescent="0.35">
      <c r="B2973" s="60" t="s">
        <v>8995</v>
      </c>
      <c r="C2973" s="60" t="s">
        <v>8996</v>
      </c>
      <c r="D2973" s="60" t="s">
        <v>8997</v>
      </c>
    </row>
    <row r="2974" spans="2:4" x14ac:dyDescent="0.35">
      <c r="B2974" s="60" t="s">
        <v>8998</v>
      </c>
      <c r="C2974" s="60" t="s">
        <v>8999</v>
      </c>
      <c r="D2974" s="60" t="s">
        <v>9000</v>
      </c>
    </row>
    <row r="2975" spans="2:4" x14ac:dyDescent="0.35">
      <c r="B2975" s="60" t="s">
        <v>9001</v>
      </c>
      <c r="C2975" s="60" t="s">
        <v>9002</v>
      </c>
      <c r="D2975" s="60" t="s">
        <v>9003</v>
      </c>
    </row>
    <row r="2976" spans="2:4" x14ac:dyDescent="0.35">
      <c r="B2976" s="60" t="s">
        <v>9004</v>
      </c>
      <c r="C2976" s="60" t="s">
        <v>9005</v>
      </c>
      <c r="D2976" s="60" t="s">
        <v>9006</v>
      </c>
    </row>
    <row r="2977" spans="2:4" x14ac:dyDescent="0.35">
      <c r="B2977" s="60" t="s">
        <v>9007</v>
      </c>
      <c r="C2977" s="60" t="s">
        <v>9008</v>
      </c>
      <c r="D2977" s="60" t="s">
        <v>9009</v>
      </c>
    </row>
    <row r="2978" spans="2:4" x14ac:dyDescent="0.35">
      <c r="B2978" s="60" t="s">
        <v>9010</v>
      </c>
      <c r="C2978" s="60" t="s">
        <v>9011</v>
      </c>
      <c r="D2978" s="60" t="s">
        <v>9012</v>
      </c>
    </row>
    <row r="2979" spans="2:4" x14ac:dyDescent="0.35">
      <c r="B2979" s="60" t="s">
        <v>9013</v>
      </c>
      <c r="C2979" s="60" t="s">
        <v>9014</v>
      </c>
      <c r="D2979" s="60" t="s">
        <v>9015</v>
      </c>
    </row>
    <row r="2980" spans="2:4" x14ac:dyDescent="0.35">
      <c r="B2980" s="60" t="s">
        <v>9016</v>
      </c>
      <c r="C2980" s="60" t="s">
        <v>9017</v>
      </c>
      <c r="D2980" s="60" t="s">
        <v>9018</v>
      </c>
    </row>
    <row r="2981" spans="2:4" x14ac:dyDescent="0.35">
      <c r="B2981" s="60" t="s">
        <v>9019</v>
      </c>
      <c r="C2981" s="60" t="s">
        <v>9020</v>
      </c>
      <c r="D2981" s="60" t="s">
        <v>9021</v>
      </c>
    </row>
    <row r="2982" spans="2:4" x14ac:dyDescent="0.35">
      <c r="B2982" s="60" t="s">
        <v>9019</v>
      </c>
      <c r="C2982" s="60" t="s">
        <v>9022</v>
      </c>
      <c r="D2982" s="60" t="s">
        <v>9023</v>
      </c>
    </row>
    <row r="2983" spans="2:4" x14ac:dyDescent="0.35">
      <c r="B2983" s="60" t="s">
        <v>9024</v>
      </c>
      <c r="C2983" s="60" t="s">
        <v>9025</v>
      </c>
      <c r="D2983" s="60" t="s">
        <v>9026</v>
      </c>
    </row>
    <row r="2984" spans="2:4" x14ac:dyDescent="0.35">
      <c r="B2984" s="60" t="s">
        <v>9027</v>
      </c>
      <c r="C2984" s="60" t="s">
        <v>9028</v>
      </c>
      <c r="D2984" s="60" t="s">
        <v>9029</v>
      </c>
    </row>
    <row r="2985" spans="2:4" x14ac:dyDescent="0.35">
      <c r="B2985" s="60" t="s">
        <v>9030</v>
      </c>
      <c r="C2985" s="60" t="s">
        <v>9031</v>
      </c>
      <c r="D2985" s="60" t="s">
        <v>9032</v>
      </c>
    </row>
    <row r="2986" spans="2:4" x14ac:dyDescent="0.35">
      <c r="B2986" s="60" t="s">
        <v>9033</v>
      </c>
      <c r="C2986" s="60" t="s">
        <v>9034</v>
      </c>
      <c r="D2986" s="60" t="s">
        <v>9035</v>
      </c>
    </row>
    <row r="2987" spans="2:4" x14ac:dyDescent="0.35">
      <c r="B2987" s="60" t="s">
        <v>9036</v>
      </c>
      <c r="C2987" s="60" t="s">
        <v>9037</v>
      </c>
      <c r="D2987" s="60" t="s">
        <v>9038</v>
      </c>
    </row>
    <row r="2988" spans="2:4" x14ac:dyDescent="0.35">
      <c r="B2988" s="60" t="s">
        <v>9039</v>
      </c>
      <c r="C2988" s="60" t="s">
        <v>9040</v>
      </c>
      <c r="D2988" s="60" t="s">
        <v>9041</v>
      </c>
    </row>
    <row r="2989" spans="2:4" x14ac:dyDescent="0.35">
      <c r="B2989" s="60" t="s">
        <v>9042</v>
      </c>
      <c r="C2989" s="60" t="s">
        <v>9043</v>
      </c>
      <c r="D2989" s="60" t="s">
        <v>9044</v>
      </c>
    </row>
    <row r="2990" spans="2:4" x14ac:dyDescent="0.35">
      <c r="B2990" s="60" t="s">
        <v>9045</v>
      </c>
      <c r="C2990" s="60" t="s">
        <v>9046</v>
      </c>
      <c r="D2990" s="60" t="s">
        <v>9047</v>
      </c>
    </row>
    <row r="2991" spans="2:4" x14ac:dyDescent="0.35">
      <c r="B2991" s="60" t="s">
        <v>9048</v>
      </c>
      <c r="C2991" s="60" t="s">
        <v>9049</v>
      </c>
      <c r="D2991" s="60" t="s">
        <v>9050</v>
      </c>
    </row>
    <row r="2992" spans="2:4" x14ac:dyDescent="0.35">
      <c r="B2992" s="60" t="s">
        <v>9051</v>
      </c>
      <c r="C2992" s="60" t="s">
        <v>9052</v>
      </c>
      <c r="D2992" s="60" t="s">
        <v>9053</v>
      </c>
    </row>
    <row r="2993" spans="2:4" x14ac:dyDescent="0.35">
      <c r="B2993" s="60" t="s">
        <v>9054</v>
      </c>
      <c r="C2993" s="60" t="s">
        <v>9055</v>
      </c>
      <c r="D2993" s="60" t="s">
        <v>9056</v>
      </c>
    </row>
    <row r="2994" spans="2:4" x14ac:dyDescent="0.35">
      <c r="B2994" s="60" t="s">
        <v>9057</v>
      </c>
      <c r="C2994" s="60" t="s">
        <v>9058</v>
      </c>
      <c r="D2994" s="60" t="s">
        <v>9059</v>
      </c>
    </row>
    <row r="2995" spans="2:4" x14ac:dyDescent="0.35">
      <c r="B2995" s="60" t="s">
        <v>9060</v>
      </c>
      <c r="C2995" s="60" t="s">
        <v>9061</v>
      </c>
      <c r="D2995" s="60" t="s">
        <v>9062</v>
      </c>
    </row>
    <row r="2996" spans="2:4" x14ac:dyDescent="0.35">
      <c r="B2996" s="60" t="s">
        <v>9063</v>
      </c>
      <c r="C2996" s="60" t="s">
        <v>9064</v>
      </c>
      <c r="D2996" s="60" t="s">
        <v>9065</v>
      </c>
    </row>
    <row r="2997" spans="2:4" x14ac:dyDescent="0.35">
      <c r="B2997" s="60" t="s">
        <v>9066</v>
      </c>
      <c r="C2997" s="60" t="s">
        <v>9067</v>
      </c>
      <c r="D2997" s="60" t="s">
        <v>9068</v>
      </c>
    </row>
    <row r="2998" spans="2:4" x14ac:dyDescent="0.35">
      <c r="B2998" s="60" t="s">
        <v>9069</v>
      </c>
      <c r="C2998" s="60" t="s">
        <v>9070</v>
      </c>
      <c r="D2998" s="60" t="s">
        <v>9071</v>
      </c>
    </row>
    <row r="2999" spans="2:4" x14ac:dyDescent="0.35">
      <c r="B2999" s="60" t="s">
        <v>9072</v>
      </c>
      <c r="C2999" s="60" t="s">
        <v>9073</v>
      </c>
      <c r="D2999" s="60" t="s">
        <v>9074</v>
      </c>
    </row>
    <row r="3000" spans="2:4" x14ac:dyDescent="0.35">
      <c r="B3000" s="60" t="s">
        <v>9075</v>
      </c>
      <c r="C3000" s="60" t="s">
        <v>9076</v>
      </c>
      <c r="D3000" s="60" t="s">
        <v>9077</v>
      </c>
    </row>
    <row r="3001" spans="2:4" x14ac:dyDescent="0.35">
      <c r="B3001" s="60" t="s">
        <v>9078</v>
      </c>
      <c r="C3001" s="60" t="s">
        <v>9079</v>
      </c>
      <c r="D3001" s="60" t="s">
        <v>9080</v>
      </c>
    </row>
    <row r="3002" spans="2:4" x14ac:dyDescent="0.35">
      <c r="B3002" s="60" t="s">
        <v>9081</v>
      </c>
      <c r="C3002" s="60" t="s">
        <v>9082</v>
      </c>
      <c r="D3002" s="60" t="s">
        <v>9083</v>
      </c>
    </row>
    <row r="3003" spans="2:4" x14ac:dyDescent="0.35">
      <c r="B3003" s="60" t="s">
        <v>9084</v>
      </c>
      <c r="C3003" s="60" t="s">
        <v>9085</v>
      </c>
      <c r="D3003" s="60" t="s">
        <v>9086</v>
      </c>
    </row>
    <row r="3004" spans="2:4" x14ac:dyDescent="0.35">
      <c r="B3004" s="60" t="s">
        <v>9087</v>
      </c>
      <c r="C3004" s="60" t="s">
        <v>9088</v>
      </c>
      <c r="D3004" s="60" t="s">
        <v>9089</v>
      </c>
    </row>
    <row r="3005" spans="2:4" x14ac:dyDescent="0.35">
      <c r="B3005" s="60" t="s">
        <v>9090</v>
      </c>
      <c r="C3005" s="60" t="s">
        <v>9091</v>
      </c>
      <c r="D3005" s="60" t="s">
        <v>9092</v>
      </c>
    </row>
    <row r="3006" spans="2:4" x14ac:dyDescent="0.35">
      <c r="B3006" s="60" t="s">
        <v>9093</v>
      </c>
      <c r="C3006" s="60" t="s">
        <v>9094</v>
      </c>
      <c r="D3006" s="60" t="s">
        <v>9095</v>
      </c>
    </row>
    <row r="3007" spans="2:4" x14ac:dyDescent="0.35">
      <c r="B3007" s="60" t="s">
        <v>9096</v>
      </c>
      <c r="C3007" s="60" t="s">
        <v>9097</v>
      </c>
      <c r="D3007" s="60" t="s">
        <v>9098</v>
      </c>
    </row>
    <row r="3008" spans="2:4" x14ac:dyDescent="0.35">
      <c r="B3008" s="60" t="s">
        <v>9099</v>
      </c>
      <c r="C3008" s="60" t="s">
        <v>9100</v>
      </c>
      <c r="D3008" s="60" t="s">
        <v>9101</v>
      </c>
    </row>
    <row r="3009" spans="2:4" x14ac:dyDescent="0.35">
      <c r="B3009" s="60" t="s">
        <v>9102</v>
      </c>
      <c r="C3009" s="60" t="s">
        <v>9103</v>
      </c>
      <c r="D3009" s="60" t="s">
        <v>9104</v>
      </c>
    </row>
    <row r="3010" spans="2:4" x14ac:dyDescent="0.35">
      <c r="B3010" s="60" t="s">
        <v>9105</v>
      </c>
      <c r="C3010" s="60" t="s">
        <v>9106</v>
      </c>
      <c r="D3010" s="60" t="s">
        <v>9107</v>
      </c>
    </row>
    <row r="3011" spans="2:4" x14ac:dyDescent="0.35">
      <c r="B3011" s="60" t="s">
        <v>9108</v>
      </c>
      <c r="C3011" s="60" t="s">
        <v>9109</v>
      </c>
      <c r="D3011" s="60" t="s">
        <v>9110</v>
      </c>
    </row>
    <row r="3012" spans="2:4" x14ac:dyDescent="0.35">
      <c r="B3012" s="60" t="s">
        <v>9111</v>
      </c>
      <c r="C3012" s="60" t="s">
        <v>9112</v>
      </c>
      <c r="D3012" s="60" t="s">
        <v>9113</v>
      </c>
    </row>
    <row r="3013" spans="2:4" x14ac:dyDescent="0.35">
      <c r="B3013" s="60" t="s">
        <v>9114</v>
      </c>
      <c r="C3013" s="60" t="s">
        <v>9115</v>
      </c>
      <c r="D3013" s="60" t="s">
        <v>9116</v>
      </c>
    </row>
    <row r="3014" spans="2:4" x14ac:dyDescent="0.35">
      <c r="B3014" s="60" t="s">
        <v>9117</v>
      </c>
      <c r="C3014" s="60" t="s">
        <v>9118</v>
      </c>
      <c r="D3014" s="60" t="s">
        <v>9119</v>
      </c>
    </row>
    <row r="3015" spans="2:4" x14ac:dyDescent="0.35">
      <c r="B3015" s="60" t="s">
        <v>9120</v>
      </c>
      <c r="C3015" s="60" t="s">
        <v>9121</v>
      </c>
      <c r="D3015" s="60" t="s">
        <v>9122</v>
      </c>
    </row>
    <row r="3016" spans="2:4" x14ac:dyDescent="0.35">
      <c r="B3016" s="60" t="s">
        <v>9123</v>
      </c>
      <c r="C3016" s="60" t="s">
        <v>9124</v>
      </c>
      <c r="D3016" s="60" t="s">
        <v>9125</v>
      </c>
    </row>
    <row r="3017" spans="2:4" x14ac:dyDescent="0.35">
      <c r="B3017" s="60" t="s">
        <v>9126</v>
      </c>
      <c r="C3017" s="60" t="s">
        <v>9127</v>
      </c>
      <c r="D3017" s="60" t="s">
        <v>9128</v>
      </c>
    </row>
    <row r="3018" spans="2:4" x14ac:dyDescent="0.35">
      <c r="B3018" s="60" t="s">
        <v>9129</v>
      </c>
      <c r="C3018" s="60" t="s">
        <v>9130</v>
      </c>
      <c r="D3018" s="60" t="s">
        <v>9131</v>
      </c>
    </row>
    <row r="3019" spans="2:4" x14ac:dyDescent="0.35">
      <c r="B3019" s="60" t="s">
        <v>9132</v>
      </c>
      <c r="C3019" s="60" t="s">
        <v>9133</v>
      </c>
      <c r="D3019" s="60" t="s">
        <v>9134</v>
      </c>
    </row>
    <row r="3020" spans="2:4" x14ac:dyDescent="0.35">
      <c r="B3020" s="60" t="s">
        <v>9135</v>
      </c>
      <c r="C3020" s="60" t="s">
        <v>9136</v>
      </c>
      <c r="D3020" s="60" t="s">
        <v>9137</v>
      </c>
    </row>
    <row r="3021" spans="2:4" x14ac:dyDescent="0.35">
      <c r="B3021" s="60" t="s">
        <v>9135</v>
      </c>
      <c r="C3021" s="60" t="s">
        <v>9138</v>
      </c>
      <c r="D3021" s="60" t="s">
        <v>9139</v>
      </c>
    </row>
    <row r="3022" spans="2:4" x14ac:dyDescent="0.35">
      <c r="B3022" s="60" t="s">
        <v>9140</v>
      </c>
      <c r="C3022" s="60" t="s">
        <v>9141</v>
      </c>
      <c r="D3022" s="60" t="s">
        <v>9142</v>
      </c>
    </row>
    <row r="3023" spans="2:4" x14ac:dyDescent="0.35">
      <c r="B3023" s="60" t="s">
        <v>9143</v>
      </c>
      <c r="C3023" s="60" t="s">
        <v>9144</v>
      </c>
      <c r="D3023" s="60" t="s">
        <v>9145</v>
      </c>
    </row>
    <row r="3024" spans="2:4" x14ac:dyDescent="0.35">
      <c r="B3024" s="60" t="s">
        <v>9146</v>
      </c>
      <c r="C3024" s="60" t="s">
        <v>9147</v>
      </c>
      <c r="D3024" s="60" t="s">
        <v>9148</v>
      </c>
    </row>
    <row r="3025" spans="2:4" x14ac:dyDescent="0.35">
      <c r="B3025" s="60" t="s">
        <v>9149</v>
      </c>
      <c r="C3025" s="60" t="s">
        <v>9150</v>
      </c>
      <c r="D3025" s="60" t="s">
        <v>9151</v>
      </c>
    </row>
    <row r="3026" spans="2:4" x14ac:dyDescent="0.35">
      <c r="B3026" s="60" t="s">
        <v>9152</v>
      </c>
      <c r="C3026" s="60" t="s">
        <v>9153</v>
      </c>
      <c r="D3026" s="60" t="s">
        <v>9154</v>
      </c>
    </row>
    <row r="3027" spans="2:4" x14ac:dyDescent="0.35">
      <c r="B3027" s="60" t="s">
        <v>9155</v>
      </c>
      <c r="C3027" s="60" t="s">
        <v>9156</v>
      </c>
      <c r="D3027" s="60" t="s">
        <v>9157</v>
      </c>
    </row>
    <row r="3028" spans="2:4" x14ac:dyDescent="0.35">
      <c r="B3028" s="60" t="s">
        <v>9158</v>
      </c>
      <c r="C3028" s="60" t="s">
        <v>9159</v>
      </c>
      <c r="D3028" s="60" t="s">
        <v>9160</v>
      </c>
    </row>
    <row r="3029" spans="2:4" x14ac:dyDescent="0.35">
      <c r="B3029" s="60" t="s">
        <v>9161</v>
      </c>
      <c r="C3029" s="60" t="s">
        <v>3539</v>
      </c>
      <c r="D3029" s="60" t="s">
        <v>9162</v>
      </c>
    </row>
    <row r="3030" spans="2:4" x14ac:dyDescent="0.35">
      <c r="B3030" s="60" t="s">
        <v>9163</v>
      </c>
      <c r="C3030" s="60" t="s">
        <v>9164</v>
      </c>
      <c r="D3030" s="60" t="s">
        <v>9165</v>
      </c>
    </row>
    <row r="3031" spans="2:4" x14ac:dyDescent="0.35">
      <c r="B3031" s="60" t="s">
        <v>9166</v>
      </c>
      <c r="C3031" s="60" t="s">
        <v>9167</v>
      </c>
      <c r="D3031" s="60" t="s">
        <v>9168</v>
      </c>
    </row>
    <row r="3032" spans="2:4" x14ac:dyDescent="0.35">
      <c r="B3032" s="60" t="s">
        <v>9169</v>
      </c>
      <c r="C3032" s="60" t="s">
        <v>9170</v>
      </c>
      <c r="D3032" s="60" t="s">
        <v>9171</v>
      </c>
    </row>
    <row r="3033" spans="2:4" x14ac:dyDescent="0.35">
      <c r="B3033" s="60" t="s">
        <v>9172</v>
      </c>
      <c r="C3033" s="60" t="s">
        <v>9173</v>
      </c>
      <c r="D3033" s="60" t="s">
        <v>9174</v>
      </c>
    </row>
    <row r="3034" spans="2:4" x14ac:dyDescent="0.35">
      <c r="B3034" s="60" t="s">
        <v>9175</v>
      </c>
      <c r="C3034" s="60" t="s">
        <v>9176</v>
      </c>
      <c r="D3034" s="60" t="s">
        <v>9177</v>
      </c>
    </row>
    <row r="3035" spans="2:4" x14ac:dyDescent="0.35">
      <c r="B3035" s="60" t="s">
        <v>9178</v>
      </c>
      <c r="C3035" s="60" t="s">
        <v>9179</v>
      </c>
      <c r="D3035" s="60" t="s">
        <v>9180</v>
      </c>
    </row>
    <row r="3036" spans="2:4" x14ac:dyDescent="0.35">
      <c r="B3036" s="60" t="s">
        <v>9181</v>
      </c>
      <c r="C3036" s="60" t="s">
        <v>9182</v>
      </c>
      <c r="D3036" s="60" t="s">
        <v>9183</v>
      </c>
    </row>
    <row r="3037" spans="2:4" x14ac:dyDescent="0.35">
      <c r="B3037" s="60" t="s">
        <v>9184</v>
      </c>
      <c r="C3037" s="60" t="s">
        <v>9185</v>
      </c>
      <c r="D3037" s="60" t="s">
        <v>9186</v>
      </c>
    </row>
    <row r="3038" spans="2:4" x14ac:dyDescent="0.35">
      <c r="B3038" s="60" t="s">
        <v>9187</v>
      </c>
      <c r="C3038" s="60" t="s">
        <v>9188</v>
      </c>
      <c r="D3038" s="60" t="s">
        <v>9189</v>
      </c>
    </row>
    <row r="3039" spans="2:4" x14ac:dyDescent="0.35">
      <c r="B3039" s="60" t="s">
        <v>9190</v>
      </c>
      <c r="C3039" s="60" t="s">
        <v>9191</v>
      </c>
      <c r="D3039" s="60" t="s">
        <v>9192</v>
      </c>
    </row>
    <row r="3040" spans="2:4" x14ac:dyDescent="0.35">
      <c r="B3040" s="60" t="s">
        <v>9193</v>
      </c>
      <c r="C3040" s="60" t="s">
        <v>9194</v>
      </c>
      <c r="D3040" s="60" t="s">
        <v>9195</v>
      </c>
    </row>
    <row r="3041" spans="2:4" x14ac:dyDescent="0.35">
      <c r="B3041" s="60" t="s">
        <v>9196</v>
      </c>
      <c r="C3041" s="60" t="s">
        <v>9197</v>
      </c>
      <c r="D3041" s="60" t="s">
        <v>9198</v>
      </c>
    </row>
    <row r="3042" spans="2:4" x14ac:dyDescent="0.35">
      <c r="B3042" s="60" t="s">
        <v>9199</v>
      </c>
      <c r="C3042" s="60" t="s">
        <v>9200</v>
      </c>
      <c r="D3042" s="60" t="s">
        <v>9201</v>
      </c>
    </row>
    <row r="3043" spans="2:4" x14ac:dyDescent="0.35">
      <c r="B3043" s="60" t="s">
        <v>9202</v>
      </c>
      <c r="C3043" s="60" t="s">
        <v>9203</v>
      </c>
      <c r="D3043" s="60" t="s">
        <v>9204</v>
      </c>
    </row>
    <row r="3044" spans="2:4" x14ac:dyDescent="0.35">
      <c r="B3044" s="60" t="s">
        <v>9205</v>
      </c>
      <c r="C3044" s="60" t="s">
        <v>9206</v>
      </c>
      <c r="D3044" s="60" t="s">
        <v>9207</v>
      </c>
    </row>
    <row r="3045" spans="2:4" x14ac:dyDescent="0.35">
      <c r="B3045" s="60" t="s">
        <v>9208</v>
      </c>
      <c r="C3045" s="60" t="s">
        <v>9209</v>
      </c>
      <c r="D3045" s="60" t="s">
        <v>9210</v>
      </c>
    </row>
    <row r="3046" spans="2:4" x14ac:dyDescent="0.35">
      <c r="B3046" s="60" t="s">
        <v>9211</v>
      </c>
      <c r="C3046" s="60" t="s">
        <v>9212</v>
      </c>
      <c r="D3046" s="60" t="s">
        <v>9213</v>
      </c>
    </row>
    <row r="3047" spans="2:4" x14ac:dyDescent="0.35">
      <c r="B3047" s="60" t="s">
        <v>9214</v>
      </c>
      <c r="C3047" s="60" t="s">
        <v>9215</v>
      </c>
      <c r="D3047" s="60" t="s">
        <v>9216</v>
      </c>
    </row>
    <row r="3048" spans="2:4" x14ac:dyDescent="0.35">
      <c r="B3048" s="60" t="s">
        <v>9217</v>
      </c>
      <c r="C3048" s="60" t="s">
        <v>9218</v>
      </c>
      <c r="D3048" s="60" t="s">
        <v>9219</v>
      </c>
    </row>
    <row r="3049" spans="2:4" x14ac:dyDescent="0.35">
      <c r="B3049" s="60" t="s">
        <v>9220</v>
      </c>
      <c r="C3049" s="60" t="s">
        <v>9221</v>
      </c>
      <c r="D3049" s="60" t="s">
        <v>9222</v>
      </c>
    </row>
    <row r="3050" spans="2:4" x14ac:dyDescent="0.35">
      <c r="B3050" s="60" t="s">
        <v>9223</v>
      </c>
      <c r="C3050" s="60" t="s">
        <v>9224</v>
      </c>
      <c r="D3050" s="60" t="s">
        <v>9225</v>
      </c>
    </row>
    <row r="3051" spans="2:4" x14ac:dyDescent="0.35">
      <c r="B3051" s="60" t="s">
        <v>9226</v>
      </c>
      <c r="C3051" s="60" t="s">
        <v>9227</v>
      </c>
      <c r="D3051" s="60" t="s">
        <v>9228</v>
      </c>
    </row>
    <row r="3052" spans="2:4" x14ac:dyDescent="0.35">
      <c r="B3052" s="60" t="s">
        <v>9226</v>
      </c>
      <c r="C3052" s="60" t="s">
        <v>9229</v>
      </c>
      <c r="D3052" s="60" t="s">
        <v>9228</v>
      </c>
    </row>
    <row r="3053" spans="2:4" x14ac:dyDescent="0.35">
      <c r="B3053" s="60" t="s">
        <v>9230</v>
      </c>
      <c r="C3053" s="60" t="s">
        <v>9231</v>
      </c>
      <c r="D3053" s="60" t="s">
        <v>9232</v>
      </c>
    </row>
    <row r="3054" spans="2:4" x14ac:dyDescent="0.35">
      <c r="B3054" s="60" t="s">
        <v>9233</v>
      </c>
      <c r="C3054" s="60" t="s">
        <v>9234</v>
      </c>
      <c r="D3054" s="60" t="s">
        <v>9235</v>
      </c>
    </row>
    <row r="3055" spans="2:4" x14ac:dyDescent="0.35">
      <c r="B3055" s="60" t="s">
        <v>9236</v>
      </c>
      <c r="C3055" s="60" t="s">
        <v>9237</v>
      </c>
      <c r="D3055" s="60" t="s">
        <v>9238</v>
      </c>
    </row>
    <row r="3056" spans="2:4" x14ac:dyDescent="0.35">
      <c r="B3056" s="60" t="s">
        <v>9239</v>
      </c>
      <c r="C3056" s="60" t="s">
        <v>9240</v>
      </c>
      <c r="D3056" s="60" t="s">
        <v>9241</v>
      </c>
    </row>
    <row r="3057" spans="2:4" x14ac:dyDescent="0.35">
      <c r="B3057" s="60" t="s">
        <v>9242</v>
      </c>
      <c r="C3057" s="60" t="s">
        <v>9243</v>
      </c>
      <c r="D3057" s="60" t="s">
        <v>9244</v>
      </c>
    </row>
    <row r="3058" spans="2:4" x14ac:dyDescent="0.35">
      <c r="B3058" s="60" t="s">
        <v>9245</v>
      </c>
      <c r="C3058" s="60" t="s">
        <v>9246</v>
      </c>
      <c r="D3058" s="60" t="s">
        <v>9247</v>
      </c>
    </row>
    <row r="3059" spans="2:4" x14ac:dyDescent="0.35">
      <c r="B3059" s="60" t="s">
        <v>9248</v>
      </c>
      <c r="C3059" s="60" t="s">
        <v>9249</v>
      </c>
      <c r="D3059" s="60" t="s">
        <v>9250</v>
      </c>
    </row>
    <row r="3060" spans="2:4" x14ac:dyDescent="0.35">
      <c r="B3060" s="60" t="s">
        <v>9251</v>
      </c>
      <c r="C3060" s="60" t="s">
        <v>9252</v>
      </c>
      <c r="D3060" s="60" t="s">
        <v>9253</v>
      </c>
    </row>
    <row r="3061" spans="2:4" x14ac:dyDescent="0.35">
      <c r="B3061" s="60" t="s">
        <v>9254</v>
      </c>
      <c r="C3061" s="60" t="s">
        <v>9255</v>
      </c>
      <c r="D3061" s="60" t="s">
        <v>9256</v>
      </c>
    </row>
    <row r="3062" spans="2:4" x14ac:dyDescent="0.35">
      <c r="B3062" s="60" t="s">
        <v>9257</v>
      </c>
      <c r="C3062" s="60" t="s">
        <v>9258</v>
      </c>
      <c r="D3062" s="60" t="s">
        <v>9259</v>
      </c>
    </row>
    <row r="3063" spans="2:4" x14ac:dyDescent="0.35">
      <c r="B3063" s="60" t="s">
        <v>9260</v>
      </c>
      <c r="C3063" s="60" t="s">
        <v>9261</v>
      </c>
      <c r="D3063" s="60" t="s">
        <v>9262</v>
      </c>
    </row>
    <row r="3064" spans="2:4" x14ac:dyDescent="0.35">
      <c r="B3064" s="60" t="s">
        <v>9263</v>
      </c>
      <c r="C3064" s="60" t="s">
        <v>9264</v>
      </c>
      <c r="D3064" s="60" t="s">
        <v>9265</v>
      </c>
    </row>
    <row r="3065" spans="2:4" x14ac:dyDescent="0.35">
      <c r="B3065" s="60" t="s">
        <v>9266</v>
      </c>
      <c r="C3065" s="60" t="s">
        <v>9267</v>
      </c>
      <c r="D3065" s="60" t="s">
        <v>9268</v>
      </c>
    </row>
    <row r="3066" spans="2:4" x14ac:dyDescent="0.35">
      <c r="B3066" s="60" t="s">
        <v>9269</v>
      </c>
      <c r="C3066" s="60" t="s">
        <v>9270</v>
      </c>
      <c r="D3066" s="60" t="s">
        <v>9271</v>
      </c>
    </row>
    <row r="3067" spans="2:4" x14ac:dyDescent="0.35">
      <c r="B3067" s="60" t="s">
        <v>9272</v>
      </c>
      <c r="C3067" s="60" t="s">
        <v>9273</v>
      </c>
      <c r="D3067" s="60" t="s">
        <v>9274</v>
      </c>
    </row>
    <row r="3068" spans="2:4" x14ac:dyDescent="0.35">
      <c r="B3068" s="60" t="s">
        <v>9275</v>
      </c>
      <c r="C3068" s="60" t="s">
        <v>9276</v>
      </c>
      <c r="D3068" s="60" t="s">
        <v>9277</v>
      </c>
    </row>
    <row r="3069" spans="2:4" x14ac:dyDescent="0.35">
      <c r="B3069" s="60" t="s">
        <v>9278</v>
      </c>
      <c r="C3069" s="60" t="s">
        <v>9279</v>
      </c>
      <c r="D3069" s="60" t="s">
        <v>9280</v>
      </c>
    </row>
    <row r="3070" spans="2:4" x14ac:dyDescent="0.35">
      <c r="B3070" s="60" t="s">
        <v>9281</v>
      </c>
      <c r="C3070" s="60" t="s">
        <v>9282</v>
      </c>
      <c r="D3070" s="60" t="s">
        <v>9283</v>
      </c>
    </row>
    <row r="3071" spans="2:4" x14ac:dyDescent="0.35">
      <c r="B3071" s="60" t="s">
        <v>9284</v>
      </c>
      <c r="C3071" s="60" t="s">
        <v>9285</v>
      </c>
      <c r="D3071" s="60" t="s">
        <v>9286</v>
      </c>
    </row>
    <row r="3072" spans="2:4" x14ac:dyDescent="0.35">
      <c r="B3072" s="60" t="s">
        <v>9287</v>
      </c>
      <c r="C3072" s="60" t="s">
        <v>9288</v>
      </c>
      <c r="D3072" s="60" t="s">
        <v>9289</v>
      </c>
    </row>
    <row r="3073" spans="2:4" x14ac:dyDescent="0.35">
      <c r="B3073" s="60" t="s">
        <v>9290</v>
      </c>
      <c r="C3073" s="60" t="s">
        <v>9291</v>
      </c>
      <c r="D3073" s="60" t="s">
        <v>9292</v>
      </c>
    </row>
    <row r="3074" spans="2:4" x14ac:dyDescent="0.35">
      <c r="B3074" s="60" t="s">
        <v>9293</v>
      </c>
      <c r="C3074" s="60" t="s">
        <v>9294</v>
      </c>
      <c r="D3074" s="60" t="s">
        <v>9295</v>
      </c>
    </row>
    <row r="3075" spans="2:4" x14ac:dyDescent="0.35">
      <c r="B3075" s="60" t="s">
        <v>9296</v>
      </c>
      <c r="C3075" s="60" t="s">
        <v>9297</v>
      </c>
      <c r="D3075" s="60" t="s">
        <v>9298</v>
      </c>
    </row>
    <row r="3076" spans="2:4" x14ac:dyDescent="0.35">
      <c r="B3076" s="60" t="s">
        <v>9299</v>
      </c>
      <c r="C3076" s="60" t="s">
        <v>9300</v>
      </c>
      <c r="D3076" s="60" t="s">
        <v>9301</v>
      </c>
    </row>
    <row r="3077" spans="2:4" x14ac:dyDescent="0.35">
      <c r="B3077" s="60" t="s">
        <v>9299</v>
      </c>
      <c r="C3077" s="60" t="s">
        <v>9302</v>
      </c>
      <c r="D3077" s="60" t="s">
        <v>9303</v>
      </c>
    </row>
    <row r="3078" spans="2:4" x14ac:dyDescent="0.35">
      <c r="B3078" s="60" t="s">
        <v>9304</v>
      </c>
      <c r="C3078" s="60" t="s">
        <v>9305</v>
      </c>
      <c r="D3078" s="60" t="s">
        <v>9306</v>
      </c>
    </row>
    <row r="3079" spans="2:4" x14ac:dyDescent="0.35">
      <c r="B3079" s="60" t="s">
        <v>9307</v>
      </c>
      <c r="C3079" s="60" t="s">
        <v>9308</v>
      </c>
      <c r="D3079" s="60" t="s">
        <v>9309</v>
      </c>
    </row>
    <row r="3080" spans="2:4" x14ac:dyDescent="0.35">
      <c r="B3080" s="60" t="s">
        <v>9310</v>
      </c>
      <c r="C3080" s="60" t="s">
        <v>9311</v>
      </c>
      <c r="D3080" s="60" t="s">
        <v>9312</v>
      </c>
    </row>
    <row r="3081" spans="2:4" x14ac:dyDescent="0.35">
      <c r="B3081" s="60" t="s">
        <v>9313</v>
      </c>
      <c r="C3081" s="60" t="s">
        <v>9314</v>
      </c>
      <c r="D3081" s="60" t="s">
        <v>9315</v>
      </c>
    </row>
    <row r="3082" spans="2:4" x14ac:dyDescent="0.35">
      <c r="B3082" s="60" t="s">
        <v>9316</v>
      </c>
      <c r="C3082" s="60" t="s">
        <v>9317</v>
      </c>
      <c r="D3082" s="60" t="s">
        <v>9318</v>
      </c>
    </row>
    <row r="3083" spans="2:4" x14ac:dyDescent="0.35">
      <c r="B3083" s="60" t="s">
        <v>9319</v>
      </c>
      <c r="C3083" s="60" t="s">
        <v>9320</v>
      </c>
      <c r="D3083" s="60" t="s">
        <v>9321</v>
      </c>
    </row>
    <row r="3084" spans="2:4" x14ac:dyDescent="0.35">
      <c r="B3084" s="60" t="s">
        <v>9322</v>
      </c>
      <c r="C3084" s="60" t="s">
        <v>9323</v>
      </c>
      <c r="D3084" s="60" t="s">
        <v>9324</v>
      </c>
    </row>
    <row r="3085" spans="2:4" x14ac:dyDescent="0.35">
      <c r="B3085" s="60" t="s">
        <v>9325</v>
      </c>
      <c r="C3085" s="60" t="s">
        <v>9326</v>
      </c>
      <c r="D3085" s="60" t="s">
        <v>9327</v>
      </c>
    </row>
    <row r="3086" spans="2:4" x14ac:dyDescent="0.35">
      <c r="B3086" s="60" t="s">
        <v>9328</v>
      </c>
      <c r="C3086" s="60" t="s">
        <v>9329</v>
      </c>
      <c r="D3086" s="60" t="s">
        <v>9330</v>
      </c>
    </row>
    <row r="3087" spans="2:4" x14ac:dyDescent="0.35">
      <c r="B3087" s="60" t="s">
        <v>9331</v>
      </c>
      <c r="C3087" s="60" t="s">
        <v>9332</v>
      </c>
      <c r="D3087" s="60" t="s">
        <v>9333</v>
      </c>
    </row>
    <row r="3088" spans="2:4" x14ac:dyDescent="0.35">
      <c r="B3088" s="60" t="s">
        <v>9334</v>
      </c>
      <c r="C3088" s="60" t="s">
        <v>9335</v>
      </c>
      <c r="D3088" s="60" t="s">
        <v>9336</v>
      </c>
    </row>
    <row r="3089" spans="2:4" x14ac:dyDescent="0.35">
      <c r="B3089" s="60" t="s">
        <v>9337</v>
      </c>
      <c r="C3089" s="60" t="s">
        <v>9338</v>
      </c>
      <c r="D3089" s="60" t="s">
        <v>9339</v>
      </c>
    </row>
    <row r="3090" spans="2:4" x14ac:dyDescent="0.35">
      <c r="B3090" s="60" t="s">
        <v>9340</v>
      </c>
      <c r="C3090" s="60" t="s">
        <v>9341</v>
      </c>
      <c r="D3090" s="60" t="s">
        <v>9342</v>
      </c>
    </row>
    <row r="3091" spans="2:4" x14ac:dyDescent="0.35">
      <c r="B3091" s="60" t="s">
        <v>9343</v>
      </c>
      <c r="C3091" s="60" t="s">
        <v>9344</v>
      </c>
      <c r="D3091" s="60" t="s">
        <v>9345</v>
      </c>
    </row>
    <row r="3092" spans="2:4" x14ac:dyDescent="0.35">
      <c r="B3092" s="60" t="s">
        <v>9346</v>
      </c>
      <c r="C3092" s="60" t="s">
        <v>9347</v>
      </c>
      <c r="D3092" s="60" t="s">
        <v>9348</v>
      </c>
    </row>
    <row r="3093" spans="2:4" x14ac:dyDescent="0.35">
      <c r="B3093" s="60" t="s">
        <v>9349</v>
      </c>
      <c r="C3093" s="60" t="s">
        <v>9350</v>
      </c>
      <c r="D3093" s="60" t="s">
        <v>9351</v>
      </c>
    </row>
    <row r="3094" spans="2:4" x14ac:dyDescent="0.35">
      <c r="B3094" s="60" t="s">
        <v>9352</v>
      </c>
      <c r="C3094" s="60" t="s">
        <v>9353</v>
      </c>
      <c r="D3094" s="60" t="s">
        <v>9354</v>
      </c>
    </row>
    <row r="3095" spans="2:4" x14ac:dyDescent="0.35">
      <c r="B3095" s="60" t="s">
        <v>9355</v>
      </c>
      <c r="C3095" s="60" t="s">
        <v>9356</v>
      </c>
      <c r="D3095" s="60" t="s">
        <v>9357</v>
      </c>
    </row>
    <row r="3096" spans="2:4" x14ac:dyDescent="0.35">
      <c r="B3096" s="60" t="s">
        <v>9358</v>
      </c>
      <c r="C3096" s="60" t="s">
        <v>9359</v>
      </c>
      <c r="D3096" s="60" t="s">
        <v>9360</v>
      </c>
    </row>
    <row r="3097" spans="2:4" x14ac:dyDescent="0.35">
      <c r="B3097" s="60" t="s">
        <v>9361</v>
      </c>
      <c r="C3097" s="60" t="s">
        <v>9362</v>
      </c>
      <c r="D3097" s="60" t="s">
        <v>9363</v>
      </c>
    </row>
    <row r="3098" spans="2:4" x14ac:dyDescent="0.35">
      <c r="B3098" s="60" t="s">
        <v>9364</v>
      </c>
      <c r="C3098" s="60" t="s">
        <v>9365</v>
      </c>
      <c r="D3098" s="60" t="s">
        <v>9366</v>
      </c>
    </row>
    <row r="3099" spans="2:4" x14ac:dyDescent="0.35">
      <c r="B3099" s="60" t="s">
        <v>9367</v>
      </c>
      <c r="C3099" s="60" t="s">
        <v>9368</v>
      </c>
      <c r="D3099" s="60" t="s">
        <v>9369</v>
      </c>
    </row>
    <row r="3100" spans="2:4" x14ac:dyDescent="0.35">
      <c r="B3100" s="60" t="s">
        <v>9370</v>
      </c>
      <c r="C3100" s="60" t="s">
        <v>9371</v>
      </c>
      <c r="D3100" s="60" t="s">
        <v>9372</v>
      </c>
    </row>
    <row r="3101" spans="2:4" x14ac:dyDescent="0.35">
      <c r="B3101" s="60" t="s">
        <v>9373</v>
      </c>
      <c r="C3101" s="60" t="s">
        <v>9374</v>
      </c>
      <c r="D3101" s="60" t="s">
        <v>9375</v>
      </c>
    </row>
    <row r="3102" spans="2:4" x14ac:dyDescent="0.35">
      <c r="B3102" s="60" t="s">
        <v>9376</v>
      </c>
      <c r="C3102" s="60" t="s">
        <v>9377</v>
      </c>
      <c r="D3102" s="60" t="s">
        <v>9378</v>
      </c>
    </row>
    <row r="3103" spans="2:4" x14ac:dyDescent="0.35">
      <c r="B3103" s="60" t="s">
        <v>9379</v>
      </c>
      <c r="C3103" s="60" t="s">
        <v>9380</v>
      </c>
      <c r="D3103" s="60" t="s">
        <v>9381</v>
      </c>
    </row>
    <row r="3104" spans="2:4" x14ac:dyDescent="0.35">
      <c r="B3104" s="60" t="s">
        <v>9382</v>
      </c>
      <c r="C3104" s="60" t="s">
        <v>9383</v>
      </c>
      <c r="D3104" s="60" t="s">
        <v>9384</v>
      </c>
    </row>
    <row r="3105" spans="2:4" x14ac:dyDescent="0.35">
      <c r="B3105" s="60" t="s">
        <v>9385</v>
      </c>
      <c r="C3105" s="60" t="s">
        <v>9386</v>
      </c>
      <c r="D3105" s="60" t="s">
        <v>9387</v>
      </c>
    </row>
    <row r="3106" spans="2:4" x14ac:dyDescent="0.35">
      <c r="B3106" s="60" t="s">
        <v>9388</v>
      </c>
      <c r="C3106" s="60" t="s">
        <v>9389</v>
      </c>
      <c r="D3106" s="60" t="s">
        <v>9390</v>
      </c>
    </row>
    <row r="3107" spans="2:4" x14ac:dyDescent="0.35">
      <c r="B3107" s="60" t="s">
        <v>9391</v>
      </c>
      <c r="C3107" s="60" t="s">
        <v>9392</v>
      </c>
      <c r="D3107" s="60" t="s">
        <v>9393</v>
      </c>
    </row>
    <row r="3108" spans="2:4" x14ac:dyDescent="0.35">
      <c r="B3108" s="60" t="s">
        <v>9394</v>
      </c>
      <c r="C3108" s="60" t="s">
        <v>9395</v>
      </c>
      <c r="D3108" s="60" t="s">
        <v>9396</v>
      </c>
    </row>
    <row r="3109" spans="2:4" x14ac:dyDescent="0.35">
      <c r="B3109" s="60" t="s">
        <v>9397</v>
      </c>
      <c r="C3109" s="60" t="s">
        <v>9398</v>
      </c>
      <c r="D3109" s="60" t="s">
        <v>9399</v>
      </c>
    </row>
    <row r="3110" spans="2:4" x14ac:dyDescent="0.35">
      <c r="B3110" s="60" t="s">
        <v>9400</v>
      </c>
      <c r="C3110" s="60" t="s">
        <v>9401</v>
      </c>
      <c r="D3110" s="60" t="s">
        <v>9402</v>
      </c>
    </row>
    <row r="3111" spans="2:4" x14ac:dyDescent="0.35">
      <c r="B3111" s="60" t="s">
        <v>9403</v>
      </c>
      <c r="C3111" s="60" t="s">
        <v>9404</v>
      </c>
      <c r="D3111" s="60" t="s">
        <v>9405</v>
      </c>
    </row>
    <row r="3112" spans="2:4" x14ac:dyDescent="0.35">
      <c r="B3112" s="60" t="s">
        <v>9406</v>
      </c>
      <c r="C3112" s="60" t="s">
        <v>9407</v>
      </c>
      <c r="D3112" s="60" t="s">
        <v>9408</v>
      </c>
    </row>
    <row r="3113" spans="2:4" x14ac:dyDescent="0.35">
      <c r="B3113" s="60" t="s">
        <v>9409</v>
      </c>
      <c r="C3113" s="60" t="s">
        <v>9410</v>
      </c>
      <c r="D3113" s="60" t="s">
        <v>9411</v>
      </c>
    </row>
    <row r="3114" spans="2:4" x14ac:dyDescent="0.35">
      <c r="B3114" s="60" t="s">
        <v>9412</v>
      </c>
      <c r="C3114" s="60" t="s">
        <v>9413</v>
      </c>
      <c r="D3114" s="60" t="s">
        <v>9414</v>
      </c>
    </row>
    <row r="3115" spans="2:4" x14ac:dyDescent="0.35">
      <c r="B3115" s="60" t="s">
        <v>9415</v>
      </c>
      <c r="C3115" s="60" t="s">
        <v>9416</v>
      </c>
      <c r="D3115" s="60" t="s">
        <v>9417</v>
      </c>
    </row>
    <row r="3116" spans="2:4" x14ac:dyDescent="0.35">
      <c r="B3116" s="60" t="s">
        <v>9418</v>
      </c>
      <c r="C3116" s="60" t="s">
        <v>9419</v>
      </c>
      <c r="D3116" s="60" t="s">
        <v>9420</v>
      </c>
    </row>
    <row r="3117" spans="2:4" x14ac:dyDescent="0.35">
      <c r="B3117" s="60" t="s">
        <v>9421</v>
      </c>
      <c r="C3117" s="60" t="s">
        <v>9422</v>
      </c>
      <c r="D3117" s="60" t="s">
        <v>9423</v>
      </c>
    </row>
    <row r="3118" spans="2:4" x14ac:dyDescent="0.35">
      <c r="B3118" s="60" t="s">
        <v>9421</v>
      </c>
      <c r="C3118" s="60" t="s">
        <v>9424</v>
      </c>
      <c r="D3118" s="60" t="s">
        <v>9425</v>
      </c>
    </row>
    <row r="3119" spans="2:4" x14ac:dyDescent="0.35">
      <c r="B3119" s="60" t="s">
        <v>9426</v>
      </c>
      <c r="C3119" s="60" t="s">
        <v>9427</v>
      </c>
      <c r="D3119" s="60" t="s">
        <v>9428</v>
      </c>
    </row>
    <row r="3120" spans="2:4" x14ac:dyDescent="0.35">
      <c r="B3120" s="60" t="s">
        <v>9429</v>
      </c>
      <c r="C3120" s="60" t="s">
        <v>9430</v>
      </c>
      <c r="D3120" s="60" t="s">
        <v>9431</v>
      </c>
    </row>
    <row r="3121" spans="2:4" x14ac:dyDescent="0.35">
      <c r="B3121" s="60" t="s">
        <v>9432</v>
      </c>
      <c r="C3121" s="60" t="s">
        <v>9433</v>
      </c>
      <c r="D3121" s="60" t="s">
        <v>9434</v>
      </c>
    </row>
    <row r="3122" spans="2:4" x14ac:dyDescent="0.35">
      <c r="B3122" s="60" t="s">
        <v>9435</v>
      </c>
      <c r="C3122" s="60" t="s">
        <v>9436</v>
      </c>
      <c r="D3122" s="60" t="s">
        <v>9437</v>
      </c>
    </row>
    <row r="3123" spans="2:4" x14ac:dyDescent="0.35">
      <c r="B3123" s="60" t="s">
        <v>9438</v>
      </c>
      <c r="C3123" s="60" t="s">
        <v>9439</v>
      </c>
      <c r="D3123" s="60" t="s">
        <v>9440</v>
      </c>
    </row>
    <row r="3124" spans="2:4" x14ac:dyDescent="0.35">
      <c r="B3124" s="60" t="s">
        <v>9441</v>
      </c>
      <c r="C3124" s="60" t="s">
        <v>9442</v>
      </c>
      <c r="D3124" s="60" t="s">
        <v>9443</v>
      </c>
    </row>
    <row r="3125" spans="2:4" x14ac:dyDescent="0.35">
      <c r="B3125" s="60" t="s">
        <v>9444</v>
      </c>
      <c r="C3125" s="60" t="s">
        <v>9445</v>
      </c>
      <c r="D3125" s="60" t="s">
        <v>9446</v>
      </c>
    </row>
    <row r="3126" spans="2:4" x14ac:dyDescent="0.35">
      <c r="B3126" s="60" t="s">
        <v>9447</v>
      </c>
      <c r="C3126" s="60" t="s">
        <v>9448</v>
      </c>
      <c r="D3126" s="60" t="s">
        <v>9449</v>
      </c>
    </row>
    <row r="3127" spans="2:4" x14ac:dyDescent="0.35">
      <c r="B3127" s="60" t="s">
        <v>9450</v>
      </c>
      <c r="C3127" s="60" t="s">
        <v>9451</v>
      </c>
      <c r="D3127" s="60" t="s">
        <v>9452</v>
      </c>
    </row>
    <row r="3128" spans="2:4" x14ac:dyDescent="0.35">
      <c r="B3128" s="60" t="s">
        <v>9453</v>
      </c>
      <c r="C3128" s="60" t="s">
        <v>9454</v>
      </c>
      <c r="D3128" s="60" t="s">
        <v>9455</v>
      </c>
    </row>
    <row r="3129" spans="2:4" x14ac:dyDescent="0.35">
      <c r="B3129" s="60" t="s">
        <v>9456</v>
      </c>
      <c r="C3129" s="60" t="s">
        <v>9457</v>
      </c>
      <c r="D3129" s="60" t="s">
        <v>9458</v>
      </c>
    </row>
    <row r="3130" spans="2:4" x14ac:dyDescent="0.35">
      <c r="B3130" s="60" t="s">
        <v>9459</v>
      </c>
      <c r="C3130" s="60" t="s">
        <v>9460</v>
      </c>
      <c r="D3130" s="60" t="s">
        <v>9461</v>
      </c>
    </row>
    <row r="3131" spans="2:4" x14ac:dyDescent="0.35">
      <c r="B3131" s="60" t="s">
        <v>9462</v>
      </c>
      <c r="C3131" s="60" t="s">
        <v>9463</v>
      </c>
      <c r="D3131" s="60" t="s">
        <v>9464</v>
      </c>
    </row>
    <row r="3132" spans="2:4" x14ac:dyDescent="0.35">
      <c r="B3132" s="60" t="s">
        <v>9465</v>
      </c>
      <c r="C3132" s="60" t="s">
        <v>9466</v>
      </c>
      <c r="D3132" s="60" t="s">
        <v>9467</v>
      </c>
    </row>
    <row r="3133" spans="2:4" x14ac:dyDescent="0.35">
      <c r="B3133" s="60" t="s">
        <v>9468</v>
      </c>
      <c r="C3133" s="60" t="s">
        <v>9469</v>
      </c>
      <c r="D3133" s="60" t="s">
        <v>9470</v>
      </c>
    </row>
    <row r="3134" spans="2:4" x14ac:dyDescent="0.35">
      <c r="B3134" s="60" t="s">
        <v>9471</v>
      </c>
      <c r="C3134" s="60" t="s">
        <v>9472</v>
      </c>
      <c r="D3134" s="60" t="s">
        <v>9473</v>
      </c>
    </row>
    <row r="3135" spans="2:4" x14ac:dyDescent="0.35">
      <c r="B3135" s="60" t="s">
        <v>9474</v>
      </c>
      <c r="C3135" s="60" t="s">
        <v>9424</v>
      </c>
      <c r="D3135" s="60" t="s">
        <v>9475</v>
      </c>
    </row>
    <row r="3136" spans="2:4" x14ac:dyDescent="0.35">
      <c r="B3136" s="60" t="s">
        <v>9476</v>
      </c>
      <c r="C3136" s="60" t="s">
        <v>9477</v>
      </c>
      <c r="D3136" s="60" t="s">
        <v>9478</v>
      </c>
    </row>
    <row r="3137" spans="2:4" x14ac:dyDescent="0.35">
      <c r="B3137" s="60" t="s">
        <v>9479</v>
      </c>
      <c r="C3137" s="60" t="s">
        <v>9480</v>
      </c>
      <c r="D3137" s="60" t="s">
        <v>9481</v>
      </c>
    </row>
    <row r="3138" spans="2:4" x14ac:dyDescent="0.35">
      <c r="B3138" s="60" t="s">
        <v>9482</v>
      </c>
      <c r="C3138" s="60" t="s">
        <v>9483</v>
      </c>
      <c r="D3138" s="60" t="s">
        <v>9484</v>
      </c>
    </row>
    <row r="3139" spans="2:4" x14ac:dyDescent="0.35">
      <c r="B3139" s="60" t="s">
        <v>9485</v>
      </c>
      <c r="C3139" s="60" t="s">
        <v>9486</v>
      </c>
      <c r="D3139" s="60" t="s">
        <v>9487</v>
      </c>
    </row>
    <row r="3140" spans="2:4" x14ac:dyDescent="0.35">
      <c r="B3140" s="60" t="s">
        <v>9488</v>
      </c>
      <c r="C3140" s="60" t="s">
        <v>9489</v>
      </c>
      <c r="D3140" s="60" t="s">
        <v>9490</v>
      </c>
    </row>
    <row r="3141" spans="2:4" x14ac:dyDescent="0.35">
      <c r="B3141" s="60" t="s">
        <v>9491</v>
      </c>
      <c r="C3141" s="60" t="s">
        <v>9492</v>
      </c>
      <c r="D3141" s="60" t="s">
        <v>9493</v>
      </c>
    </row>
    <row r="3142" spans="2:4" x14ac:dyDescent="0.35">
      <c r="B3142" s="60" t="s">
        <v>9494</v>
      </c>
      <c r="C3142" s="60" t="s">
        <v>9495</v>
      </c>
      <c r="D3142" s="60" t="s">
        <v>9496</v>
      </c>
    </row>
    <row r="3143" spans="2:4" x14ac:dyDescent="0.35">
      <c r="B3143" s="60" t="s">
        <v>9497</v>
      </c>
      <c r="C3143" s="60" t="s">
        <v>9498</v>
      </c>
      <c r="D3143" s="60" t="s">
        <v>9499</v>
      </c>
    </row>
    <row r="3144" spans="2:4" x14ac:dyDescent="0.35">
      <c r="B3144" s="60" t="s">
        <v>9500</v>
      </c>
      <c r="C3144" s="60" t="s">
        <v>9501</v>
      </c>
      <c r="D3144" s="60" t="s">
        <v>9502</v>
      </c>
    </row>
    <row r="3145" spans="2:4" x14ac:dyDescent="0.35">
      <c r="B3145" s="60" t="s">
        <v>9503</v>
      </c>
      <c r="C3145" s="60" t="s">
        <v>9504</v>
      </c>
      <c r="D3145" s="60" t="s">
        <v>9505</v>
      </c>
    </row>
    <row r="3146" spans="2:4" x14ac:dyDescent="0.35">
      <c r="B3146" s="60" t="s">
        <v>9506</v>
      </c>
      <c r="C3146" s="60" t="s">
        <v>9507</v>
      </c>
      <c r="D3146" s="60" t="s">
        <v>9508</v>
      </c>
    </row>
    <row r="3147" spans="2:4" x14ac:dyDescent="0.35">
      <c r="B3147" s="60" t="s">
        <v>9509</v>
      </c>
      <c r="C3147" s="60" t="s">
        <v>9510</v>
      </c>
      <c r="D3147" s="60" t="s">
        <v>9511</v>
      </c>
    </row>
    <row r="3148" spans="2:4" x14ac:dyDescent="0.35">
      <c r="B3148" s="60" t="s">
        <v>9512</v>
      </c>
      <c r="C3148" s="60" t="s">
        <v>9513</v>
      </c>
      <c r="D3148" s="60" t="s">
        <v>9514</v>
      </c>
    </row>
    <row r="3149" spans="2:4" x14ac:dyDescent="0.35">
      <c r="B3149" s="60" t="s">
        <v>9515</v>
      </c>
      <c r="C3149" s="60" t="s">
        <v>9516</v>
      </c>
      <c r="D3149" s="60" t="s">
        <v>9517</v>
      </c>
    </row>
    <row r="3150" spans="2:4" x14ac:dyDescent="0.35">
      <c r="B3150" s="60" t="s">
        <v>9518</v>
      </c>
      <c r="C3150" s="60" t="s">
        <v>9519</v>
      </c>
      <c r="D3150" s="60" t="s">
        <v>9520</v>
      </c>
    </row>
    <row r="3151" spans="2:4" x14ac:dyDescent="0.35">
      <c r="B3151" s="60" t="s">
        <v>9521</v>
      </c>
      <c r="C3151" s="60" t="s">
        <v>9522</v>
      </c>
      <c r="D3151" s="60" t="s">
        <v>9523</v>
      </c>
    </row>
    <row r="3152" spans="2:4" x14ac:dyDescent="0.35">
      <c r="B3152" s="60" t="s">
        <v>9524</v>
      </c>
      <c r="C3152" s="60" t="s">
        <v>9525</v>
      </c>
      <c r="D3152" s="60" t="s">
        <v>9526</v>
      </c>
    </row>
    <row r="3153" spans="2:4" x14ac:dyDescent="0.35">
      <c r="B3153" s="60" t="s">
        <v>9527</v>
      </c>
      <c r="C3153" s="60" t="s">
        <v>9528</v>
      </c>
      <c r="D3153" s="60" t="s">
        <v>9529</v>
      </c>
    </row>
    <row r="3154" spans="2:4" x14ac:dyDescent="0.35">
      <c r="B3154" s="60" t="s">
        <v>9530</v>
      </c>
      <c r="C3154" s="60" t="s">
        <v>9531</v>
      </c>
      <c r="D3154" s="60" t="s">
        <v>9532</v>
      </c>
    </row>
    <row r="3155" spans="2:4" x14ac:dyDescent="0.35">
      <c r="B3155" s="60" t="s">
        <v>9533</v>
      </c>
      <c r="C3155" s="60" t="s">
        <v>9534</v>
      </c>
      <c r="D3155" s="60" t="s">
        <v>9535</v>
      </c>
    </row>
    <row r="3156" spans="2:4" x14ac:dyDescent="0.35">
      <c r="B3156" s="60" t="s">
        <v>9536</v>
      </c>
      <c r="C3156" s="60" t="s">
        <v>9537</v>
      </c>
      <c r="D3156" s="60" t="s">
        <v>9538</v>
      </c>
    </row>
    <row r="3157" spans="2:4" x14ac:dyDescent="0.35">
      <c r="B3157" s="60" t="s">
        <v>9539</v>
      </c>
      <c r="C3157" s="60" t="s">
        <v>9540</v>
      </c>
      <c r="D3157" s="60" t="s">
        <v>9541</v>
      </c>
    </row>
    <row r="3158" spans="2:4" x14ac:dyDescent="0.35">
      <c r="B3158" s="60" t="s">
        <v>9542</v>
      </c>
      <c r="C3158" s="60" t="s">
        <v>9543</v>
      </c>
      <c r="D3158" s="60" t="s">
        <v>9544</v>
      </c>
    </row>
    <row r="3159" spans="2:4" x14ac:dyDescent="0.35">
      <c r="B3159" s="60" t="s">
        <v>9545</v>
      </c>
      <c r="C3159" s="60" t="s">
        <v>9546</v>
      </c>
      <c r="D3159" s="60" t="s">
        <v>9547</v>
      </c>
    </row>
    <row r="3160" spans="2:4" x14ac:dyDescent="0.35">
      <c r="B3160" s="60" t="s">
        <v>9548</v>
      </c>
      <c r="C3160" s="60" t="s">
        <v>9549</v>
      </c>
      <c r="D3160" s="60" t="s">
        <v>9550</v>
      </c>
    </row>
    <row r="3161" spans="2:4" x14ac:dyDescent="0.35">
      <c r="B3161" s="60" t="s">
        <v>9551</v>
      </c>
      <c r="C3161" s="60" t="s">
        <v>9552</v>
      </c>
      <c r="D3161" s="60" t="s">
        <v>9553</v>
      </c>
    </row>
    <row r="3162" spans="2:4" x14ac:dyDescent="0.35">
      <c r="B3162" s="60" t="s">
        <v>9554</v>
      </c>
      <c r="C3162" s="60" t="s">
        <v>9555</v>
      </c>
      <c r="D3162" s="60" t="s">
        <v>9556</v>
      </c>
    </row>
    <row r="3163" spans="2:4" x14ac:dyDescent="0.35">
      <c r="B3163" s="60" t="s">
        <v>9557</v>
      </c>
      <c r="C3163" s="60" t="s">
        <v>9558</v>
      </c>
      <c r="D3163" s="60" t="s">
        <v>9559</v>
      </c>
    </row>
    <row r="3164" spans="2:4" x14ac:dyDescent="0.35">
      <c r="B3164" s="60" t="s">
        <v>9560</v>
      </c>
      <c r="C3164" s="60" t="s">
        <v>9561</v>
      </c>
      <c r="D3164" s="60" t="s">
        <v>9562</v>
      </c>
    </row>
    <row r="3165" spans="2:4" x14ac:dyDescent="0.35">
      <c r="B3165" s="60" t="s">
        <v>9563</v>
      </c>
      <c r="C3165" s="60" t="s">
        <v>9564</v>
      </c>
      <c r="D3165" s="60" t="s">
        <v>9565</v>
      </c>
    </row>
    <row r="3166" spans="2:4" x14ac:dyDescent="0.35">
      <c r="B3166" s="60" t="s">
        <v>9566</v>
      </c>
      <c r="C3166" s="60" t="s">
        <v>9567</v>
      </c>
      <c r="D3166" s="60" t="s">
        <v>9568</v>
      </c>
    </row>
    <row r="3167" spans="2:4" x14ac:dyDescent="0.35">
      <c r="B3167" s="60" t="s">
        <v>9569</v>
      </c>
      <c r="C3167" s="60" t="s">
        <v>9570</v>
      </c>
      <c r="D3167" s="60" t="s">
        <v>9571</v>
      </c>
    </row>
    <row r="3168" spans="2:4" x14ac:dyDescent="0.35">
      <c r="B3168" s="60" t="s">
        <v>9572</v>
      </c>
      <c r="C3168" s="60" t="s">
        <v>9573</v>
      </c>
      <c r="D3168" s="60" t="s">
        <v>9574</v>
      </c>
    </row>
    <row r="3169" spans="2:4" x14ac:dyDescent="0.35">
      <c r="B3169" s="60" t="s">
        <v>9575</v>
      </c>
      <c r="C3169" s="60" t="s">
        <v>9576</v>
      </c>
      <c r="D3169" s="60" t="s">
        <v>9577</v>
      </c>
    </row>
    <row r="3170" spans="2:4" x14ac:dyDescent="0.35">
      <c r="B3170" s="60" t="s">
        <v>9578</v>
      </c>
      <c r="C3170" s="60" t="s">
        <v>9579</v>
      </c>
      <c r="D3170" s="60" t="s">
        <v>9580</v>
      </c>
    </row>
    <row r="3171" spans="2:4" x14ac:dyDescent="0.35">
      <c r="B3171" s="60" t="s">
        <v>9581</v>
      </c>
      <c r="C3171" s="60" t="s">
        <v>9582</v>
      </c>
      <c r="D3171" s="60" t="s">
        <v>9583</v>
      </c>
    </row>
    <row r="3172" spans="2:4" x14ac:dyDescent="0.35">
      <c r="B3172" s="60" t="s">
        <v>9584</v>
      </c>
      <c r="C3172" s="60" t="s">
        <v>9585</v>
      </c>
      <c r="D3172" s="60" t="s">
        <v>9586</v>
      </c>
    </row>
    <row r="3173" spans="2:4" x14ac:dyDescent="0.35">
      <c r="B3173" s="60" t="s">
        <v>9587</v>
      </c>
      <c r="C3173" s="60" t="s">
        <v>9588</v>
      </c>
      <c r="D3173" s="60" t="s">
        <v>9589</v>
      </c>
    </row>
    <row r="3174" spans="2:4" x14ac:dyDescent="0.35">
      <c r="B3174" s="60" t="s">
        <v>9590</v>
      </c>
      <c r="C3174" s="60" t="s">
        <v>9591</v>
      </c>
      <c r="D3174" s="60" t="s">
        <v>9592</v>
      </c>
    </row>
    <row r="3175" spans="2:4" x14ac:dyDescent="0.35">
      <c r="B3175" s="60" t="s">
        <v>9593</v>
      </c>
      <c r="C3175" s="60" t="s">
        <v>9594</v>
      </c>
      <c r="D3175" s="60" t="s">
        <v>9595</v>
      </c>
    </row>
    <row r="3176" spans="2:4" x14ac:dyDescent="0.35">
      <c r="B3176" s="60" t="s">
        <v>9596</v>
      </c>
      <c r="C3176" s="60" t="s">
        <v>9597</v>
      </c>
      <c r="D3176" s="60" t="s">
        <v>9598</v>
      </c>
    </row>
    <row r="3177" spans="2:4" x14ac:dyDescent="0.35">
      <c r="B3177" s="60" t="s">
        <v>9599</v>
      </c>
      <c r="C3177" s="60" t="s">
        <v>9600</v>
      </c>
      <c r="D3177" s="60" t="s">
        <v>9601</v>
      </c>
    </row>
    <row r="3178" spans="2:4" x14ac:dyDescent="0.35">
      <c r="B3178" s="60" t="s">
        <v>9599</v>
      </c>
      <c r="C3178" s="60" t="s">
        <v>9602</v>
      </c>
      <c r="D3178" s="60" t="s">
        <v>9601</v>
      </c>
    </row>
    <row r="3179" spans="2:4" x14ac:dyDescent="0.35">
      <c r="B3179" s="60" t="s">
        <v>9603</v>
      </c>
      <c r="C3179" s="60" t="s">
        <v>9604</v>
      </c>
      <c r="D3179" s="60" t="s">
        <v>9605</v>
      </c>
    </row>
    <row r="3180" spans="2:4" x14ac:dyDescent="0.35">
      <c r="B3180" s="60" t="s">
        <v>9606</v>
      </c>
      <c r="C3180" s="60" t="s">
        <v>9607</v>
      </c>
      <c r="D3180" s="60" t="s">
        <v>9608</v>
      </c>
    </row>
    <row r="3181" spans="2:4" x14ac:dyDescent="0.35">
      <c r="B3181" s="60" t="s">
        <v>9609</v>
      </c>
      <c r="C3181" s="60" t="s">
        <v>9610</v>
      </c>
      <c r="D3181" s="60" t="s">
        <v>9611</v>
      </c>
    </row>
    <row r="3182" spans="2:4" x14ac:dyDescent="0.35">
      <c r="B3182" s="60" t="s">
        <v>9609</v>
      </c>
      <c r="C3182" s="60" t="s">
        <v>9612</v>
      </c>
      <c r="D3182" s="60" t="s">
        <v>9611</v>
      </c>
    </row>
    <row r="3183" spans="2:4" x14ac:dyDescent="0.35">
      <c r="B3183" s="60" t="s">
        <v>9613</v>
      </c>
      <c r="C3183" s="60" t="s">
        <v>9614</v>
      </c>
      <c r="D3183" s="60" t="s">
        <v>9615</v>
      </c>
    </row>
    <row r="3184" spans="2:4" x14ac:dyDescent="0.35">
      <c r="B3184" s="60" t="s">
        <v>9616</v>
      </c>
      <c r="C3184" s="60" t="s">
        <v>9617</v>
      </c>
      <c r="D3184" s="60" t="s">
        <v>9618</v>
      </c>
    </row>
    <row r="3185" spans="2:4" x14ac:dyDescent="0.35">
      <c r="B3185" s="60" t="s">
        <v>9619</v>
      </c>
      <c r="C3185" s="60" t="s">
        <v>9620</v>
      </c>
      <c r="D3185" s="60" t="s">
        <v>9621</v>
      </c>
    </row>
    <row r="3186" spans="2:4" x14ac:dyDescent="0.35">
      <c r="B3186" s="60" t="s">
        <v>9622</v>
      </c>
      <c r="C3186" s="60" t="s">
        <v>9623</v>
      </c>
      <c r="D3186" s="60" t="s">
        <v>9624</v>
      </c>
    </row>
    <row r="3187" spans="2:4" x14ac:dyDescent="0.35">
      <c r="B3187" s="60" t="s">
        <v>9625</v>
      </c>
      <c r="C3187" s="60" t="s">
        <v>9626</v>
      </c>
      <c r="D3187" s="60" t="s">
        <v>9627</v>
      </c>
    </row>
    <row r="3188" spans="2:4" x14ac:dyDescent="0.35">
      <c r="B3188" s="60" t="s">
        <v>9628</v>
      </c>
      <c r="C3188" s="60" t="s">
        <v>9629</v>
      </c>
      <c r="D3188" s="60" t="s">
        <v>9630</v>
      </c>
    </row>
    <row r="3189" spans="2:4" x14ac:dyDescent="0.35">
      <c r="B3189" s="60" t="s">
        <v>9631</v>
      </c>
      <c r="C3189" s="60" t="s">
        <v>9632</v>
      </c>
      <c r="D3189" s="60" t="s">
        <v>9633</v>
      </c>
    </row>
    <row r="3190" spans="2:4" x14ac:dyDescent="0.35">
      <c r="B3190" s="60" t="s">
        <v>9634</v>
      </c>
      <c r="C3190" s="60" t="s">
        <v>9635</v>
      </c>
      <c r="D3190" s="60" t="s">
        <v>9636</v>
      </c>
    </row>
    <row r="3191" spans="2:4" x14ac:dyDescent="0.35">
      <c r="B3191" s="60" t="s">
        <v>9637</v>
      </c>
      <c r="C3191" s="60" t="s">
        <v>9638</v>
      </c>
      <c r="D3191" s="60" t="s">
        <v>9639</v>
      </c>
    </row>
    <row r="3192" spans="2:4" x14ac:dyDescent="0.35">
      <c r="B3192" s="60" t="s">
        <v>9640</v>
      </c>
      <c r="C3192" s="60" t="s">
        <v>9641</v>
      </c>
      <c r="D3192" s="60" t="s">
        <v>9642</v>
      </c>
    </row>
    <row r="3193" spans="2:4" x14ac:dyDescent="0.35">
      <c r="B3193" s="60" t="s">
        <v>9643</v>
      </c>
      <c r="C3193" s="60" t="s">
        <v>9644</v>
      </c>
      <c r="D3193" s="60" t="s">
        <v>9645</v>
      </c>
    </row>
    <row r="3194" spans="2:4" x14ac:dyDescent="0.35">
      <c r="B3194" s="60" t="s">
        <v>9646</v>
      </c>
      <c r="C3194" s="60" t="s">
        <v>9647</v>
      </c>
      <c r="D3194" s="60" t="s">
        <v>9648</v>
      </c>
    </row>
    <row r="3195" spans="2:4" x14ac:dyDescent="0.35">
      <c r="B3195" s="60" t="s">
        <v>9649</v>
      </c>
      <c r="C3195" s="60" t="s">
        <v>9650</v>
      </c>
      <c r="D3195" s="60" t="s">
        <v>9651</v>
      </c>
    </row>
    <row r="3196" spans="2:4" x14ac:dyDescent="0.35">
      <c r="B3196" s="60" t="s">
        <v>9652</v>
      </c>
      <c r="C3196" s="60" t="s">
        <v>9653</v>
      </c>
      <c r="D3196" s="60" t="s">
        <v>9654</v>
      </c>
    </row>
    <row r="3197" spans="2:4" x14ac:dyDescent="0.35">
      <c r="B3197" s="60" t="s">
        <v>9655</v>
      </c>
      <c r="C3197" s="60" t="s">
        <v>9656</v>
      </c>
      <c r="D3197" s="60" t="s">
        <v>9657</v>
      </c>
    </row>
    <row r="3198" spans="2:4" x14ac:dyDescent="0.35">
      <c r="B3198" s="60" t="s">
        <v>9658</v>
      </c>
      <c r="C3198" s="60" t="s">
        <v>9659</v>
      </c>
      <c r="D3198" s="60" t="s">
        <v>9660</v>
      </c>
    </row>
    <row r="3199" spans="2:4" x14ac:dyDescent="0.35">
      <c r="B3199" s="60" t="s">
        <v>9661</v>
      </c>
      <c r="C3199" s="60" t="s">
        <v>9662</v>
      </c>
      <c r="D3199" s="60" t="s">
        <v>9663</v>
      </c>
    </row>
    <row r="3200" spans="2:4" x14ac:dyDescent="0.35">
      <c r="B3200" s="60" t="s">
        <v>9664</v>
      </c>
      <c r="C3200" s="60" t="s">
        <v>9665</v>
      </c>
      <c r="D3200" s="60" t="s">
        <v>9666</v>
      </c>
    </row>
    <row r="3201" spans="2:4" x14ac:dyDescent="0.35">
      <c r="B3201" s="60" t="s">
        <v>9667</v>
      </c>
      <c r="C3201" s="60" t="s">
        <v>9667</v>
      </c>
      <c r="D3201" s="60" t="s">
        <v>9668</v>
      </c>
    </row>
    <row r="3202" spans="2:4" x14ac:dyDescent="0.35">
      <c r="B3202" s="60" t="s">
        <v>9669</v>
      </c>
      <c r="C3202" s="60" t="s">
        <v>9670</v>
      </c>
      <c r="D3202" s="60" t="s">
        <v>9671</v>
      </c>
    </row>
    <row r="3203" spans="2:4" x14ac:dyDescent="0.35">
      <c r="B3203" s="60" t="s">
        <v>9672</v>
      </c>
      <c r="C3203" s="60" t="s">
        <v>9673</v>
      </c>
      <c r="D3203" s="60" t="s">
        <v>9674</v>
      </c>
    </row>
    <row r="3204" spans="2:4" x14ac:dyDescent="0.35">
      <c r="B3204" s="60" t="s">
        <v>9675</v>
      </c>
      <c r="C3204" s="60" t="s">
        <v>9676</v>
      </c>
      <c r="D3204" s="60" t="s">
        <v>9677</v>
      </c>
    </row>
    <row r="3205" spans="2:4" x14ac:dyDescent="0.35">
      <c r="B3205" s="60" t="s">
        <v>9678</v>
      </c>
      <c r="C3205" s="60" t="s">
        <v>9679</v>
      </c>
      <c r="D3205" s="60" t="s">
        <v>9680</v>
      </c>
    </row>
    <row r="3206" spans="2:4" x14ac:dyDescent="0.35">
      <c r="B3206" s="60" t="s">
        <v>9681</v>
      </c>
      <c r="C3206" s="60" t="s">
        <v>9682</v>
      </c>
      <c r="D3206" s="60" t="s">
        <v>9683</v>
      </c>
    </row>
    <row r="3207" spans="2:4" x14ac:dyDescent="0.35">
      <c r="B3207" s="60" t="s">
        <v>9684</v>
      </c>
      <c r="C3207" s="60" t="s">
        <v>9685</v>
      </c>
      <c r="D3207" s="60" t="s">
        <v>9686</v>
      </c>
    </row>
    <row r="3208" spans="2:4" x14ac:dyDescent="0.35">
      <c r="B3208" s="60" t="s">
        <v>9687</v>
      </c>
      <c r="C3208" s="60" t="s">
        <v>9688</v>
      </c>
      <c r="D3208" s="60" t="s">
        <v>9689</v>
      </c>
    </row>
    <row r="3209" spans="2:4" x14ac:dyDescent="0.35">
      <c r="B3209" s="60" t="s">
        <v>9690</v>
      </c>
      <c r="C3209" s="60" t="s">
        <v>9691</v>
      </c>
      <c r="D3209" s="60" t="s">
        <v>9692</v>
      </c>
    </row>
    <row r="3210" spans="2:4" x14ac:dyDescent="0.35">
      <c r="B3210" s="60" t="s">
        <v>9693</v>
      </c>
      <c r="C3210" s="60" t="s">
        <v>9694</v>
      </c>
      <c r="D3210" s="60" t="s">
        <v>9695</v>
      </c>
    </row>
    <row r="3211" spans="2:4" x14ac:dyDescent="0.35">
      <c r="B3211" s="60" t="s">
        <v>9696</v>
      </c>
      <c r="C3211" s="60" t="s">
        <v>9697</v>
      </c>
      <c r="D3211" s="60" t="s">
        <v>9698</v>
      </c>
    </row>
    <row r="3212" spans="2:4" x14ac:dyDescent="0.35">
      <c r="B3212" s="60" t="s">
        <v>9699</v>
      </c>
      <c r="C3212" s="60" t="s">
        <v>9700</v>
      </c>
      <c r="D3212" s="60" t="s">
        <v>9701</v>
      </c>
    </row>
    <row r="3213" spans="2:4" x14ac:dyDescent="0.35">
      <c r="B3213" s="60" t="s">
        <v>9702</v>
      </c>
      <c r="C3213" s="60" t="s">
        <v>9703</v>
      </c>
      <c r="D3213" s="60" t="s">
        <v>9704</v>
      </c>
    </row>
    <row r="3214" spans="2:4" x14ac:dyDescent="0.35">
      <c r="B3214" s="60" t="s">
        <v>9705</v>
      </c>
      <c r="C3214" s="60" t="s">
        <v>9706</v>
      </c>
      <c r="D3214" s="60" t="s">
        <v>9707</v>
      </c>
    </row>
    <row r="3215" spans="2:4" x14ac:dyDescent="0.35">
      <c r="B3215" s="60" t="s">
        <v>9708</v>
      </c>
      <c r="C3215" s="60" t="s">
        <v>9709</v>
      </c>
      <c r="D3215" s="60" t="s">
        <v>9710</v>
      </c>
    </row>
    <row r="3216" spans="2:4" x14ac:dyDescent="0.35">
      <c r="B3216" s="60" t="s">
        <v>9711</v>
      </c>
      <c r="C3216" s="60" t="s">
        <v>9712</v>
      </c>
      <c r="D3216" s="60" t="s">
        <v>9713</v>
      </c>
    </row>
    <row r="3217" spans="2:4" x14ac:dyDescent="0.35">
      <c r="B3217" s="60" t="s">
        <v>9714</v>
      </c>
      <c r="C3217" s="60" t="s">
        <v>9715</v>
      </c>
      <c r="D3217" s="60" t="s">
        <v>9716</v>
      </c>
    </row>
    <row r="3218" spans="2:4" x14ac:dyDescent="0.35">
      <c r="B3218" s="60" t="s">
        <v>9717</v>
      </c>
      <c r="C3218" s="60" t="s">
        <v>9718</v>
      </c>
      <c r="D3218" s="60" t="s">
        <v>9719</v>
      </c>
    </row>
    <row r="3219" spans="2:4" x14ac:dyDescent="0.35">
      <c r="B3219" s="60" t="s">
        <v>9720</v>
      </c>
      <c r="C3219" s="60" t="s">
        <v>9721</v>
      </c>
      <c r="D3219" s="60" t="s">
        <v>9722</v>
      </c>
    </row>
    <row r="3220" spans="2:4" x14ac:dyDescent="0.35">
      <c r="B3220" s="60" t="s">
        <v>9723</v>
      </c>
      <c r="C3220" s="60" t="s">
        <v>9724</v>
      </c>
      <c r="D3220" s="60" t="s">
        <v>9725</v>
      </c>
    </row>
    <row r="3221" spans="2:4" x14ac:dyDescent="0.35">
      <c r="B3221" s="60" t="s">
        <v>9726</v>
      </c>
      <c r="C3221" s="60" t="s">
        <v>9727</v>
      </c>
      <c r="D3221" s="60" t="s">
        <v>9728</v>
      </c>
    </row>
    <row r="3222" spans="2:4" x14ac:dyDescent="0.35">
      <c r="B3222" s="60" t="s">
        <v>9729</v>
      </c>
      <c r="C3222" s="60" t="s">
        <v>9730</v>
      </c>
      <c r="D3222" s="60" t="s">
        <v>9731</v>
      </c>
    </row>
    <row r="3223" spans="2:4" x14ac:dyDescent="0.35">
      <c r="B3223" s="60" t="s">
        <v>9732</v>
      </c>
      <c r="C3223" s="60" t="s">
        <v>9733</v>
      </c>
      <c r="D3223" s="60" t="s">
        <v>9734</v>
      </c>
    </row>
    <row r="3224" spans="2:4" x14ac:dyDescent="0.35">
      <c r="B3224" s="60" t="s">
        <v>9735</v>
      </c>
      <c r="C3224" s="60" t="s">
        <v>9736</v>
      </c>
      <c r="D3224" s="60" t="s">
        <v>9737</v>
      </c>
    </row>
    <row r="3225" spans="2:4" x14ac:dyDescent="0.35">
      <c r="B3225" s="60" t="s">
        <v>9738</v>
      </c>
      <c r="C3225" s="60" t="s">
        <v>9739</v>
      </c>
      <c r="D3225" s="60" t="s">
        <v>9740</v>
      </c>
    </row>
    <row r="3226" spans="2:4" x14ac:dyDescent="0.35">
      <c r="B3226" s="60" t="s">
        <v>9741</v>
      </c>
      <c r="C3226" s="60" t="s">
        <v>9742</v>
      </c>
      <c r="D3226" s="60" t="s">
        <v>9743</v>
      </c>
    </row>
    <row r="3227" spans="2:4" x14ac:dyDescent="0.35">
      <c r="B3227" s="60" t="s">
        <v>9744</v>
      </c>
      <c r="C3227" s="60" t="s">
        <v>9745</v>
      </c>
      <c r="D3227" s="60" t="s">
        <v>9746</v>
      </c>
    </row>
    <row r="3228" spans="2:4" x14ac:dyDescent="0.35">
      <c r="B3228" s="60" t="s">
        <v>9747</v>
      </c>
      <c r="C3228" s="60" t="s">
        <v>9748</v>
      </c>
      <c r="D3228" s="60" t="s">
        <v>9749</v>
      </c>
    </row>
    <row r="3229" spans="2:4" x14ac:dyDescent="0.35">
      <c r="B3229" s="60" t="s">
        <v>9750</v>
      </c>
      <c r="C3229" s="60" t="s">
        <v>9751</v>
      </c>
      <c r="D3229" s="60" t="s">
        <v>9752</v>
      </c>
    </row>
    <row r="3230" spans="2:4" x14ac:dyDescent="0.35">
      <c r="B3230" s="60" t="s">
        <v>9753</v>
      </c>
      <c r="C3230" s="60" t="s">
        <v>9754</v>
      </c>
      <c r="D3230" s="60" t="s">
        <v>9755</v>
      </c>
    </row>
    <row r="3231" spans="2:4" x14ac:dyDescent="0.35">
      <c r="B3231" s="60" t="s">
        <v>9756</v>
      </c>
      <c r="C3231" s="60" t="s">
        <v>9757</v>
      </c>
      <c r="D3231" s="60" t="s">
        <v>9758</v>
      </c>
    </row>
    <row r="3232" spans="2:4" x14ac:dyDescent="0.35">
      <c r="B3232" s="60" t="s">
        <v>9759</v>
      </c>
      <c r="C3232" s="60" t="s">
        <v>9760</v>
      </c>
      <c r="D3232" s="60" t="s">
        <v>9761</v>
      </c>
    </row>
    <row r="3233" spans="2:4" x14ac:dyDescent="0.35">
      <c r="B3233" s="60" t="s">
        <v>9762</v>
      </c>
      <c r="C3233" s="60" t="s">
        <v>9763</v>
      </c>
      <c r="D3233" s="60" t="s">
        <v>9764</v>
      </c>
    </row>
    <row r="3234" spans="2:4" x14ac:dyDescent="0.35">
      <c r="B3234" s="60" t="s">
        <v>9765</v>
      </c>
      <c r="C3234" s="60" t="s">
        <v>9766</v>
      </c>
      <c r="D3234" s="60" t="s">
        <v>9767</v>
      </c>
    </row>
    <row r="3235" spans="2:4" x14ac:dyDescent="0.35">
      <c r="B3235" s="60" t="s">
        <v>9768</v>
      </c>
      <c r="C3235" s="60" t="s">
        <v>9769</v>
      </c>
      <c r="D3235" s="60" t="s">
        <v>9770</v>
      </c>
    </row>
    <row r="3236" spans="2:4" x14ac:dyDescent="0.35">
      <c r="B3236" s="60" t="s">
        <v>9771</v>
      </c>
      <c r="C3236" s="60" t="s">
        <v>9772</v>
      </c>
      <c r="D3236" s="60" t="s">
        <v>9773</v>
      </c>
    </row>
    <row r="3237" spans="2:4" x14ac:dyDescent="0.35">
      <c r="B3237" s="60" t="s">
        <v>9774</v>
      </c>
      <c r="C3237" s="60" t="s">
        <v>9775</v>
      </c>
      <c r="D3237" s="60" t="s">
        <v>9776</v>
      </c>
    </row>
    <row r="3238" spans="2:4" x14ac:dyDescent="0.35">
      <c r="B3238" s="60" t="s">
        <v>9777</v>
      </c>
      <c r="C3238" s="60" t="s">
        <v>9778</v>
      </c>
      <c r="D3238" s="60" t="s">
        <v>9779</v>
      </c>
    </row>
    <row r="3239" spans="2:4" x14ac:dyDescent="0.35">
      <c r="B3239" s="60" t="s">
        <v>9780</v>
      </c>
      <c r="C3239" s="60" t="s">
        <v>9781</v>
      </c>
      <c r="D3239" s="60" t="s">
        <v>9782</v>
      </c>
    </row>
    <row r="3240" spans="2:4" x14ac:dyDescent="0.35">
      <c r="B3240" s="60" t="s">
        <v>9783</v>
      </c>
      <c r="C3240" s="60" t="s">
        <v>9784</v>
      </c>
      <c r="D3240" s="60" t="s">
        <v>9785</v>
      </c>
    </row>
    <row r="3241" spans="2:4" x14ac:dyDescent="0.35">
      <c r="B3241" s="60" t="s">
        <v>9786</v>
      </c>
      <c r="C3241" s="60" t="s">
        <v>9787</v>
      </c>
      <c r="D3241" s="60" t="s">
        <v>9788</v>
      </c>
    </row>
    <row r="3242" spans="2:4" x14ac:dyDescent="0.35">
      <c r="B3242" s="60" t="s">
        <v>9789</v>
      </c>
      <c r="C3242" s="60" t="s">
        <v>9790</v>
      </c>
      <c r="D3242" s="60" t="s">
        <v>9791</v>
      </c>
    </row>
    <row r="3243" spans="2:4" x14ac:dyDescent="0.35">
      <c r="B3243" s="60" t="s">
        <v>9792</v>
      </c>
      <c r="C3243" s="60" t="s">
        <v>9793</v>
      </c>
      <c r="D3243" s="60" t="s">
        <v>9794</v>
      </c>
    </row>
    <row r="3244" spans="2:4" x14ac:dyDescent="0.35">
      <c r="B3244" s="60" t="s">
        <v>9795</v>
      </c>
      <c r="C3244" s="60" t="s">
        <v>9796</v>
      </c>
      <c r="D3244" s="60" t="s">
        <v>9797</v>
      </c>
    </row>
    <row r="3245" spans="2:4" x14ac:dyDescent="0.35">
      <c r="B3245" s="60" t="s">
        <v>9798</v>
      </c>
      <c r="C3245" s="60" t="s">
        <v>9799</v>
      </c>
      <c r="D3245" s="60" t="s">
        <v>9800</v>
      </c>
    </row>
    <row r="3246" spans="2:4" x14ac:dyDescent="0.35">
      <c r="B3246" s="60" t="s">
        <v>9801</v>
      </c>
      <c r="C3246" s="60" t="s">
        <v>9802</v>
      </c>
      <c r="D3246" s="60" t="s">
        <v>9803</v>
      </c>
    </row>
    <row r="3247" spans="2:4" x14ac:dyDescent="0.35">
      <c r="B3247" s="60" t="s">
        <v>9804</v>
      </c>
      <c r="C3247" s="60" t="s">
        <v>9805</v>
      </c>
      <c r="D3247" s="60" t="s">
        <v>9806</v>
      </c>
    </row>
    <row r="3248" spans="2:4" x14ac:dyDescent="0.35">
      <c r="B3248" s="60" t="s">
        <v>9807</v>
      </c>
      <c r="C3248" s="60" t="s">
        <v>9808</v>
      </c>
      <c r="D3248" s="60" t="s">
        <v>9809</v>
      </c>
    </row>
    <row r="3249" spans="2:4" x14ac:dyDescent="0.35">
      <c r="B3249" s="60" t="s">
        <v>9810</v>
      </c>
      <c r="C3249" s="60" t="s">
        <v>9811</v>
      </c>
      <c r="D3249" s="60" t="s">
        <v>9812</v>
      </c>
    </row>
    <row r="3250" spans="2:4" x14ac:dyDescent="0.35">
      <c r="B3250" s="60" t="s">
        <v>9813</v>
      </c>
      <c r="C3250" s="60" t="s">
        <v>9814</v>
      </c>
      <c r="D3250" s="60" t="s">
        <v>9815</v>
      </c>
    </row>
    <row r="3251" spans="2:4" x14ac:dyDescent="0.35">
      <c r="B3251" s="60" t="s">
        <v>9816</v>
      </c>
      <c r="C3251" s="60" t="s">
        <v>9817</v>
      </c>
      <c r="D3251" s="60" t="s">
        <v>9818</v>
      </c>
    </row>
    <row r="3252" spans="2:4" x14ac:dyDescent="0.35">
      <c r="B3252" s="60" t="s">
        <v>9819</v>
      </c>
      <c r="C3252" s="60" t="s">
        <v>9820</v>
      </c>
      <c r="D3252" s="60" t="s">
        <v>9821</v>
      </c>
    </row>
    <row r="3253" spans="2:4" x14ac:dyDescent="0.35">
      <c r="B3253" s="60" t="s">
        <v>9822</v>
      </c>
      <c r="C3253" s="60" t="s">
        <v>9823</v>
      </c>
      <c r="D3253" s="60" t="s">
        <v>9824</v>
      </c>
    </row>
    <row r="3254" spans="2:4" x14ac:dyDescent="0.35">
      <c r="B3254" s="60" t="s">
        <v>9825</v>
      </c>
      <c r="C3254" s="60" t="s">
        <v>9826</v>
      </c>
      <c r="D3254" s="60" t="s">
        <v>9827</v>
      </c>
    </row>
    <row r="3255" spans="2:4" x14ac:dyDescent="0.35">
      <c r="B3255" s="60" t="s">
        <v>9828</v>
      </c>
      <c r="C3255" s="60" t="s">
        <v>9829</v>
      </c>
      <c r="D3255" s="60" t="s">
        <v>9830</v>
      </c>
    </row>
    <row r="3256" spans="2:4" x14ac:dyDescent="0.35">
      <c r="B3256" s="60" t="s">
        <v>9831</v>
      </c>
      <c r="C3256" s="60" t="s">
        <v>9832</v>
      </c>
      <c r="D3256" s="60" t="s">
        <v>9833</v>
      </c>
    </row>
    <row r="3257" spans="2:4" x14ac:dyDescent="0.35">
      <c r="B3257" s="60" t="s">
        <v>9834</v>
      </c>
      <c r="C3257" s="60" t="s">
        <v>9835</v>
      </c>
      <c r="D3257" s="60" t="s">
        <v>9836</v>
      </c>
    </row>
    <row r="3258" spans="2:4" x14ac:dyDescent="0.35">
      <c r="B3258" s="60" t="s">
        <v>9837</v>
      </c>
      <c r="C3258" s="60" t="s">
        <v>9838</v>
      </c>
      <c r="D3258" s="60" t="s">
        <v>9839</v>
      </c>
    </row>
    <row r="3259" spans="2:4" x14ac:dyDescent="0.35">
      <c r="B3259" s="60" t="s">
        <v>9840</v>
      </c>
      <c r="C3259" s="60" t="s">
        <v>9841</v>
      </c>
      <c r="D3259" s="60" t="s">
        <v>9842</v>
      </c>
    </row>
    <row r="3260" spans="2:4" x14ac:dyDescent="0.35">
      <c r="B3260" s="60" t="s">
        <v>9843</v>
      </c>
      <c r="C3260" s="60" t="s">
        <v>9844</v>
      </c>
      <c r="D3260" s="60" t="s">
        <v>9845</v>
      </c>
    </row>
    <row r="3261" spans="2:4" x14ac:dyDescent="0.35">
      <c r="B3261" s="60" t="s">
        <v>9846</v>
      </c>
      <c r="C3261" s="60" t="s">
        <v>9847</v>
      </c>
      <c r="D3261" s="60" t="s">
        <v>9848</v>
      </c>
    </row>
    <row r="3262" spans="2:4" x14ac:dyDescent="0.35">
      <c r="B3262" s="60" t="s">
        <v>9849</v>
      </c>
      <c r="C3262" s="60" t="s">
        <v>9850</v>
      </c>
      <c r="D3262" s="60" t="s">
        <v>9851</v>
      </c>
    </row>
    <row r="3263" spans="2:4" x14ac:dyDescent="0.35">
      <c r="B3263" s="60" t="s">
        <v>9852</v>
      </c>
      <c r="C3263" s="60" t="s">
        <v>9853</v>
      </c>
      <c r="D3263" s="60" t="s">
        <v>9854</v>
      </c>
    </row>
    <row r="3264" spans="2:4" x14ac:dyDescent="0.35">
      <c r="B3264" s="60" t="s">
        <v>9855</v>
      </c>
      <c r="C3264" s="60" t="s">
        <v>9856</v>
      </c>
      <c r="D3264" s="60" t="s">
        <v>9857</v>
      </c>
    </row>
    <row r="3265" spans="2:4" x14ac:dyDescent="0.35">
      <c r="B3265" s="60" t="s">
        <v>9858</v>
      </c>
      <c r="C3265" s="60" t="s">
        <v>9859</v>
      </c>
      <c r="D3265" s="60" t="s">
        <v>9860</v>
      </c>
    </row>
    <row r="3266" spans="2:4" x14ac:dyDescent="0.35">
      <c r="B3266" s="60" t="s">
        <v>9858</v>
      </c>
      <c r="C3266" s="60" t="s">
        <v>9861</v>
      </c>
      <c r="D3266" s="60" t="s">
        <v>9862</v>
      </c>
    </row>
    <row r="3267" spans="2:4" x14ac:dyDescent="0.35">
      <c r="B3267" s="60" t="s">
        <v>9863</v>
      </c>
      <c r="C3267" s="60" t="s">
        <v>9864</v>
      </c>
      <c r="D3267" s="60" t="s">
        <v>9865</v>
      </c>
    </row>
    <row r="3268" spans="2:4" x14ac:dyDescent="0.35">
      <c r="B3268" s="60" t="s">
        <v>9866</v>
      </c>
      <c r="C3268" s="60" t="s">
        <v>9867</v>
      </c>
      <c r="D3268" s="60" t="s">
        <v>9868</v>
      </c>
    </row>
    <row r="3269" spans="2:4" x14ac:dyDescent="0.35">
      <c r="B3269" s="60" t="s">
        <v>9869</v>
      </c>
      <c r="C3269" s="60" t="s">
        <v>9870</v>
      </c>
      <c r="D3269" s="60" t="s">
        <v>9871</v>
      </c>
    </row>
    <row r="3270" spans="2:4" x14ac:dyDescent="0.35">
      <c r="B3270" s="60" t="s">
        <v>9872</v>
      </c>
      <c r="C3270" s="60" t="s">
        <v>9873</v>
      </c>
      <c r="D3270" s="60" t="s">
        <v>9874</v>
      </c>
    </row>
    <row r="3271" spans="2:4" x14ac:dyDescent="0.35">
      <c r="B3271" s="60" t="s">
        <v>9875</v>
      </c>
      <c r="C3271" s="60" t="s">
        <v>9876</v>
      </c>
      <c r="D3271" s="60" t="s">
        <v>9877</v>
      </c>
    </row>
    <row r="3272" spans="2:4" x14ac:dyDescent="0.35">
      <c r="B3272" s="60" t="s">
        <v>9878</v>
      </c>
      <c r="C3272" s="60" t="s">
        <v>9879</v>
      </c>
      <c r="D3272" s="60" t="s">
        <v>9880</v>
      </c>
    </row>
    <row r="3273" spans="2:4" x14ac:dyDescent="0.35">
      <c r="B3273" s="60" t="s">
        <v>9878</v>
      </c>
      <c r="C3273" s="60" t="s">
        <v>9881</v>
      </c>
      <c r="D3273" s="60" t="s">
        <v>9882</v>
      </c>
    </row>
    <row r="3274" spans="2:4" x14ac:dyDescent="0.35">
      <c r="B3274" s="60" t="s">
        <v>9883</v>
      </c>
      <c r="C3274" s="60" t="s">
        <v>9884</v>
      </c>
      <c r="D3274" s="60" t="s">
        <v>9885</v>
      </c>
    </row>
    <row r="3275" spans="2:4" x14ac:dyDescent="0.35">
      <c r="B3275" s="60" t="s">
        <v>9886</v>
      </c>
      <c r="C3275" s="60" t="s">
        <v>9887</v>
      </c>
      <c r="D3275" s="60" t="s">
        <v>9888</v>
      </c>
    </row>
    <row r="3276" spans="2:4" x14ac:dyDescent="0.35">
      <c r="B3276" s="60" t="s">
        <v>9889</v>
      </c>
      <c r="C3276" s="60" t="s">
        <v>9890</v>
      </c>
      <c r="D3276" s="60" t="s">
        <v>9891</v>
      </c>
    </row>
    <row r="3277" spans="2:4" x14ac:dyDescent="0.35">
      <c r="B3277" s="60" t="s">
        <v>9892</v>
      </c>
      <c r="C3277" s="60" t="s">
        <v>9893</v>
      </c>
      <c r="D3277" s="60" t="s">
        <v>9894</v>
      </c>
    </row>
    <row r="3278" spans="2:4" x14ac:dyDescent="0.35">
      <c r="B3278" s="60" t="s">
        <v>9895</v>
      </c>
      <c r="C3278" s="60" t="s">
        <v>9896</v>
      </c>
      <c r="D3278" s="60" t="s">
        <v>9897</v>
      </c>
    </row>
    <row r="3279" spans="2:4" x14ac:dyDescent="0.35">
      <c r="B3279" s="60" t="s">
        <v>9898</v>
      </c>
      <c r="C3279" s="60" t="s">
        <v>9899</v>
      </c>
      <c r="D3279" s="60" t="s">
        <v>9900</v>
      </c>
    </row>
    <row r="3280" spans="2:4" x14ac:dyDescent="0.35">
      <c r="B3280" s="60" t="s">
        <v>9901</v>
      </c>
      <c r="C3280" s="60" t="s">
        <v>9902</v>
      </c>
      <c r="D3280" s="60" t="s">
        <v>9903</v>
      </c>
    </row>
    <row r="3281" spans="2:4" x14ac:dyDescent="0.35">
      <c r="B3281" s="60" t="s">
        <v>9904</v>
      </c>
      <c r="C3281" s="60" t="s">
        <v>9905</v>
      </c>
      <c r="D3281" s="60" t="s">
        <v>9906</v>
      </c>
    </row>
    <row r="3282" spans="2:4" x14ac:dyDescent="0.35">
      <c r="B3282" s="60" t="s">
        <v>9907</v>
      </c>
      <c r="C3282" s="60" t="s">
        <v>9908</v>
      </c>
      <c r="D3282" s="60" t="s">
        <v>9909</v>
      </c>
    </row>
    <row r="3283" spans="2:4" x14ac:dyDescent="0.35">
      <c r="B3283" s="60" t="s">
        <v>9910</v>
      </c>
      <c r="C3283" s="60" t="s">
        <v>9911</v>
      </c>
      <c r="D3283" s="60" t="s">
        <v>9912</v>
      </c>
    </row>
    <row r="3284" spans="2:4" x14ac:dyDescent="0.35">
      <c r="B3284" s="60" t="s">
        <v>9913</v>
      </c>
      <c r="C3284" s="60" t="s">
        <v>9914</v>
      </c>
      <c r="D3284" s="60" t="s">
        <v>9915</v>
      </c>
    </row>
    <row r="3285" spans="2:4" x14ac:dyDescent="0.35">
      <c r="B3285" s="60" t="s">
        <v>9916</v>
      </c>
      <c r="C3285" s="60" t="s">
        <v>9917</v>
      </c>
      <c r="D3285" s="60" t="s">
        <v>9918</v>
      </c>
    </row>
    <row r="3286" spans="2:4" x14ac:dyDescent="0.35">
      <c r="B3286" s="60" t="s">
        <v>9919</v>
      </c>
      <c r="C3286" s="60" t="s">
        <v>9920</v>
      </c>
      <c r="D3286" s="60" t="s">
        <v>9921</v>
      </c>
    </row>
    <row r="3287" spans="2:4" x14ac:dyDescent="0.35">
      <c r="B3287" s="60" t="s">
        <v>9922</v>
      </c>
      <c r="C3287" s="60" t="s">
        <v>9923</v>
      </c>
      <c r="D3287" s="60" t="s">
        <v>9924</v>
      </c>
    </row>
    <row r="3288" spans="2:4" x14ac:dyDescent="0.35">
      <c r="B3288" s="60" t="s">
        <v>9925</v>
      </c>
      <c r="C3288" s="60" t="s">
        <v>9926</v>
      </c>
      <c r="D3288" s="60" t="s">
        <v>9927</v>
      </c>
    </row>
    <row r="3289" spans="2:4" x14ac:dyDescent="0.35">
      <c r="B3289" s="60" t="s">
        <v>9928</v>
      </c>
      <c r="C3289" s="60" t="s">
        <v>9929</v>
      </c>
      <c r="D3289" s="60" t="s">
        <v>9930</v>
      </c>
    </row>
    <row r="3290" spans="2:4" x14ac:dyDescent="0.35">
      <c r="B3290" s="60" t="s">
        <v>9931</v>
      </c>
      <c r="C3290" s="60" t="s">
        <v>9932</v>
      </c>
      <c r="D3290" s="60" t="s">
        <v>9933</v>
      </c>
    </row>
    <row r="3291" spans="2:4" x14ac:dyDescent="0.35">
      <c r="B3291" s="60" t="s">
        <v>9934</v>
      </c>
      <c r="C3291" s="60" t="s">
        <v>9935</v>
      </c>
      <c r="D3291" s="60" t="s">
        <v>9936</v>
      </c>
    </row>
    <row r="3292" spans="2:4" x14ac:dyDescent="0.35">
      <c r="B3292" s="60" t="s">
        <v>9937</v>
      </c>
      <c r="C3292" s="60" t="s">
        <v>9938</v>
      </c>
      <c r="D3292" s="60" t="s">
        <v>9939</v>
      </c>
    </row>
    <row r="3293" spans="2:4" x14ac:dyDescent="0.35">
      <c r="B3293" s="60" t="s">
        <v>9940</v>
      </c>
      <c r="C3293" s="60" t="s">
        <v>9941</v>
      </c>
      <c r="D3293" s="60" t="s">
        <v>9942</v>
      </c>
    </row>
    <row r="3294" spans="2:4" x14ac:dyDescent="0.35">
      <c r="B3294" s="60" t="s">
        <v>9943</v>
      </c>
      <c r="C3294" s="60" t="s">
        <v>9944</v>
      </c>
      <c r="D3294" s="60" t="s">
        <v>9945</v>
      </c>
    </row>
    <row r="3295" spans="2:4" x14ac:dyDescent="0.35">
      <c r="B3295" s="60" t="s">
        <v>9946</v>
      </c>
      <c r="C3295" s="60" t="s">
        <v>9947</v>
      </c>
      <c r="D3295" s="60" t="s">
        <v>9948</v>
      </c>
    </row>
    <row r="3296" spans="2:4" x14ac:dyDescent="0.35">
      <c r="B3296" s="60" t="s">
        <v>9949</v>
      </c>
      <c r="C3296" s="60" t="s">
        <v>9950</v>
      </c>
      <c r="D3296" s="60" t="s">
        <v>9951</v>
      </c>
    </row>
    <row r="3297" spans="2:4" x14ac:dyDescent="0.35">
      <c r="B3297" s="60" t="s">
        <v>9952</v>
      </c>
      <c r="C3297" s="60" t="s">
        <v>779</v>
      </c>
      <c r="D3297" s="60" t="s">
        <v>780</v>
      </c>
    </row>
    <row r="3298" spans="2:4" x14ac:dyDescent="0.35">
      <c r="B3298" s="60" t="s">
        <v>9953</v>
      </c>
      <c r="C3298" s="60" t="s">
        <v>9954</v>
      </c>
      <c r="D3298" s="60" t="s">
        <v>9955</v>
      </c>
    </row>
    <row r="3299" spans="2:4" x14ac:dyDescent="0.35">
      <c r="B3299" s="60" t="s">
        <v>9956</v>
      </c>
      <c r="C3299" s="60" t="s">
        <v>9957</v>
      </c>
      <c r="D3299" s="60" t="s">
        <v>9958</v>
      </c>
    </row>
    <row r="3300" spans="2:4" x14ac:dyDescent="0.35">
      <c r="B3300" s="60" t="s">
        <v>9959</v>
      </c>
      <c r="C3300" s="60" t="s">
        <v>9960</v>
      </c>
      <c r="D3300" s="60" t="s">
        <v>9961</v>
      </c>
    </row>
    <row r="3301" spans="2:4" x14ac:dyDescent="0.35">
      <c r="B3301" s="60" t="s">
        <v>9962</v>
      </c>
      <c r="C3301" s="60" t="s">
        <v>9963</v>
      </c>
      <c r="D3301" s="60" t="s">
        <v>9964</v>
      </c>
    </row>
    <row r="3302" spans="2:4" x14ac:dyDescent="0.35">
      <c r="B3302" s="60" t="s">
        <v>9965</v>
      </c>
      <c r="C3302" s="60" t="s">
        <v>9966</v>
      </c>
      <c r="D3302" s="60" t="s">
        <v>9967</v>
      </c>
    </row>
    <row r="3303" spans="2:4" x14ac:dyDescent="0.35">
      <c r="B3303" s="60" t="s">
        <v>9968</v>
      </c>
      <c r="C3303" s="60" t="s">
        <v>9969</v>
      </c>
      <c r="D3303" s="60" t="s">
        <v>9970</v>
      </c>
    </row>
    <row r="3304" spans="2:4" x14ac:dyDescent="0.35">
      <c r="B3304" s="60" t="s">
        <v>9971</v>
      </c>
      <c r="C3304" s="60" t="s">
        <v>9972</v>
      </c>
      <c r="D3304" s="60" t="s">
        <v>9973</v>
      </c>
    </row>
    <row r="3305" spans="2:4" x14ac:dyDescent="0.35">
      <c r="B3305" s="60" t="s">
        <v>9974</v>
      </c>
      <c r="C3305" s="60" t="s">
        <v>9975</v>
      </c>
      <c r="D3305" s="60" t="s">
        <v>9976</v>
      </c>
    </row>
    <row r="3306" spans="2:4" x14ac:dyDescent="0.35">
      <c r="B3306" s="60" t="s">
        <v>9977</v>
      </c>
      <c r="C3306" s="60" t="s">
        <v>9978</v>
      </c>
      <c r="D3306" s="60" t="s">
        <v>9979</v>
      </c>
    </row>
    <row r="3307" spans="2:4" x14ac:dyDescent="0.35">
      <c r="B3307" s="60" t="s">
        <v>9980</v>
      </c>
      <c r="C3307" s="60" t="s">
        <v>9981</v>
      </c>
      <c r="D3307" s="60" t="s">
        <v>9982</v>
      </c>
    </row>
    <row r="3308" spans="2:4" x14ac:dyDescent="0.35">
      <c r="B3308" s="60" t="s">
        <v>9983</v>
      </c>
      <c r="C3308" s="60" t="s">
        <v>9984</v>
      </c>
      <c r="D3308" s="60" t="s">
        <v>9985</v>
      </c>
    </row>
    <row r="3309" spans="2:4" x14ac:dyDescent="0.35">
      <c r="B3309" s="60" t="s">
        <v>9986</v>
      </c>
      <c r="C3309" s="60" t="s">
        <v>9987</v>
      </c>
      <c r="D3309" s="60" t="s">
        <v>9988</v>
      </c>
    </row>
    <row r="3310" spans="2:4" x14ac:dyDescent="0.35">
      <c r="B3310" s="60" t="s">
        <v>9989</v>
      </c>
      <c r="C3310" s="60" t="s">
        <v>9990</v>
      </c>
      <c r="D3310" s="60" t="s">
        <v>9991</v>
      </c>
    </row>
    <row r="3311" spans="2:4" x14ac:dyDescent="0.35">
      <c r="B3311" s="60" t="s">
        <v>9992</v>
      </c>
      <c r="C3311" s="60" t="s">
        <v>9993</v>
      </c>
      <c r="D3311" s="60" t="s">
        <v>9994</v>
      </c>
    </row>
    <row r="3312" spans="2:4" x14ac:dyDescent="0.35">
      <c r="B3312" s="60" t="s">
        <v>9995</v>
      </c>
      <c r="C3312" s="60" t="s">
        <v>9996</v>
      </c>
      <c r="D3312" s="60" t="s">
        <v>9997</v>
      </c>
    </row>
    <row r="3313" spans="2:4" x14ac:dyDescent="0.35">
      <c r="B3313" s="60" t="s">
        <v>9998</v>
      </c>
      <c r="C3313" s="60" t="s">
        <v>9999</v>
      </c>
      <c r="D3313" s="60" t="s">
        <v>10000</v>
      </c>
    </row>
    <row r="3314" spans="2:4" x14ac:dyDescent="0.35">
      <c r="B3314" s="60" t="s">
        <v>10001</v>
      </c>
      <c r="C3314" s="60" t="s">
        <v>10002</v>
      </c>
      <c r="D3314" s="60" t="s">
        <v>10003</v>
      </c>
    </row>
    <row r="3315" spans="2:4" x14ac:dyDescent="0.35">
      <c r="B3315" s="60" t="s">
        <v>10004</v>
      </c>
      <c r="C3315" s="60" t="s">
        <v>10005</v>
      </c>
      <c r="D3315" s="60" t="s">
        <v>10006</v>
      </c>
    </row>
    <row r="3316" spans="2:4" x14ac:dyDescent="0.35">
      <c r="B3316" s="60" t="s">
        <v>10007</v>
      </c>
      <c r="C3316" s="60" t="s">
        <v>10008</v>
      </c>
      <c r="D3316" s="60" t="s">
        <v>10009</v>
      </c>
    </row>
    <row r="3317" spans="2:4" x14ac:dyDescent="0.35">
      <c r="B3317" s="60" t="s">
        <v>10010</v>
      </c>
      <c r="C3317" s="60" t="s">
        <v>10011</v>
      </c>
      <c r="D3317" s="60" t="s">
        <v>10012</v>
      </c>
    </row>
    <row r="3318" spans="2:4" x14ac:dyDescent="0.35">
      <c r="B3318" s="60" t="s">
        <v>10013</v>
      </c>
      <c r="C3318" s="60" t="s">
        <v>10014</v>
      </c>
      <c r="D3318" s="60" t="s">
        <v>10015</v>
      </c>
    </row>
    <row r="3319" spans="2:4" x14ac:dyDescent="0.35">
      <c r="B3319" s="60" t="s">
        <v>10016</v>
      </c>
      <c r="C3319" s="60" t="s">
        <v>10017</v>
      </c>
      <c r="D3319" s="60" t="s">
        <v>10018</v>
      </c>
    </row>
    <row r="3320" spans="2:4" x14ac:dyDescent="0.35">
      <c r="B3320" s="60" t="s">
        <v>10019</v>
      </c>
      <c r="C3320" s="60" t="s">
        <v>10020</v>
      </c>
      <c r="D3320" s="60" t="s">
        <v>10021</v>
      </c>
    </row>
    <row r="3321" spans="2:4" x14ac:dyDescent="0.35">
      <c r="B3321" s="60" t="s">
        <v>10022</v>
      </c>
      <c r="C3321" s="60" t="s">
        <v>10023</v>
      </c>
      <c r="D3321" s="60" t="s">
        <v>10024</v>
      </c>
    </row>
    <row r="3322" spans="2:4" x14ac:dyDescent="0.35">
      <c r="B3322" s="60" t="s">
        <v>10025</v>
      </c>
      <c r="C3322" s="60" t="s">
        <v>10026</v>
      </c>
      <c r="D3322" s="60" t="s">
        <v>10027</v>
      </c>
    </row>
    <row r="3323" spans="2:4" x14ac:dyDescent="0.35">
      <c r="B3323" s="60" t="s">
        <v>10028</v>
      </c>
      <c r="C3323" s="60" t="s">
        <v>10029</v>
      </c>
      <c r="D3323" s="60" t="s">
        <v>10030</v>
      </c>
    </row>
    <row r="3324" spans="2:4" x14ac:dyDescent="0.35">
      <c r="B3324" s="60" t="s">
        <v>10031</v>
      </c>
      <c r="C3324" s="60" t="s">
        <v>10032</v>
      </c>
      <c r="D3324" s="60" t="s">
        <v>10033</v>
      </c>
    </row>
    <row r="3325" spans="2:4" x14ac:dyDescent="0.35">
      <c r="B3325" s="60" t="s">
        <v>10034</v>
      </c>
      <c r="C3325" s="60" t="s">
        <v>10035</v>
      </c>
      <c r="D3325" s="60" t="s">
        <v>10036</v>
      </c>
    </row>
    <row r="3326" spans="2:4" x14ac:dyDescent="0.35">
      <c r="B3326" s="60" t="s">
        <v>10037</v>
      </c>
      <c r="C3326" s="60" t="s">
        <v>10038</v>
      </c>
      <c r="D3326" s="60" t="s">
        <v>10039</v>
      </c>
    </row>
    <row r="3327" spans="2:4" x14ac:dyDescent="0.35">
      <c r="B3327" s="60" t="s">
        <v>10040</v>
      </c>
      <c r="C3327" s="60" t="s">
        <v>10041</v>
      </c>
      <c r="D3327" s="60" t="s">
        <v>10042</v>
      </c>
    </row>
    <row r="3328" spans="2:4" x14ac:dyDescent="0.35">
      <c r="B3328" s="60" t="s">
        <v>10043</v>
      </c>
      <c r="C3328" s="60" t="s">
        <v>10044</v>
      </c>
      <c r="D3328" s="60" t="s">
        <v>10045</v>
      </c>
    </row>
    <row r="3329" spans="2:4" x14ac:dyDescent="0.35">
      <c r="B3329" s="60" t="s">
        <v>10046</v>
      </c>
      <c r="C3329" s="60" t="s">
        <v>10047</v>
      </c>
      <c r="D3329" s="60" t="s">
        <v>10048</v>
      </c>
    </row>
    <row r="3330" spans="2:4" x14ac:dyDescent="0.35">
      <c r="B3330" s="60" t="s">
        <v>10049</v>
      </c>
      <c r="C3330" s="60" t="s">
        <v>10050</v>
      </c>
      <c r="D3330" s="60" t="s">
        <v>10051</v>
      </c>
    </row>
    <row r="3331" spans="2:4" x14ac:dyDescent="0.35">
      <c r="B3331" s="60" t="s">
        <v>10052</v>
      </c>
      <c r="C3331" s="60" t="s">
        <v>10053</v>
      </c>
      <c r="D3331" s="60" t="s">
        <v>10054</v>
      </c>
    </row>
    <row r="3332" spans="2:4" x14ac:dyDescent="0.35">
      <c r="B3332" s="60" t="s">
        <v>10055</v>
      </c>
      <c r="C3332" s="60" t="s">
        <v>10056</v>
      </c>
      <c r="D3332" s="60" t="s">
        <v>10057</v>
      </c>
    </row>
    <row r="3333" spans="2:4" x14ac:dyDescent="0.35">
      <c r="B3333" s="60" t="s">
        <v>10058</v>
      </c>
      <c r="C3333" s="60" t="s">
        <v>10059</v>
      </c>
      <c r="D3333" s="60" t="s">
        <v>10060</v>
      </c>
    </row>
    <row r="3334" spans="2:4" x14ac:dyDescent="0.35">
      <c r="B3334" s="60" t="s">
        <v>10061</v>
      </c>
      <c r="C3334" s="60" t="s">
        <v>10062</v>
      </c>
      <c r="D3334" s="60" t="s">
        <v>10063</v>
      </c>
    </row>
    <row r="3335" spans="2:4" x14ac:dyDescent="0.35">
      <c r="B3335" s="60" t="s">
        <v>10064</v>
      </c>
      <c r="C3335" s="60" t="s">
        <v>10065</v>
      </c>
      <c r="D3335" s="60" t="s">
        <v>10066</v>
      </c>
    </row>
    <row r="3336" spans="2:4" x14ac:dyDescent="0.35">
      <c r="B3336" s="60" t="s">
        <v>10067</v>
      </c>
      <c r="C3336" s="60" t="s">
        <v>10068</v>
      </c>
      <c r="D3336" s="60" t="s">
        <v>10069</v>
      </c>
    </row>
    <row r="3337" spans="2:4" x14ac:dyDescent="0.35">
      <c r="B3337" s="60" t="s">
        <v>10070</v>
      </c>
      <c r="C3337" s="60" t="s">
        <v>10071</v>
      </c>
      <c r="D3337" s="60" t="s">
        <v>10072</v>
      </c>
    </row>
    <row r="3338" spans="2:4" x14ac:dyDescent="0.35">
      <c r="B3338" s="60" t="s">
        <v>10073</v>
      </c>
      <c r="C3338" s="60" t="s">
        <v>10074</v>
      </c>
      <c r="D3338" s="60" t="s">
        <v>10075</v>
      </c>
    </row>
    <row r="3339" spans="2:4" x14ac:dyDescent="0.35">
      <c r="B3339" s="60" t="s">
        <v>10076</v>
      </c>
      <c r="C3339" s="60" t="s">
        <v>10077</v>
      </c>
      <c r="D3339" s="60" t="s">
        <v>10078</v>
      </c>
    </row>
    <row r="3340" spans="2:4" x14ac:dyDescent="0.35">
      <c r="B3340" s="60" t="s">
        <v>10079</v>
      </c>
      <c r="C3340" s="60" t="s">
        <v>10080</v>
      </c>
      <c r="D3340" s="60" t="s">
        <v>10081</v>
      </c>
    </row>
    <row r="3341" spans="2:4" x14ac:dyDescent="0.35">
      <c r="B3341" s="60" t="s">
        <v>10082</v>
      </c>
      <c r="C3341" s="60" t="s">
        <v>10083</v>
      </c>
      <c r="D3341" s="60" t="s">
        <v>10084</v>
      </c>
    </row>
    <row r="3342" spans="2:4" x14ac:dyDescent="0.35">
      <c r="B3342" s="60" t="s">
        <v>10085</v>
      </c>
      <c r="C3342" s="60" t="s">
        <v>10086</v>
      </c>
      <c r="D3342" s="60" t="s">
        <v>10087</v>
      </c>
    </row>
    <row r="3343" spans="2:4" x14ac:dyDescent="0.35">
      <c r="B3343" s="60" t="s">
        <v>10088</v>
      </c>
      <c r="C3343" s="60" t="s">
        <v>10089</v>
      </c>
      <c r="D3343" s="60" t="s">
        <v>10090</v>
      </c>
    </row>
    <row r="3344" spans="2:4" x14ac:dyDescent="0.35">
      <c r="B3344" s="60" t="s">
        <v>10091</v>
      </c>
      <c r="C3344" s="60" t="s">
        <v>10092</v>
      </c>
      <c r="D3344" s="60" t="s">
        <v>10093</v>
      </c>
    </row>
    <row r="3345" spans="2:4" x14ac:dyDescent="0.35">
      <c r="B3345" s="60" t="s">
        <v>10094</v>
      </c>
      <c r="C3345" s="60" t="s">
        <v>10095</v>
      </c>
      <c r="D3345" s="60" t="s">
        <v>10096</v>
      </c>
    </row>
    <row r="3346" spans="2:4" x14ac:dyDescent="0.35">
      <c r="B3346" s="60" t="s">
        <v>10097</v>
      </c>
      <c r="C3346" s="60" t="s">
        <v>10098</v>
      </c>
      <c r="D3346" s="60" t="s">
        <v>10099</v>
      </c>
    </row>
    <row r="3347" spans="2:4" x14ac:dyDescent="0.35">
      <c r="B3347" s="60" t="s">
        <v>10100</v>
      </c>
      <c r="C3347" s="60" t="s">
        <v>10101</v>
      </c>
      <c r="D3347" s="60" t="s">
        <v>10102</v>
      </c>
    </row>
    <row r="3348" spans="2:4" x14ac:dyDescent="0.35">
      <c r="B3348" s="60" t="s">
        <v>10103</v>
      </c>
      <c r="C3348" s="60" t="s">
        <v>10104</v>
      </c>
      <c r="D3348" s="60" t="s">
        <v>10105</v>
      </c>
    </row>
    <row r="3349" spans="2:4" x14ac:dyDescent="0.35">
      <c r="B3349" s="60" t="s">
        <v>10106</v>
      </c>
      <c r="C3349" s="60" t="s">
        <v>10107</v>
      </c>
      <c r="D3349" s="60" t="s">
        <v>10108</v>
      </c>
    </row>
    <row r="3350" spans="2:4" x14ac:dyDescent="0.35">
      <c r="B3350" s="60" t="s">
        <v>10109</v>
      </c>
      <c r="C3350" s="60" t="s">
        <v>10110</v>
      </c>
      <c r="D3350" s="60" t="s">
        <v>10111</v>
      </c>
    </row>
    <row r="3351" spans="2:4" x14ac:dyDescent="0.35">
      <c r="B3351" s="60" t="s">
        <v>10112</v>
      </c>
      <c r="C3351" s="60" t="s">
        <v>10113</v>
      </c>
      <c r="D3351" s="60" t="s">
        <v>10114</v>
      </c>
    </row>
    <row r="3352" spans="2:4" x14ac:dyDescent="0.35">
      <c r="B3352" s="60" t="s">
        <v>10115</v>
      </c>
      <c r="C3352" s="60" t="s">
        <v>10116</v>
      </c>
      <c r="D3352" s="60" t="s">
        <v>10117</v>
      </c>
    </row>
    <row r="3353" spans="2:4" x14ac:dyDescent="0.35">
      <c r="B3353" s="60" t="s">
        <v>10118</v>
      </c>
      <c r="C3353" s="60" t="s">
        <v>10119</v>
      </c>
      <c r="D3353" s="60" t="s">
        <v>10120</v>
      </c>
    </row>
    <row r="3354" spans="2:4" x14ac:dyDescent="0.35">
      <c r="B3354" s="60" t="s">
        <v>10121</v>
      </c>
      <c r="C3354" s="60" t="s">
        <v>10122</v>
      </c>
      <c r="D3354" s="60" t="s">
        <v>10123</v>
      </c>
    </row>
    <row r="3355" spans="2:4" x14ac:dyDescent="0.35">
      <c r="B3355" s="60" t="s">
        <v>10124</v>
      </c>
      <c r="C3355" s="60" t="s">
        <v>10125</v>
      </c>
      <c r="D3355" s="60" t="s">
        <v>10126</v>
      </c>
    </row>
    <row r="3356" spans="2:4" x14ac:dyDescent="0.35">
      <c r="B3356" s="60" t="s">
        <v>10127</v>
      </c>
      <c r="C3356" s="60" t="s">
        <v>10128</v>
      </c>
      <c r="D3356" s="60" t="s">
        <v>10129</v>
      </c>
    </row>
    <row r="3357" spans="2:4" x14ac:dyDescent="0.35">
      <c r="B3357" s="60" t="s">
        <v>10130</v>
      </c>
      <c r="C3357" s="60" t="s">
        <v>10131</v>
      </c>
      <c r="D3357" s="60" t="s">
        <v>10132</v>
      </c>
    </row>
    <row r="3358" spans="2:4" x14ac:dyDescent="0.35">
      <c r="B3358" s="60" t="s">
        <v>10133</v>
      </c>
      <c r="C3358" s="60" t="s">
        <v>10134</v>
      </c>
      <c r="D3358" s="60" t="s">
        <v>10135</v>
      </c>
    </row>
    <row r="3359" spans="2:4" x14ac:dyDescent="0.35">
      <c r="B3359" s="60" t="s">
        <v>10136</v>
      </c>
      <c r="C3359" s="60" t="s">
        <v>10137</v>
      </c>
      <c r="D3359" s="60" t="s">
        <v>10138</v>
      </c>
    </row>
    <row r="3360" spans="2:4" x14ac:dyDescent="0.35">
      <c r="B3360" s="60" t="s">
        <v>10139</v>
      </c>
      <c r="C3360" s="60" t="s">
        <v>10140</v>
      </c>
      <c r="D3360" s="60" t="s">
        <v>10141</v>
      </c>
    </row>
    <row r="3361" spans="2:4" x14ac:dyDescent="0.35">
      <c r="B3361" s="60" t="s">
        <v>10142</v>
      </c>
      <c r="C3361" s="60" t="s">
        <v>10143</v>
      </c>
      <c r="D3361" s="60" t="s">
        <v>10144</v>
      </c>
    </row>
    <row r="3362" spans="2:4" x14ac:dyDescent="0.35">
      <c r="B3362" s="60" t="s">
        <v>10145</v>
      </c>
      <c r="C3362" s="60" t="s">
        <v>10146</v>
      </c>
      <c r="D3362" s="60" t="s">
        <v>10147</v>
      </c>
    </row>
    <row r="3363" spans="2:4" x14ac:dyDescent="0.35">
      <c r="B3363" s="60" t="s">
        <v>10148</v>
      </c>
      <c r="C3363" s="60" t="s">
        <v>10149</v>
      </c>
      <c r="D3363" s="60" t="s">
        <v>10150</v>
      </c>
    </row>
    <row r="3364" spans="2:4" x14ac:dyDescent="0.35">
      <c r="B3364" s="60" t="s">
        <v>10151</v>
      </c>
      <c r="C3364" s="60" t="s">
        <v>10152</v>
      </c>
      <c r="D3364" s="60" t="s">
        <v>10153</v>
      </c>
    </row>
    <row r="3365" spans="2:4" x14ac:dyDescent="0.35">
      <c r="B3365" s="60" t="s">
        <v>10154</v>
      </c>
      <c r="C3365" s="60" t="s">
        <v>10155</v>
      </c>
      <c r="D3365" s="60" t="s">
        <v>10156</v>
      </c>
    </row>
    <row r="3366" spans="2:4" x14ac:dyDescent="0.35">
      <c r="B3366" s="60" t="s">
        <v>10157</v>
      </c>
      <c r="C3366" s="60" t="s">
        <v>10158</v>
      </c>
      <c r="D3366" s="60" t="s">
        <v>10159</v>
      </c>
    </row>
    <row r="3367" spans="2:4" x14ac:dyDescent="0.35">
      <c r="B3367" s="60" t="s">
        <v>10160</v>
      </c>
      <c r="C3367" s="60" t="s">
        <v>10161</v>
      </c>
      <c r="D3367" s="60" t="s">
        <v>10162</v>
      </c>
    </row>
    <row r="3368" spans="2:4" x14ac:dyDescent="0.35">
      <c r="B3368" s="60" t="s">
        <v>10163</v>
      </c>
      <c r="C3368" s="60" t="s">
        <v>10164</v>
      </c>
      <c r="D3368" s="60" t="s">
        <v>10165</v>
      </c>
    </row>
    <row r="3369" spans="2:4" x14ac:dyDescent="0.35">
      <c r="B3369" s="60" t="s">
        <v>10166</v>
      </c>
      <c r="C3369" s="60" t="s">
        <v>10167</v>
      </c>
      <c r="D3369" s="60" t="s">
        <v>10168</v>
      </c>
    </row>
    <row r="3370" spans="2:4" x14ac:dyDescent="0.35">
      <c r="B3370" s="60" t="s">
        <v>10169</v>
      </c>
      <c r="C3370" s="60" t="s">
        <v>10170</v>
      </c>
      <c r="D3370" s="60" t="s">
        <v>10171</v>
      </c>
    </row>
    <row r="3371" spans="2:4" x14ac:dyDescent="0.35">
      <c r="B3371" s="60" t="s">
        <v>10172</v>
      </c>
      <c r="C3371" s="60" t="s">
        <v>10173</v>
      </c>
      <c r="D3371" s="60" t="s">
        <v>10174</v>
      </c>
    </row>
    <row r="3372" spans="2:4" x14ac:dyDescent="0.35">
      <c r="B3372" s="60" t="s">
        <v>10175</v>
      </c>
      <c r="C3372" s="60" t="s">
        <v>10176</v>
      </c>
      <c r="D3372" s="60" t="s">
        <v>10177</v>
      </c>
    </row>
    <row r="3373" spans="2:4" x14ac:dyDescent="0.35">
      <c r="B3373" s="60" t="s">
        <v>10178</v>
      </c>
      <c r="C3373" s="60" t="s">
        <v>10179</v>
      </c>
      <c r="D3373" s="60" t="s">
        <v>10180</v>
      </c>
    </row>
    <row r="3374" spans="2:4" x14ac:dyDescent="0.35">
      <c r="B3374" s="60" t="s">
        <v>10181</v>
      </c>
      <c r="C3374" s="60" t="s">
        <v>10182</v>
      </c>
      <c r="D3374" s="60" t="s">
        <v>10183</v>
      </c>
    </row>
    <row r="3375" spans="2:4" x14ac:dyDescent="0.35">
      <c r="B3375" s="60" t="s">
        <v>10184</v>
      </c>
      <c r="C3375" s="60" t="s">
        <v>10185</v>
      </c>
      <c r="D3375" s="60" t="s">
        <v>10186</v>
      </c>
    </row>
    <row r="3376" spans="2:4" x14ac:dyDescent="0.35">
      <c r="B3376" s="60" t="s">
        <v>10187</v>
      </c>
      <c r="C3376" s="60" t="s">
        <v>10188</v>
      </c>
      <c r="D3376" s="60" t="s">
        <v>10189</v>
      </c>
    </row>
    <row r="3377" spans="2:4" x14ac:dyDescent="0.35">
      <c r="B3377" s="60" t="s">
        <v>10190</v>
      </c>
      <c r="C3377" s="60" t="s">
        <v>10191</v>
      </c>
      <c r="D3377" s="60" t="s">
        <v>10192</v>
      </c>
    </row>
    <row r="3378" spans="2:4" x14ac:dyDescent="0.35">
      <c r="B3378" s="60" t="s">
        <v>10193</v>
      </c>
      <c r="C3378" s="60" t="s">
        <v>10194</v>
      </c>
      <c r="D3378" s="60" t="s">
        <v>10195</v>
      </c>
    </row>
    <row r="3379" spans="2:4" x14ac:dyDescent="0.35">
      <c r="B3379" s="60" t="s">
        <v>10196</v>
      </c>
      <c r="C3379" s="60" t="s">
        <v>10197</v>
      </c>
      <c r="D3379" s="60" t="s">
        <v>10198</v>
      </c>
    </row>
    <row r="3380" spans="2:4" x14ac:dyDescent="0.35">
      <c r="B3380" s="60" t="s">
        <v>10199</v>
      </c>
      <c r="C3380" s="60" t="s">
        <v>10200</v>
      </c>
      <c r="D3380" s="60" t="s">
        <v>10201</v>
      </c>
    </row>
    <row r="3381" spans="2:4" x14ac:dyDescent="0.35">
      <c r="B3381" s="60" t="s">
        <v>10202</v>
      </c>
      <c r="C3381" s="60" t="s">
        <v>10203</v>
      </c>
      <c r="D3381" s="60" t="s">
        <v>8824</v>
      </c>
    </row>
    <row r="3382" spans="2:4" x14ac:dyDescent="0.35">
      <c r="B3382" s="60" t="s">
        <v>10204</v>
      </c>
      <c r="C3382" s="60" t="s">
        <v>10205</v>
      </c>
      <c r="D3382" s="60" t="s">
        <v>10206</v>
      </c>
    </row>
    <row r="3383" spans="2:4" x14ac:dyDescent="0.35">
      <c r="B3383" s="60" t="s">
        <v>10207</v>
      </c>
      <c r="C3383" s="60" t="s">
        <v>10208</v>
      </c>
      <c r="D3383" s="60" t="s">
        <v>10209</v>
      </c>
    </row>
    <row r="3384" spans="2:4" x14ac:dyDescent="0.35">
      <c r="B3384" s="60" t="s">
        <v>10210</v>
      </c>
      <c r="C3384" s="60" t="s">
        <v>10211</v>
      </c>
      <c r="D3384" s="60" t="s">
        <v>10212</v>
      </c>
    </row>
    <row r="3385" spans="2:4" x14ac:dyDescent="0.35">
      <c r="B3385" s="60" t="s">
        <v>10213</v>
      </c>
      <c r="C3385" s="60" t="s">
        <v>10214</v>
      </c>
      <c r="D3385" s="60" t="s">
        <v>10215</v>
      </c>
    </row>
    <row r="3386" spans="2:4" x14ac:dyDescent="0.35">
      <c r="B3386" s="60" t="s">
        <v>10216</v>
      </c>
      <c r="C3386" s="60" t="s">
        <v>10217</v>
      </c>
      <c r="D3386" s="60" t="s">
        <v>10218</v>
      </c>
    </row>
    <row r="3387" spans="2:4" x14ac:dyDescent="0.35">
      <c r="B3387" s="60" t="s">
        <v>10219</v>
      </c>
      <c r="C3387" s="60" t="s">
        <v>10220</v>
      </c>
      <c r="D3387" s="60" t="s">
        <v>10221</v>
      </c>
    </row>
    <row r="3388" spans="2:4" x14ac:dyDescent="0.35">
      <c r="B3388" s="60" t="s">
        <v>10222</v>
      </c>
      <c r="C3388" s="60" t="s">
        <v>10223</v>
      </c>
      <c r="D3388" s="60" t="s">
        <v>10224</v>
      </c>
    </row>
    <row r="3389" spans="2:4" x14ac:dyDescent="0.35">
      <c r="B3389" s="60" t="s">
        <v>10225</v>
      </c>
      <c r="C3389" s="60" t="s">
        <v>10226</v>
      </c>
      <c r="D3389" s="60" t="s">
        <v>10227</v>
      </c>
    </row>
    <row r="3390" spans="2:4" x14ac:dyDescent="0.35">
      <c r="B3390" s="60" t="s">
        <v>10228</v>
      </c>
      <c r="C3390" s="60" t="s">
        <v>10229</v>
      </c>
      <c r="D3390" s="60" t="s">
        <v>10230</v>
      </c>
    </row>
    <row r="3391" spans="2:4" x14ac:dyDescent="0.35">
      <c r="B3391" s="60" t="s">
        <v>10231</v>
      </c>
      <c r="C3391" s="60" t="s">
        <v>10232</v>
      </c>
      <c r="D3391" s="60" t="s">
        <v>10233</v>
      </c>
    </row>
    <row r="3392" spans="2:4" x14ac:dyDescent="0.35">
      <c r="B3392" s="60" t="s">
        <v>10234</v>
      </c>
      <c r="C3392" s="60" t="s">
        <v>10235</v>
      </c>
      <c r="D3392" s="60" t="s">
        <v>10236</v>
      </c>
    </row>
    <row r="3393" spans="2:4" x14ac:dyDescent="0.35">
      <c r="B3393" s="60" t="s">
        <v>10237</v>
      </c>
      <c r="C3393" s="60" t="s">
        <v>10238</v>
      </c>
      <c r="D3393" s="60" t="s">
        <v>10239</v>
      </c>
    </row>
    <row r="3394" spans="2:4" x14ac:dyDescent="0.35">
      <c r="B3394" s="60" t="s">
        <v>10240</v>
      </c>
      <c r="C3394" s="60" t="s">
        <v>10241</v>
      </c>
      <c r="D3394" s="60" t="s">
        <v>10242</v>
      </c>
    </row>
    <row r="3395" spans="2:4" x14ac:dyDescent="0.35">
      <c r="B3395" s="60" t="s">
        <v>10243</v>
      </c>
      <c r="C3395" s="60" t="s">
        <v>10244</v>
      </c>
      <c r="D3395" s="60" t="s">
        <v>10245</v>
      </c>
    </row>
    <row r="3396" spans="2:4" x14ac:dyDescent="0.35">
      <c r="B3396" s="60" t="s">
        <v>10246</v>
      </c>
      <c r="C3396" s="60" t="s">
        <v>10247</v>
      </c>
      <c r="D3396" s="60" t="s">
        <v>10248</v>
      </c>
    </row>
    <row r="3397" spans="2:4" x14ac:dyDescent="0.35">
      <c r="B3397" s="60" t="s">
        <v>10249</v>
      </c>
      <c r="C3397" s="60" t="s">
        <v>10250</v>
      </c>
      <c r="D3397" s="60" t="s">
        <v>10251</v>
      </c>
    </row>
    <row r="3398" spans="2:4" x14ac:dyDescent="0.35">
      <c r="B3398" s="60" t="s">
        <v>10252</v>
      </c>
      <c r="C3398" s="60" t="s">
        <v>10253</v>
      </c>
      <c r="D3398" s="60" t="s">
        <v>10254</v>
      </c>
    </row>
    <row r="3399" spans="2:4" x14ac:dyDescent="0.35">
      <c r="B3399" s="60" t="s">
        <v>10255</v>
      </c>
      <c r="C3399" s="60" t="s">
        <v>10256</v>
      </c>
      <c r="D3399" s="60" t="s">
        <v>10257</v>
      </c>
    </row>
    <row r="3400" spans="2:4" x14ac:dyDescent="0.35">
      <c r="B3400" s="60" t="s">
        <v>10258</v>
      </c>
      <c r="C3400" s="60" t="s">
        <v>10259</v>
      </c>
      <c r="D3400" s="60" t="s">
        <v>10260</v>
      </c>
    </row>
    <row r="3401" spans="2:4" x14ac:dyDescent="0.35">
      <c r="B3401" s="60" t="s">
        <v>10261</v>
      </c>
      <c r="C3401" s="60" t="s">
        <v>10262</v>
      </c>
      <c r="D3401" s="60" t="s">
        <v>10263</v>
      </c>
    </row>
    <row r="3402" spans="2:4" x14ac:dyDescent="0.35">
      <c r="B3402" s="60" t="s">
        <v>10264</v>
      </c>
      <c r="C3402" s="60" t="s">
        <v>10265</v>
      </c>
      <c r="D3402" s="60" t="s">
        <v>10266</v>
      </c>
    </row>
    <row r="3403" spans="2:4" x14ac:dyDescent="0.35">
      <c r="B3403" s="60" t="s">
        <v>10267</v>
      </c>
      <c r="C3403" s="60" t="s">
        <v>10268</v>
      </c>
      <c r="D3403" s="60" t="s">
        <v>10269</v>
      </c>
    </row>
    <row r="3404" spans="2:4" x14ac:dyDescent="0.35">
      <c r="B3404" s="60" t="s">
        <v>10270</v>
      </c>
      <c r="C3404" s="60" t="s">
        <v>10271</v>
      </c>
      <c r="D3404" s="60" t="s">
        <v>10272</v>
      </c>
    </row>
    <row r="3405" spans="2:4" x14ac:dyDescent="0.35">
      <c r="B3405" s="60" t="s">
        <v>10273</v>
      </c>
      <c r="C3405" s="60" t="s">
        <v>10274</v>
      </c>
      <c r="D3405" s="60" t="s">
        <v>10275</v>
      </c>
    </row>
    <row r="3406" spans="2:4" x14ac:dyDescent="0.35">
      <c r="B3406" s="60" t="s">
        <v>10276</v>
      </c>
      <c r="C3406" s="60" t="s">
        <v>10277</v>
      </c>
      <c r="D3406" s="60" t="s">
        <v>10278</v>
      </c>
    </row>
    <row r="3407" spans="2:4" x14ac:dyDescent="0.35">
      <c r="B3407" s="60" t="s">
        <v>10279</v>
      </c>
      <c r="C3407" s="60" t="s">
        <v>10280</v>
      </c>
      <c r="D3407" s="60" t="s">
        <v>10281</v>
      </c>
    </row>
    <row r="3408" spans="2:4" x14ac:dyDescent="0.35">
      <c r="B3408" s="60" t="s">
        <v>10282</v>
      </c>
      <c r="C3408" s="60" t="s">
        <v>10283</v>
      </c>
      <c r="D3408" s="60" t="s">
        <v>10284</v>
      </c>
    </row>
    <row r="3409" spans="2:4" x14ac:dyDescent="0.35">
      <c r="B3409" s="60" t="s">
        <v>10285</v>
      </c>
      <c r="C3409" s="60" t="s">
        <v>10286</v>
      </c>
      <c r="D3409" s="60" t="s">
        <v>10287</v>
      </c>
    </row>
    <row r="3410" spans="2:4" x14ac:dyDescent="0.35">
      <c r="B3410" s="60" t="s">
        <v>10288</v>
      </c>
      <c r="C3410" s="60" t="s">
        <v>10289</v>
      </c>
      <c r="D3410" s="60" t="s">
        <v>10290</v>
      </c>
    </row>
    <row r="3411" spans="2:4" x14ac:dyDescent="0.35">
      <c r="B3411" s="60" t="s">
        <v>10291</v>
      </c>
      <c r="C3411" s="60" t="s">
        <v>10292</v>
      </c>
      <c r="D3411" s="60" t="s">
        <v>10293</v>
      </c>
    </row>
    <row r="3412" spans="2:4" x14ac:dyDescent="0.35">
      <c r="B3412" s="60" t="s">
        <v>10294</v>
      </c>
      <c r="C3412" s="60" t="s">
        <v>10295</v>
      </c>
      <c r="D3412" s="60" t="s">
        <v>10296</v>
      </c>
    </row>
    <row r="3413" spans="2:4" x14ac:dyDescent="0.35">
      <c r="B3413" s="60" t="s">
        <v>10297</v>
      </c>
      <c r="C3413" s="60" t="s">
        <v>10298</v>
      </c>
      <c r="D3413" s="60" t="s">
        <v>10299</v>
      </c>
    </row>
    <row r="3414" spans="2:4" x14ac:dyDescent="0.35">
      <c r="B3414" s="60" t="s">
        <v>10300</v>
      </c>
      <c r="C3414" s="60" t="s">
        <v>10301</v>
      </c>
      <c r="D3414" s="60" t="s">
        <v>10302</v>
      </c>
    </row>
    <row r="3415" spans="2:4" x14ac:dyDescent="0.35">
      <c r="B3415" s="60" t="s">
        <v>10303</v>
      </c>
      <c r="C3415" s="60" t="s">
        <v>10304</v>
      </c>
      <c r="D3415" s="60" t="s">
        <v>10305</v>
      </c>
    </row>
    <row r="3416" spans="2:4" x14ac:dyDescent="0.35">
      <c r="B3416" s="60" t="s">
        <v>10306</v>
      </c>
      <c r="C3416" s="60" t="s">
        <v>10307</v>
      </c>
      <c r="D3416" s="60" t="s">
        <v>10308</v>
      </c>
    </row>
    <row r="3417" spans="2:4" x14ac:dyDescent="0.35">
      <c r="B3417" s="60" t="s">
        <v>10309</v>
      </c>
      <c r="C3417" s="60" t="s">
        <v>10310</v>
      </c>
      <c r="D3417" s="60" t="s">
        <v>10311</v>
      </c>
    </row>
    <row r="3418" spans="2:4" x14ac:dyDescent="0.35">
      <c r="B3418" s="60" t="s">
        <v>10312</v>
      </c>
      <c r="C3418" s="60" t="s">
        <v>10313</v>
      </c>
      <c r="D3418" s="60" t="s">
        <v>10314</v>
      </c>
    </row>
    <row r="3419" spans="2:4" x14ac:dyDescent="0.35">
      <c r="B3419" s="60" t="s">
        <v>10315</v>
      </c>
      <c r="C3419" s="60" t="s">
        <v>10316</v>
      </c>
      <c r="D3419" s="60" t="s">
        <v>10317</v>
      </c>
    </row>
    <row r="3420" spans="2:4" x14ac:dyDescent="0.35">
      <c r="B3420" s="60" t="s">
        <v>10318</v>
      </c>
      <c r="C3420" s="60" t="s">
        <v>10319</v>
      </c>
      <c r="D3420" s="60" t="s">
        <v>10320</v>
      </c>
    </row>
    <row r="3421" spans="2:4" x14ac:dyDescent="0.35">
      <c r="B3421" s="60" t="s">
        <v>10321</v>
      </c>
      <c r="C3421" s="60" t="s">
        <v>10322</v>
      </c>
      <c r="D3421" s="60" t="s">
        <v>10323</v>
      </c>
    </row>
    <row r="3422" spans="2:4" x14ac:dyDescent="0.35">
      <c r="B3422" s="60" t="s">
        <v>10324</v>
      </c>
      <c r="C3422" s="60" t="s">
        <v>10325</v>
      </c>
      <c r="D3422" s="60" t="s">
        <v>10326</v>
      </c>
    </row>
    <row r="3423" spans="2:4" x14ac:dyDescent="0.35">
      <c r="B3423" s="60" t="s">
        <v>10327</v>
      </c>
      <c r="C3423" s="60" t="s">
        <v>10328</v>
      </c>
      <c r="D3423" s="60" t="s">
        <v>10329</v>
      </c>
    </row>
    <row r="3424" spans="2:4" x14ac:dyDescent="0.35">
      <c r="B3424" s="60" t="s">
        <v>10330</v>
      </c>
      <c r="C3424" s="60" t="s">
        <v>10331</v>
      </c>
      <c r="D3424" s="60" t="s">
        <v>10332</v>
      </c>
    </row>
    <row r="3425" spans="2:4" x14ac:dyDescent="0.35">
      <c r="B3425" s="60" t="s">
        <v>10333</v>
      </c>
      <c r="C3425" s="60" t="s">
        <v>10334</v>
      </c>
      <c r="D3425" s="60" t="s">
        <v>10335</v>
      </c>
    </row>
    <row r="3426" spans="2:4" x14ac:dyDescent="0.35">
      <c r="B3426" s="60" t="s">
        <v>10336</v>
      </c>
      <c r="C3426" s="60" t="s">
        <v>10337</v>
      </c>
      <c r="D3426" s="60" t="s">
        <v>10338</v>
      </c>
    </row>
    <row r="3427" spans="2:4" x14ac:dyDescent="0.35">
      <c r="B3427" s="60" t="s">
        <v>10339</v>
      </c>
      <c r="C3427" s="60" t="s">
        <v>10340</v>
      </c>
      <c r="D3427" s="60" t="s">
        <v>10341</v>
      </c>
    </row>
    <row r="3428" spans="2:4" x14ac:dyDescent="0.35">
      <c r="B3428" s="60" t="s">
        <v>10342</v>
      </c>
      <c r="C3428" s="60" t="s">
        <v>10343</v>
      </c>
      <c r="D3428" s="60" t="s">
        <v>10344</v>
      </c>
    </row>
    <row r="3429" spans="2:4" x14ac:dyDescent="0.35">
      <c r="B3429" s="60" t="s">
        <v>10345</v>
      </c>
      <c r="C3429" s="60" t="s">
        <v>10346</v>
      </c>
      <c r="D3429" s="60" t="s">
        <v>10347</v>
      </c>
    </row>
    <row r="3430" spans="2:4" x14ac:dyDescent="0.35">
      <c r="B3430" s="60" t="s">
        <v>10348</v>
      </c>
      <c r="C3430" s="60" t="s">
        <v>10349</v>
      </c>
      <c r="D3430" s="60" t="s">
        <v>10350</v>
      </c>
    </row>
    <row r="3431" spans="2:4" x14ac:dyDescent="0.35">
      <c r="B3431" s="60" t="s">
        <v>10351</v>
      </c>
      <c r="C3431" s="60" t="s">
        <v>10352</v>
      </c>
      <c r="D3431" s="60" t="s">
        <v>10353</v>
      </c>
    </row>
    <row r="3432" spans="2:4" x14ac:dyDescent="0.35">
      <c r="B3432" s="60" t="s">
        <v>10354</v>
      </c>
      <c r="C3432" s="60" t="s">
        <v>10355</v>
      </c>
      <c r="D3432" s="60" t="s">
        <v>10356</v>
      </c>
    </row>
    <row r="3433" spans="2:4" x14ac:dyDescent="0.35">
      <c r="B3433" s="60" t="s">
        <v>10357</v>
      </c>
      <c r="C3433" s="60" t="s">
        <v>10358</v>
      </c>
      <c r="D3433" s="60" t="s">
        <v>10359</v>
      </c>
    </row>
    <row r="3434" spans="2:4" x14ac:dyDescent="0.35">
      <c r="B3434" s="60" t="s">
        <v>10360</v>
      </c>
      <c r="C3434" s="60" t="s">
        <v>10361</v>
      </c>
      <c r="D3434" s="60" t="s">
        <v>10362</v>
      </c>
    </row>
    <row r="3435" spans="2:4" x14ac:dyDescent="0.35">
      <c r="B3435" s="60" t="s">
        <v>10363</v>
      </c>
      <c r="C3435" s="60" t="s">
        <v>10364</v>
      </c>
      <c r="D3435" s="60" t="s">
        <v>10365</v>
      </c>
    </row>
    <row r="3436" spans="2:4" x14ac:dyDescent="0.35">
      <c r="B3436" s="60" t="s">
        <v>10366</v>
      </c>
      <c r="C3436" s="60" t="s">
        <v>10367</v>
      </c>
      <c r="D3436" s="60" t="s">
        <v>10368</v>
      </c>
    </row>
    <row r="3437" spans="2:4" x14ac:dyDescent="0.35">
      <c r="B3437" s="60" t="s">
        <v>10369</v>
      </c>
      <c r="C3437" s="60" t="s">
        <v>10370</v>
      </c>
      <c r="D3437" s="60" t="s">
        <v>10371</v>
      </c>
    </row>
    <row r="3438" spans="2:4" x14ac:dyDescent="0.35">
      <c r="B3438" s="60" t="s">
        <v>10372</v>
      </c>
      <c r="C3438" s="60" t="s">
        <v>10373</v>
      </c>
      <c r="D3438" s="60" t="s">
        <v>10374</v>
      </c>
    </row>
    <row r="3439" spans="2:4" x14ac:dyDescent="0.35">
      <c r="B3439" s="60" t="s">
        <v>10375</v>
      </c>
      <c r="C3439" s="60" t="s">
        <v>10376</v>
      </c>
      <c r="D3439" s="60" t="s">
        <v>10377</v>
      </c>
    </row>
    <row r="3440" spans="2:4" x14ac:dyDescent="0.35">
      <c r="B3440" s="60" t="s">
        <v>10378</v>
      </c>
      <c r="C3440" s="60" t="s">
        <v>10379</v>
      </c>
      <c r="D3440" s="60" t="s">
        <v>10380</v>
      </c>
    </row>
    <row r="3441" spans="2:4" x14ac:dyDescent="0.35">
      <c r="B3441" s="60" t="s">
        <v>10381</v>
      </c>
      <c r="C3441" s="60" t="s">
        <v>10382</v>
      </c>
      <c r="D3441" s="60" t="s">
        <v>10383</v>
      </c>
    </row>
    <row r="3442" spans="2:4" x14ac:dyDescent="0.35">
      <c r="B3442" s="60" t="s">
        <v>10384</v>
      </c>
      <c r="C3442" s="60" t="s">
        <v>10385</v>
      </c>
      <c r="D3442" s="60" t="s">
        <v>10386</v>
      </c>
    </row>
    <row r="3443" spans="2:4" x14ac:dyDescent="0.35">
      <c r="B3443" s="60" t="s">
        <v>10387</v>
      </c>
      <c r="C3443" s="60" t="s">
        <v>10388</v>
      </c>
      <c r="D3443" s="60" t="s">
        <v>10389</v>
      </c>
    </row>
    <row r="3444" spans="2:4" x14ac:dyDescent="0.35">
      <c r="B3444" s="60" t="s">
        <v>10390</v>
      </c>
      <c r="C3444" s="60" t="s">
        <v>10391</v>
      </c>
      <c r="D3444" s="60" t="s">
        <v>10392</v>
      </c>
    </row>
    <row r="3445" spans="2:4" x14ac:dyDescent="0.35">
      <c r="B3445" s="60" t="s">
        <v>10393</v>
      </c>
      <c r="C3445" s="60" t="s">
        <v>10394</v>
      </c>
      <c r="D3445" s="60" t="s">
        <v>10395</v>
      </c>
    </row>
    <row r="3446" spans="2:4" x14ac:dyDescent="0.35">
      <c r="B3446" s="60" t="s">
        <v>10396</v>
      </c>
      <c r="C3446" s="60" t="s">
        <v>10397</v>
      </c>
      <c r="D3446" s="60" t="s">
        <v>10398</v>
      </c>
    </row>
    <row r="3447" spans="2:4" x14ac:dyDescent="0.35">
      <c r="B3447" s="60" t="s">
        <v>10399</v>
      </c>
      <c r="C3447" s="60" t="s">
        <v>10400</v>
      </c>
      <c r="D3447" s="60" t="s">
        <v>10401</v>
      </c>
    </row>
    <row r="3448" spans="2:4" x14ac:dyDescent="0.35">
      <c r="B3448" s="60" t="s">
        <v>10402</v>
      </c>
      <c r="C3448" s="60" t="s">
        <v>10403</v>
      </c>
      <c r="D3448" s="60" t="s">
        <v>10404</v>
      </c>
    </row>
    <row r="3449" spans="2:4" x14ac:dyDescent="0.35">
      <c r="B3449" s="60" t="s">
        <v>10405</v>
      </c>
      <c r="C3449" s="60" t="s">
        <v>10406</v>
      </c>
      <c r="D3449" s="60" t="s">
        <v>10407</v>
      </c>
    </row>
    <row r="3450" spans="2:4" x14ac:dyDescent="0.35">
      <c r="B3450" s="60" t="s">
        <v>10408</v>
      </c>
      <c r="C3450" s="60" t="s">
        <v>10409</v>
      </c>
      <c r="D3450" s="60" t="s">
        <v>10410</v>
      </c>
    </row>
    <row r="3451" spans="2:4" x14ac:dyDescent="0.35">
      <c r="B3451" s="60" t="s">
        <v>10411</v>
      </c>
      <c r="C3451" s="60" t="s">
        <v>10412</v>
      </c>
      <c r="D3451" s="60" t="s">
        <v>10413</v>
      </c>
    </row>
    <row r="3452" spans="2:4" x14ac:dyDescent="0.35">
      <c r="B3452" s="60" t="s">
        <v>10414</v>
      </c>
      <c r="C3452" s="60" t="s">
        <v>10415</v>
      </c>
      <c r="D3452" s="60" t="s">
        <v>10416</v>
      </c>
    </row>
    <row r="3453" spans="2:4" x14ac:dyDescent="0.35">
      <c r="B3453" s="60" t="s">
        <v>10417</v>
      </c>
      <c r="C3453" s="60" t="s">
        <v>10418</v>
      </c>
      <c r="D3453" s="60" t="s">
        <v>10419</v>
      </c>
    </row>
    <row r="3454" spans="2:4" x14ac:dyDescent="0.35">
      <c r="B3454" s="60" t="s">
        <v>10420</v>
      </c>
      <c r="C3454" s="60" t="s">
        <v>10421</v>
      </c>
      <c r="D3454" s="60" t="s">
        <v>10422</v>
      </c>
    </row>
    <row r="3455" spans="2:4" x14ac:dyDescent="0.35">
      <c r="B3455" s="60" t="s">
        <v>10423</v>
      </c>
      <c r="C3455" s="60" t="s">
        <v>10424</v>
      </c>
      <c r="D3455" s="60" t="s">
        <v>10425</v>
      </c>
    </row>
    <row r="3456" spans="2:4" x14ac:dyDescent="0.35">
      <c r="B3456" s="60" t="s">
        <v>10426</v>
      </c>
      <c r="C3456" s="60" t="s">
        <v>10427</v>
      </c>
      <c r="D3456" s="60" t="s">
        <v>10428</v>
      </c>
    </row>
    <row r="3457" spans="2:4" x14ac:dyDescent="0.35">
      <c r="B3457" s="60" t="s">
        <v>10429</v>
      </c>
      <c r="C3457" s="60" t="s">
        <v>10430</v>
      </c>
      <c r="D3457" s="60" t="s">
        <v>10431</v>
      </c>
    </row>
    <row r="3458" spans="2:4" x14ac:dyDescent="0.35">
      <c r="B3458" s="60" t="s">
        <v>10432</v>
      </c>
      <c r="C3458" s="60" t="s">
        <v>10433</v>
      </c>
      <c r="D3458" s="60" t="s">
        <v>10434</v>
      </c>
    </row>
    <row r="3459" spans="2:4" x14ac:dyDescent="0.35">
      <c r="B3459" s="60" t="s">
        <v>10435</v>
      </c>
      <c r="C3459" s="60" t="s">
        <v>10436</v>
      </c>
      <c r="D3459" s="60" t="s">
        <v>10437</v>
      </c>
    </row>
    <row r="3460" spans="2:4" x14ac:dyDescent="0.35">
      <c r="B3460" s="60" t="s">
        <v>10438</v>
      </c>
      <c r="C3460" s="60" t="s">
        <v>10439</v>
      </c>
      <c r="D3460" s="60" t="s">
        <v>10440</v>
      </c>
    </row>
    <row r="3461" spans="2:4" x14ac:dyDescent="0.35">
      <c r="B3461" s="60" t="s">
        <v>10441</v>
      </c>
      <c r="C3461" s="60" t="s">
        <v>10442</v>
      </c>
      <c r="D3461" s="60" t="s">
        <v>10443</v>
      </c>
    </row>
    <row r="3462" spans="2:4" x14ac:dyDescent="0.35">
      <c r="B3462" s="60" t="s">
        <v>10444</v>
      </c>
      <c r="C3462" s="60" t="s">
        <v>10445</v>
      </c>
      <c r="D3462" s="60" t="s">
        <v>10446</v>
      </c>
    </row>
    <row r="3463" spans="2:4" x14ac:dyDescent="0.35">
      <c r="B3463" s="60" t="s">
        <v>10447</v>
      </c>
      <c r="C3463" s="60" t="s">
        <v>10448</v>
      </c>
      <c r="D3463" s="60" t="s">
        <v>10449</v>
      </c>
    </row>
    <row r="3464" spans="2:4" x14ac:dyDescent="0.35">
      <c r="B3464" s="60" t="s">
        <v>10450</v>
      </c>
      <c r="C3464" s="60" t="s">
        <v>10451</v>
      </c>
      <c r="D3464" s="60" t="s">
        <v>10452</v>
      </c>
    </row>
    <row r="3465" spans="2:4" x14ac:dyDescent="0.35">
      <c r="B3465" s="60" t="s">
        <v>10453</v>
      </c>
      <c r="C3465" s="60" t="s">
        <v>10454</v>
      </c>
      <c r="D3465" s="60" t="s">
        <v>10455</v>
      </c>
    </row>
    <row r="3466" spans="2:4" x14ac:dyDescent="0.35">
      <c r="B3466" s="60" t="s">
        <v>10456</v>
      </c>
      <c r="C3466" s="60" t="s">
        <v>10457</v>
      </c>
      <c r="D3466" s="60" t="s">
        <v>10458</v>
      </c>
    </row>
    <row r="3467" spans="2:4" x14ac:dyDescent="0.35">
      <c r="B3467" s="60" t="s">
        <v>10459</v>
      </c>
      <c r="C3467" s="60" t="s">
        <v>10460</v>
      </c>
      <c r="D3467" s="60" t="s">
        <v>10461</v>
      </c>
    </row>
    <row r="3468" spans="2:4" x14ac:dyDescent="0.35">
      <c r="B3468" s="60" t="s">
        <v>10462</v>
      </c>
      <c r="C3468" s="60" t="s">
        <v>10463</v>
      </c>
      <c r="D3468" s="60" t="s">
        <v>10464</v>
      </c>
    </row>
    <row r="3469" spans="2:4" x14ac:dyDescent="0.35">
      <c r="B3469" s="60" t="s">
        <v>10465</v>
      </c>
      <c r="C3469" s="60" t="s">
        <v>10466</v>
      </c>
      <c r="D3469" s="60" t="s">
        <v>10467</v>
      </c>
    </row>
    <row r="3470" spans="2:4" x14ac:dyDescent="0.35">
      <c r="B3470" s="60" t="s">
        <v>10468</v>
      </c>
      <c r="C3470" s="60" t="s">
        <v>10469</v>
      </c>
      <c r="D3470" s="60" t="s">
        <v>10470</v>
      </c>
    </row>
    <row r="3471" spans="2:4" x14ac:dyDescent="0.35">
      <c r="B3471" s="60" t="s">
        <v>10471</v>
      </c>
      <c r="C3471" s="60" t="s">
        <v>10472</v>
      </c>
      <c r="D3471" s="60" t="s">
        <v>10473</v>
      </c>
    </row>
    <row r="3472" spans="2:4" x14ac:dyDescent="0.35">
      <c r="B3472" s="60" t="s">
        <v>10474</v>
      </c>
      <c r="C3472" s="60" t="s">
        <v>10475</v>
      </c>
      <c r="D3472" s="60" t="s">
        <v>10476</v>
      </c>
    </row>
    <row r="3473" spans="2:4" x14ac:dyDescent="0.35">
      <c r="B3473" s="60" t="s">
        <v>10477</v>
      </c>
      <c r="C3473" s="60" t="s">
        <v>10478</v>
      </c>
      <c r="D3473" s="60" t="s">
        <v>10479</v>
      </c>
    </row>
    <row r="3474" spans="2:4" x14ac:dyDescent="0.35">
      <c r="B3474" s="60" t="s">
        <v>10480</v>
      </c>
      <c r="C3474" s="60" t="s">
        <v>10481</v>
      </c>
      <c r="D3474" s="60" t="s">
        <v>10482</v>
      </c>
    </row>
    <row r="3475" spans="2:4" x14ac:dyDescent="0.35">
      <c r="B3475" s="60" t="s">
        <v>10483</v>
      </c>
      <c r="C3475" s="60" t="s">
        <v>10484</v>
      </c>
      <c r="D3475" s="60" t="s">
        <v>10485</v>
      </c>
    </row>
    <row r="3476" spans="2:4" x14ac:dyDescent="0.35">
      <c r="B3476" s="60" t="s">
        <v>10486</v>
      </c>
      <c r="C3476" s="60" t="s">
        <v>10487</v>
      </c>
      <c r="D3476" s="60" t="s">
        <v>10488</v>
      </c>
    </row>
    <row r="3477" spans="2:4" x14ac:dyDescent="0.35">
      <c r="B3477" s="60" t="s">
        <v>10489</v>
      </c>
      <c r="C3477" s="60" t="s">
        <v>10490</v>
      </c>
      <c r="D3477" s="60" t="s">
        <v>10491</v>
      </c>
    </row>
    <row r="3478" spans="2:4" x14ac:dyDescent="0.35">
      <c r="B3478" s="60" t="s">
        <v>10492</v>
      </c>
      <c r="C3478" s="60" t="s">
        <v>10493</v>
      </c>
      <c r="D3478" s="60" t="s">
        <v>10494</v>
      </c>
    </row>
    <row r="3479" spans="2:4" x14ac:dyDescent="0.35">
      <c r="B3479" s="60" t="s">
        <v>10495</v>
      </c>
      <c r="C3479" s="60" t="s">
        <v>10496</v>
      </c>
      <c r="D3479" s="60" t="s">
        <v>10497</v>
      </c>
    </row>
    <row r="3480" spans="2:4" x14ac:dyDescent="0.35">
      <c r="B3480" s="60" t="s">
        <v>10498</v>
      </c>
      <c r="C3480" s="60" t="s">
        <v>10499</v>
      </c>
      <c r="D3480" s="60" t="s">
        <v>10500</v>
      </c>
    </row>
    <row r="3481" spans="2:4" x14ac:dyDescent="0.35">
      <c r="B3481" s="60" t="s">
        <v>10501</v>
      </c>
      <c r="C3481" s="60" t="s">
        <v>10502</v>
      </c>
      <c r="D3481" s="60" t="s">
        <v>10503</v>
      </c>
    </row>
    <row r="3482" spans="2:4" x14ac:dyDescent="0.35">
      <c r="B3482" s="60" t="s">
        <v>10504</v>
      </c>
      <c r="C3482" s="60" t="s">
        <v>10505</v>
      </c>
      <c r="D3482" s="60" t="s">
        <v>10506</v>
      </c>
    </row>
    <row r="3483" spans="2:4" x14ac:dyDescent="0.35">
      <c r="B3483" s="60" t="s">
        <v>10507</v>
      </c>
      <c r="C3483" s="60" t="s">
        <v>10508</v>
      </c>
      <c r="D3483" s="60" t="s">
        <v>10509</v>
      </c>
    </row>
    <row r="3484" spans="2:4" x14ac:dyDescent="0.35">
      <c r="B3484" s="60" t="s">
        <v>10510</v>
      </c>
      <c r="C3484" s="60" t="s">
        <v>10511</v>
      </c>
      <c r="D3484" s="60" t="s">
        <v>10512</v>
      </c>
    </row>
    <row r="3485" spans="2:4" x14ac:dyDescent="0.35">
      <c r="B3485" s="60" t="s">
        <v>10513</v>
      </c>
      <c r="C3485" s="60" t="s">
        <v>10514</v>
      </c>
      <c r="D3485" s="60" t="s">
        <v>10515</v>
      </c>
    </row>
    <row r="3486" spans="2:4" x14ac:dyDescent="0.35">
      <c r="B3486" s="60" t="s">
        <v>10516</v>
      </c>
      <c r="C3486" s="60" t="s">
        <v>10517</v>
      </c>
      <c r="D3486" s="60" t="s">
        <v>10518</v>
      </c>
    </row>
    <row r="3487" spans="2:4" x14ac:dyDescent="0.35">
      <c r="B3487" s="60" t="s">
        <v>10519</v>
      </c>
      <c r="C3487" s="60" t="s">
        <v>10520</v>
      </c>
      <c r="D3487" s="60" t="s">
        <v>10521</v>
      </c>
    </row>
    <row r="3488" spans="2:4" x14ac:dyDescent="0.35">
      <c r="B3488" s="60" t="s">
        <v>10522</v>
      </c>
      <c r="C3488" s="60" t="s">
        <v>10523</v>
      </c>
      <c r="D3488" s="60" t="s">
        <v>10524</v>
      </c>
    </row>
    <row r="3489" spans="2:4" x14ac:dyDescent="0.35">
      <c r="B3489" s="60" t="s">
        <v>10525</v>
      </c>
      <c r="C3489" s="60" t="s">
        <v>10526</v>
      </c>
      <c r="D3489" s="60" t="s">
        <v>10527</v>
      </c>
    </row>
    <row r="3490" spans="2:4" x14ac:dyDescent="0.35">
      <c r="B3490" s="60" t="s">
        <v>10528</v>
      </c>
      <c r="C3490" s="60" t="s">
        <v>10529</v>
      </c>
      <c r="D3490" s="60" t="s">
        <v>10530</v>
      </c>
    </row>
    <row r="3491" spans="2:4" x14ac:dyDescent="0.35">
      <c r="B3491" s="60" t="s">
        <v>10531</v>
      </c>
      <c r="C3491" s="60" t="s">
        <v>10532</v>
      </c>
      <c r="D3491" s="60" t="s">
        <v>10533</v>
      </c>
    </row>
    <row r="3492" spans="2:4" x14ac:dyDescent="0.35">
      <c r="B3492" s="60" t="s">
        <v>10531</v>
      </c>
      <c r="C3492" s="60" t="s">
        <v>10534</v>
      </c>
      <c r="D3492" s="60" t="s">
        <v>10535</v>
      </c>
    </row>
    <row r="3493" spans="2:4" x14ac:dyDescent="0.35">
      <c r="B3493" s="60" t="s">
        <v>10536</v>
      </c>
      <c r="C3493" s="60" t="s">
        <v>10537</v>
      </c>
      <c r="D3493" s="60" t="s">
        <v>10538</v>
      </c>
    </row>
    <row r="3494" spans="2:4" x14ac:dyDescent="0.35">
      <c r="B3494" s="60" t="s">
        <v>10539</v>
      </c>
      <c r="C3494" s="60" t="s">
        <v>10540</v>
      </c>
      <c r="D3494" s="60" t="s">
        <v>10541</v>
      </c>
    </row>
    <row r="3495" spans="2:4" x14ac:dyDescent="0.35">
      <c r="B3495" s="60" t="s">
        <v>10539</v>
      </c>
      <c r="C3495" s="60" t="s">
        <v>10542</v>
      </c>
      <c r="D3495" s="60" t="s">
        <v>10543</v>
      </c>
    </row>
    <row r="3496" spans="2:4" x14ac:dyDescent="0.35">
      <c r="B3496" s="60" t="s">
        <v>10544</v>
      </c>
      <c r="C3496" s="60" t="s">
        <v>10545</v>
      </c>
      <c r="D3496" s="60" t="s">
        <v>10546</v>
      </c>
    </row>
    <row r="3497" spans="2:4" x14ac:dyDescent="0.35">
      <c r="B3497" s="60" t="s">
        <v>10547</v>
      </c>
      <c r="C3497" s="60" t="s">
        <v>10548</v>
      </c>
      <c r="D3497" s="60" t="s">
        <v>10549</v>
      </c>
    </row>
    <row r="3498" spans="2:4" x14ac:dyDescent="0.35">
      <c r="B3498" s="60" t="s">
        <v>10550</v>
      </c>
      <c r="C3498" s="60" t="s">
        <v>10551</v>
      </c>
      <c r="D3498" s="60" t="s">
        <v>10552</v>
      </c>
    </row>
    <row r="3499" spans="2:4" x14ac:dyDescent="0.35">
      <c r="B3499" s="60" t="s">
        <v>10553</v>
      </c>
      <c r="C3499" s="60" t="s">
        <v>10554</v>
      </c>
      <c r="D3499" s="60" t="s">
        <v>10555</v>
      </c>
    </row>
    <row r="3500" spans="2:4" x14ac:dyDescent="0.35">
      <c r="B3500" s="60" t="s">
        <v>10556</v>
      </c>
      <c r="C3500" s="60" t="s">
        <v>10557</v>
      </c>
      <c r="D3500" s="60" t="s">
        <v>10558</v>
      </c>
    </row>
    <row r="3501" spans="2:4" x14ac:dyDescent="0.35">
      <c r="B3501" s="60" t="s">
        <v>10559</v>
      </c>
      <c r="C3501" s="60" t="s">
        <v>10560</v>
      </c>
      <c r="D3501" s="60" t="s">
        <v>10561</v>
      </c>
    </row>
    <row r="3502" spans="2:4" x14ac:dyDescent="0.35">
      <c r="B3502" s="60" t="s">
        <v>10559</v>
      </c>
      <c r="C3502" s="60" t="s">
        <v>10562</v>
      </c>
      <c r="D3502" s="60" t="s">
        <v>10563</v>
      </c>
    </row>
    <row r="3503" spans="2:4" x14ac:dyDescent="0.35">
      <c r="B3503" s="60" t="s">
        <v>10564</v>
      </c>
      <c r="C3503" s="60" t="s">
        <v>10565</v>
      </c>
      <c r="D3503" s="60" t="s">
        <v>10566</v>
      </c>
    </row>
    <row r="3504" spans="2:4" x14ac:dyDescent="0.35">
      <c r="B3504" s="60" t="s">
        <v>10567</v>
      </c>
      <c r="C3504" s="60" t="s">
        <v>10568</v>
      </c>
      <c r="D3504" s="60" t="s">
        <v>10569</v>
      </c>
    </row>
    <row r="3505" spans="2:4" x14ac:dyDescent="0.35">
      <c r="B3505" s="60" t="s">
        <v>10570</v>
      </c>
      <c r="C3505" s="60" t="s">
        <v>10571</v>
      </c>
      <c r="D3505" s="60" t="s">
        <v>10572</v>
      </c>
    </row>
    <row r="3506" spans="2:4" x14ac:dyDescent="0.35">
      <c r="B3506" s="60" t="s">
        <v>10573</v>
      </c>
      <c r="C3506" s="60" t="s">
        <v>10574</v>
      </c>
      <c r="D3506" s="60" t="s">
        <v>10575</v>
      </c>
    </row>
    <row r="3507" spans="2:4" x14ac:dyDescent="0.35">
      <c r="B3507" s="60" t="s">
        <v>10576</v>
      </c>
      <c r="C3507" s="60" t="s">
        <v>10577</v>
      </c>
      <c r="D3507" s="60" t="s">
        <v>10578</v>
      </c>
    </row>
    <row r="3508" spans="2:4" x14ac:dyDescent="0.35">
      <c r="B3508" s="60" t="s">
        <v>10579</v>
      </c>
      <c r="C3508" s="60" t="s">
        <v>10580</v>
      </c>
      <c r="D3508" s="60" t="s">
        <v>10581</v>
      </c>
    </row>
    <row r="3509" spans="2:4" x14ac:dyDescent="0.35">
      <c r="B3509" s="60" t="s">
        <v>10579</v>
      </c>
      <c r="C3509" s="60" t="s">
        <v>10582</v>
      </c>
      <c r="D3509" s="60" t="s">
        <v>10583</v>
      </c>
    </row>
    <row r="3510" spans="2:4" x14ac:dyDescent="0.35">
      <c r="B3510" s="60" t="s">
        <v>10584</v>
      </c>
      <c r="C3510" s="60" t="s">
        <v>10585</v>
      </c>
      <c r="D3510" s="60" t="s">
        <v>10586</v>
      </c>
    </row>
    <row r="3511" spans="2:4" x14ac:dyDescent="0.35">
      <c r="B3511" s="60" t="s">
        <v>10587</v>
      </c>
      <c r="C3511" s="60" t="s">
        <v>10588</v>
      </c>
      <c r="D3511" s="60" t="s">
        <v>10589</v>
      </c>
    </row>
    <row r="3512" spans="2:4" x14ac:dyDescent="0.35">
      <c r="B3512" s="60" t="s">
        <v>10590</v>
      </c>
      <c r="C3512" s="60" t="s">
        <v>10591</v>
      </c>
      <c r="D3512" s="60" t="s">
        <v>10592</v>
      </c>
    </row>
    <row r="3513" spans="2:4" x14ac:dyDescent="0.35">
      <c r="B3513" s="60" t="s">
        <v>10593</v>
      </c>
      <c r="C3513" s="60" t="s">
        <v>10594</v>
      </c>
      <c r="D3513" s="60" t="s">
        <v>10595</v>
      </c>
    </row>
    <row r="3514" spans="2:4" x14ac:dyDescent="0.35">
      <c r="B3514" s="60" t="s">
        <v>10596</v>
      </c>
      <c r="C3514" s="60" t="s">
        <v>10597</v>
      </c>
      <c r="D3514" s="60" t="s">
        <v>10598</v>
      </c>
    </row>
    <row r="3515" spans="2:4" x14ac:dyDescent="0.35">
      <c r="B3515" s="60" t="s">
        <v>10599</v>
      </c>
      <c r="C3515" s="60" t="s">
        <v>10600</v>
      </c>
      <c r="D3515" s="60" t="s">
        <v>10601</v>
      </c>
    </row>
    <row r="3516" spans="2:4" x14ac:dyDescent="0.35">
      <c r="B3516" s="60" t="s">
        <v>10602</v>
      </c>
      <c r="C3516" s="60" t="s">
        <v>10603</v>
      </c>
      <c r="D3516" s="60" t="s">
        <v>10604</v>
      </c>
    </row>
    <row r="3517" spans="2:4" x14ac:dyDescent="0.35">
      <c r="B3517" s="60" t="s">
        <v>10605</v>
      </c>
      <c r="C3517" s="60" t="s">
        <v>10606</v>
      </c>
      <c r="D3517" s="60" t="s">
        <v>10607</v>
      </c>
    </row>
    <row r="3518" spans="2:4" x14ac:dyDescent="0.35">
      <c r="B3518" s="60" t="s">
        <v>10608</v>
      </c>
      <c r="C3518" s="60" t="s">
        <v>10609</v>
      </c>
      <c r="D3518" s="60" t="s">
        <v>10610</v>
      </c>
    </row>
    <row r="3519" spans="2:4" x14ac:dyDescent="0.35">
      <c r="B3519" s="60" t="s">
        <v>10611</v>
      </c>
      <c r="C3519" s="60" t="s">
        <v>10612</v>
      </c>
      <c r="D3519" s="60" t="s">
        <v>10613</v>
      </c>
    </row>
    <row r="3520" spans="2:4" x14ac:dyDescent="0.35">
      <c r="B3520" s="60" t="s">
        <v>10614</v>
      </c>
      <c r="C3520" s="60" t="s">
        <v>10615</v>
      </c>
      <c r="D3520" s="60" t="s">
        <v>10616</v>
      </c>
    </row>
    <row r="3521" spans="2:4" x14ac:dyDescent="0.35">
      <c r="B3521" s="60" t="s">
        <v>10617</v>
      </c>
      <c r="C3521" s="60" t="s">
        <v>10618</v>
      </c>
      <c r="D3521" s="60" t="s">
        <v>10619</v>
      </c>
    </row>
    <row r="3522" spans="2:4" x14ac:dyDescent="0.35">
      <c r="B3522" s="60" t="s">
        <v>10620</v>
      </c>
      <c r="C3522" s="60" t="s">
        <v>10621</v>
      </c>
      <c r="D3522" s="60" t="s">
        <v>10622</v>
      </c>
    </row>
    <row r="3523" spans="2:4" x14ac:dyDescent="0.35">
      <c r="B3523" s="60" t="s">
        <v>10623</v>
      </c>
      <c r="C3523" s="60" t="s">
        <v>10624</v>
      </c>
      <c r="D3523" s="60" t="s">
        <v>10625</v>
      </c>
    </row>
    <row r="3524" spans="2:4" x14ac:dyDescent="0.35">
      <c r="B3524" s="60" t="s">
        <v>10626</v>
      </c>
      <c r="C3524" s="60" t="s">
        <v>10627</v>
      </c>
      <c r="D3524" s="60" t="s">
        <v>10628</v>
      </c>
    </row>
    <row r="3525" spans="2:4" x14ac:dyDescent="0.35">
      <c r="B3525" s="60" t="s">
        <v>10629</v>
      </c>
      <c r="C3525" s="60" t="s">
        <v>10630</v>
      </c>
      <c r="D3525" s="60" t="s">
        <v>10631</v>
      </c>
    </row>
    <row r="3526" spans="2:4" x14ac:dyDescent="0.35">
      <c r="B3526" s="60" t="s">
        <v>10632</v>
      </c>
      <c r="C3526" s="60" t="s">
        <v>10633</v>
      </c>
      <c r="D3526" s="60" t="s">
        <v>10634</v>
      </c>
    </row>
    <row r="3527" spans="2:4" x14ac:dyDescent="0.35">
      <c r="B3527" s="60" t="s">
        <v>10635</v>
      </c>
      <c r="C3527" s="60" t="s">
        <v>10636</v>
      </c>
      <c r="D3527" s="60" t="s">
        <v>10637</v>
      </c>
    </row>
    <row r="3528" spans="2:4" x14ac:dyDescent="0.35">
      <c r="B3528" s="60" t="s">
        <v>10638</v>
      </c>
      <c r="C3528" s="60" t="s">
        <v>10639</v>
      </c>
      <c r="D3528" s="60" t="s">
        <v>10640</v>
      </c>
    </row>
    <row r="3529" spans="2:4" x14ac:dyDescent="0.35">
      <c r="B3529" s="60" t="s">
        <v>10641</v>
      </c>
      <c r="C3529" s="60" t="s">
        <v>10642</v>
      </c>
      <c r="D3529" s="60" t="s">
        <v>10643</v>
      </c>
    </row>
    <row r="3530" spans="2:4" x14ac:dyDescent="0.35">
      <c r="B3530" s="60" t="s">
        <v>10644</v>
      </c>
      <c r="C3530" s="60" t="s">
        <v>10645</v>
      </c>
      <c r="D3530" s="60" t="s">
        <v>10646</v>
      </c>
    </row>
    <row r="3531" spans="2:4" x14ac:dyDescent="0.35">
      <c r="B3531" s="60" t="s">
        <v>10647</v>
      </c>
      <c r="C3531" s="60" t="s">
        <v>10648</v>
      </c>
      <c r="D3531" s="60" t="s">
        <v>10649</v>
      </c>
    </row>
    <row r="3532" spans="2:4" x14ac:dyDescent="0.35">
      <c r="B3532" s="60" t="s">
        <v>10650</v>
      </c>
      <c r="C3532" s="60" t="s">
        <v>10651</v>
      </c>
      <c r="D3532" s="60" t="s">
        <v>10652</v>
      </c>
    </row>
    <row r="3533" spans="2:4" x14ac:dyDescent="0.35">
      <c r="B3533" s="60" t="s">
        <v>10653</v>
      </c>
      <c r="C3533" s="60" t="s">
        <v>10654</v>
      </c>
      <c r="D3533" s="60" t="s">
        <v>10655</v>
      </c>
    </row>
    <row r="3534" spans="2:4" x14ac:dyDescent="0.35">
      <c r="B3534" s="60" t="s">
        <v>10656</v>
      </c>
      <c r="C3534" s="60" t="s">
        <v>10657</v>
      </c>
      <c r="D3534" s="60" t="s">
        <v>10658</v>
      </c>
    </row>
    <row r="3535" spans="2:4" x14ac:dyDescent="0.35">
      <c r="B3535" s="60" t="s">
        <v>10659</v>
      </c>
      <c r="C3535" s="60" t="s">
        <v>10660</v>
      </c>
      <c r="D3535" s="60" t="s">
        <v>10661</v>
      </c>
    </row>
    <row r="3536" spans="2:4" x14ac:dyDescent="0.35">
      <c r="B3536" s="60" t="s">
        <v>10662</v>
      </c>
      <c r="C3536" s="60" t="s">
        <v>10663</v>
      </c>
      <c r="D3536" s="60" t="s">
        <v>10664</v>
      </c>
    </row>
    <row r="3537" spans="2:4" x14ac:dyDescent="0.35">
      <c r="B3537" s="60" t="s">
        <v>10665</v>
      </c>
      <c r="C3537" s="60" t="s">
        <v>10666</v>
      </c>
      <c r="D3537" s="60" t="s">
        <v>10667</v>
      </c>
    </row>
    <row r="3538" spans="2:4" x14ac:dyDescent="0.35">
      <c r="B3538" s="60" t="s">
        <v>10668</v>
      </c>
      <c r="C3538" s="60" t="s">
        <v>10669</v>
      </c>
      <c r="D3538" s="60" t="s">
        <v>10670</v>
      </c>
    </row>
    <row r="3539" spans="2:4" x14ac:dyDescent="0.35">
      <c r="B3539" s="60" t="s">
        <v>10671</v>
      </c>
      <c r="C3539" s="60" t="s">
        <v>10672</v>
      </c>
      <c r="D3539" s="60" t="s">
        <v>10673</v>
      </c>
    </row>
    <row r="3540" spans="2:4" x14ac:dyDescent="0.35">
      <c r="B3540" s="60" t="s">
        <v>10674</v>
      </c>
      <c r="C3540" s="60" t="s">
        <v>10675</v>
      </c>
      <c r="D3540" s="60" t="s">
        <v>10676</v>
      </c>
    </row>
    <row r="3541" spans="2:4" x14ac:dyDescent="0.35">
      <c r="B3541" s="60" t="s">
        <v>10677</v>
      </c>
      <c r="C3541" s="60" t="s">
        <v>10678</v>
      </c>
      <c r="D3541" s="60" t="s">
        <v>10679</v>
      </c>
    </row>
    <row r="3542" spans="2:4" x14ac:dyDescent="0.35">
      <c r="B3542" s="60" t="s">
        <v>10680</v>
      </c>
      <c r="C3542" s="60" t="s">
        <v>10681</v>
      </c>
      <c r="D3542" s="60" t="s">
        <v>10682</v>
      </c>
    </row>
    <row r="3543" spans="2:4" x14ac:dyDescent="0.35">
      <c r="B3543" s="60" t="s">
        <v>10683</v>
      </c>
      <c r="C3543" s="60" t="s">
        <v>10684</v>
      </c>
      <c r="D3543" s="60" t="s">
        <v>10685</v>
      </c>
    </row>
    <row r="3544" spans="2:4" x14ac:dyDescent="0.35">
      <c r="B3544" s="60" t="s">
        <v>10686</v>
      </c>
      <c r="C3544" s="60" t="s">
        <v>10687</v>
      </c>
      <c r="D3544" s="60" t="s">
        <v>10688</v>
      </c>
    </row>
    <row r="3545" spans="2:4" x14ac:dyDescent="0.35">
      <c r="B3545" s="60" t="s">
        <v>10689</v>
      </c>
      <c r="C3545" s="60" t="s">
        <v>10690</v>
      </c>
      <c r="D3545" s="60" t="s">
        <v>10691</v>
      </c>
    </row>
    <row r="3546" spans="2:4" x14ac:dyDescent="0.35">
      <c r="B3546" s="60" t="s">
        <v>10692</v>
      </c>
      <c r="C3546" s="60" t="s">
        <v>10693</v>
      </c>
      <c r="D3546" s="60" t="s">
        <v>10694</v>
      </c>
    </row>
    <row r="3547" spans="2:4" x14ac:dyDescent="0.35">
      <c r="B3547" s="60" t="s">
        <v>10695</v>
      </c>
      <c r="C3547" s="60" t="s">
        <v>10696</v>
      </c>
      <c r="D3547" s="60" t="s">
        <v>10697</v>
      </c>
    </row>
    <row r="3548" spans="2:4" x14ac:dyDescent="0.35">
      <c r="B3548" s="60" t="s">
        <v>10698</v>
      </c>
      <c r="C3548" s="60" t="s">
        <v>10699</v>
      </c>
      <c r="D3548" s="60" t="s">
        <v>10700</v>
      </c>
    </row>
    <row r="3549" spans="2:4" x14ac:dyDescent="0.35">
      <c r="B3549" s="60" t="s">
        <v>10701</v>
      </c>
      <c r="C3549" s="60" t="s">
        <v>10702</v>
      </c>
      <c r="D3549" s="60" t="s">
        <v>10703</v>
      </c>
    </row>
    <row r="3550" spans="2:4" x14ac:dyDescent="0.35">
      <c r="B3550" s="60" t="s">
        <v>10704</v>
      </c>
      <c r="C3550" s="60" t="s">
        <v>10705</v>
      </c>
      <c r="D3550" s="60" t="s">
        <v>10706</v>
      </c>
    </row>
    <row r="3551" spans="2:4" x14ac:dyDescent="0.35">
      <c r="B3551" s="60" t="s">
        <v>10707</v>
      </c>
      <c r="C3551" s="60" t="s">
        <v>10708</v>
      </c>
      <c r="D3551" s="60" t="s">
        <v>10709</v>
      </c>
    </row>
    <row r="3552" spans="2:4" x14ac:dyDescent="0.35">
      <c r="B3552" s="60" t="s">
        <v>10710</v>
      </c>
      <c r="C3552" s="60" t="s">
        <v>10711</v>
      </c>
      <c r="D3552" s="60" t="s">
        <v>10712</v>
      </c>
    </row>
    <row r="3553" spans="2:4" x14ac:dyDescent="0.35">
      <c r="B3553" s="60" t="s">
        <v>10713</v>
      </c>
      <c r="C3553" s="60" t="s">
        <v>10714</v>
      </c>
      <c r="D3553" s="60" t="s">
        <v>10715</v>
      </c>
    </row>
    <row r="3554" spans="2:4" x14ac:dyDescent="0.35">
      <c r="B3554" s="60" t="s">
        <v>10716</v>
      </c>
      <c r="C3554" s="60" t="s">
        <v>10717</v>
      </c>
      <c r="D3554" s="60" t="s">
        <v>10718</v>
      </c>
    </row>
    <row r="3555" spans="2:4" x14ac:dyDescent="0.35">
      <c r="B3555" s="60" t="s">
        <v>10719</v>
      </c>
      <c r="C3555" s="60" t="s">
        <v>10720</v>
      </c>
      <c r="D3555" s="60" t="s">
        <v>10721</v>
      </c>
    </row>
    <row r="3556" spans="2:4" x14ac:dyDescent="0.35">
      <c r="B3556" s="60" t="s">
        <v>10722</v>
      </c>
      <c r="C3556" s="60" t="s">
        <v>10723</v>
      </c>
      <c r="D3556" s="60" t="s">
        <v>10724</v>
      </c>
    </row>
    <row r="3557" spans="2:4" x14ac:dyDescent="0.35">
      <c r="B3557" s="60" t="s">
        <v>10725</v>
      </c>
      <c r="C3557" s="60" t="s">
        <v>10726</v>
      </c>
      <c r="D3557" s="60" t="s">
        <v>10727</v>
      </c>
    </row>
    <row r="3558" spans="2:4" x14ac:dyDescent="0.35">
      <c r="B3558" s="60" t="s">
        <v>10728</v>
      </c>
      <c r="C3558" s="60" t="s">
        <v>10729</v>
      </c>
      <c r="D3558" s="60" t="s">
        <v>10730</v>
      </c>
    </row>
    <row r="3559" spans="2:4" x14ac:dyDescent="0.35">
      <c r="B3559" s="60" t="s">
        <v>10731</v>
      </c>
      <c r="C3559" s="60" t="s">
        <v>10732</v>
      </c>
      <c r="D3559" s="60" t="s">
        <v>10733</v>
      </c>
    </row>
    <row r="3560" spans="2:4" x14ac:dyDescent="0.35">
      <c r="B3560" s="60" t="s">
        <v>10734</v>
      </c>
      <c r="C3560" s="60" t="s">
        <v>10735</v>
      </c>
      <c r="D3560" s="60" t="s">
        <v>10736</v>
      </c>
    </row>
    <row r="3561" spans="2:4" x14ac:dyDescent="0.35">
      <c r="B3561" s="60" t="s">
        <v>10737</v>
      </c>
      <c r="C3561" s="60" t="s">
        <v>10738</v>
      </c>
      <c r="D3561" s="60" t="s">
        <v>10739</v>
      </c>
    </row>
    <row r="3562" spans="2:4" x14ac:dyDescent="0.35">
      <c r="B3562" s="60" t="s">
        <v>10740</v>
      </c>
      <c r="C3562" s="60" t="s">
        <v>10741</v>
      </c>
      <c r="D3562" s="60" t="s">
        <v>10742</v>
      </c>
    </row>
    <row r="3563" spans="2:4" x14ac:dyDescent="0.35">
      <c r="B3563" s="60" t="s">
        <v>10743</v>
      </c>
      <c r="C3563" s="60" t="s">
        <v>10744</v>
      </c>
      <c r="D3563" s="60" t="s">
        <v>10745</v>
      </c>
    </row>
    <row r="3564" spans="2:4" x14ac:dyDescent="0.35">
      <c r="B3564" s="60" t="s">
        <v>10746</v>
      </c>
      <c r="C3564" s="60" t="s">
        <v>10747</v>
      </c>
      <c r="D3564" s="60" t="s">
        <v>10748</v>
      </c>
    </row>
    <row r="3565" spans="2:4" x14ac:dyDescent="0.35">
      <c r="B3565" s="60" t="s">
        <v>10749</v>
      </c>
      <c r="C3565" s="60" t="s">
        <v>10750</v>
      </c>
      <c r="D3565" s="60" t="s">
        <v>10751</v>
      </c>
    </row>
    <row r="3566" spans="2:4" x14ac:dyDescent="0.35">
      <c r="B3566" s="60" t="s">
        <v>10752</v>
      </c>
      <c r="C3566" s="60" t="s">
        <v>10753</v>
      </c>
      <c r="D3566" s="60" t="s">
        <v>10754</v>
      </c>
    </row>
    <row r="3567" spans="2:4" x14ac:dyDescent="0.35">
      <c r="B3567" s="60" t="s">
        <v>10755</v>
      </c>
      <c r="C3567" s="60" t="s">
        <v>10756</v>
      </c>
      <c r="D3567" s="60" t="s">
        <v>10757</v>
      </c>
    </row>
    <row r="3568" spans="2:4" x14ac:dyDescent="0.35">
      <c r="B3568" s="60" t="s">
        <v>10758</v>
      </c>
      <c r="C3568" s="60" t="s">
        <v>10759</v>
      </c>
      <c r="D3568" s="60" t="s">
        <v>10760</v>
      </c>
    </row>
    <row r="3569" spans="2:4" x14ac:dyDescent="0.35">
      <c r="B3569" s="60" t="s">
        <v>10761</v>
      </c>
      <c r="C3569" s="60" t="s">
        <v>10762</v>
      </c>
      <c r="D3569" s="60" t="s">
        <v>10763</v>
      </c>
    </row>
    <row r="3570" spans="2:4" x14ac:dyDescent="0.35">
      <c r="B3570" s="60" t="s">
        <v>10764</v>
      </c>
      <c r="C3570" s="60" t="s">
        <v>10765</v>
      </c>
      <c r="D3570" s="60" t="s">
        <v>10766</v>
      </c>
    </row>
    <row r="3571" spans="2:4" x14ac:dyDescent="0.35">
      <c r="B3571" s="60" t="s">
        <v>10767</v>
      </c>
      <c r="C3571" s="60" t="s">
        <v>10768</v>
      </c>
      <c r="D3571" s="60" t="s">
        <v>10769</v>
      </c>
    </row>
    <row r="3572" spans="2:4" x14ac:dyDescent="0.35">
      <c r="B3572" s="60" t="s">
        <v>10770</v>
      </c>
      <c r="C3572" s="60" t="s">
        <v>10771</v>
      </c>
      <c r="D3572" s="60" t="s">
        <v>10772</v>
      </c>
    </row>
    <row r="3573" spans="2:4" x14ac:dyDescent="0.35">
      <c r="B3573" s="60" t="s">
        <v>10773</v>
      </c>
      <c r="C3573" s="60" t="s">
        <v>10774</v>
      </c>
      <c r="D3573" s="60" t="s">
        <v>10775</v>
      </c>
    </row>
    <row r="3574" spans="2:4" x14ac:dyDescent="0.35">
      <c r="B3574" s="60" t="s">
        <v>10776</v>
      </c>
      <c r="C3574" s="60" t="s">
        <v>10777</v>
      </c>
      <c r="D3574" s="60" t="s">
        <v>10778</v>
      </c>
    </row>
    <row r="3575" spans="2:4" x14ac:dyDescent="0.35">
      <c r="B3575" s="60" t="s">
        <v>10779</v>
      </c>
      <c r="C3575" s="60" t="s">
        <v>10780</v>
      </c>
      <c r="D3575" s="60" t="s">
        <v>10781</v>
      </c>
    </row>
    <row r="3576" spans="2:4" x14ac:dyDescent="0.35">
      <c r="B3576" s="60" t="s">
        <v>10782</v>
      </c>
      <c r="C3576" s="60" t="s">
        <v>10783</v>
      </c>
      <c r="D3576" s="60" t="s">
        <v>10784</v>
      </c>
    </row>
    <row r="3577" spans="2:4" x14ac:dyDescent="0.35">
      <c r="B3577" s="60" t="s">
        <v>10785</v>
      </c>
      <c r="C3577" s="60" t="s">
        <v>10786</v>
      </c>
      <c r="D3577" s="60" t="s">
        <v>10787</v>
      </c>
    </row>
    <row r="3578" spans="2:4" x14ac:dyDescent="0.35">
      <c r="B3578" s="60" t="s">
        <v>10788</v>
      </c>
      <c r="C3578" s="60" t="s">
        <v>10789</v>
      </c>
      <c r="D3578" s="60" t="s">
        <v>10790</v>
      </c>
    </row>
    <row r="3579" spans="2:4" x14ac:dyDescent="0.35">
      <c r="B3579" s="60" t="s">
        <v>10791</v>
      </c>
      <c r="C3579" s="60" t="s">
        <v>10792</v>
      </c>
      <c r="D3579" s="60" t="s">
        <v>10793</v>
      </c>
    </row>
    <row r="3580" spans="2:4" x14ac:dyDescent="0.35">
      <c r="B3580" s="60" t="s">
        <v>10794</v>
      </c>
      <c r="C3580" s="60" t="s">
        <v>10795</v>
      </c>
      <c r="D3580" s="60" t="s">
        <v>10796</v>
      </c>
    </row>
    <row r="3581" spans="2:4" x14ac:dyDescent="0.35">
      <c r="B3581" s="60" t="s">
        <v>10797</v>
      </c>
      <c r="C3581" s="60" t="s">
        <v>10798</v>
      </c>
      <c r="D3581" s="60" t="s">
        <v>10799</v>
      </c>
    </row>
    <row r="3582" spans="2:4" x14ac:dyDescent="0.35">
      <c r="B3582" s="60" t="s">
        <v>10800</v>
      </c>
      <c r="C3582" s="60" t="s">
        <v>10801</v>
      </c>
      <c r="D3582" s="60" t="s">
        <v>10802</v>
      </c>
    </row>
    <row r="3583" spans="2:4" x14ac:dyDescent="0.35">
      <c r="B3583" s="60" t="s">
        <v>10803</v>
      </c>
      <c r="C3583" s="60" t="s">
        <v>10804</v>
      </c>
      <c r="D3583" s="60" t="s">
        <v>10805</v>
      </c>
    </row>
    <row r="3584" spans="2:4" x14ac:dyDescent="0.35">
      <c r="B3584" s="60" t="s">
        <v>10806</v>
      </c>
      <c r="C3584" s="60" t="s">
        <v>10807</v>
      </c>
      <c r="D3584" s="60" t="s">
        <v>10808</v>
      </c>
    </row>
    <row r="3585" spans="2:4" x14ac:dyDescent="0.35">
      <c r="B3585" s="60" t="s">
        <v>10809</v>
      </c>
      <c r="C3585" s="60" t="s">
        <v>10810</v>
      </c>
      <c r="D3585" s="60" t="s">
        <v>10811</v>
      </c>
    </row>
    <row r="3586" spans="2:4" x14ac:dyDescent="0.35">
      <c r="B3586" s="60" t="s">
        <v>10812</v>
      </c>
      <c r="C3586" s="60" t="s">
        <v>10813</v>
      </c>
      <c r="D3586" s="60" t="s">
        <v>10814</v>
      </c>
    </row>
    <row r="3587" spans="2:4" x14ac:dyDescent="0.35">
      <c r="B3587" s="60" t="s">
        <v>10815</v>
      </c>
      <c r="C3587" s="60" t="s">
        <v>10816</v>
      </c>
      <c r="D3587" s="60" t="s">
        <v>10817</v>
      </c>
    </row>
    <row r="3588" spans="2:4" x14ac:dyDescent="0.35">
      <c r="B3588" s="60" t="s">
        <v>10818</v>
      </c>
      <c r="C3588" s="60" t="s">
        <v>10819</v>
      </c>
      <c r="D3588" s="60" t="s">
        <v>10820</v>
      </c>
    </row>
    <row r="3589" spans="2:4" x14ac:dyDescent="0.35">
      <c r="B3589" s="60" t="s">
        <v>10821</v>
      </c>
      <c r="C3589" s="60" t="s">
        <v>10822</v>
      </c>
      <c r="D3589" s="60" t="s">
        <v>10823</v>
      </c>
    </row>
    <row r="3590" spans="2:4" x14ac:dyDescent="0.35">
      <c r="B3590" s="60" t="s">
        <v>10824</v>
      </c>
      <c r="C3590" s="60" t="s">
        <v>10825</v>
      </c>
      <c r="D3590" s="60" t="s">
        <v>10826</v>
      </c>
    </row>
    <row r="3591" spans="2:4" x14ac:dyDescent="0.35">
      <c r="B3591" s="60" t="s">
        <v>10827</v>
      </c>
      <c r="C3591" s="60" t="s">
        <v>10828</v>
      </c>
      <c r="D3591" s="60" t="s">
        <v>10829</v>
      </c>
    </row>
    <row r="3592" spans="2:4" x14ac:dyDescent="0.35">
      <c r="B3592" s="60" t="s">
        <v>10830</v>
      </c>
      <c r="C3592" s="60" t="s">
        <v>10831</v>
      </c>
      <c r="D3592" s="60" t="s">
        <v>10832</v>
      </c>
    </row>
    <row r="3593" spans="2:4" x14ac:dyDescent="0.35">
      <c r="B3593" s="60" t="s">
        <v>10833</v>
      </c>
      <c r="C3593" s="60" t="s">
        <v>10834</v>
      </c>
      <c r="D3593" s="60" t="s">
        <v>10835</v>
      </c>
    </row>
    <row r="3594" spans="2:4" x14ac:dyDescent="0.35">
      <c r="B3594" s="60" t="s">
        <v>10836</v>
      </c>
      <c r="C3594" s="60" t="s">
        <v>10837</v>
      </c>
      <c r="D3594" s="60" t="s">
        <v>10838</v>
      </c>
    </row>
    <row r="3595" spans="2:4" x14ac:dyDescent="0.35">
      <c r="B3595" s="60" t="s">
        <v>10839</v>
      </c>
      <c r="C3595" s="60" t="s">
        <v>10840</v>
      </c>
      <c r="D3595" s="60" t="s">
        <v>10841</v>
      </c>
    </row>
    <row r="3596" spans="2:4" x14ac:dyDescent="0.35">
      <c r="B3596" s="60" t="s">
        <v>10842</v>
      </c>
      <c r="C3596" s="60" t="s">
        <v>10843</v>
      </c>
      <c r="D3596" s="60" t="s">
        <v>10844</v>
      </c>
    </row>
    <row r="3597" spans="2:4" x14ac:dyDescent="0.35">
      <c r="B3597" s="60" t="s">
        <v>10845</v>
      </c>
      <c r="C3597" s="60" t="s">
        <v>10846</v>
      </c>
      <c r="D3597" s="60" t="s">
        <v>10847</v>
      </c>
    </row>
    <row r="3598" spans="2:4" x14ac:dyDescent="0.35">
      <c r="B3598" s="60" t="s">
        <v>10848</v>
      </c>
      <c r="C3598" s="60" t="s">
        <v>10849</v>
      </c>
      <c r="D3598" s="60" t="s">
        <v>10850</v>
      </c>
    </row>
    <row r="3599" spans="2:4" x14ac:dyDescent="0.35">
      <c r="B3599" s="60" t="s">
        <v>10851</v>
      </c>
      <c r="C3599" s="60" t="s">
        <v>10852</v>
      </c>
      <c r="D3599" s="60" t="s">
        <v>10853</v>
      </c>
    </row>
    <row r="3600" spans="2:4" x14ac:dyDescent="0.35">
      <c r="B3600" s="60" t="s">
        <v>10854</v>
      </c>
      <c r="C3600" s="60" t="s">
        <v>10855</v>
      </c>
      <c r="D3600" s="60" t="s">
        <v>10856</v>
      </c>
    </row>
    <row r="3601" spans="2:4" x14ac:dyDescent="0.35">
      <c r="B3601" s="60" t="s">
        <v>10857</v>
      </c>
      <c r="C3601" s="60" t="s">
        <v>10858</v>
      </c>
      <c r="D3601" s="60" t="s">
        <v>10859</v>
      </c>
    </row>
    <row r="3602" spans="2:4" x14ac:dyDescent="0.35">
      <c r="B3602" s="60" t="s">
        <v>10860</v>
      </c>
      <c r="C3602" s="60" t="s">
        <v>10861</v>
      </c>
      <c r="D3602" s="60" t="s">
        <v>10862</v>
      </c>
    </row>
    <row r="3603" spans="2:4" x14ac:dyDescent="0.35">
      <c r="B3603" s="60" t="s">
        <v>10863</v>
      </c>
      <c r="C3603" s="60" t="s">
        <v>10864</v>
      </c>
      <c r="D3603" s="60" t="s">
        <v>10865</v>
      </c>
    </row>
    <row r="3604" spans="2:4" x14ac:dyDescent="0.35">
      <c r="B3604" s="60" t="s">
        <v>10866</v>
      </c>
      <c r="C3604" s="60" t="s">
        <v>10867</v>
      </c>
      <c r="D3604" s="60" t="s">
        <v>10868</v>
      </c>
    </row>
    <row r="3605" spans="2:4" x14ac:dyDescent="0.35">
      <c r="B3605" s="60" t="s">
        <v>10866</v>
      </c>
      <c r="C3605" s="60" t="s">
        <v>10869</v>
      </c>
      <c r="D3605" s="60" t="s">
        <v>10870</v>
      </c>
    </row>
    <row r="3606" spans="2:4" x14ac:dyDescent="0.35">
      <c r="B3606" s="60" t="s">
        <v>10871</v>
      </c>
      <c r="C3606" s="60" t="s">
        <v>10872</v>
      </c>
      <c r="D3606" s="60" t="s">
        <v>10873</v>
      </c>
    </row>
    <row r="3607" spans="2:4" x14ac:dyDescent="0.35">
      <c r="B3607" s="60" t="s">
        <v>10874</v>
      </c>
      <c r="C3607" s="60" t="s">
        <v>10875</v>
      </c>
      <c r="D3607" s="60" t="s">
        <v>10876</v>
      </c>
    </row>
    <row r="3608" spans="2:4" x14ac:dyDescent="0.35">
      <c r="B3608" s="60" t="s">
        <v>10877</v>
      </c>
      <c r="C3608" s="60" t="s">
        <v>10878</v>
      </c>
      <c r="D3608" s="60" t="s">
        <v>10879</v>
      </c>
    </row>
    <row r="3609" spans="2:4" x14ac:dyDescent="0.35">
      <c r="B3609" s="60" t="s">
        <v>10880</v>
      </c>
      <c r="C3609" s="60" t="s">
        <v>10881</v>
      </c>
      <c r="D3609" s="60" t="s">
        <v>10882</v>
      </c>
    </row>
    <row r="3610" spans="2:4" x14ac:dyDescent="0.35">
      <c r="B3610" s="60" t="s">
        <v>10883</v>
      </c>
      <c r="C3610" s="60" t="s">
        <v>10884</v>
      </c>
      <c r="D3610" s="60" t="s">
        <v>10885</v>
      </c>
    </row>
    <row r="3611" spans="2:4" x14ac:dyDescent="0.35">
      <c r="B3611" s="60" t="s">
        <v>10886</v>
      </c>
      <c r="C3611" s="60" t="s">
        <v>10887</v>
      </c>
      <c r="D3611" s="60" t="s">
        <v>10888</v>
      </c>
    </row>
    <row r="3612" spans="2:4" x14ac:dyDescent="0.35">
      <c r="B3612" s="60" t="s">
        <v>10889</v>
      </c>
      <c r="C3612" s="60" t="s">
        <v>10890</v>
      </c>
      <c r="D3612" s="60" t="s">
        <v>10891</v>
      </c>
    </row>
    <row r="3613" spans="2:4" x14ac:dyDescent="0.35">
      <c r="B3613" s="60" t="s">
        <v>10892</v>
      </c>
      <c r="C3613" s="60" t="s">
        <v>10893</v>
      </c>
      <c r="D3613" s="60" t="s">
        <v>10894</v>
      </c>
    </row>
    <row r="3614" spans="2:4" x14ac:dyDescent="0.35">
      <c r="B3614" s="60" t="s">
        <v>10895</v>
      </c>
      <c r="C3614" s="60" t="s">
        <v>10896</v>
      </c>
      <c r="D3614" s="60" t="s">
        <v>10897</v>
      </c>
    </row>
    <row r="3615" spans="2:4" x14ac:dyDescent="0.35">
      <c r="B3615" s="60" t="s">
        <v>10898</v>
      </c>
      <c r="C3615" s="60" t="s">
        <v>10899</v>
      </c>
      <c r="D3615" s="60" t="s">
        <v>10900</v>
      </c>
    </row>
    <row r="3616" spans="2:4" x14ac:dyDescent="0.35">
      <c r="B3616" s="60" t="s">
        <v>10901</v>
      </c>
      <c r="C3616" s="60" t="s">
        <v>10902</v>
      </c>
      <c r="D3616" s="60" t="s">
        <v>10903</v>
      </c>
    </row>
    <row r="3617" spans="2:4" x14ac:dyDescent="0.35">
      <c r="B3617" s="60" t="s">
        <v>10904</v>
      </c>
      <c r="C3617" s="60" t="s">
        <v>10905</v>
      </c>
      <c r="D3617" s="60" t="s">
        <v>10906</v>
      </c>
    </row>
    <row r="3618" spans="2:4" x14ac:dyDescent="0.35">
      <c r="B3618" s="60" t="s">
        <v>10907</v>
      </c>
      <c r="C3618" s="60" t="s">
        <v>10908</v>
      </c>
      <c r="D3618" s="60" t="s">
        <v>10909</v>
      </c>
    </row>
    <row r="3619" spans="2:4" x14ac:dyDescent="0.35">
      <c r="B3619" s="60" t="s">
        <v>10910</v>
      </c>
      <c r="C3619" s="60" t="s">
        <v>10911</v>
      </c>
      <c r="D3619" s="60" t="s">
        <v>10912</v>
      </c>
    </row>
    <row r="3620" spans="2:4" x14ac:dyDescent="0.35">
      <c r="B3620" s="60" t="s">
        <v>10913</v>
      </c>
      <c r="C3620" s="60" t="s">
        <v>10914</v>
      </c>
      <c r="D3620" s="60" t="s">
        <v>10915</v>
      </c>
    </row>
    <row r="3621" spans="2:4" x14ac:dyDescent="0.35">
      <c r="B3621" s="60" t="s">
        <v>10916</v>
      </c>
      <c r="C3621" s="60" t="s">
        <v>10917</v>
      </c>
      <c r="D3621" s="60" t="s">
        <v>10918</v>
      </c>
    </row>
    <row r="3622" spans="2:4" x14ac:dyDescent="0.35">
      <c r="B3622" s="60" t="s">
        <v>10919</v>
      </c>
      <c r="C3622" s="60" t="s">
        <v>10920</v>
      </c>
      <c r="D3622" s="60" t="s">
        <v>10921</v>
      </c>
    </row>
    <row r="3623" spans="2:4" x14ac:dyDescent="0.35">
      <c r="B3623" s="60" t="s">
        <v>10922</v>
      </c>
      <c r="C3623" s="60" t="s">
        <v>10923</v>
      </c>
      <c r="D3623" s="60" t="s">
        <v>10924</v>
      </c>
    </row>
    <row r="3624" spans="2:4" x14ac:dyDescent="0.35">
      <c r="B3624" s="60" t="s">
        <v>10925</v>
      </c>
      <c r="C3624" s="60" t="s">
        <v>10926</v>
      </c>
      <c r="D3624" s="60" t="s">
        <v>10927</v>
      </c>
    </row>
    <row r="3625" spans="2:4" x14ac:dyDescent="0.35">
      <c r="B3625" s="60" t="s">
        <v>10928</v>
      </c>
      <c r="C3625" s="60" t="s">
        <v>10929</v>
      </c>
      <c r="D3625" s="60" t="s">
        <v>10930</v>
      </c>
    </row>
    <row r="3626" spans="2:4" x14ac:dyDescent="0.35">
      <c r="B3626" s="60" t="s">
        <v>10931</v>
      </c>
      <c r="C3626" s="60" t="s">
        <v>10932</v>
      </c>
      <c r="D3626" s="60" t="s">
        <v>10933</v>
      </c>
    </row>
    <row r="3627" spans="2:4" x14ac:dyDescent="0.35">
      <c r="B3627" s="60" t="s">
        <v>10934</v>
      </c>
      <c r="C3627" s="60" t="s">
        <v>10935</v>
      </c>
      <c r="D3627" s="60" t="s">
        <v>10936</v>
      </c>
    </row>
    <row r="3628" spans="2:4" x14ac:dyDescent="0.35">
      <c r="B3628" s="60" t="s">
        <v>10937</v>
      </c>
      <c r="C3628" s="60" t="s">
        <v>10938</v>
      </c>
      <c r="D3628" s="60" t="s">
        <v>10939</v>
      </c>
    </row>
    <row r="3629" spans="2:4" x14ac:dyDescent="0.35">
      <c r="B3629" s="60" t="s">
        <v>10940</v>
      </c>
      <c r="C3629" s="60" t="s">
        <v>10941</v>
      </c>
      <c r="D3629" s="60" t="s">
        <v>10942</v>
      </c>
    </row>
    <row r="3630" spans="2:4" x14ac:dyDescent="0.35">
      <c r="B3630" s="60" t="s">
        <v>10943</v>
      </c>
      <c r="C3630" s="60" t="s">
        <v>10944</v>
      </c>
      <c r="D3630" s="60" t="s">
        <v>10945</v>
      </c>
    </row>
    <row r="3631" spans="2:4" x14ac:dyDescent="0.35">
      <c r="B3631" s="60" t="s">
        <v>10946</v>
      </c>
      <c r="C3631" s="60" t="s">
        <v>10947</v>
      </c>
      <c r="D3631" s="60" t="s">
        <v>10948</v>
      </c>
    </row>
    <row r="3632" spans="2:4" x14ac:dyDescent="0.35">
      <c r="B3632" s="60" t="s">
        <v>10949</v>
      </c>
      <c r="C3632" s="60" t="s">
        <v>10950</v>
      </c>
      <c r="D3632" s="60" t="s">
        <v>10951</v>
      </c>
    </row>
    <row r="3633" spans="2:4" x14ac:dyDescent="0.35">
      <c r="B3633" s="60" t="s">
        <v>10952</v>
      </c>
      <c r="C3633" s="60" t="s">
        <v>10953</v>
      </c>
      <c r="D3633" s="60" t="s">
        <v>10954</v>
      </c>
    </row>
    <row r="3634" spans="2:4" x14ac:dyDescent="0.35">
      <c r="B3634" s="60" t="s">
        <v>10955</v>
      </c>
      <c r="C3634" s="60" t="s">
        <v>10956</v>
      </c>
      <c r="D3634" s="60" t="s">
        <v>10957</v>
      </c>
    </row>
    <row r="3635" spans="2:4" x14ac:dyDescent="0.35">
      <c r="B3635" s="60" t="s">
        <v>10958</v>
      </c>
      <c r="C3635" s="60" t="s">
        <v>10959</v>
      </c>
      <c r="D3635" s="60" t="s">
        <v>10960</v>
      </c>
    </row>
    <row r="3636" spans="2:4" x14ac:dyDescent="0.35">
      <c r="B3636" s="60" t="s">
        <v>10961</v>
      </c>
      <c r="C3636" s="60" t="s">
        <v>10962</v>
      </c>
      <c r="D3636" s="60" t="s">
        <v>10963</v>
      </c>
    </row>
    <row r="3637" spans="2:4" x14ac:dyDescent="0.35">
      <c r="B3637" s="60" t="s">
        <v>10961</v>
      </c>
      <c r="C3637" s="60" t="s">
        <v>10964</v>
      </c>
      <c r="D3637" s="60" t="s">
        <v>10965</v>
      </c>
    </row>
    <row r="3638" spans="2:4" x14ac:dyDescent="0.35">
      <c r="B3638" s="60" t="s">
        <v>10966</v>
      </c>
      <c r="C3638" s="60" t="s">
        <v>10967</v>
      </c>
      <c r="D3638" s="60" t="s">
        <v>10968</v>
      </c>
    </row>
    <row r="3639" spans="2:4" x14ac:dyDescent="0.35">
      <c r="B3639" s="60" t="s">
        <v>10969</v>
      </c>
      <c r="C3639" s="60" t="s">
        <v>10970</v>
      </c>
      <c r="D3639" s="60" t="s">
        <v>10971</v>
      </c>
    </row>
    <row r="3640" spans="2:4" x14ac:dyDescent="0.35">
      <c r="B3640" s="60" t="s">
        <v>10972</v>
      </c>
      <c r="C3640" s="60" t="s">
        <v>10973</v>
      </c>
      <c r="D3640" s="60" t="s">
        <v>10974</v>
      </c>
    </row>
    <row r="3641" spans="2:4" x14ac:dyDescent="0.35">
      <c r="B3641" s="60" t="s">
        <v>10975</v>
      </c>
      <c r="C3641" s="60" t="s">
        <v>10976</v>
      </c>
      <c r="D3641" s="60" t="s">
        <v>10977</v>
      </c>
    </row>
    <row r="3642" spans="2:4" x14ac:dyDescent="0.35">
      <c r="B3642" s="60" t="s">
        <v>10978</v>
      </c>
      <c r="C3642" s="60" t="s">
        <v>10979</v>
      </c>
      <c r="D3642" s="60" t="s">
        <v>10980</v>
      </c>
    </row>
    <row r="3643" spans="2:4" x14ac:dyDescent="0.35">
      <c r="B3643" s="60" t="s">
        <v>10981</v>
      </c>
      <c r="C3643" s="60" t="s">
        <v>10982</v>
      </c>
      <c r="D3643" s="60" t="s">
        <v>10983</v>
      </c>
    </row>
    <row r="3644" spans="2:4" x14ac:dyDescent="0.35">
      <c r="B3644" s="60" t="s">
        <v>10984</v>
      </c>
      <c r="C3644" s="60" t="s">
        <v>10985</v>
      </c>
      <c r="D3644" s="60" t="s">
        <v>10986</v>
      </c>
    </row>
    <row r="3645" spans="2:4" x14ac:dyDescent="0.35">
      <c r="B3645" s="60" t="s">
        <v>10987</v>
      </c>
      <c r="C3645" s="60" t="s">
        <v>10988</v>
      </c>
      <c r="D3645" s="60" t="s">
        <v>10989</v>
      </c>
    </row>
    <row r="3646" spans="2:4" x14ac:dyDescent="0.35">
      <c r="B3646" s="60" t="s">
        <v>10990</v>
      </c>
      <c r="C3646" s="60" t="s">
        <v>10991</v>
      </c>
      <c r="D3646" s="60" t="s">
        <v>10992</v>
      </c>
    </row>
    <row r="3647" spans="2:4" x14ac:dyDescent="0.35">
      <c r="B3647" s="60" t="s">
        <v>10993</v>
      </c>
      <c r="C3647" s="60" t="s">
        <v>10994</v>
      </c>
      <c r="D3647" s="60" t="s">
        <v>10995</v>
      </c>
    </row>
    <row r="3648" spans="2:4" x14ac:dyDescent="0.35">
      <c r="B3648" s="60" t="s">
        <v>10996</v>
      </c>
      <c r="C3648" s="60" t="s">
        <v>10997</v>
      </c>
      <c r="D3648" s="60" t="s">
        <v>10998</v>
      </c>
    </row>
    <row r="3649" spans="2:4" x14ac:dyDescent="0.35">
      <c r="B3649" s="60" t="s">
        <v>10999</v>
      </c>
      <c r="C3649" s="60" t="s">
        <v>11000</v>
      </c>
      <c r="D3649" s="60" t="s">
        <v>11001</v>
      </c>
    </row>
    <row r="3650" spans="2:4" x14ac:dyDescent="0.35">
      <c r="B3650" s="60" t="s">
        <v>11002</v>
      </c>
      <c r="C3650" s="60" t="s">
        <v>11003</v>
      </c>
      <c r="D3650" s="60" t="s">
        <v>11004</v>
      </c>
    </row>
    <row r="3651" spans="2:4" x14ac:dyDescent="0.35">
      <c r="B3651" s="60" t="s">
        <v>11005</v>
      </c>
      <c r="C3651" s="60" t="s">
        <v>11006</v>
      </c>
      <c r="D3651" s="60" t="s">
        <v>11007</v>
      </c>
    </row>
    <row r="3652" spans="2:4" x14ac:dyDescent="0.35">
      <c r="B3652" s="60" t="s">
        <v>11008</v>
      </c>
      <c r="C3652" s="60" t="s">
        <v>11009</v>
      </c>
      <c r="D3652" s="60" t="s">
        <v>11010</v>
      </c>
    </row>
    <row r="3653" spans="2:4" x14ac:dyDescent="0.35">
      <c r="B3653" s="60" t="s">
        <v>11011</v>
      </c>
      <c r="C3653" s="60" t="s">
        <v>11012</v>
      </c>
      <c r="D3653" s="60" t="s">
        <v>11013</v>
      </c>
    </row>
    <row r="3654" spans="2:4" x14ac:dyDescent="0.35">
      <c r="B3654" s="60" t="s">
        <v>11014</v>
      </c>
      <c r="C3654" s="60" t="s">
        <v>11015</v>
      </c>
      <c r="D3654" s="60" t="s">
        <v>11016</v>
      </c>
    </row>
    <row r="3655" spans="2:4" x14ac:dyDescent="0.35">
      <c r="B3655" s="60" t="s">
        <v>11017</v>
      </c>
      <c r="C3655" s="60" t="s">
        <v>11018</v>
      </c>
      <c r="D3655" s="60" t="s">
        <v>11019</v>
      </c>
    </row>
    <row r="3656" spans="2:4" x14ac:dyDescent="0.35">
      <c r="B3656" s="60" t="s">
        <v>11020</v>
      </c>
      <c r="C3656" s="60" t="s">
        <v>11021</v>
      </c>
      <c r="D3656" s="60" t="s">
        <v>11022</v>
      </c>
    </row>
    <row r="3657" spans="2:4" x14ac:dyDescent="0.35">
      <c r="B3657" s="60" t="s">
        <v>11023</v>
      </c>
      <c r="C3657" s="60" t="s">
        <v>11024</v>
      </c>
      <c r="D3657" s="60" t="s">
        <v>11025</v>
      </c>
    </row>
    <row r="3658" spans="2:4" x14ac:dyDescent="0.35">
      <c r="B3658" s="60" t="s">
        <v>11026</v>
      </c>
      <c r="C3658" s="60" t="s">
        <v>11027</v>
      </c>
      <c r="D3658" s="60" t="s">
        <v>11028</v>
      </c>
    </row>
    <row r="3659" spans="2:4" x14ac:dyDescent="0.35">
      <c r="B3659" s="60" t="s">
        <v>11029</v>
      </c>
      <c r="C3659" s="60" t="s">
        <v>11030</v>
      </c>
      <c r="D3659" s="60" t="s">
        <v>11031</v>
      </c>
    </row>
    <row r="3660" spans="2:4" x14ac:dyDescent="0.35">
      <c r="B3660" s="60" t="s">
        <v>11032</v>
      </c>
      <c r="C3660" s="60" t="s">
        <v>11033</v>
      </c>
      <c r="D3660" s="60" t="s">
        <v>11034</v>
      </c>
    </row>
    <row r="3661" spans="2:4" x14ac:dyDescent="0.35">
      <c r="B3661" s="60" t="s">
        <v>11035</v>
      </c>
      <c r="C3661" s="60" t="s">
        <v>11036</v>
      </c>
      <c r="D3661" s="60" t="s">
        <v>11037</v>
      </c>
    </row>
    <row r="3662" spans="2:4" x14ac:dyDescent="0.35">
      <c r="B3662" s="60" t="s">
        <v>11038</v>
      </c>
      <c r="C3662" s="60" t="s">
        <v>11039</v>
      </c>
      <c r="D3662" s="60" t="s">
        <v>11040</v>
      </c>
    </row>
    <row r="3663" spans="2:4" x14ac:dyDescent="0.35">
      <c r="B3663" s="60" t="s">
        <v>11041</v>
      </c>
      <c r="C3663" s="60" t="s">
        <v>11042</v>
      </c>
      <c r="D3663" s="60" t="s">
        <v>11043</v>
      </c>
    </row>
    <row r="3664" spans="2:4" x14ac:dyDescent="0.35">
      <c r="B3664" s="60" t="s">
        <v>11044</v>
      </c>
      <c r="C3664" s="60" t="s">
        <v>11045</v>
      </c>
      <c r="D3664" s="60" t="s">
        <v>11019</v>
      </c>
    </row>
    <row r="3665" spans="2:4" x14ac:dyDescent="0.35">
      <c r="B3665" s="60" t="s">
        <v>11046</v>
      </c>
      <c r="C3665" s="60" t="s">
        <v>11047</v>
      </c>
      <c r="D3665" s="60" t="s">
        <v>11048</v>
      </c>
    </row>
    <row r="3666" spans="2:4" x14ac:dyDescent="0.35">
      <c r="B3666" s="60" t="s">
        <v>11049</v>
      </c>
      <c r="C3666" s="60" t="s">
        <v>11050</v>
      </c>
      <c r="D3666" s="60" t="s">
        <v>11051</v>
      </c>
    </row>
    <row r="3667" spans="2:4" x14ac:dyDescent="0.35">
      <c r="B3667" s="60" t="s">
        <v>11052</v>
      </c>
      <c r="C3667" s="60" t="s">
        <v>11053</v>
      </c>
      <c r="D3667" s="60" t="s">
        <v>11054</v>
      </c>
    </row>
    <row r="3668" spans="2:4" x14ac:dyDescent="0.35">
      <c r="B3668" s="60" t="s">
        <v>11055</v>
      </c>
      <c r="C3668" s="60" t="s">
        <v>11056</v>
      </c>
      <c r="D3668" s="60" t="s">
        <v>11057</v>
      </c>
    </row>
    <row r="3669" spans="2:4" x14ac:dyDescent="0.35">
      <c r="B3669" s="60" t="s">
        <v>11058</v>
      </c>
      <c r="C3669" s="60" t="s">
        <v>11059</v>
      </c>
      <c r="D3669" s="60" t="s">
        <v>11060</v>
      </c>
    </row>
    <row r="3670" spans="2:4" x14ac:dyDescent="0.35">
      <c r="B3670" s="60" t="s">
        <v>11061</v>
      </c>
      <c r="C3670" s="60" t="s">
        <v>11062</v>
      </c>
      <c r="D3670" s="60" t="s">
        <v>504</v>
      </c>
    </row>
    <row r="3671" spans="2:4" x14ac:dyDescent="0.35">
      <c r="B3671" s="60" t="s">
        <v>11063</v>
      </c>
      <c r="C3671" s="60" t="s">
        <v>11064</v>
      </c>
      <c r="D3671" s="60" t="s">
        <v>11065</v>
      </c>
    </row>
    <row r="3672" spans="2:4" x14ac:dyDescent="0.35">
      <c r="B3672" s="60" t="s">
        <v>11066</v>
      </c>
      <c r="C3672" s="60" t="s">
        <v>11067</v>
      </c>
      <c r="D3672" s="60" t="s">
        <v>11068</v>
      </c>
    </row>
    <row r="3673" spans="2:4" x14ac:dyDescent="0.35">
      <c r="B3673" s="60" t="s">
        <v>11069</v>
      </c>
      <c r="C3673" s="60" t="s">
        <v>11070</v>
      </c>
      <c r="D3673" s="60" t="s">
        <v>11071</v>
      </c>
    </row>
    <row r="3674" spans="2:4" x14ac:dyDescent="0.35">
      <c r="B3674" s="60" t="s">
        <v>11072</v>
      </c>
      <c r="C3674" s="60" t="s">
        <v>11073</v>
      </c>
      <c r="D3674" s="60" t="s">
        <v>11074</v>
      </c>
    </row>
    <row r="3675" spans="2:4" x14ac:dyDescent="0.35">
      <c r="B3675" s="60" t="s">
        <v>11075</v>
      </c>
      <c r="C3675" s="60" t="s">
        <v>11076</v>
      </c>
      <c r="D3675" s="60" t="s">
        <v>11077</v>
      </c>
    </row>
    <row r="3676" spans="2:4" x14ac:dyDescent="0.35">
      <c r="B3676" s="60" t="s">
        <v>11078</v>
      </c>
      <c r="C3676" s="60" t="s">
        <v>11079</v>
      </c>
      <c r="D3676" s="60" t="s">
        <v>11080</v>
      </c>
    </row>
    <row r="3677" spans="2:4" x14ac:dyDescent="0.35">
      <c r="B3677" s="60" t="s">
        <v>11081</v>
      </c>
      <c r="C3677" s="60" t="s">
        <v>11082</v>
      </c>
      <c r="D3677" s="60" t="s">
        <v>11083</v>
      </c>
    </row>
    <row r="3678" spans="2:4" x14ac:dyDescent="0.35">
      <c r="B3678" s="60" t="s">
        <v>11084</v>
      </c>
      <c r="C3678" s="60" t="s">
        <v>11085</v>
      </c>
      <c r="D3678" s="60" t="s">
        <v>11086</v>
      </c>
    </row>
    <row r="3679" spans="2:4" x14ac:dyDescent="0.35">
      <c r="B3679" s="60" t="s">
        <v>11087</v>
      </c>
      <c r="C3679" s="60" t="s">
        <v>11088</v>
      </c>
      <c r="D3679" s="60" t="s">
        <v>11089</v>
      </c>
    </row>
    <row r="3680" spans="2:4" x14ac:dyDescent="0.35">
      <c r="B3680" s="60" t="s">
        <v>11090</v>
      </c>
      <c r="C3680" s="60" t="s">
        <v>11091</v>
      </c>
      <c r="D3680" s="60" t="s">
        <v>11092</v>
      </c>
    </row>
    <row r="3681" spans="2:4" x14ac:dyDescent="0.35">
      <c r="B3681" s="60" t="s">
        <v>11093</v>
      </c>
      <c r="C3681" s="60" t="s">
        <v>11094</v>
      </c>
      <c r="D3681" s="60" t="s">
        <v>11095</v>
      </c>
    </row>
    <row r="3682" spans="2:4" x14ac:dyDescent="0.35">
      <c r="B3682" s="60" t="s">
        <v>11096</v>
      </c>
      <c r="C3682" s="60" t="s">
        <v>11097</v>
      </c>
      <c r="D3682" s="60" t="s">
        <v>11098</v>
      </c>
    </row>
    <row r="3683" spans="2:4" x14ac:dyDescent="0.35">
      <c r="B3683" s="60" t="s">
        <v>11099</v>
      </c>
      <c r="C3683" s="60" t="s">
        <v>11100</v>
      </c>
      <c r="D3683" s="60" t="s">
        <v>11101</v>
      </c>
    </row>
    <row r="3684" spans="2:4" x14ac:dyDescent="0.35">
      <c r="B3684" s="60" t="s">
        <v>11102</v>
      </c>
      <c r="C3684" s="60" t="s">
        <v>11103</v>
      </c>
      <c r="D3684" s="60" t="s">
        <v>11104</v>
      </c>
    </row>
    <row r="3685" spans="2:4" x14ac:dyDescent="0.35">
      <c r="B3685" s="60" t="s">
        <v>11105</v>
      </c>
      <c r="C3685" s="60" t="s">
        <v>11106</v>
      </c>
      <c r="D3685" s="60" t="s">
        <v>11107</v>
      </c>
    </row>
    <row r="3686" spans="2:4" x14ac:dyDescent="0.35">
      <c r="B3686" s="60" t="s">
        <v>11108</v>
      </c>
      <c r="C3686" s="60" t="s">
        <v>11109</v>
      </c>
      <c r="D3686" s="60" t="s">
        <v>11110</v>
      </c>
    </row>
    <row r="3687" spans="2:4" x14ac:dyDescent="0.35">
      <c r="B3687" s="60" t="s">
        <v>11111</v>
      </c>
      <c r="C3687" s="60" t="s">
        <v>11112</v>
      </c>
      <c r="D3687" s="60" t="s">
        <v>11113</v>
      </c>
    </row>
    <row r="3688" spans="2:4" x14ac:dyDescent="0.35">
      <c r="B3688" s="60" t="s">
        <v>11114</v>
      </c>
      <c r="C3688" s="60" t="s">
        <v>11115</v>
      </c>
      <c r="D3688" s="60" t="s">
        <v>11116</v>
      </c>
    </row>
    <row r="3689" spans="2:4" x14ac:dyDescent="0.35">
      <c r="B3689" s="60" t="s">
        <v>11117</v>
      </c>
      <c r="C3689" s="60" t="s">
        <v>11118</v>
      </c>
      <c r="D3689" s="60" t="s">
        <v>11119</v>
      </c>
    </row>
    <row r="3690" spans="2:4" x14ac:dyDescent="0.35">
      <c r="B3690" s="60" t="s">
        <v>11120</v>
      </c>
      <c r="C3690" s="60" t="s">
        <v>11121</v>
      </c>
      <c r="D3690" s="60" t="s">
        <v>11122</v>
      </c>
    </row>
    <row r="3691" spans="2:4" x14ac:dyDescent="0.35">
      <c r="B3691" s="60" t="s">
        <v>11123</v>
      </c>
      <c r="C3691" s="60" t="s">
        <v>11124</v>
      </c>
      <c r="D3691" s="60" t="s">
        <v>11125</v>
      </c>
    </row>
    <row r="3692" spans="2:4" x14ac:dyDescent="0.35">
      <c r="B3692" s="60" t="s">
        <v>11126</v>
      </c>
      <c r="C3692" s="60" t="s">
        <v>11127</v>
      </c>
      <c r="D3692" s="60" t="s">
        <v>11128</v>
      </c>
    </row>
    <row r="3693" spans="2:4" x14ac:dyDescent="0.35">
      <c r="B3693" s="60" t="s">
        <v>11129</v>
      </c>
      <c r="C3693" s="60" t="s">
        <v>11130</v>
      </c>
      <c r="D3693" s="60" t="s">
        <v>11131</v>
      </c>
    </row>
    <row r="3694" spans="2:4" x14ac:dyDescent="0.35">
      <c r="B3694" s="60" t="s">
        <v>11132</v>
      </c>
      <c r="C3694" s="60" t="s">
        <v>11133</v>
      </c>
      <c r="D3694" s="60" t="s">
        <v>11134</v>
      </c>
    </row>
    <row r="3695" spans="2:4" x14ac:dyDescent="0.35">
      <c r="B3695" s="60" t="s">
        <v>11135</v>
      </c>
      <c r="C3695" s="60" t="s">
        <v>11136</v>
      </c>
      <c r="D3695" s="60" t="s">
        <v>11137</v>
      </c>
    </row>
    <row r="3696" spans="2:4" x14ac:dyDescent="0.35">
      <c r="B3696" s="60" t="s">
        <v>11138</v>
      </c>
      <c r="C3696" s="60" t="s">
        <v>11139</v>
      </c>
      <c r="D3696" s="60" t="s">
        <v>11140</v>
      </c>
    </row>
    <row r="3697" spans="2:4" x14ac:dyDescent="0.35">
      <c r="B3697" s="60" t="s">
        <v>11141</v>
      </c>
      <c r="C3697" s="60" t="s">
        <v>11142</v>
      </c>
      <c r="D3697" s="60" t="s">
        <v>11143</v>
      </c>
    </row>
    <row r="3698" spans="2:4" x14ac:dyDescent="0.35">
      <c r="B3698" s="60" t="s">
        <v>11144</v>
      </c>
      <c r="C3698" s="60" t="s">
        <v>11145</v>
      </c>
      <c r="D3698" s="60" t="s">
        <v>11146</v>
      </c>
    </row>
    <row r="3699" spans="2:4" x14ac:dyDescent="0.35">
      <c r="B3699" s="60" t="s">
        <v>11147</v>
      </c>
      <c r="C3699" s="60" t="s">
        <v>11148</v>
      </c>
      <c r="D3699" s="60" t="s">
        <v>11149</v>
      </c>
    </row>
    <row r="3700" spans="2:4" x14ac:dyDescent="0.35">
      <c r="B3700" s="60" t="s">
        <v>11150</v>
      </c>
      <c r="C3700" s="60" t="s">
        <v>11151</v>
      </c>
      <c r="D3700" s="60" t="s">
        <v>11152</v>
      </c>
    </row>
    <row r="3701" spans="2:4" x14ac:dyDescent="0.35">
      <c r="B3701" s="60" t="s">
        <v>11153</v>
      </c>
      <c r="C3701" s="60" t="s">
        <v>11154</v>
      </c>
      <c r="D3701" s="60" t="s">
        <v>11155</v>
      </c>
    </row>
    <row r="3702" spans="2:4" x14ac:dyDescent="0.35">
      <c r="B3702" s="60" t="s">
        <v>11156</v>
      </c>
      <c r="C3702" s="60" t="s">
        <v>11157</v>
      </c>
      <c r="D3702" s="60" t="s">
        <v>9481</v>
      </c>
    </row>
    <row r="3703" spans="2:4" x14ac:dyDescent="0.35">
      <c r="B3703" s="60" t="s">
        <v>11158</v>
      </c>
      <c r="C3703" s="60" t="s">
        <v>11159</v>
      </c>
      <c r="D3703" s="60" t="s">
        <v>11160</v>
      </c>
    </row>
    <row r="3704" spans="2:4" x14ac:dyDescent="0.35">
      <c r="B3704" s="60" t="s">
        <v>11161</v>
      </c>
      <c r="C3704" s="60" t="s">
        <v>11162</v>
      </c>
      <c r="D3704" s="60" t="s">
        <v>11163</v>
      </c>
    </row>
    <row r="3705" spans="2:4" x14ac:dyDescent="0.35">
      <c r="B3705" s="60" t="s">
        <v>11164</v>
      </c>
      <c r="C3705" s="60" t="s">
        <v>11165</v>
      </c>
      <c r="D3705" s="60" t="s">
        <v>11166</v>
      </c>
    </row>
    <row r="3706" spans="2:4" x14ac:dyDescent="0.35">
      <c r="B3706" s="60" t="s">
        <v>11167</v>
      </c>
      <c r="C3706" s="60" t="s">
        <v>11168</v>
      </c>
      <c r="D3706" s="60" t="s">
        <v>11169</v>
      </c>
    </row>
    <row r="3707" spans="2:4" x14ac:dyDescent="0.35">
      <c r="B3707" s="60" t="s">
        <v>11170</v>
      </c>
      <c r="C3707" s="60" t="s">
        <v>11171</v>
      </c>
      <c r="D3707" s="60" t="s">
        <v>11172</v>
      </c>
    </row>
    <row r="3708" spans="2:4" x14ac:dyDescent="0.35">
      <c r="B3708" s="60" t="s">
        <v>11173</v>
      </c>
      <c r="C3708" s="60" t="s">
        <v>11174</v>
      </c>
      <c r="D3708" s="60" t="s">
        <v>11175</v>
      </c>
    </row>
    <row r="3709" spans="2:4" x14ac:dyDescent="0.35">
      <c r="B3709" s="60" t="s">
        <v>11176</v>
      </c>
      <c r="C3709" s="60" t="s">
        <v>11177</v>
      </c>
      <c r="D3709" s="60" t="s">
        <v>11178</v>
      </c>
    </row>
    <row r="3710" spans="2:4" x14ac:dyDescent="0.35">
      <c r="B3710" s="60" t="s">
        <v>11179</v>
      </c>
      <c r="C3710" s="60" t="s">
        <v>11180</v>
      </c>
      <c r="D3710" s="60" t="s">
        <v>11181</v>
      </c>
    </row>
    <row r="3711" spans="2:4" x14ac:dyDescent="0.35">
      <c r="B3711" s="60" t="s">
        <v>11182</v>
      </c>
      <c r="C3711" s="60" t="s">
        <v>11183</v>
      </c>
      <c r="D3711" s="60" t="s">
        <v>11184</v>
      </c>
    </row>
    <row r="3712" spans="2:4" x14ac:dyDescent="0.35">
      <c r="B3712" s="60" t="s">
        <v>11182</v>
      </c>
      <c r="C3712" s="60" t="s">
        <v>11185</v>
      </c>
      <c r="D3712" s="60" t="s">
        <v>11186</v>
      </c>
    </row>
    <row r="3713" spans="2:4" x14ac:dyDescent="0.35">
      <c r="B3713" s="60" t="s">
        <v>11187</v>
      </c>
      <c r="C3713" s="60" t="s">
        <v>11188</v>
      </c>
      <c r="D3713" s="60" t="s">
        <v>11189</v>
      </c>
    </row>
    <row r="3714" spans="2:4" x14ac:dyDescent="0.35">
      <c r="B3714" s="60" t="s">
        <v>11190</v>
      </c>
      <c r="C3714" s="60" t="s">
        <v>11191</v>
      </c>
      <c r="D3714" s="60" t="s">
        <v>11192</v>
      </c>
    </row>
    <row r="3715" spans="2:4" x14ac:dyDescent="0.35">
      <c r="B3715" s="60" t="s">
        <v>11193</v>
      </c>
      <c r="C3715" s="60" t="s">
        <v>11194</v>
      </c>
      <c r="D3715" s="60" t="s">
        <v>11195</v>
      </c>
    </row>
    <row r="3716" spans="2:4" x14ac:dyDescent="0.35">
      <c r="B3716" s="60" t="s">
        <v>11196</v>
      </c>
      <c r="C3716" s="60" t="s">
        <v>11197</v>
      </c>
      <c r="D3716" s="60" t="s">
        <v>11198</v>
      </c>
    </row>
    <row r="3717" spans="2:4" x14ac:dyDescent="0.35">
      <c r="B3717" s="60" t="s">
        <v>11199</v>
      </c>
      <c r="C3717" s="60" t="s">
        <v>11200</v>
      </c>
      <c r="D3717" s="60" t="s">
        <v>11201</v>
      </c>
    </row>
    <row r="3718" spans="2:4" x14ac:dyDescent="0.35">
      <c r="B3718" s="60" t="s">
        <v>11202</v>
      </c>
      <c r="C3718" s="60" t="s">
        <v>11203</v>
      </c>
      <c r="D3718" s="60" t="s">
        <v>11204</v>
      </c>
    </row>
    <row r="3719" spans="2:4" x14ac:dyDescent="0.35">
      <c r="B3719" s="60" t="s">
        <v>11205</v>
      </c>
      <c r="C3719" s="60" t="s">
        <v>11206</v>
      </c>
      <c r="D3719" s="60" t="s">
        <v>11207</v>
      </c>
    </row>
    <row r="3720" spans="2:4" x14ac:dyDescent="0.35">
      <c r="B3720" s="60" t="s">
        <v>11208</v>
      </c>
      <c r="C3720" s="60" t="s">
        <v>11209</v>
      </c>
      <c r="D3720" s="60" t="s">
        <v>11210</v>
      </c>
    </row>
    <row r="3721" spans="2:4" x14ac:dyDescent="0.35">
      <c r="B3721" s="60" t="s">
        <v>11211</v>
      </c>
      <c r="C3721" s="60" t="s">
        <v>11212</v>
      </c>
      <c r="D3721" s="60" t="s">
        <v>11213</v>
      </c>
    </row>
    <row r="3722" spans="2:4" x14ac:dyDescent="0.35">
      <c r="B3722" s="60" t="s">
        <v>11214</v>
      </c>
      <c r="C3722" s="60" t="s">
        <v>11215</v>
      </c>
      <c r="D3722" s="60" t="s">
        <v>11216</v>
      </c>
    </row>
    <row r="3723" spans="2:4" x14ac:dyDescent="0.35">
      <c r="B3723" s="60" t="s">
        <v>11217</v>
      </c>
      <c r="C3723" s="60" t="s">
        <v>11218</v>
      </c>
      <c r="D3723" s="60" t="s">
        <v>11219</v>
      </c>
    </row>
    <row r="3724" spans="2:4" x14ac:dyDescent="0.35">
      <c r="B3724" s="60" t="s">
        <v>11220</v>
      </c>
      <c r="C3724" s="60" t="s">
        <v>11221</v>
      </c>
      <c r="D3724" s="60" t="s">
        <v>11222</v>
      </c>
    </row>
    <row r="3725" spans="2:4" x14ac:dyDescent="0.35">
      <c r="B3725" s="60" t="s">
        <v>11223</v>
      </c>
      <c r="C3725" s="60" t="s">
        <v>11224</v>
      </c>
      <c r="D3725" s="60" t="s">
        <v>11225</v>
      </c>
    </row>
    <row r="3726" spans="2:4" x14ac:dyDescent="0.35">
      <c r="B3726" s="60" t="s">
        <v>11226</v>
      </c>
      <c r="C3726" s="60" t="s">
        <v>11227</v>
      </c>
      <c r="D3726" s="60" t="s">
        <v>11228</v>
      </c>
    </row>
    <row r="3727" spans="2:4" x14ac:dyDescent="0.35">
      <c r="B3727" s="60" t="s">
        <v>11229</v>
      </c>
      <c r="C3727" s="60" t="s">
        <v>11230</v>
      </c>
      <c r="D3727" s="60" t="s">
        <v>11231</v>
      </c>
    </row>
    <row r="3728" spans="2:4" x14ac:dyDescent="0.35">
      <c r="B3728" s="60" t="s">
        <v>11232</v>
      </c>
      <c r="C3728" s="60" t="s">
        <v>11233</v>
      </c>
      <c r="D3728" s="60" t="s">
        <v>11234</v>
      </c>
    </row>
    <row r="3729" spans="2:4" x14ac:dyDescent="0.35">
      <c r="B3729" s="60" t="s">
        <v>11235</v>
      </c>
      <c r="C3729" s="60" t="s">
        <v>11236</v>
      </c>
      <c r="D3729" s="60" t="s">
        <v>11237</v>
      </c>
    </row>
    <row r="3730" spans="2:4" x14ac:dyDescent="0.35">
      <c r="B3730" s="60" t="s">
        <v>11238</v>
      </c>
      <c r="C3730" s="60" t="s">
        <v>11239</v>
      </c>
      <c r="D3730" s="60" t="s">
        <v>11240</v>
      </c>
    </row>
    <row r="3731" spans="2:4" x14ac:dyDescent="0.35">
      <c r="B3731" s="60" t="s">
        <v>11241</v>
      </c>
      <c r="C3731" s="60" t="s">
        <v>11242</v>
      </c>
      <c r="D3731" s="60" t="s">
        <v>11243</v>
      </c>
    </row>
    <row r="3732" spans="2:4" x14ac:dyDescent="0.35">
      <c r="B3732" s="60" t="s">
        <v>11244</v>
      </c>
      <c r="C3732" s="60" t="s">
        <v>11245</v>
      </c>
      <c r="D3732" s="60" t="s">
        <v>11246</v>
      </c>
    </row>
    <row r="3733" spans="2:4" x14ac:dyDescent="0.35">
      <c r="B3733" s="60" t="s">
        <v>11247</v>
      </c>
      <c r="C3733" s="60" t="s">
        <v>11248</v>
      </c>
      <c r="D3733" s="60" t="s">
        <v>11249</v>
      </c>
    </row>
    <row r="3734" spans="2:4" x14ac:dyDescent="0.35">
      <c r="B3734" s="60" t="s">
        <v>11250</v>
      </c>
      <c r="C3734" s="60" t="s">
        <v>11251</v>
      </c>
      <c r="D3734" s="60" t="s">
        <v>11252</v>
      </c>
    </row>
    <row r="3735" spans="2:4" x14ac:dyDescent="0.35">
      <c r="B3735" s="60" t="s">
        <v>11253</v>
      </c>
      <c r="C3735" s="60" t="s">
        <v>11254</v>
      </c>
      <c r="D3735" s="60" t="s">
        <v>11255</v>
      </c>
    </row>
    <row r="3736" spans="2:4" x14ac:dyDescent="0.35">
      <c r="B3736" s="60" t="s">
        <v>11256</v>
      </c>
      <c r="C3736" s="60" t="s">
        <v>11257</v>
      </c>
      <c r="D3736" s="60" t="s">
        <v>11258</v>
      </c>
    </row>
    <row r="3737" spans="2:4" x14ac:dyDescent="0.35">
      <c r="B3737" s="60" t="s">
        <v>11259</v>
      </c>
      <c r="C3737" s="60" t="s">
        <v>11260</v>
      </c>
      <c r="D3737" s="60" t="s">
        <v>11261</v>
      </c>
    </row>
    <row r="3738" spans="2:4" x14ac:dyDescent="0.35">
      <c r="B3738" s="60" t="s">
        <v>11262</v>
      </c>
      <c r="C3738" s="60" t="s">
        <v>11263</v>
      </c>
      <c r="D3738" s="60" t="s">
        <v>11264</v>
      </c>
    </row>
    <row r="3739" spans="2:4" x14ac:dyDescent="0.35">
      <c r="B3739" s="60" t="s">
        <v>11265</v>
      </c>
      <c r="C3739" s="60" t="s">
        <v>11266</v>
      </c>
      <c r="D3739" s="60" t="s">
        <v>11267</v>
      </c>
    </row>
    <row r="3740" spans="2:4" x14ac:dyDescent="0.35">
      <c r="B3740" s="60" t="s">
        <v>11268</v>
      </c>
      <c r="C3740" s="60" t="s">
        <v>11269</v>
      </c>
      <c r="D3740" s="60" t="s">
        <v>11270</v>
      </c>
    </row>
    <row r="3741" spans="2:4" x14ac:dyDescent="0.35">
      <c r="B3741" s="60" t="s">
        <v>11271</v>
      </c>
      <c r="C3741" s="60" t="s">
        <v>11272</v>
      </c>
      <c r="D3741" s="60" t="s">
        <v>11273</v>
      </c>
    </row>
    <row r="3742" spans="2:4" x14ac:dyDescent="0.35">
      <c r="B3742" s="60" t="s">
        <v>11274</v>
      </c>
      <c r="C3742" s="60" t="s">
        <v>11275</v>
      </c>
      <c r="D3742" s="60" t="s">
        <v>11276</v>
      </c>
    </row>
    <row r="3743" spans="2:4" x14ac:dyDescent="0.35">
      <c r="B3743" s="60" t="s">
        <v>11277</v>
      </c>
      <c r="C3743" s="60" t="s">
        <v>11278</v>
      </c>
      <c r="D3743" s="60" t="s">
        <v>11279</v>
      </c>
    </row>
    <row r="3744" spans="2:4" x14ac:dyDescent="0.35">
      <c r="B3744" s="60" t="s">
        <v>11280</v>
      </c>
      <c r="C3744" s="60" t="s">
        <v>11281</v>
      </c>
      <c r="D3744" s="60" t="s">
        <v>11282</v>
      </c>
    </row>
    <row r="3745" spans="2:4" x14ac:dyDescent="0.35">
      <c r="B3745" s="60" t="s">
        <v>11283</v>
      </c>
      <c r="C3745" s="60" t="s">
        <v>11284</v>
      </c>
      <c r="D3745" s="60" t="s">
        <v>11285</v>
      </c>
    </row>
    <row r="3746" spans="2:4" x14ac:dyDescent="0.35">
      <c r="B3746" s="60" t="s">
        <v>11286</v>
      </c>
      <c r="C3746" s="60" t="s">
        <v>11287</v>
      </c>
      <c r="D3746" s="60" t="s">
        <v>11288</v>
      </c>
    </row>
    <row r="3747" spans="2:4" x14ac:dyDescent="0.35">
      <c r="B3747" s="60" t="s">
        <v>11289</v>
      </c>
      <c r="C3747" s="60" t="s">
        <v>11290</v>
      </c>
      <c r="D3747" s="60" t="s">
        <v>11291</v>
      </c>
    </row>
    <row r="3748" spans="2:4" x14ac:dyDescent="0.35">
      <c r="B3748" s="60" t="s">
        <v>11292</v>
      </c>
      <c r="C3748" s="60" t="s">
        <v>11293</v>
      </c>
      <c r="D3748" s="60" t="s">
        <v>11294</v>
      </c>
    </row>
    <row r="3749" spans="2:4" x14ac:dyDescent="0.35">
      <c r="B3749" s="60" t="s">
        <v>11295</v>
      </c>
      <c r="C3749" s="60" t="s">
        <v>11296</v>
      </c>
      <c r="D3749" s="60" t="s">
        <v>11297</v>
      </c>
    </row>
    <row r="3750" spans="2:4" x14ac:dyDescent="0.35">
      <c r="B3750" s="60" t="s">
        <v>11298</v>
      </c>
      <c r="C3750" s="60" t="s">
        <v>11299</v>
      </c>
      <c r="D3750" s="60" t="s">
        <v>11300</v>
      </c>
    </row>
    <row r="3751" spans="2:4" x14ac:dyDescent="0.35">
      <c r="B3751" s="60" t="s">
        <v>11301</v>
      </c>
      <c r="C3751" s="60" t="s">
        <v>11302</v>
      </c>
      <c r="D3751" s="60" t="s">
        <v>11303</v>
      </c>
    </row>
    <row r="3752" spans="2:4" x14ac:dyDescent="0.35">
      <c r="B3752" s="60" t="s">
        <v>11304</v>
      </c>
      <c r="C3752" s="60" t="s">
        <v>11305</v>
      </c>
      <c r="D3752" s="60" t="s">
        <v>11306</v>
      </c>
    </row>
    <row r="3753" spans="2:4" x14ac:dyDescent="0.35">
      <c r="B3753" s="60" t="s">
        <v>11307</v>
      </c>
      <c r="C3753" s="60" t="s">
        <v>11308</v>
      </c>
      <c r="D3753" s="60" t="s">
        <v>11309</v>
      </c>
    </row>
    <row r="3754" spans="2:4" x14ac:dyDescent="0.35">
      <c r="B3754" s="60" t="s">
        <v>11310</v>
      </c>
      <c r="C3754" s="60" t="s">
        <v>11311</v>
      </c>
      <c r="D3754" s="60" t="s">
        <v>11312</v>
      </c>
    </row>
    <row r="3755" spans="2:4" x14ac:dyDescent="0.35">
      <c r="B3755" s="60" t="s">
        <v>11313</v>
      </c>
      <c r="C3755" s="60" t="s">
        <v>11314</v>
      </c>
      <c r="D3755" s="60" t="s">
        <v>11315</v>
      </c>
    </row>
    <row r="3756" spans="2:4" x14ac:dyDescent="0.35">
      <c r="B3756" s="60" t="s">
        <v>11316</v>
      </c>
      <c r="C3756" s="60" t="s">
        <v>11317</v>
      </c>
      <c r="D3756" s="60" t="s">
        <v>11318</v>
      </c>
    </row>
    <row r="3757" spans="2:4" x14ac:dyDescent="0.35">
      <c r="B3757" s="60" t="s">
        <v>11319</v>
      </c>
      <c r="C3757" s="60" t="s">
        <v>11320</v>
      </c>
      <c r="D3757" s="60" t="s">
        <v>11321</v>
      </c>
    </row>
    <row r="3758" spans="2:4" x14ac:dyDescent="0.35">
      <c r="B3758" s="60" t="s">
        <v>11322</v>
      </c>
      <c r="C3758" s="60" t="s">
        <v>11323</v>
      </c>
      <c r="D3758" s="60" t="s">
        <v>11324</v>
      </c>
    </row>
    <row r="3759" spans="2:4" x14ac:dyDescent="0.35">
      <c r="B3759" s="60" t="s">
        <v>11325</v>
      </c>
      <c r="C3759" s="60" t="s">
        <v>11326</v>
      </c>
      <c r="D3759" s="60" t="s">
        <v>11327</v>
      </c>
    </row>
    <row r="3760" spans="2:4" x14ac:dyDescent="0.35">
      <c r="B3760" s="60" t="s">
        <v>11328</v>
      </c>
      <c r="C3760" s="60" t="s">
        <v>11329</v>
      </c>
      <c r="D3760" s="60" t="s">
        <v>11330</v>
      </c>
    </row>
    <row r="3761" spans="2:4" x14ac:dyDescent="0.35">
      <c r="B3761" s="60" t="s">
        <v>11331</v>
      </c>
      <c r="C3761" s="60" t="s">
        <v>11332</v>
      </c>
      <c r="D3761" s="60" t="s">
        <v>11333</v>
      </c>
    </row>
    <row r="3762" spans="2:4" x14ac:dyDescent="0.35">
      <c r="B3762" s="60" t="s">
        <v>11334</v>
      </c>
      <c r="C3762" s="60" t="s">
        <v>11335</v>
      </c>
      <c r="D3762" s="60" t="s">
        <v>11336</v>
      </c>
    </row>
    <row r="3763" spans="2:4" x14ac:dyDescent="0.35">
      <c r="B3763" s="60" t="s">
        <v>11337</v>
      </c>
      <c r="C3763" s="60" t="s">
        <v>11338</v>
      </c>
      <c r="D3763" s="60" t="s">
        <v>11339</v>
      </c>
    </row>
    <row r="3764" spans="2:4" x14ac:dyDescent="0.35">
      <c r="B3764" s="60" t="s">
        <v>11340</v>
      </c>
      <c r="C3764" s="60" t="s">
        <v>11341</v>
      </c>
      <c r="D3764" s="60" t="s">
        <v>11342</v>
      </c>
    </row>
    <row r="3765" spans="2:4" x14ac:dyDescent="0.35">
      <c r="B3765" s="60" t="s">
        <v>11343</v>
      </c>
      <c r="C3765" s="60" t="s">
        <v>11344</v>
      </c>
      <c r="D3765" s="60" t="s">
        <v>11345</v>
      </c>
    </row>
    <row r="3766" spans="2:4" x14ac:dyDescent="0.35">
      <c r="B3766" s="60" t="s">
        <v>11346</v>
      </c>
      <c r="C3766" s="60" t="s">
        <v>11347</v>
      </c>
      <c r="D3766" s="60" t="s">
        <v>11348</v>
      </c>
    </row>
    <row r="3767" spans="2:4" x14ac:dyDescent="0.35">
      <c r="B3767" s="60" t="s">
        <v>11349</v>
      </c>
      <c r="C3767" s="60" t="s">
        <v>11350</v>
      </c>
      <c r="D3767" s="60" t="s">
        <v>11351</v>
      </c>
    </row>
    <row r="3768" spans="2:4" x14ac:dyDescent="0.35">
      <c r="B3768" s="60" t="s">
        <v>11352</v>
      </c>
      <c r="C3768" s="60" t="s">
        <v>11353</v>
      </c>
      <c r="D3768" s="60" t="s">
        <v>11354</v>
      </c>
    </row>
    <row r="3769" spans="2:4" x14ac:dyDescent="0.35">
      <c r="B3769" s="60" t="s">
        <v>11355</v>
      </c>
      <c r="C3769" s="60" t="s">
        <v>11356</v>
      </c>
      <c r="D3769" s="60" t="s">
        <v>11357</v>
      </c>
    </row>
    <row r="3770" spans="2:4" x14ac:dyDescent="0.35">
      <c r="B3770" s="60" t="s">
        <v>11358</v>
      </c>
      <c r="C3770" s="60" t="s">
        <v>11359</v>
      </c>
      <c r="D3770" s="60" t="s">
        <v>11360</v>
      </c>
    </row>
    <row r="3771" spans="2:4" x14ac:dyDescent="0.35">
      <c r="B3771" s="60" t="s">
        <v>11361</v>
      </c>
      <c r="C3771" s="60" t="s">
        <v>11362</v>
      </c>
      <c r="D3771" s="60" t="s">
        <v>11363</v>
      </c>
    </row>
    <row r="3772" spans="2:4" x14ac:dyDescent="0.35">
      <c r="B3772" s="60" t="s">
        <v>11364</v>
      </c>
      <c r="C3772" s="60" t="s">
        <v>11365</v>
      </c>
      <c r="D3772" s="60" t="s">
        <v>11366</v>
      </c>
    </row>
    <row r="3773" spans="2:4" x14ac:dyDescent="0.35">
      <c r="B3773" s="60" t="s">
        <v>11367</v>
      </c>
      <c r="C3773" s="60" t="s">
        <v>11368</v>
      </c>
      <c r="D3773" s="60" t="s">
        <v>11369</v>
      </c>
    </row>
    <row r="3774" spans="2:4" x14ac:dyDescent="0.35">
      <c r="B3774" s="60" t="s">
        <v>11370</v>
      </c>
      <c r="C3774" s="60" t="s">
        <v>11371</v>
      </c>
      <c r="D3774" s="60" t="s">
        <v>11372</v>
      </c>
    </row>
    <row r="3775" spans="2:4" x14ac:dyDescent="0.35">
      <c r="B3775" s="60" t="s">
        <v>11373</v>
      </c>
      <c r="C3775" s="60" t="s">
        <v>11374</v>
      </c>
      <c r="D3775" s="60" t="s">
        <v>11375</v>
      </c>
    </row>
    <row r="3776" spans="2:4" x14ac:dyDescent="0.35">
      <c r="B3776" s="60" t="s">
        <v>11376</v>
      </c>
      <c r="C3776" s="60" t="s">
        <v>11377</v>
      </c>
      <c r="D3776" s="60" t="s">
        <v>11378</v>
      </c>
    </row>
    <row r="3777" spans="2:4" x14ac:dyDescent="0.35">
      <c r="B3777" s="60" t="s">
        <v>11379</v>
      </c>
      <c r="C3777" s="60" t="s">
        <v>11380</v>
      </c>
      <c r="D3777" s="60" t="s">
        <v>8744</v>
      </c>
    </row>
    <row r="3778" spans="2:4" x14ac:dyDescent="0.35">
      <c r="B3778" s="60" t="s">
        <v>11381</v>
      </c>
      <c r="C3778" s="60" t="s">
        <v>11382</v>
      </c>
      <c r="D3778" s="60" t="s">
        <v>11383</v>
      </c>
    </row>
    <row r="3779" spans="2:4" x14ac:dyDescent="0.35">
      <c r="B3779" s="60" t="s">
        <v>11384</v>
      </c>
      <c r="C3779" s="60" t="s">
        <v>11385</v>
      </c>
      <c r="D3779" s="60" t="s">
        <v>11386</v>
      </c>
    </row>
    <row r="3780" spans="2:4" x14ac:dyDescent="0.35">
      <c r="B3780" s="60" t="s">
        <v>11387</v>
      </c>
      <c r="C3780" s="60" t="s">
        <v>11388</v>
      </c>
      <c r="D3780" s="60" t="s">
        <v>11389</v>
      </c>
    </row>
    <row r="3781" spans="2:4" x14ac:dyDescent="0.35">
      <c r="B3781" s="60" t="s">
        <v>11390</v>
      </c>
      <c r="C3781" s="60" t="s">
        <v>11391</v>
      </c>
      <c r="D3781" s="60" t="s">
        <v>11392</v>
      </c>
    </row>
    <row r="3782" spans="2:4" x14ac:dyDescent="0.35">
      <c r="B3782" s="60" t="s">
        <v>11393</v>
      </c>
      <c r="C3782" s="60" t="s">
        <v>11394</v>
      </c>
      <c r="D3782" s="60" t="s">
        <v>11395</v>
      </c>
    </row>
    <row r="3783" spans="2:4" x14ac:dyDescent="0.35">
      <c r="B3783" s="60" t="s">
        <v>11396</v>
      </c>
      <c r="C3783" s="60" t="s">
        <v>11397</v>
      </c>
      <c r="D3783" s="60" t="s">
        <v>11398</v>
      </c>
    </row>
    <row r="3784" spans="2:4" x14ac:dyDescent="0.35">
      <c r="B3784" s="60" t="s">
        <v>11399</v>
      </c>
      <c r="C3784" s="60" t="s">
        <v>11400</v>
      </c>
      <c r="D3784" s="60" t="s">
        <v>11401</v>
      </c>
    </row>
    <row r="3785" spans="2:4" x14ac:dyDescent="0.35">
      <c r="B3785" s="60" t="s">
        <v>11402</v>
      </c>
      <c r="C3785" s="60" t="s">
        <v>11403</v>
      </c>
      <c r="D3785" s="60" t="s">
        <v>9216</v>
      </c>
    </row>
    <row r="3786" spans="2:4" x14ac:dyDescent="0.35">
      <c r="B3786" s="60" t="s">
        <v>11404</v>
      </c>
      <c r="C3786" s="60" t="s">
        <v>11405</v>
      </c>
      <c r="D3786" s="60" t="s">
        <v>11406</v>
      </c>
    </row>
    <row r="3787" spans="2:4" x14ac:dyDescent="0.35">
      <c r="B3787" s="60" t="s">
        <v>11407</v>
      </c>
      <c r="C3787" s="60" t="s">
        <v>11408</v>
      </c>
      <c r="D3787" s="60" t="s">
        <v>11409</v>
      </c>
    </row>
    <row r="3788" spans="2:4" x14ac:dyDescent="0.35">
      <c r="B3788" s="60" t="s">
        <v>11410</v>
      </c>
      <c r="C3788" s="60" t="s">
        <v>11411</v>
      </c>
      <c r="D3788" s="60" t="s">
        <v>11412</v>
      </c>
    </row>
    <row r="3789" spans="2:4" x14ac:dyDescent="0.35">
      <c r="B3789" s="60" t="s">
        <v>11413</v>
      </c>
      <c r="C3789" s="60" t="s">
        <v>11414</v>
      </c>
      <c r="D3789" s="60" t="s">
        <v>11415</v>
      </c>
    </row>
    <row r="3790" spans="2:4" x14ac:dyDescent="0.35">
      <c r="B3790" s="60" t="s">
        <v>11416</v>
      </c>
      <c r="C3790" s="60" t="s">
        <v>11417</v>
      </c>
      <c r="D3790" s="60" t="s">
        <v>11418</v>
      </c>
    </row>
    <row r="3791" spans="2:4" x14ac:dyDescent="0.35">
      <c r="B3791" s="60" t="s">
        <v>11419</v>
      </c>
      <c r="C3791" s="60" t="s">
        <v>11420</v>
      </c>
      <c r="D3791" s="60" t="s">
        <v>11421</v>
      </c>
    </row>
    <row r="3792" spans="2:4" x14ac:dyDescent="0.35">
      <c r="B3792" s="60" t="s">
        <v>11422</v>
      </c>
      <c r="C3792" s="60" t="s">
        <v>11423</v>
      </c>
      <c r="D3792" s="60" t="s">
        <v>11424</v>
      </c>
    </row>
    <row r="3793" spans="2:4" x14ac:dyDescent="0.35">
      <c r="B3793" s="60" t="s">
        <v>11425</v>
      </c>
      <c r="C3793" s="60" t="s">
        <v>11426</v>
      </c>
      <c r="D3793" s="60" t="s">
        <v>11427</v>
      </c>
    </row>
    <row r="3794" spans="2:4" x14ac:dyDescent="0.35">
      <c r="B3794" s="60" t="s">
        <v>11428</v>
      </c>
      <c r="C3794" s="60" t="s">
        <v>11429</v>
      </c>
      <c r="D3794" s="60" t="s">
        <v>11430</v>
      </c>
    </row>
    <row r="3795" spans="2:4" x14ac:dyDescent="0.35">
      <c r="B3795" s="60" t="s">
        <v>11431</v>
      </c>
      <c r="C3795" s="60" t="s">
        <v>11432</v>
      </c>
      <c r="D3795" s="60" t="s">
        <v>11433</v>
      </c>
    </row>
    <row r="3796" spans="2:4" x14ac:dyDescent="0.35">
      <c r="B3796" s="60" t="s">
        <v>11434</v>
      </c>
      <c r="C3796" s="60" t="s">
        <v>11435</v>
      </c>
      <c r="D3796" s="60" t="s">
        <v>11436</v>
      </c>
    </row>
    <row r="3797" spans="2:4" x14ac:dyDescent="0.35">
      <c r="B3797" s="60" t="s">
        <v>11437</v>
      </c>
      <c r="C3797" s="60" t="s">
        <v>11438</v>
      </c>
      <c r="D3797" s="60" t="s">
        <v>11439</v>
      </c>
    </row>
    <row r="3798" spans="2:4" x14ac:dyDescent="0.35">
      <c r="B3798" s="60" t="s">
        <v>11440</v>
      </c>
      <c r="C3798" s="60" t="s">
        <v>11441</v>
      </c>
      <c r="D3798" s="60" t="s">
        <v>11442</v>
      </c>
    </row>
    <row r="3799" spans="2:4" x14ac:dyDescent="0.35">
      <c r="B3799" s="60" t="s">
        <v>11443</v>
      </c>
      <c r="C3799" s="60" t="s">
        <v>11444</v>
      </c>
      <c r="D3799" s="60" t="s">
        <v>11445</v>
      </c>
    </row>
    <row r="3800" spans="2:4" x14ac:dyDescent="0.35">
      <c r="B3800" s="60" t="s">
        <v>11446</v>
      </c>
      <c r="C3800" s="60" t="s">
        <v>11447</v>
      </c>
      <c r="D3800" s="60" t="s">
        <v>11448</v>
      </c>
    </row>
    <row r="3801" spans="2:4" x14ac:dyDescent="0.35">
      <c r="B3801" s="60" t="s">
        <v>11449</v>
      </c>
      <c r="C3801" s="60" t="s">
        <v>11450</v>
      </c>
      <c r="D3801" s="60" t="s">
        <v>11451</v>
      </c>
    </row>
    <row r="3802" spans="2:4" x14ac:dyDescent="0.35">
      <c r="B3802" s="60" t="s">
        <v>11452</v>
      </c>
      <c r="C3802" s="60" t="s">
        <v>11453</v>
      </c>
      <c r="D3802" s="60" t="s">
        <v>11454</v>
      </c>
    </row>
    <row r="3803" spans="2:4" x14ac:dyDescent="0.35">
      <c r="B3803" s="60" t="s">
        <v>11455</v>
      </c>
      <c r="C3803" s="60" t="s">
        <v>11456</v>
      </c>
      <c r="D3803" s="60" t="s">
        <v>11457</v>
      </c>
    </row>
    <row r="3804" spans="2:4" x14ac:dyDescent="0.35">
      <c r="B3804" s="60" t="s">
        <v>11458</v>
      </c>
      <c r="C3804" s="60" t="s">
        <v>11459</v>
      </c>
      <c r="D3804" s="60" t="s">
        <v>11460</v>
      </c>
    </row>
    <row r="3805" spans="2:4" x14ac:dyDescent="0.35">
      <c r="B3805" s="60" t="s">
        <v>11461</v>
      </c>
      <c r="C3805" s="60" t="s">
        <v>11462</v>
      </c>
      <c r="D3805" s="60" t="s">
        <v>11448</v>
      </c>
    </row>
    <row r="3806" spans="2:4" x14ac:dyDescent="0.35">
      <c r="B3806" s="60" t="s">
        <v>11463</v>
      </c>
      <c r="C3806" s="60" t="s">
        <v>11464</v>
      </c>
      <c r="D3806" s="60" t="s">
        <v>11465</v>
      </c>
    </row>
    <row r="3807" spans="2:4" x14ac:dyDescent="0.35">
      <c r="B3807" s="60" t="s">
        <v>11466</v>
      </c>
      <c r="C3807" s="60" t="s">
        <v>11467</v>
      </c>
      <c r="D3807" s="60" t="s">
        <v>11468</v>
      </c>
    </row>
    <row r="3808" spans="2:4" x14ac:dyDescent="0.35">
      <c r="B3808" s="60" t="s">
        <v>11469</v>
      </c>
      <c r="C3808" s="60" t="s">
        <v>11470</v>
      </c>
      <c r="D3808" s="60" t="s">
        <v>11471</v>
      </c>
    </row>
    <row r="3809" spans="2:4" x14ac:dyDescent="0.35">
      <c r="B3809" s="60" t="s">
        <v>11472</v>
      </c>
      <c r="C3809" s="60" t="s">
        <v>11473</v>
      </c>
      <c r="D3809" s="60" t="s">
        <v>11474</v>
      </c>
    </row>
    <row r="3810" spans="2:4" x14ac:dyDescent="0.35">
      <c r="B3810" s="60" t="s">
        <v>118</v>
      </c>
      <c r="C3810" s="60" t="s">
        <v>11475</v>
      </c>
      <c r="D3810" s="60" t="s">
        <v>11476</v>
      </c>
    </row>
    <row r="3811" spans="2:4" x14ac:dyDescent="0.35">
      <c r="B3811" s="60" t="s">
        <v>11477</v>
      </c>
      <c r="C3811" s="60" t="s">
        <v>11478</v>
      </c>
      <c r="D3811" s="60" t="s">
        <v>11479</v>
      </c>
    </row>
    <row r="3812" spans="2:4" x14ac:dyDescent="0.35">
      <c r="B3812" s="60" t="s">
        <v>11480</v>
      </c>
      <c r="C3812" s="60" t="s">
        <v>11481</v>
      </c>
      <c r="D3812" s="60" t="s">
        <v>11482</v>
      </c>
    </row>
    <row r="3813" spans="2:4" x14ac:dyDescent="0.35">
      <c r="B3813" s="60" t="s">
        <v>11483</v>
      </c>
      <c r="C3813" s="60" t="s">
        <v>11484</v>
      </c>
      <c r="D3813" s="60" t="s">
        <v>11485</v>
      </c>
    </row>
    <row r="3814" spans="2:4" x14ac:dyDescent="0.35">
      <c r="B3814" s="60" t="s">
        <v>11486</v>
      </c>
      <c r="C3814" s="60" t="s">
        <v>11487</v>
      </c>
      <c r="D3814" s="60" t="s">
        <v>11488</v>
      </c>
    </row>
    <row r="3815" spans="2:4" x14ac:dyDescent="0.35">
      <c r="B3815" s="60" t="s">
        <v>11489</v>
      </c>
      <c r="C3815" s="60" t="s">
        <v>11490</v>
      </c>
      <c r="D3815" s="60" t="s">
        <v>11491</v>
      </c>
    </row>
    <row r="3816" spans="2:4" x14ac:dyDescent="0.35">
      <c r="B3816" s="60" t="s">
        <v>11492</v>
      </c>
      <c r="C3816" s="60" t="s">
        <v>11493</v>
      </c>
      <c r="D3816" s="60" t="s">
        <v>11494</v>
      </c>
    </row>
    <row r="3817" spans="2:4" x14ac:dyDescent="0.35">
      <c r="B3817" s="60" t="s">
        <v>11495</v>
      </c>
      <c r="C3817" s="60" t="s">
        <v>11496</v>
      </c>
      <c r="D3817" s="60" t="s">
        <v>11497</v>
      </c>
    </row>
    <row r="3818" spans="2:4" x14ac:dyDescent="0.35">
      <c r="B3818" s="60" t="s">
        <v>11498</v>
      </c>
      <c r="C3818" s="60" t="s">
        <v>11499</v>
      </c>
      <c r="D3818" s="60" t="s">
        <v>11500</v>
      </c>
    </row>
    <row r="3819" spans="2:4" x14ac:dyDescent="0.35">
      <c r="B3819" s="60" t="s">
        <v>11501</v>
      </c>
      <c r="C3819" s="60" t="s">
        <v>11502</v>
      </c>
      <c r="D3819" s="60" t="s">
        <v>11503</v>
      </c>
    </row>
    <row r="3820" spans="2:4" x14ac:dyDescent="0.35">
      <c r="B3820" s="60" t="s">
        <v>11504</v>
      </c>
      <c r="C3820" s="60" t="s">
        <v>11505</v>
      </c>
      <c r="D3820" s="60" t="s">
        <v>11506</v>
      </c>
    </row>
    <row r="3821" spans="2:4" x14ac:dyDescent="0.35">
      <c r="B3821" s="60" t="s">
        <v>11507</v>
      </c>
      <c r="C3821" s="60" t="s">
        <v>11508</v>
      </c>
      <c r="D3821" s="60" t="s">
        <v>11509</v>
      </c>
    </row>
    <row r="3822" spans="2:4" x14ac:dyDescent="0.35">
      <c r="B3822" s="60" t="s">
        <v>11510</v>
      </c>
      <c r="C3822" s="60" t="s">
        <v>11511</v>
      </c>
      <c r="D3822" s="60" t="s">
        <v>11512</v>
      </c>
    </row>
    <row r="3823" spans="2:4" x14ac:dyDescent="0.35">
      <c r="B3823" s="60" t="s">
        <v>11513</v>
      </c>
      <c r="C3823" s="60" t="s">
        <v>11514</v>
      </c>
      <c r="D3823" s="60" t="s">
        <v>11515</v>
      </c>
    </row>
    <row r="3824" spans="2:4" x14ac:dyDescent="0.35">
      <c r="B3824" s="60" t="s">
        <v>11516</v>
      </c>
      <c r="C3824" s="60" t="s">
        <v>11517</v>
      </c>
      <c r="D3824" s="60" t="s">
        <v>11518</v>
      </c>
    </row>
    <row r="3825" spans="2:4" x14ac:dyDescent="0.35">
      <c r="B3825" s="60" t="s">
        <v>11519</v>
      </c>
      <c r="C3825" s="60" t="s">
        <v>11520</v>
      </c>
      <c r="D3825" s="60" t="s">
        <v>11521</v>
      </c>
    </row>
    <row r="3826" spans="2:4" x14ac:dyDescent="0.35">
      <c r="B3826" s="60" t="s">
        <v>11522</v>
      </c>
      <c r="C3826" s="60" t="s">
        <v>11523</v>
      </c>
      <c r="D3826" s="60" t="s">
        <v>11524</v>
      </c>
    </row>
    <row r="3827" spans="2:4" x14ac:dyDescent="0.35">
      <c r="B3827" s="60" t="s">
        <v>11525</v>
      </c>
      <c r="C3827" s="60" t="s">
        <v>11526</v>
      </c>
      <c r="D3827" s="60" t="s">
        <v>11527</v>
      </c>
    </row>
    <row r="3828" spans="2:4" x14ac:dyDescent="0.35">
      <c r="B3828" s="60" t="s">
        <v>11528</v>
      </c>
      <c r="C3828" s="60" t="s">
        <v>11529</v>
      </c>
      <c r="D3828" s="60" t="s">
        <v>11530</v>
      </c>
    </row>
    <row r="3829" spans="2:4" x14ac:dyDescent="0.35">
      <c r="B3829" s="60" t="s">
        <v>11531</v>
      </c>
      <c r="C3829" s="60" t="s">
        <v>11532</v>
      </c>
      <c r="D3829" s="60" t="s">
        <v>11533</v>
      </c>
    </row>
    <row r="3830" spans="2:4" x14ac:dyDescent="0.35">
      <c r="B3830" s="60" t="s">
        <v>11534</v>
      </c>
      <c r="C3830" s="60" t="s">
        <v>11535</v>
      </c>
      <c r="D3830" s="60" t="s">
        <v>11536</v>
      </c>
    </row>
    <row r="3831" spans="2:4" x14ac:dyDescent="0.35">
      <c r="B3831" s="60" t="s">
        <v>11537</v>
      </c>
      <c r="C3831" s="60" t="s">
        <v>11538</v>
      </c>
      <c r="D3831" s="60" t="s">
        <v>11539</v>
      </c>
    </row>
    <row r="3832" spans="2:4" x14ac:dyDescent="0.35">
      <c r="B3832" s="60" t="s">
        <v>11540</v>
      </c>
      <c r="C3832" s="60" t="s">
        <v>11541</v>
      </c>
      <c r="D3832" s="60" t="s">
        <v>11542</v>
      </c>
    </row>
    <row r="3833" spans="2:4" x14ac:dyDescent="0.35">
      <c r="B3833" s="60" t="s">
        <v>11543</v>
      </c>
      <c r="C3833" s="60" t="s">
        <v>11544</v>
      </c>
      <c r="D3833" s="60" t="s">
        <v>11545</v>
      </c>
    </row>
    <row r="3834" spans="2:4" x14ac:dyDescent="0.35">
      <c r="B3834" s="60" t="s">
        <v>11546</v>
      </c>
      <c r="C3834" s="60" t="s">
        <v>11547</v>
      </c>
      <c r="D3834" s="60" t="s">
        <v>11548</v>
      </c>
    </row>
    <row r="3835" spans="2:4" x14ac:dyDescent="0.35">
      <c r="B3835" s="60" t="s">
        <v>11549</v>
      </c>
      <c r="C3835" s="60" t="s">
        <v>11550</v>
      </c>
      <c r="D3835" s="60" t="s">
        <v>11551</v>
      </c>
    </row>
    <row r="3836" spans="2:4" x14ac:dyDescent="0.35">
      <c r="B3836" s="60" t="s">
        <v>11552</v>
      </c>
      <c r="C3836" s="60" t="s">
        <v>11553</v>
      </c>
      <c r="D3836" s="60" t="s">
        <v>11554</v>
      </c>
    </row>
    <row r="3837" spans="2:4" x14ac:dyDescent="0.35">
      <c r="B3837" s="60" t="s">
        <v>11555</v>
      </c>
      <c r="C3837" s="60" t="s">
        <v>11556</v>
      </c>
      <c r="D3837" s="60" t="s">
        <v>11557</v>
      </c>
    </row>
    <row r="3838" spans="2:4" x14ac:dyDescent="0.35">
      <c r="B3838" s="60" t="s">
        <v>11558</v>
      </c>
      <c r="C3838" s="60" t="s">
        <v>11559</v>
      </c>
      <c r="D3838" s="60" t="s">
        <v>11560</v>
      </c>
    </row>
    <row r="3839" spans="2:4" x14ac:dyDescent="0.35">
      <c r="B3839" s="60" t="s">
        <v>11558</v>
      </c>
      <c r="C3839" s="60" t="s">
        <v>11561</v>
      </c>
      <c r="D3839" s="60" t="s">
        <v>11562</v>
      </c>
    </row>
    <row r="3840" spans="2:4" x14ac:dyDescent="0.35">
      <c r="B3840" s="60" t="s">
        <v>11563</v>
      </c>
      <c r="C3840" s="60" t="s">
        <v>11564</v>
      </c>
      <c r="D3840" s="60" t="s">
        <v>11565</v>
      </c>
    </row>
    <row r="3841" spans="2:4" x14ac:dyDescent="0.35">
      <c r="B3841" s="60" t="s">
        <v>11566</v>
      </c>
      <c r="C3841" s="60" t="s">
        <v>11567</v>
      </c>
      <c r="D3841" s="60" t="s">
        <v>11568</v>
      </c>
    </row>
    <row r="3842" spans="2:4" x14ac:dyDescent="0.35">
      <c r="B3842" s="60" t="s">
        <v>11569</v>
      </c>
      <c r="C3842" s="60" t="s">
        <v>11559</v>
      </c>
      <c r="D3842" s="60" t="s">
        <v>11560</v>
      </c>
    </row>
    <row r="3843" spans="2:4" x14ac:dyDescent="0.35">
      <c r="B3843" s="60" t="s">
        <v>11570</v>
      </c>
      <c r="C3843" s="60" t="s">
        <v>11571</v>
      </c>
      <c r="D3843" s="60" t="s">
        <v>11572</v>
      </c>
    </row>
    <row r="3844" spans="2:4" x14ac:dyDescent="0.35">
      <c r="B3844" s="60" t="s">
        <v>11573</v>
      </c>
      <c r="C3844" s="60" t="s">
        <v>11574</v>
      </c>
      <c r="D3844" s="60" t="s">
        <v>11575</v>
      </c>
    </row>
    <row r="3845" spans="2:4" x14ac:dyDescent="0.35">
      <c r="B3845" s="60" t="s">
        <v>11576</v>
      </c>
      <c r="C3845" s="60" t="s">
        <v>11577</v>
      </c>
      <c r="D3845" s="60" t="s">
        <v>11578</v>
      </c>
    </row>
    <row r="3846" spans="2:4" x14ac:dyDescent="0.35">
      <c r="B3846" s="60" t="s">
        <v>11579</v>
      </c>
      <c r="C3846" s="60" t="s">
        <v>11580</v>
      </c>
      <c r="D3846" s="60" t="s">
        <v>11581</v>
      </c>
    </row>
    <row r="3847" spans="2:4" x14ac:dyDescent="0.35">
      <c r="B3847" s="60" t="s">
        <v>11582</v>
      </c>
      <c r="C3847" s="60" t="s">
        <v>11583</v>
      </c>
      <c r="D3847" s="60" t="s">
        <v>11584</v>
      </c>
    </row>
    <row r="3848" spans="2:4" x14ac:dyDescent="0.35">
      <c r="B3848" s="60" t="s">
        <v>11585</v>
      </c>
      <c r="C3848" s="60" t="s">
        <v>11586</v>
      </c>
      <c r="D3848" s="60" t="s">
        <v>11587</v>
      </c>
    </row>
    <row r="3849" spans="2:4" x14ac:dyDescent="0.35">
      <c r="B3849" s="60" t="s">
        <v>11588</v>
      </c>
      <c r="C3849" s="60" t="s">
        <v>11589</v>
      </c>
      <c r="D3849" s="60" t="s">
        <v>11590</v>
      </c>
    </row>
    <row r="3850" spans="2:4" x14ac:dyDescent="0.35">
      <c r="B3850" s="60" t="s">
        <v>11591</v>
      </c>
      <c r="C3850" s="60" t="s">
        <v>11592</v>
      </c>
      <c r="D3850" s="60" t="s">
        <v>11593</v>
      </c>
    </row>
    <row r="3851" spans="2:4" x14ac:dyDescent="0.35">
      <c r="B3851" s="60" t="s">
        <v>11594</v>
      </c>
      <c r="C3851" s="60" t="s">
        <v>11595</v>
      </c>
      <c r="D3851" s="60" t="s">
        <v>11596</v>
      </c>
    </row>
    <row r="3852" spans="2:4" x14ac:dyDescent="0.35">
      <c r="B3852" s="60" t="s">
        <v>11597</v>
      </c>
      <c r="C3852" s="60" t="s">
        <v>11598</v>
      </c>
      <c r="D3852" s="60" t="s">
        <v>11599</v>
      </c>
    </row>
    <row r="3853" spans="2:4" x14ac:dyDescent="0.35">
      <c r="B3853" s="60" t="s">
        <v>11600</v>
      </c>
      <c r="C3853" s="60" t="s">
        <v>11601</v>
      </c>
      <c r="D3853" s="60" t="s">
        <v>11602</v>
      </c>
    </row>
    <row r="3854" spans="2:4" x14ac:dyDescent="0.35">
      <c r="B3854" s="60" t="s">
        <v>11603</v>
      </c>
      <c r="C3854" s="60" t="s">
        <v>11604</v>
      </c>
      <c r="D3854" s="60" t="s">
        <v>11605</v>
      </c>
    </row>
    <row r="3855" spans="2:4" x14ac:dyDescent="0.35">
      <c r="B3855" s="60" t="s">
        <v>11606</v>
      </c>
      <c r="C3855" s="60" t="s">
        <v>11607</v>
      </c>
      <c r="D3855" s="60" t="s">
        <v>11608</v>
      </c>
    </row>
    <row r="3856" spans="2:4" x14ac:dyDescent="0.35">
      <c r="B3856" s="60" t="s">
        <v>11609</v>
      </c>
      <c r="C3856" s="60" t="s">
        <v>11610</v>
      </c>
      <c r="D3856" s="60" t="s">
        <v>11611</v>
      </c>
    </row>
    <row r="3857" spans="2:4" x14ac:dyDescent="0.35">
      <c r="B3857" s="60" t="s">
        <v>11612</v>
      </c>
      <c r="C3857" s="60" t="s">
        <v>11613</v>
      </c>
      <c r="D3857" s="60" t="s">
        <v>11614</v>
      </c>
    </row>
    <row r="3858" spans="2:4" x14ac:dyDescent="0.35">
      <c r="B3858" s="60" t="s">
        <v>11612</v>
      </c>
      <c r="C3858" s="60" t="s">
        <v>11615</v>
      </c>
      <c r="D3858" s="60" t="s">
        <v>11616</v>
      </c>
    </row>
    <row r="3859" spans="2:4" x14ac:dyDescent="0.35">
      <c r="B3859" s="60" t="s">
        <v>11617</v>
      </c>
      <c r="C3859" s="60" t="s">
        <v>11618</v>
      </c>
      <c r="D3859" s="60" t="s">
        <v>11619</v>
      </c>
    </row>
    <row r="3860" spans="2:4" x14ac:dyDescent="0.35">
      <c r="B3860" s="60" t="s">
        <v>11620</v>
      </c>
      <c r="C3860" s="60" t="s">
        <v>11621</v>
      </c>
      <c r="D3860" s="60" t="s">
        <v>11622</v>
      </c>
    </row>
    <row r="3861" spans="2:4" x14ac:dyDescent="0.35">
      <c r="B3861" s="60" t="s">
        <v>11623</v>
      </c>
      <c r="C3861" s="60" t="s">
        <v>11624</v>
      </c>
      <c r="D3861" s="60" t="s">
        <v>11625</v>
      </c>
    </row>
    <row r="3862" spans="2:4" x14ac:dyDescent="0.35">
      <c r="B3862" s="60" t="s">
        <v>11623</v>
      </c>
      <c r="C3862" s="60" t="s">
        <v>11626</v>
      </c>
      <c r="D3862" s="60" t="s">
        <v>11627</v>
      </c>
    </row>
    <row r="3863" spans="2:4" x14ac:dyDescent="0.35">
      <c r="B3863" s="60" t="s">
        <v>11628</v>
      </c>
      <c r="C3863" s="60" t="s">
        <v>11629</v>
      </c>
      <c r="D3863" s="60" t="s">
        <v>11630</v>
      </c>
    </row>
    <row r="3864" spans="2:4" x14ac:dyDescent="0.35">
      <c r="B3864" s="60" t="s">
        <v>11631</v>
      </c>
      <c r="C3864" s="60" t="s">
        <v>11632</v>
      </c>
      <c r="D3864" s="60" t="s">
        <v>11633</v>
      </c>
    </row>
    <row r="3865" spans="2:4" x14ac:dyDescent="0.35">
      <c r="B3865" s="60" t="s">
        <v>11634</v>
      </c>
      <c r="C3865" s="60" t="s">
        <v>11635</v>
      </c>
      <c r="D3865" s="60" t="s">
        <v>11636</v>
      </c>
    </row>
    <row r="3866" spans="2:4" x14ac:dyDescent="0.35">
      <c r="B3866" s="60" t="s">
        <v>11637</v>
      </c>
      <c r="C3866" s="60" t="s">
        <v>11638</v>
      </c>
      <c r="D3866" s="60" t="s">
        <v>11639</v>
      </c>
    </row>
    <row r="3867" spans="2:4" x14ac:dyDescent="0.35">
      <c r="B3867" s="60" t="s">
        <v>11640</v>
      </c>
      <c r="C3867" s="60" t="s">
        <v>11641</v>
      </c>
      <c r="D3867" s="60" t="s">
        <v>11642</v>
      </c>
    </row>
    <row r="3868" spans="2:4" x14ac:dyDescent="0.35">
      <c r="B3868" s="60" t="s">
        <v>11643</v>
      </c>
      <c r="C3868" s="60" t="s">
        <v>11644</v>
      </c>
      <c r="D3868" s="60" t="s">
        <v>11645</v>
      </c>
    </row>
    <row r="3869" spans="2:4" x14ac:dyDescent="0.35">
      <c r="B3869" s="60" t="s">
        <v>11646</v>
      </c>
      <c r="C3869" s="60" t="s">
        <v>11647</v>
      </c>
      <c r="D3869" s="60" t="s">
        <v>11648</v>
      </c>
    </row>
    <row r="3870" spans="2:4" x14ac:dyDescent="0.35">
      <c r="B3870" s="60" t="s">
        <v>11646</v>
      </c>
      <c r="C3870" s="60" t="s">
        <v>11649</v>
      </c>
      <c r="D3870" s="60" t="s">
        <v>11650</v>
      </c>
    </row>
    <row r="3871" spans="2:4" x14ac:dyDescent="0.35">
      <c r="B3871" s="60" t="s">
        <v>11651</v>
      </c>
      <c r="C3871" s="60" t="s">
        <v>11652</v>
      </c>
      <c r="D3871" s="60" t="s">
        <v>11653</v>
      </c>
    </row>
    <row r="3872" spans="2:4" x14ac:dyDescent="0.35">
      <c r="B3872" s="60" t="s">
        <v>11654</v>
      </c>
      <c r="C3872" s="60" t="s">
        <v>11655</v>
      </c>
      <c r="D3872" s="60" t="s">
        <v>11656</v>
      </c>
    </row>
    <row r="3873" spans="2:4" x14ac:dyDescent="0.35">
      <c r="B3873" s="60" t="s">
        <v>11657</v>
      </c>
      <c r="C3873" s="60" t="s">
        <v>11658</v>
      </c>
      <c r="D3873" s="60" t="s">
        <v>11659</v>
      </c>
    </row>
    <row r="3874" spans="2:4" x14ac:dyDescent="0.35">
      <c r="B3874" s="60" t="s">
        <v>11660</v>
      </c>
      <c r="C3874" s="60" t="s">
        <v>11661</v>
      </c>
      <c r="D3874" s="60" t="s">
        <v>11662</v>
      </c>
    </row>
    <row r="3875" spans="2:4" x14ac:dyDescent="0.35">
      <c r="B3875" s="60" t="s">
        <v>11663</v>
      </c>
      <c r="C3875" s="60" t="s">
        <v>11664</v>
      </c>
      <c r="D3875" s="60" t="s">
        <v>11665</v>
      </c>
    </row>
    <row r="3876" spans="2:4" x14ac:dyDescent="0.35">
      <c r="B3876" s="60" t="s">
        <v>11666</v>
      </c>
      <c r="C3876" s="60" t="s">
        <v>11667</v>
      </c>
      <c r="D3876" s="60" t="s">
        <v>11668</v>
      </c>
    </row>
    <row r="3877" spans="2:4" x14ac:dyDescent="0.35">
      <c r="B3877" s="60" t="s">
        <v>11669</v>
      </c>
      <c r="C3877" s="60" t="s">
        <v>11670</v>
      </c>
      <c r="D3877" s="60" t="s">
        <v>11671</v>
      </c>
    </row>
    <row r="3878" spans="2:4" x14ac:dyDescent="0.35">
      <c r="B3878" s="60" t="s">
        <v>11672</v>
      </c>
      <c r="C3878" s="60" t="s">
        <v>11673</v>
      </c>
      <c r="D3878" s="60" t="s">
        <v>11674</v>
      </c>
    </row>
    <row r="3879" spans="2:4" x14ac:dyDescent="0.35">
      <c r="B3879" s="60" t="s">
        <v>11675</v>
      </c>
      <c r="C3879" s="60" t="s">
        <v>11676</v>
      </c>
      <c r="D3879" s="60" t="s">
        <v>11677</v>
      </c>
    </row>
    <row r="3880" spans="2:4" x14ac:dyDescent="0.35">
      <c r="B3880" s="60" t="s">
        <v>11678</v>
      </c>
      <c r="C3880" s="60" t="s">
        <v>11679</v>
      </c>
      <c r="D3880" s="60" t="s">
        <v>11680</v>
      </c>
    </row>
    <row r="3881" spans="2:4" x14ac:dyDescent="0.35">
      <c r="B3881" s="60" t="s">
        <v>11681</v>
      </c>
      <c r="C3881" s="60" t="s">
        <v>11682</v>
      </c>
      <c r="D3881" s="60" t="s">
        <v>11683</v>
      </c>
    </row>
    <row r="3882" spans="2:4" x14ac:dyDescent="0.35">
      <c r="B3882" s="60" t="s">
        <v>11684</v>
      </c>
      <c r="C3882" s="60" t="s">
        <v>11685</v>
      </c>
      <c r="D3882" s="60" t="s">
        <v>11686</v>
      </c>
    </row>
    <row r="3883" spans="2:4" x14ac:dyDescent="0.35">
      <c r="B3883" s="60" t="s">
        <v>11687</v>
      </c>
      <c r="C3883" s="60" t="s">
        <v>11688</v>
      </c>
      <c r="D3883" s="60" t="s">
        <v>11689</v>
      </c>
    </row>
    <row r="3884" spans="2:4" x14ac:dyDescent="0.35">
      <c r="B3884" s="60" t="s">
        <v>11690</v>
      </c>
      <c r="C3884" s="60" t="s">
        <v>11691</v>
      </c>
      <c r="D3884" s="60" t="s">
        <v>11692</v>
      </c>
    </row>
    <row r="3885" spans="2:4" x14ac:dyDescent="0.35">
      <c r="B3885" s="60" t="s">
        <v>11693</v>
      </c>
      <c r="C3885" s="60" t="s">
        <v>11694</v>
      </c>
      <c r="D3885" s="60" t="s">
        <v>11695</v>
      </c>
    </row>
    <row r="3886" spans="2:4" x14ac:dyDescent="0.35">
      <c r="B3886" s="60" t="s">
        <v>11696</v>
      </c>
      <c r="C3886" s="60" t="s">
        <v>11697</v>
      </c>
      <c r="D3886" s="60" t="s">
        <v>11698</v>
      </c>
    </row>
    <row r="3887" spans="2:4" x14ac:dyDescent="0.35">
      <c r="B3887" s="60" t="s">
        <v>11699</v>
      </c>
      <c r="C3887" s="60" t="s">
        <v>11700</v>
      </c>
      <c r="D3887" s="60" t="s">
        <v>11701</v>
      </c>
    </row>
    <row r="3888" spans="2:4" x14ac:dyDescent="0.35">
      <c r="B3888" s="60" t="s">
        <v>11702</v>
      </c>
      <c r="C3888" s="60" t="s">
        <v>11703</v>
      </c>
      <c r="D3888" s="60" t="s">
        <v>11704</v>
      </c>
    </row>
    <row r="3889" spans="2:4" x14ac:dyDescent="0.35">
      <c r="B3889" s="60" t="s">
        <v>11702</v>
      </c>
      <c r="C3889" s="60" t="s">
        <v>11705</v>
      </c>
      <c r="D3889" s="60" t="s">
        <v>11706</v>
      </c>
    </row>
    <row r="3890" spans="2:4" x14ac:dyDescent="0.35">
      <c r="B3890" s="60" t="s">
        <v>11707</v>
      </c>
      <c r="C3890" s="60" t="s">
        <v>11708</v>
      </c>
      <c r="D3890" s="60" t="s">
        <v>11709</v>
      </c>
    </row>
    <row r="3891" spans="2:4" x14ac:dyDescent="0.35">
      <c r="B3891" s="60" t="s">
        <v>11710</v>
      </c>
      <c r="C3891" s="60" t="s">
        <v>11711</v>
      </c>
      <c r="D3891" s="60" t="s">
        <v>11712</v>
      </c>
    </row>
    <row r="3892" spans="2:4" x14ac:dyDescent="0.35">
      <c r="B3892" s="60" t="s">
        <v>11713</v>
      </c>
      <c r="C3892" s="60" t="s">
        <v>11714</v>
      </c>
      <c r="D3892" s="60" t="s">
        <v>11715</v>
      </c>
    </row>
    <row r="3893" spans="2:4" x14ac:dyDescent="0.35">
      <c r="B3893" s="60" t="s">
        <v>11716</v>
      </c>
      <c r="C3893" s="60" t="s">
        <v>11717</v>
      </c>
      <c r="D3893" s="60" t="s">
        <v>11718</v>
      </c>
    </row>
    <row r="3894" spans="2:4" x14ac:dyDescent="0.35">
      <c r="B3894" s="60" t="s">
        <v>11719</v>
      </c>
      <c r="C3894" s="60" t="s">
        <v>11720</v>
      </c>
      <c r="D3894" s="60" t="s">
        <v>11721</v>
      </c>
    </row>
    <row r="3895" spans="2:4" x14ac:dyDescent="0.35">
      <c r="B3895" s="60" t="s">
        <v>11722</v>
      </c>
      <c r="C3895" s="60" t="s">
        <v>11723</v>
      </c>
      <c r="D3895" s="60" t="s">
        <v>11724</v>
      </c>
    </row>
    <row r="3896" spans="2:4" x14ac:dyDescent="0.35">
      <c r="B3896" s="60" t="s">
        <v>11725</v>
      </c>
      <c r="C3896" s="60" t="s">
        <v>11726</v>
      </c>
      <c r="D3896" s="60" t="s">
        <v>11727</v>
      </c>
    </row>
    <row r="3897" spans="2:4" x14ac:dyDescent="0.35">
      <c r="B3897" s="60" t="s">
        <v>11728</v>
      </c>
      <c r="C3897" s="60" t="s">
        <v>11729</v>
      </c>
      <c r="D3897" s="60" t="s">
        <v>11730</v>
      </c>
    </row>
    <row r="3898" spans="2:4" x14ac:dyDescent="0.35">
      <c r="B3898" s="60" t="s">
        <v>11731</v>
      </c>
      <c r="C3898" s="60" t="s">
        <v>11732</v>
      </c>
      <c r="D3898" s="60" t="s">
        <v>11733</v>
      </c>
    </row>
    <row r="3899" spans="2:4" x14ac:dyDescent="0.35">
      <c r="B3899" s="60" t="s">
        <v>11734</v>
      </c>
      <c r="C3899" s="60" t="s">
        <v>11735</v>
      </c>
      <c r="D3899" s="60" t="s">
        <v>11736</v>
      </c>
    </row>
    <row r="3900" spans="2:4" x14ac:dyDescent="0.35">
      <c r="B3900" s="60" t="s">
        <v>11737</v>
      </c>
      <c r="C3900" s="60" t="s">
        <v>11738</v>
      </c>
      <c r="D3900" s="60" t="s">
        <v>11739</v>
      </c>
    </row>
    <row r="3901" spans="2:4" x14ac:dyDescent="0.35">
      <c r="B3901" s="60" t="s">
        <v>11740</v>
      </c>
      <c r="C3901" s="60" t="s">
        <v>11741</v>
      </c>
      <c r="D3901" s="60" t="s">
        <v>11742</v>
      </c>
    </row>
    <row r="3902" spans="2:4" x14ac:dyDescent="0.35">
      <c r="B3902" s="60" t="s">
        <v>11743</v>
      </c>
      <c r="C3902" s="60" t="s">
        <v>11744</v>
      </c>
      <c r="D3902" s="60" t="s">
        <v>11745</v>
      </c>
    </row>
    <row r="3903" spans="2:4" x14ac:dyDescent="0.35">
      <c r="B3903" s="60" t="s">
        <v>11746</v>
      </c>
      <c r="C3903" s="60" t="s">
        <v>11747</v>
      </c>
      <c r="D3903" s="60" t="s">
        <v>11748</v>
      </c>
    </row>
    <row r="3904" spans="2:4" x14ac:dyDescent="0.35">
      <c r="B3904" s="60" t="s">
        <v>11749</v>
      </c>
      <c r="C3904" s="60" t="s">
        <v>11750</v>
      </c>
      <c r="D3904" s="60" t="s">
        <v>11751</v>
      </c>
    </row>
    <row r="3905" spans="2:4" x14ac:dyDescent="0.35">
      <c r="B3905" s="60" t="s">
        <v>11749</v>
      </c>
      <c r="C3905" s="60" t="s">
        <v>11752</v>
      </c>
      <c r="D3905" s="60" t="s">
        <v>11753</v>
      </c>
    </row>
    <row r="3906" spans="2:4" x14ac:dyDescent="0.35">
      <c r="B3906" s="60" t="s">
        <v>11754</v>
      </c>
      <c r="C3906" s="60" t="s">
        <v>11755</v>
      </c>
      <c r="D3906" s="60" t="s">
        <v>11756</v>
      </c>
    </row>
    <row r="3907" spans="2:4" x14ac:dyDescent="0.35">
      <c r="B3907" s="60" t="s">
        <v>11757</v>
      </c>
      <c r="C3907" s="60" t="s">
        <v>11758</v>
      </c>
      <c r="D3907" s="60" t="s">
        <v>11759</v>
      </c>
    </row>
    <row r="3908" spans="2:4" x14ac:dyDescent="0.35">
      <c r="B3908" s="60" t="s">
        <v>11760</v>
      </c>
      <c r="C3908" s="60" t="s">
        <v>11761</v>
      </c>
      <c r="D3908" s="60" t="s">
        <v>11762</v>
      </c>
    </row>
    <row r="3909" spans="2:4" x14ac:dyDescent="0.35">
      <c r="B3909" s="60" t="s">
        <v>11763</v>
      </c>
      <c r="C3909" s="60" t="s">
        <v>11764</v>
      </c>
      <c r="D3909" s="60" t="s">
        <v>11765</v>
      </c>
    </row>
    <row r="3910" spans="2:4" x14ac:dyDescent="0.35">
      <c r="B3910" s="60" t="s">
        <v>11766</v>
      </c>
      <c r="C3910" s="60" t="s">
        <v>11767</v>
      </c>
      <c r="D3910" s="60" t="s">
        <v>11768</v>
      </c>
    </row>
    <row r="3911" spans="2:4" x14ac:dyDescent="0.35">
      <c r="B3911" s="60" t="s">
        <v>11766</v>
      </c>
      <c r="C3911" s="60" t="s">
        <v>11769</v>
      </c>
      <c r="D3911" s="60" t="s">
        <v>11770</v>
      </c>
    </row>
    <row r="3912" spans="2:4" x14ac:dyDescent="0.35">
      <c r="B3912" s="60" t="s">
        <v>11771</v>
      </c>
      <c r="C3912" s="60" t="s">
        <v>11772</v>
      </c>
      <c r="D3912" s="60" t="s">
        <v>11773</v>
      </c>
    </row>
    <row r="3913" spans="2:4" x14ac:dyDescent="0.35">
      <c r="B3913" s="60" t="s">
        <v>11774</v>
      </c>
      <c r="C3913" s="60" t="s">
        <v>11775</v>
      </c>
      <c r="D3913" s="60" t="s">
        <v>11776</v>
      </c>
    </row>
    <row r="3914" spans="2:4" x14ac:dyDescent="0.35">
      <c r="B3914" s="60" t="s">
        <v>11777</v>
      </c>
      <c r="C3914" s="60" t="s">
        <v>11778</v>
      </c>
      <c r="D3914" s="60" t="s">
        <v>11779</v>
      </c>
    </row>
    <row r="3915" spans="2:4" x14ac:dyDescent="0.35">
      <c r="B3915" s="60" t="s">
        <v>11780</v>
      </c>
      <c r="C3915" s="60" t="s">
        <v>11781</v>
      </c>
      <c r="D3915" s="60" t="s">
        <v>11782</v>
      </c>
    </row>
    <row r="3916" spans="2:4" x14ac:dyDescent="0.35">
      <c r="B3916" s="60" t="s">
        <v>11783</v>
      </c>
      <c r="C3916" s="60" t="s">
        <v>11784</v>
      </c>
      <c r="D3916" s="60" t="s">
        <v>11785</v>
      </c>
    </row>
    <row r="3917" spans="2:4" x14ac:dyDescent="0.35">
      <c r="B3917" s="60" t="s">
        <v>11783</v>
      </c>
      <c r="C3917" s="60" t="s">
        <v>11786</v>
      </c>
      <c r="D3917" s="60" t="s">
        <v>11787</v>
      </c>
    </row>
    <row r="3918" spans="2:4" x14ac:dyDescent="0.35">
      <c r="B3918" s="60" t="s">
        <v>11788</v>
      </c>
      <c r="C3918" s="60" t="s">
        <v>11789</v>
      </c>
      <c r="D3918" s="60" t="s">
        <v>11790</v>
      </c>
    </row>
    <row r="3919" spans="2:4" x14ac:dyDescent="0.35">
      <c r="B3919" s="60" t="s">
        <v>11791</v>
      </c>
      <c r="C3919" s="60" t="s">
        <v>11792</v>
      </c>
      <c r="D3919" s="60" t="s">
        <v>11793</v>
      </c>
    </row>
    <row r="3920" spans="2:4" x14ac:dyDescent="0.35">
      <c r="B3920" s="60" t="s">
        <v>11794</v>
      </c>
      <c r="C3920" s="60" t="s">
        <v>11795</v>
      </c>
      <c r="D3920" s="60" t="s">
        <v>11796</v>
      </c>
    </row>
    <row r="3921" spans="2:4" x14ac:dyDescent="0.35">
      <c r="B3921" s="60" t="s">
        <v>11794</v>
      </c>
      <c r="C3921" s="60" t="s">
        <v>11797</v>
      </c>
      <c r="D3921" s="60" t="s">
        <v>11798</v>
      </c>
    </row>
    <row r="3922" spans="2:4" x14ac:dyDescent="0.35">
      <c r="B3922" s="60" t="s">
        <v>11799</v>
      </c>
      <c r="C3922" s="60" t="s">
        <v>11800</v>
      </c>
      <c r="D3922" s="60" t="s">
        <v>11801</v>
      </c>
    </row>
    <row r="3923" spans="2:4" x14ac:dyDescent="0.35">
      <c r="B3923" s="60" t="s">
        <v>11802</v>
      </c>
      <c r="C3923" s="60" t="s">
        <v>11803</v>
      </c>
      <c r="D3923" s="60" t="s">
        <v>11804</v>
      </c>
    </row>
    <row r="3924" spans="2:4" x14ac:dyDescent="0.35">
      <c r="B3924" s="60" t="s">
        <v>11805</v>
      </c>
      <c r="C3924" s="60" t="s">
        <v>11806</v>
      </c>
      <c r="D3924" s="60" t="s">
        <v>11807</v>
      </c>
    </row>
    <row r="3925" spans="2:4" x14ac:dyDescent="0.35">
      <c r="B3925" s="60" t="s">
        <v>11808</v>
      </c>
      <c r="C3925" s="60" t="s">
        <v>11809</v>
      </c>
      <c r="D3925" s="60" t="s">
        <v>11810</v>
      </c>
    </row>
    <row r="3926" spans="2:4" x14ac:dyDescent="0.35">
      <c r="B3926" s="60" t="s">
        <v>11811</v>
      </c>
      <c r="C3926" s="60" t="s">
        <v>11812</v>
      </c>
      <c r="D3926" s="60" t="s">
        <v>11813</v>
      </c>
    </row>
    <row r="3927" spans="2:4" x14ac:dyDescent="0.35">
      <c r="B3927" s="60" t="s">
        <v>11814</v>
      </c>
      <c r="C3927" s="60" t="s">
        <v>11815</v>
      </c>
      <c r="D3927" s="60" t="s">
        <v>11816</v>
      </c>
    </row>
    <row r="3928" spans="2:4" x14ac:dyDescent="0.35">
      <c r="B3928" s="60" t="s">
        <v>11817</v>
      </c>
      <c r="C3928" s="60" t="s">
        <v>11818</v>
      </c>
      <c r="D3928" s="60" t="s">
        <v>11819</v>
      </c>
    </row>
    <row r="3929" spans="2:4" x14ac:dyDescent="0.35">
      <c r="B3929" s="60" t="s">
        <v>11820</v>
      </c>
      <c r="C3929" s="60" t="s">
        <v>11821</v>
      </c>
      <c r="D3929" s="60" t="s">
        <v>11822</v>
      </c>
    </row>
    <row r="3930" spans="2:4" x14ac:dyDescent="0.35">
      <c r="B3930" s="60" t="s">
        <v>11823</v>
      </c>
      <c r="C3930" s="60" t="s">
        <v>11824</v>
      </c>
      <c r="D3930" s="60" t="s">
        <v>11825</v>
      </c>
    </row>
    <row r="3931" spans="2:4" x14ac:dyDescent="0.35">
      <c r="B3931" s="60" t="s">
        <v>11826</v>
      </c>
      <c r="C3931" s="60" t="s">
        <v>11827</v>
      </c>
      <c r="D3931" s="60" t="s">
        <v>11828</v>
      </c>
    </row>
    <row r="3932" spans="2:4" x14ac:dyDescent="0.35">
      <c r="B3932" s="60" t="s">
        <v>11829</v>
      </c>
      <c r="C3932" s="60" t="s">
        <v>11830</v>
      </c>
      <c r="D3932" s="60" t="s">
        <v>11831</v>
      </c>
    </row>
    <row r="3933" spans="2:4" x14ac:dyDescent="0.35">
      <c r="B3933" s="60" t="s">
        <v>11832</v>
      </c>
      <c r="C3933" s="60" t="s">
        <v>11833</v>
      </c>
      <c r="D3933" s="60" t="s">
        <v>11834</v>
      </c>
    </row>
    <row r="3934" spans="2:4" x14ac:dyDescent="0.35">
      <c r="B3934" s="60" t="s">
        <v>11835</v>
      </c>
      <c r="C3934" s="60" t="s">
        <v>11836</v>
      </c>
      <c r="D3934" s="60" t="s">
        <v>11837</v>
      </c>
    </row>
    <row r="3935" spans="2:4" x14ac:dyDescent="0.35">
      <c r="B3935" s="60" t="s">
        <v>11835</v>
      </c>
      <c r="C3935" s="60" t="s">
        <v>11838</v>
      </c>
      <c r="D3935" s="60" t="s">
        <v>11839</v>
      </c>
    </row>
    <row r="3936" spans="2:4" x14ac:dyDescent="0.35">
      <c r="B3936" s="60" t="s">
        <v>11840</v>
      </c>
      <c r="C3936" s="60" t="s">
        <v>11841</v>
      </c>
      <c r="D3936" s="60" t="s">
        <v>11842</v>
      </c>
    </row>
    <row r="3937" spans="2:4" x14ac:dyDescent="0.35">
      <c r="B3937" s="60" t="s">
        <v>11843</v>
      </c>
      <c r="C3937" s="60" t="s">
        <v>11844</v>
      </c>
      <c r="D3937" s="60" t="s">
        <v>11845</v>
      </c>
    </row>
    <row r="3938" spans="2:4" x14ac:dyDescent="0.35">
      <c r="B3938" s="60" t="s">
        <v>11846</v>
      </c>
      <c r="C3938" s="60" t="s">
        <v>11847</v>
      </c>
      <c r="D3938" s="60" t="s">
        <v>11848</v>
      </c>
    </row>
    <row r="3939" spans="2:4" x14ac:dyDescent="0.35">
      <c r="B3939" s="60" t="s">
        <v>11849</v>
      </c>
      <c r="C3939" s="60" t="s">
        <v>11850</v>
      </c>
      <c r="D3939" s="60" t="s">
        <v>11851</v>
      </c>
    </row>
    <row r="3940" spans="2:4" x14ac:dyDescent="0.35">
      <c r="B3940" s="60" t="s">
        <v>11852</v>
      </c>
      <c r="C3940" s="60" t="s">
        <v>11853</v>
      </c>
      <c r="D3940" s="60" t="s">
        <v>11854</v>
      </c>
    </row>
    <row r="3941" spans="2:4" x14ac:dyDescent="0.35">
      <c r="B3941" s="60" t="s">
        <v>11855</v>
      </c>
      <c r="C3941" s="60" t="s">
        <v>11856</v>
      </c>
      <c r="D3941" s="60" t="s">
        <v>11857</v>
      </c>
    </row>
    <row r="3942" spans="2:4" x14ac:dyDescent="0.35">
      <c r="B3942" s="60" t="s">
        <v>11858</v>
      </c>
      <c r="C3942" s="60" t="s">
        <v>11859</v>
      </c>
      <c r="D3942" s="60" t="s">
        <v>11860</v>
      </c>
    </row>
    <row r="3943" spans="2:4" x14ac:dyDescent="0.35">
      <c r="B3943" s="60" t="s">
        <v>11861</v>
      </c>
      <c r="C3943" s="60" t="s">
        <v>11862</v>
      </c>
      <c r="D3943" s="60" t="s">
        <v>11863</v>
      </c>
    </row>
    <row r="3944" spans="2:4" x14ac:dyDescent="0.35">
      <c r="B3944" s="60" t="s">
        <v>11864</v>
      </c>
      <c r="C3944" s="60" t="s">
        <v>11865</v>
      </c>
      <c r="D3944" s="60" t="s">
        <v>11866</v>
      </c>
    </row>
    <row r="3945" spans="2:4" x14ac:dyDescent="0.35">
      <c r="B3945" s="60" t="s">
        <v>11867</v>
      </c>
      <c r="C3945" s="60" t="s">
        <v>11868</v>
      </c>
      <c r="D3945" s="60" t="s">
        <v>11869</v>
      </c>
    </row>
    <row r="3946" spans="2:4" x14ac:dyDescent="0.35">
      <c r="B3946" s="60" t="s">
        <v>11870</v>
      </c>
      <c r="C3946" s="60" t="s">
        <v>11871</v>
      </c>
      <c r="D3946" s="60" t="s">
        <v>11872</v>
      </c>
    </row>
    <row r="3947" spans="2:4" x14ac:dyDescent="0.35">
      <c r="B3947" s="60" t="s">
        <v>11873</v>
      </c>
      <c r="C3947" s="60" t="s">
        <v>11874</v>
      </c>
      <c r="D3947" s="60" t="s">
        <v>11875</v>
      </c>
    </row>
    <row r="3948" spans="2:4" x14ac:dyDescent="0.35">
      <c r="B3948" s="60" t="s">
        <v>11876</v>
      </c>
      <c r="C3948" s="60" t="s">
        <v>11877</v>
      </c>
      <c r="D3948" s="60" t="s">
        <v>11878</v>
      </c>
    </row>
    <row r="3949" spans="2:4" x14ac:dyDescent="0.35">
      <c r="B3949" s="60" t="s">
        <v>11879</v>
      </c>
      <c r="C3949" s="60" t="s">
        <v>11880</v>
      </c>
      <c r="D3949" s="60" t="s">
        <v>11881</v>
      </c>
    </row>
    <row r="3950" spans="2:4" x14ac:dyDescent="0.35">
      <c r="B3950" s="60" t="s">
        <v>11882</v>
      </c>
      <c r="C3950" s="60" t="s">
        <v>11883</v>
      </c>
      <c r="D3950" s="60" t="s">
        <v>11884</v>
      </c>
    </row>
    <row r="3951" spans="2:4" x14ac:dyDescent="0.35">
      <c r="B3951" s="60" t="s">
        <v>11885</v>
      </c>
      <c r="C3951" s="60" t="s">
        <v>11886</v>
      </c>
      <c r="D3951" s="60" t="s">
        <v>11887</v>
      </c>
    </row>
    <row r="3952" spans="2:4" x14ac:dyDescent="0.35">
      <c r="B3952" s="60" t="s">
        <v>11888</v>
      </c>
      <c r="C3952" s="60" t="s">
        <v>11889</v>
      </c>
      <c r="D3952" s="60" t="s">
        <v>11890</v>
      </c>
    </row>
    <row r="3953" spans="2:4" x14ac:dyDescent="0.35">
      <c r="B3953" s="60" t="s">
        <v>11891</v>
      </c>
      <c r="C3953" s="60" t="s">
        <v>11892</v>
      </c>
      <c r="D3953" s="60" t="s">
        <v>11893</v>
      </c>
    </row>
    <row r="3954" spans="2:4" x14ac:dyDescent="0.35">
      <c r="B3954" s="60" t="s">
        <v>11894</v>
      </c>
      <c r="C3954" s="60" t="s">
        <v>11895</v>
      </c>
      <c r="D3954" s="60" t="s">
        <v>11896</v>
      </c>
    </row>
    <row r="3955" spans="2:4" x14ac:dyDescent="0.35">
      <c r="B3955" s="60" t="s">
        <v>11897</v>
      </c>
      <c r="C3955" s="60" t="s">
        <v>11898</v>
      </c>
      <c r="D3955" s="60" t="s">
        <v>11899</v>
      </c>
    </row>
    <row r="3956" spans="2:4" x14ac:dyDescent="0.35">
      <c r="B3956" s="60" t="s">
        <v>11900</v>
      </c>
      <c r="C3956" s="60" t="s">
        <v>11901</v>
      </c>
      <c r="D3956" s="60" t="s">
        <v>11902</v>
      </c>
    </row>
    <row r="3957" spans="2:4" x14ac:dyDescent="0.35">
      <c r="B3957" s="60" t="s">
        <v>11903</v>
      </c>
      <c r="C3957" s="60" t="s">
        <v>11904</v>
      </c>
      <c r="D3957" s="60" t="s">
        <v>11905</v>
      </c>
    </row>
    <row r="3958" spans="2:4" x14ac:dyDescent="0.35">
      <c r="B3958" s="60" t="s">
        <v>11906</v>
      </c>
      <c r="C3958" s="60" t="s">
        <v>11907</v>
      </c>
      <c r="D3958" s="60" t="s">
        <v>11908</v>
      </c>
    </row>
    <row r="3959" spans="2:4" x14ac:dyDescent="0.35">
      <c r="B3959" s="60" t="s">
        <v>11909</v>
      </c>
      <c r="C3959" s="60" t="s">
        <v>11910</v>
      </c>
      <c r="D3959" s="60" t="s">
        <v>11911</v>
      </c>
    </row>
    <row r="3960" spans="2:4" x14ac:dyDescent="0.35">
      <c r="B3960" s="60" t="s">
        <v>11912</v>
      </c>
      <c r="C3960" s="60" t="s">
        <v>11913</v>
      </c>
      <c r="D3960" s="60" t="s">
        <v>11914</v>
      </c>
    </row>
    <row r="3961" spans="2:4" x14ac:dyDescent="0.35">
      <c r="B3961" s="60" t="s">
        <v>11912</v>
      </c>
      <c r="C3961" s="60" t="s">
        <v>11915</v>
      </c>
      <c r="D3961" s="60" t="s">
        <v>11916</v>
      </c>
    </row>
    <row r="3962" spans="2:4" x14ac:dyDescent="0.35">
      <c r="B3962" s="60" t="s">
        <v>11917</v>
      </c>
      <c r="C3962" s="60" t="s">
        <v>11918</v>
      </c>
      <c r="D3962" s="60" t="s">
        <v>11919</v>
      </c>
    </row>
    <row r="3963" spans="2:4" x14ac:dyDescent="0.35">
      <c r="B3963" s="60" t="s">
        <v>11920</v>
      </c>
      <c r="C3963" s="60" t="s">
        <v>11921</v>
      </c>
      <c r="D3963" s="60" t="s">
        <v>11922</v>
      </c>
    </row>
    <row r="3964" spans="2:4" x14ac:dyDescent="0.35">
      <c r="B3964" s="60" t="s">
        <v>11923</v>
      </c>
      <c r="C3964" s="60" t="s">
        <v>11924</v>
      </c>
      <c r="D3964" s="60" t="s">
        <v>11925</v>
      </c>
    </row>
    <row r="3965" spans="2:4" x14ac:dyDescent="0.35">
      <c r="B3965" s="60" t="s">
        <v>11926</v>
      </c>
      <c r="C3965" s="60" t="s">
        <v>11927</v>
      </c>
      <c r="D3965" s="60" t="s">
        <v>11928</v>
      </c>
    </row>
    <row r="3966" spans="2:4" x14ac:dyDescent="0.35">
      <c r="B3966" s="60" t="s">
        <v>11929</v>
      </c>
      <c r="C3966" s="60" t="s">
        <v>11930</v>
      </c>
      <c r="D3966" s="60" t="s">
        <v>11931</v>
      </c>
    </row>
    <row r="3967" spans="2:4" x14ac:dyDescent="0.35">
      <c r="B3967" s="60" t="s">
        <v>11932</v>
      </c>
      <c r="C3967" s="60" t="s">
        <v>11933</v>
      </c>
      <c r="D3967" s="60" t="s">
        <v>11934</v>
      </c>
    </row>
    <row r="3968" spans="2:4" x14ac:dyDescent="0.35">
      <c r="B3968" s="60" t="s">
        <v>11935</v>
      </c>
      <c r="C3968" s="60" t="s">
        <v>11936</v>
      </c>
      <c r="D3968" s="60" t="s">
        <v>11937</v>
      </c>
    </row>
    <row r="3969" spans="2:4" x14ac:dyDescent="0.35">
      <c r="B3969" s="60" t="s">
        <v>11935</v>
      </c>
      <c r="C3969" s="60" t="s">
        <v>11938</v>
      </c>
      <c r="D3969" s="60" t="s">
        <v>11939</v>
      </c>
    </row>
    <row r="3970" spans="2:4" x14ac:dyDescent="0.35">
      <c r="B3970" s="60" t="s">
        <v>11940</v>
      </c>
      <c r="C3970" s="60" t="s">
        <v>11941</v>
      </c>
      <c r="D3970" s="60" t="s">
        <v>11942</v>
      </c>
    </row>
    <row r="3971" spans="2:4" x14ac:dyDescent="0.35">
      <c r="B3971" s="60" t="s">
        <v>11940</v>
      </c>
      <c r="C3971" s="60" t="s">
        <v>11943</v>
      </c>
      <c r="D3971" s="60" t="s">
        <v>11944</v>
      </c>
    </row>
    <row r="3972" spans="2:4" x14ac:dyDescent="0.35">
      <c r="B3972" s="60" t="s">
        <v>11945</v>
      </c>
      <c r="C3972" s="60" t="s">
        <v>11946</v>
      </c>
      <c r="D3972" s="60" t="s">
        <v>11947</v>
      </c>
    </row>
    <row r="3973" spans="2:4" x14ac:dyDescent="0.35">
      <c r="B3973" s="60" t="s">
        <v>11948</v>
      </c>
      <c r="C3973" s="60" t="s">
        <v>11949</v>
      </c>
      <c r="D3973" s="60" t="s">
        <v>11950</v>
      </c>
    </row>
    <row r="3974" spans="2:4" x14ac:dyDescent="0.35">
      <c r="B3974" s="60" t="s">
        <v>11951</v>
      </c>
      <c r="C3974" s="60" t="s">
        <v>11952</v>
      </c>
      <c r="D3974" s="60" t="s">
        <v>11953</v>
      </c>
    </row>
    <row r="3975" spans="2:4" x14ac:dyDescent="0.35">
      <c r="B3975" s="60" t="s">
        <v>11954</v>
      </c>
      <c r="C3975" s="60" t="s">
        <v>11955</v>
      </c>
      <c r="D3975" s="60" t="s">
        <v>11956</v>
      </c>
    </row>
    <row r="3976" spans="2:4" x14ac:dyDescent="0.35">
      <c r="B3976" s="60" t="s">
        <v>11957</v>
      </c>
      <c r="C3976" s="60" t="s">
        <v>11958</v>
      </c>
      <c r="D3976" s="60" t="s">
        <v>11959</v>
      </c>
    </row>
    <row r="3977" spans="2:4" x14ac:dyDescent="0.35">
      <c r="B3977" s="60" t="s">
        <v>11960</v>
      </c>
      <c r="C3977" s="60" t="s">
        <v>11961</v>
      </c>
      <c r="D3977" s="60" t="s">
        <v>11962</v>
      </c>
    </row>
    <row r="3978" spans="2:4" x14ac:dyDescent="0.35">
      <c r="B3978" s="60" t="s">
        <v>11963</v>
      </c>
      <c r="C3978" s="60" t="s">
        <v>11964</v>
      </c>
      <c r="D3978" s="60" t="s">
        <v>11965</v>
      </c>
    </row>
    <row r="3979" spans="2:4" x14ac:dyDescent="0.35">
      <c r="B3979" s="60" t="s">
        <v>11966</v>
      </c>
      <c r="C3979" s="60" t="s">
        <v>11967</v>
      </c>
      <c r="D3979" s="60" t="s">
        <v>11968</v>
      </c>
    </row>
    <row r="3980" spans="2:4" x14ac:dyDescent="0.35">
      <c r="B3980" s="60" t="s">
        <v>11969</v>
      </c>
      <c r="C3980" s="60" t="s">
        <v>11970</v>
      </c>
      <c r="D3980" s="60" t="s">
        <v>11971</v>
      </c>
    </row>
    <row r="3981" spans="2:4" x14ac:dyDescent="0.35">
      <c r="B3981" s="60" t="s">
        <v>11972</v>
      </c>
      <c r="C3981" s="60" t="s">
        <v>11973</v>
      </c>
      <c r="D3981" s="60" t="s">
        <v>11974</v>
      </c>
    </row>
    <row r="3982" spans="2:4" x14ac:dyDescent="0.35">
      <c r="B3982" s="60" t="s">
        <v>11975</v>
      </c>
      <c r="C3982" s="60" t="s">
        <v>11976</v>
      </c>
      <c r="D3982" s="60" t="s">
        <v>11977</v>
      </c>
    </row>
    <row r="3983" spans="2:4" x14ac:dyDescent="0.35">
      <c r="B3983" s="60" t="s">
        <v>11978</v>
      </c>
      <c r="C3983" s="60" t="s">
        <v>11979</v>
      </c>
      <c r="D3983" s="60" t="s">
        <v>11980</v>
      </c>
    </row>
    <row r="3984" spans="2:4" x14ac:dyDescent="0.35">
      <c r="B3984" s="60" t="s">
        <v>11981</v>
      </c>
      <c r="C3984" s="60" t="s">
        <v>11982</v>
      </c>
      <c r="D3984" s="60" t="s">
        <v>11983</v>
      </c>
    </row>
    <row r="3985" spans="2:4" x14ac:dyDescent="0.35">
      <c r="B3985" s="60" t="s">
        <v>11984</v>
      </c>
      <c r="C3985" s="60" t="s">
        <v>11985</v>
      </c>
      <c r="D3985" s="60" t="s">
        <v>11986</v>
      </c>
    </row>
    <row r="3986" spans="2:4" x14ac:dyDescent="0.35">
      <c r="B3986" s="60" t="s">
        <v>11987</v>
      </c>
      <c r="C3986" s="60" t="s">
        <v>11988</v>
      </c>
      <c r="D3986" s="60" t="s">
        <v>11989</v>
      </c>
    </row>
    <row r="3987" spans="2:4" x14ac:dyDescent="0.35">
      <c r="B3987" s="60" t="s">
        <v>11990</v>
      </c>
      <c r="C3987" s="60" t="s">
        <v>11991</v>
      </c>
      <c r="D3987" s="60" t="s">
        <v>11992</v>
      </c>
    </row>
    <row r="3988" spans="2:4" x14ac:dyDescent="0.35">
      <c r="B3988" s="60" t="s">
        <v>11993</v>
      </c>
      <c r="C3988" s="60" t="s">
        <v>11994</v>
      </c>
      <c r="D3988" s="60" t="s">
        <v>11995</v>
      </c>
    </row>
    <row r="3989" spans="2:4" x14ac:dyDescent="0.35">
      <c r="B3989" s="60" t="s">
        <v>138</v>
      </c>
      <c r="C3989" s="60" t="s">
        <v>11996</v>
      </c>
      <c r="D3989" s="60" t="s">
        <v>11996</v>
      </c>
    </row>
    <row r="3990" spans="2:4" x14ac:dyDescent="0.35">
      <c r="B3990" s="60" t="s">
        <v>11997</v>
      </c>
      <c r="C3990" s="60" t="s">
        <v>11998</v>
      </c>
      <c r="D3990" s="60" t="s">
        <v>11999</v>
      </c>
    </row>
    <row r="3991" spans="2:4" x14ac:dyDescent="0.35">
      <c r="B3991" s="60" t="s">
        <v>12000</v>
      </c>
      <c r="C3991" s="60" t="s">
        <v>12001</v>
      </c>
      <c r="D3991" s="60" t="s">
        <v>12002</v>
      </c>
    </row>
    <row r="3992" spans="2:4" x14ac:dyDescent="0.35">
      <c r="B3992" s="60" t="s">
        <v>12003</v>
      </c>
      <c r="C3992" s="60" t="s">
        <v>12004</v>
      </c>
      <c r="D3992" s="60" t="s">
        <v>12005</v>
      </c>
    </row>
    <row r="3993" spans="2:4" x14ac:dyDescent="0.35">
      <c r="B3993" s="60" t="s">
        <v>12006</v>
      </c>
      <c r="C3993" s="60" t="s">
        <v>12007</v>
      </c>
      <c r="D3993" s="60" t="s">
        <v>12008</v>
      </c>
    </row>
    <row r="3994" spans="2:4" x14ac:dyDescent="0.35">
      <c r="B3994" s="60" t="s">
        <v>12009</v>
      </c>
      <c r="C3994" s="60" t="s">
        <v>12010</v>
      </c>
      <c r="D3994" s="60" t="s">
        <v>12011</v>
      </c>
    </row>
    <row r="3995" spans="2:4" x14ac:dyDescent="0.35">
      <c r="B3995" s="60" t="s">
        <v>12012</v>
      </c>
      <c r="C3995" s="60" t="s">
        <v>12013</v>
      </c>
      <c r="D3995" s="60" t="s">
        <v>12014</v>
      </c>
    </row>
    <row r="3996" spans="2:4" x14ac:dyDescent="0.35">
      <c r="B3996" s="60" t="s">
        <v>12015</v>
      </c>
      <c r="C3996" s="60" t="s">
        <v>12016</v>
      </c>
      <c r="D3996" s="60" t="s">
        <v>12017</v>
      </c>
    </row>
    <row r="3997" spans="2:4" x14ac:dyDescent="0.35">
      <c r="B3997" s="60" t="s">
        <v>12018</v>
      </c>
      <c r="C3997" s="60" t="s">
        <v>12019</v>
      </c>
      <c r="D3997" s="60" t="s">
        <v>12020</v>
      </c>
    </row>
    <row r="3998" spans="2:4" x14ac:dyDescent="0.35">
      <c r="B3998" s="60" t="s">
        <v>12021</v>
      </c>
      <c r="C3998" s="60" t="s">
        <v>12022</v>
      </c>
      <c r="D3998" s="60" t="s">
        <v>12023</v>
      </c>
    </row>
    <row r="3999" spans="2:4" x14ac:dyDescent="0.35">
      <c r="B3999" s="60" t="s">
        <v>12024</v>
      </c>
      <c r="C3999" s="60" t="s">
        <v>12025</v>
      </c>
      <c r="D3999" s="60" t="s">
        <v>12026</v>
      </c>
    </row>
    <row r="4000" spans="2:4" x14ac:dyDescent="0.35">
      <c r="B4000" s="60" t="s">
        <v>12027</v>
      </c>
      <c r="C4000" s="60" t="s">
        <v>12028</v>
      </c>
      <c r="D4000" s="60" t="s">
        <v>12029</v>
      </c>
    </row>
    <row r="4001" spans="2:4" x14ac:dyDescent="0.35">
      <c r="B4001" s="60" t="s">
        <v>12030</v>
      </c>
      <c r="C4001" s="60" t="s">
        <v>12031</v>
      </c>
      <c r="D4001" s="60" t="s">
        <v>12032</v>
      </c>
    </row>
    <row r="4002" spans="2:4" x14ac:dyDescent="0.35">
      <c r="B4002" s="60" t="s">
        <v>12033</v>
      </c>
      <c r="C4002" s="60" t="s">
        <v>12034</v>
      </c>
      <c r="D4002" s="60" t="s">
        <v>12035</v>
      </c>
    </row>
    <row r="4003" spans="2:4" x14ac:dyDescent="0.35">
      <c r="B4003" s="60" t="s">
        <v>12033</v>
      </c>
      <c r="C4003" s="60" t="s">
        <v>12036</v>
      </c>
      <c r="D4003" s="60" t="s">
        <v>12037</v>
      </c>
    </row>
    <row r="4004" spans="2:4" x14ac:dyDescent="0.35">
      <c r="B4004" s="60" t="s">
        <v>12038</v>
      </c>
      <c r="C4004" s="60" t="s">
        <v>12039</v>
      </c>
      <c r="D4004" s="60" t="s">
        <v>12040</v>
      </c>
    </row>
    <row r="4005" spans="2:4" x14ac:dyDescent="0.35">
      <c r="B4005" s="60" t="s">
        <v>12038</v>
      </c>
      <c r="C4005" s="60" t="s">
        <v>12041</v>
      </c>
      <c r="D4005" s="60" t="s">
        <v>12042</v>
      </c>
    </row>
    <row r="4006" spans="2:4" x14ac:dyDescent="0.35">
      <c r="B4006" s="60" t="s">
        <v>12043</v>
      </c>
      <c r="C4006" s="60" t="s">
        <v>12044</v>
      </c>
      <c r="D4006" s="60" t="s">
        <v>12045</v>
      </c>
    </row>
    <row r="4007" spans="2:4" x14ac:dyDescent="0.35">
      <c r="B4007" s="60" t="s">
        <v>12046</v>
      </c>
      <c r="C4007" s="60" t="s">
        <v>12047</v>
      </c>
      <c r="D4007" s="60" t="s">
        <v>12048</v>
      </c>
    </row>
    <row r="4008" spans="2:4" x14ac:dyDescent="0.35">
      <c r="B4008" s="60" t="s">
        <v>12049</v>
      </c>
      <c r="C4008" s="60" t="s">
        <v>12050</v>
      </c>
      <c r="D4008" s="60" t="s">
        <v>12051</v>
      </c>
    </row>
    <row r="4009" spans="2:4" x14ac:dyDescent="0.35">
      <c r="B4009" s="60" t="s">
        <v>12052</v>
      </c>
      <c r="C4009" s="60" t="s">
        <v>12053</v>
      </c>
      <c r="D4009" s="60" t="s">
        <v>12054</v>
      </c>
    </row>
    <row r="4010" spans="2:4" x14ac:dyDescent="0.35">
      <c r="B4010" s="60" t="s">
        <v>12055</v>
      </c>
      <c r="C4010" s="60" t="s">
        <v>12056</v>
      </c>
      <c r="D4010" s="60" t="s">
        <v>12057</v>
      </c>
    </row>
    <row r="4011" spans="2:4" x14ac:dyDescent="0.35">
      <c r="B4011" s="60" t="s">
        <v>12058</v>
      </c>
      <c r="C4011" s="60" t="s">
        <v>12059</v>
      </c>
      <c r="D4011" s="60" t="s">
        <v>12060</v>
      </c>
    </row>
    <row r="4012" spans="2:4" x14ac:dyDescent="0.35">
      <c r="B4012" s="60" t="s">
        <v>12061</v>
      </c>
      <c r="C4012" s="60" t="s">
        <v>12062</v>
      </c>
      <c r="D4012" s="60" t="s">
        <v>12063</v>
      </c>
    </row>
    <row r="4013" spans="2:4" x14ac:dyDescent="0.35">
      <c r="B4013" s="60" t="s">
        <v>12064</v>
      </c>
      <c r="C4013" s="60" t="s">
        <v>12065</v>
      </c>
      <c r="D4013" s="60" t="s">
        <v>12066</v>
      </c>
    </row>
    <row r="4014" spans="2:4" x14ac:dyDescent="0.35">
      <c r="B4014" s="60" t="s">
        <v>12067</v>
      </c>
      <c r="C4014" s="60" t="s">
        <v>12068</v>
      </c>
      <c r="D4014" s="60" t="s">
        <v>12069</v>
      </c>
    </row>
    <row r="4015" spans="2:4" x14ac:dyDescent="0.35">
      <c r="B4015" s="60" t="s">
        <v>12070</v>
      </c>
      <c r="C4015" s="60" t="s">
        <v>12071</v>
      </c>
      <c r="D4015" s="60" t="s">
        <v>12072</v>
      </c>
    </row>
    <row r="4016" spans="2:4" x14ac:dyDescent="0.35">
      <c r="B4016" s="60" t="s">
        <v>12073</v>
      </c>
      <c r="C4016" s="60" t="s">
        <v>12074</v>
      </c>
      <c r="D4016" s="60" t="s">
        <v>12075</v>
      </c>
    </row>
    <row r="4017" spans="2:4" x14ac:dyDescent="0.35">
      <c r="B4017" s="60" t="s">
        <v>12076</v>
      </c>
      <c r="C4017" s="60" t="s">
        <v>12077</v>
      </c>
      <c r="D4017" s="60" t="s">
        <v>12078</v>
      </c>
    </row>
    <row r="4018" spans="2:4" x14ac:dyDescent="0.35">
      <c r="B4018" s="60" t="s">
        <v>12079</v>
      </c>
      <c r="C4018" s="60" t="s">
        <v>12080</v>
      </c>
      <c r="D4018" s="60" t="s">
        <v>12081</v>
      </c>
    </row>
    <row r="4019" spans="2:4" x14ac:dyDescent="0.35">
      <c r="B4019" s="60" t="s">
        <v>12082</v>
      </c>
      <c r="C4019" s="60" t="s">
        <v>12083</v>
      </c>
      <c r="D4019" s="60" t="s">
        <v>12084</v>
      </c>
    </row>
    <row r="4020" spans="2:4" x14ac:dyDescent="0.35">
      <c r="B4020" s="60" t="s">
        <v>12085</v>
      </c>
      <c r="C4020" s="60" t="s">
        <v>12086</v>
      </c>
      <c r="D4020" s="60" t="s">
        <v>12087</v>
      </c>
    </row>
    <row r="4021" spans="2:4" x14ac:dyDescent="0.35">
      <c r="B4021" s="60" t="s">
        <v>12088</v>
      </c>
      <c r="C4021" s="60" t="s">
        <v>12089</v>
      </c>
      <c r="D4021" s="60" t="s">
        <v>12090</v>
      </c>
    </row>
    <row r="4022" spans="2:4" x14ac:dyDescent="0.35">
      <c r="B4022" s="60" t="s">
        <v>12091</v>
      </c>
      <c r="C4022" s="60" t="s">
        <v>12092</v>
      </c>
      <c r="D4022" s="60" t="s">
        <v>12093</v>
      </c>
    </row>
    <row r="4023" spans="2:4" x14ac:dyDescent="0.35">
      <c r="B4023" s="60" t="s">
        <v>12094</v>
      </c>
      <c r="C4023" s="60" t="s">
        <v>12095</v>
      </c>
      <c r="D4023" s="60" t="s">
        <v>12096</v>
      </c>
    </row>
    <row r="4024" spans="2:4" x14ac:dyDescent="0.35">
      <c r="B4024" s="60" t="s">
        <v>12097</v>
      </c>
      <c r="C4024" s="60" t="s">
        <v>12098</v>
      </c>
      <c r="D4024" s="60" t="s">
        <v>12099</v>
      </c>
    </row>
    <row r="4025" spans="2:4" x14ac:dyDescent="0.35">
      <c r="B4025" s="60" t="s">
        <v>12100</v>
      </c>
      <c r="C4025" s="60" t="s">
        <v>12101</v>
      </c>
      <c r="D4025" s="60" t="s">
        <v>12102</v>
      </c>
    </row>
    <row r="4026" spans="2:4" x14ac:dyDescent="0.35">
      <c r="B4026" s="60" t="s">
        <v>12103</v>
      </c>
      <c r="C4026" s="60" t="s">
        <v>12104</v>
      </c>
      <c r="D4026" s="60" t="s">
        <v>12105</v>
      </c>
    </row>
    <row r="4027" spans="2:4" x14ac:dyDescent="0.35">
      <c r="B4027" s="60" t="s">
        <v>12103</v>
      </c>
      <c r="C4027" s="60" t="s">
        <v>12106</v>
      </c>
      <c r="D4027" s="60" t="s">
        <v>12107</v>
      </c>
    </row>
    <row r="4028" spans="2:4" x14ac:dyDescent="0.35">
      <c r="B4028" s="60" t="s">
        <v>12108</v>
      </c>
      <c r="C4028" s="60" t="s">
        <v>12109</v>
      </c>
      <c r="D4028" s="60" t="s">
        <v>12110</v>
      </c>
    </row>
    <row r="4029" spans="2:4" x14ac:dyDescent="0.35">
      <c r="B4029" s="60" t="s">
        <v>12111</v>
      </c>
      <c r="C4029" s="60" t="s">
        <v>12112</v>
      </c>
      <c r="D4029" s="60" t="s">
        <v>12113</v>
      </c>
    </row>
    <row r="4030" spans="2:4" x14ac:dyDescent="0.35">
      <c r="B4030" s="60" t="s">
        <v>12114</v>
      </c>
      <c r="C4030" s="60" t="s">
        <v>12115</v>
      </c>
      <c r="D4030" s="60" t="s">
        <v>12116</v>
      </c>
    </row>
    <row r="4031" spans="2:4" x14ac:dyDescent="0.35">
      <c r="B4031" s="60" t="s">
        <v>12117</v>
      </c>
      <c r="C4031" s="60" t="s">
        <v>12118</v>
      </c>
      <c r="D4031" s="60" t="s">
        <v>12119</v>
      </c>
    </row>
    <row r="4032" spans="2:4" x14ac:dyDescent="0.35">
      <c r="B4032" s="60" t="s">
        <v>12120</v>
      </c>
      <c r="C4032" s="60" t="s">
        <v>12121</v>
      </c>
      <c r="D4032" s="60" t="s">
        <v>12122</v>
      </c>
    </row>
    <row r="4033" spans="2:4" x14ac:dyDescent="0.35">
      <c r="B4033" s="60" t="s">
        <v>12123</v>
      </c>
      <c r="C4033" s="60" t="s">
        <v>12124</v>
      </c>
      <c r="D4033" s="60" t="s">
        <v>12125</v>
      </c>
    </row>
    <row r="4034" spans="2:4" x14ac:dyDescent="0.35">
      <c r="B4034" s="60" t="s">
        <v>12126</v>
      </c>
      <c r="C4034" s="60" t="s">
        <v>12127</v>
      </c>
      <c r="D4034" s="60" t="s">
        <v>12128</v>
      </c>
    </row>
    <row r="4035" spans="2:4" x14ac:dyDescent="0.35">
      <c r="B4035" s="60" t="s">
        <v>12129</v>
      </c>
      <c r="C4035" s="60" t="s">
        <v>12130</v>
      </c>
      <c r="D4035" s="60" t="s">
        <v>12131</v>
      </c>
    </row>
    <row r="4036" spans="2:4" x14ac:dyDescent="0.35">
      <c r="B4036" s="60" t="s">
        <v>12132</v>
      </c>
      <c r="C4036" s="60" t="s">
        <v>12133</v>
      </c>
      <c r="D4036" s="60" t="s">
        <v>12134</v>
      </c>
    </row>
    <row r="4037" spans="2:4" x14ac:dyDescent="0.35">
      <c r="B4037" s="60" t="s">
        <v>12135</v>
      </c>
      <c r="C4037" s="60" t="s">
        <v>12136</v>
      </c>
      <c r="D4037" s="60" t="s">
        <v>12137</v>
      </c>
    </row>
    <row r="4038" spans="2:4" x14ac:dyDescent="0.35">
      <c r="B4038" s="60" t="s">
        <v>12138</v>
      </c>
      <c r="C4038" s="60" t="s">
        <v>12139</v>
      </c>
      <c r="D4038" s="60" t="s">
        <v>12140</v>
      </c>
    </row>
    <row r="4039" spans="2:4" x14ac:dyDescent="0.35">
      <c r="B4039" s="60" t="s">
        <v>12141</v>
      </c>
      <c r="C4039" s="60" t="s">
        <v>12142</v>
      </c>
      <c r="D4039" s="60" t="s">
        <v>12143</v>
      </c>
    </row>
    <row r="4040" spans="2:4" x14ac:dyDescent="0.35">
      <c r="B4040" s="60" t="s">
        <v>12144</v>
      </c>
      <c r="C4040" s="60" t="s">
        <v>12145</v>
      </c>
      <c r="D4040" s="60" t="s">
        <v>12146</v>
      </c>
    </row>
    <row r="4041" spans="2:4" x14ac:dyDescent="0.35">
      <c r="B4041" s="60" t="s">
        <v>12147</v>
      </c>
      <c r="C4041" s="60" t="s">
        <v>12148</v>
      </c>
      <c r="D4041" s="60" t="s">
        <v>12149</v>
      </c>
    </row>
    <row r="4042" spans="2:4" x14ac:dyDescent="0.35">
      <c r="B4042" s="60" t="s">
        <v>12150</v>
      </c>
      <c r="C4042" s="60" t="s">
        <v>12151</v>
      </c>
      <c r="D4042" s="60" t="s">
        <v>12152</v>
      </c>
    </row>
    <row r="4043" spans="2:4" x14ac:dyDescent="0.35">
      <c r="B4043" s="60" t="s">
        <v>12153</v>
      </c>
      <c r="C4043" s="60" t="s">
        <v>12154</v>
      </c>
      <c r="D4043" s="60" t="s">
        <v>12155</v>
      </c>
    </row>
    <row r="4044" spans="2:4" x14ac:dyDescent="0.35">
      <c r="B4044" s="60" t="s">
        <v>12156</v>
      </c>
      <c r="C4044" s="60" t="s">
        <v>12157</v>
      </c>
      <c r="D4044" s="60" t="s">
        <v>12158</v>
      </c>
    </row>
    <row r="4045" spans="2:4" x14ac:dyDescent="0.35">
      <c r="B4045" s="60" t="s">
        <v>12159</v>
      </c>
      <c r="C4045" s="60" t="s">
        <v>12160</v>
      </c>
      <c r="D4045" s="60" t="s">
        <v>12161</v>
      </c>
    </row>
    <row r="4046" spans="2:4" x14ac:dyDescent="0.35">
      <c r="B4046" s="60" t="s">
        <v>12162</v>
      </c>
      <c r="C4046" s="60" t="s">
        <v>12163</v>
      </c>
      <c r="D4046" s="60" t="s">
        <v>12164</v>
      </c>
    </row>
    <row r="4047" spans="2:4" x14ac:dyDescent="0.35">
      <c r="B4047" s="60" t="s">
        <v>12165</v>
      </c>
      <c r="C4047" s="60" t="s">
        <v>12166</v>
      </c>
      <c r="D4047" s="60" t="s">
        <v>12167</v>
      </c>
    </row>
    <row r="4048" spans="2:4" x14ac:dyDescent="0.35">
      <c r="B4048" s="60" t="s">
        <v>12168</v>
      </c>
      <c r="C4048" s="60" t="s">
        <v>12169</v>
      </c>
      <c r="D4048" s="60" t="s">
        <v>12170</v>
      </c>
    </row>
    <row r="4049" spans="2:4" x14ac:dyDescent="0.35">
      <c r="B4049" s="60" t="s">
        <v>12171</v>
      </c>
      <c r="C4049" s="60" t="s">
        <v>12172</v>
      </c>
      <c r="D4049" s="60" t="s">
        <v>12173</v>
      </c>
    </row>
    <row r="4050" spans="2:4" x14ac:dyDescent="0.35">
      <c r="B4050" s="60" t="s">
        <v>12171</v>
      </c>
      <c r="C4050" s="60" t="s">
        <v>12174</v>
      </c>
      <c r="D4050" s="60" t="s">
        <v>12175</v>
      </c>
    </row>
    <row r="4051" spans="2:4" x14ac:dyDescent="0.35">
      <c r="B4051" s="60" t="s">
        <v>12176</v>
      </c>
      <c r="C4051" s="60" t="s">
        <v>12177</v>
      </c>
      <c r="D4051" s="60" t="s">
        <v>12178</v>
      </c>
    </row>
    <row r="4052" spans="2:4" x14ac:dyDescent="0.35">
      <c r="B4052" s="60" t="s">
        <v>12179</v>
      </c>
      <c r="C4052" s="60" t="s">
        <v>12180</v>
      </c>
      <c r="D4052" s="60" t="s">
        <v>12181</v>
      </c>
    </row>
    <row r="4053" spans="2:4" x14ac:dyDescent="0.35">
      <c r="B4053" s="60" t="s">
        <v>12182</v>
      </c>
      <c r="C4053" s="60" t="s">
        <v>12183</v>
      </c>
      <c r="D4053" s="60" t="s">
        <v>12184</v>
      </c>
    </row>
    <row r="4054" spans="2:4" x14ac:dyDescent="0.35">
      <c r="B4054" s="60" t="s">
        <v>12185</v>
      </c>
      <c r="C4054" s="60" t="s">
        <v>12186</v>
      </c>
      <c r="D4054" s="60" t="s">
        <v>12187</v>
      </c>
    </row>
    <row r="4055" spans="2:4" x14ac:dyDescent="0.35">
      <c r="B4055" s="60" t="s">
        <v>12188</v>
      </c>
      <c r="C4055" s="60" t="s">
        <v>12189</v>
      </c>
      <c r="D4055" s="60" t="s">
        <v>12190</v>
      </c>
    </row>
    <row r="4056" spans="2:4" x14ac:dyDescent="0.35">
      <c r="B4056" s="60" t="s">
        <v>12191</v>
      </c>
      <c r="C4056" s="60" t="s">
        <v>12192</v>
      </c>
      <c r="D4056" s="60" t="s">
        <v>12193</v>
      </c>
    </row>
    <row r="4057" spans="2:4" x14ac:dyDescent="0.35">
      <c r="B4057" s="60" t="s">
        <v>12194</v>
      </c>
      <c r="C4057" s="60" t="s">
        <v>12195</v>
      </c>
      <c r="D4057" s="60" t="s">
        <v>12196</v>
      </c>
    </row>
    <row r="4058" spans="2:4" x14ac:dyDescent="0.35">
      <c r="B4058" s="60" t="s">
        <v>12197</v>
      </c>
      <c r="C4058" s="60" t="s">
        <v>12198</v>
      </c>
      <c r="D4058" s="60" t="s">
        <v>12199</v>
      </c>
    </row>
    <row r="4059" spans="2:4" x14ac:dyDescent="0.35">
      <c r="B4059" s="60" t="s">
        <v>12200</v>
      </c>
      <c r="C4059" s="60" t="s">
        <v>12201</v>
      </c>
      <c r="D4059" s="60" t="s">
        <v>12202</v>
      </c>
    </row>
    <row r="4060" spans="2:4" x14ac:dyDescent="0.35">
      <c r="B4060" s="60" t="s">
        <v>12203</v>
      </c>
      <c r="C4060" s="60" t="s">
        <v>12204</v>
      </c>
      <c r="D4060" s="60" t="s">
        <v>12205</v>
      </c>
    </row>
    <row r="4061" spans="2:4" x14ac:dyDescent="0.35">
      <c r="B4061" s="60" t="s">
        <v>12203</v>
      </c>
      <c r="C4061" s="60" t="s">
        <v>12206</v>
      </c>
      <c r="D4061" s="60" t="s">
        <v>12207</v>
      </c>
    </row>
    <row r="4062" spans="2:4" x14ac:dyDescent="0.35">
      <c r="B4062" s="60" t="s">
        <v>12208</v>
      </c>
      <c r="C4062" s="60" t="s">
        <v>12209</v>
      </c>
      <c r="D4062" s="60" t="s">
        <v>12210</v>
      </c>
    </row>
    <row r="4063" spans="2:4" x14ac:dyDescent="0.35">
      <c r="B4063" s="60" t="s">
        <v>12211</v>
      </c>
      <c r="C4063" s="60" t="s">
        <v>12212</v>
      </c>
      <c r="D4063" s="60" t="s">
        <v>12213</v>
      </c>
    </row>
    <row r="4064" spans="2:4" x14ac:dyDescent="0.35">
      <c r="B4064" s="60" t="s">
        <v>12211</v>
      </c>
      <c r="C4064" s="60" t="s">
        <v>12212</v>
      </c>
      <c r="D4064" s="60" t="s">
        <v>12214</v>
      </c>
    </row>
    <row r="4065" spans="2:4" x14ac:dyDescent="0.35">
      <c r="B4065" s="60" t="s">
        <v>12215</v>
      </c>
      <c r="C4065" s="60" t="s">
        <v>12216</v>
      </c>
      <c r="D4065" s="60" t="s">
        <v>12217</v>
      </c>
    </row>
    <row r="4066" spans="2:4" x14ac:dyDescent="0.35">
      <c r="B4066" s="60" t="s">
        <v>12218</v>
      </c>
      <c r="C4066" s="60" t="s">
        <v>12219</v>
      </c>
      <c r="D4066" s="60" t="s">
        <v>12220</v>
      </c>
    </row>
    <row r="4067" spans="2:4" x14ac:dyDescent="0.35">
      <c r="B4067" s="60" t="s">
        <v>12221</v>
      </c>
      <c r="C4067" s="60" t="s">
        <v>12222</v>
      </c>
      <c r="D4067" s="60" t="s">
        <v>12223</v>
      </c>
    </row>
    <row r="4068" spans="2:4" x14ac:dyDescent="0.35">
      <c r="B4068" s="60" t="s">
        <v>12224</v>
      </c>
      <c r="C4068" s="60" t="s">
        <v>12225</v>
      </c>
      <c r="D4068" s="60" t="s">
        <v>12226</v>
      </c>
    </row>
    <row r="4069" spans="2:4" x14ac:dyDescent="0.35">
      <c r="B4069" s="60" t="s">
        <v>12227</v>
      </c>
      <c r="C4069" s="60" t="s">
        <v>12228</v>
      </c>
      <c r="D4069" s="60" t="s">
        <v>12229</v>
      </c>
    </row>
    <row r="4070" spans="2:4" x14ac:dyDescent="0.35">
      <c r="B4070" s="60" t="s">
        <v>12230</v>
      </c>
      <c r="C4070" s="60" t="s">
        <v>12231</v>
      </c>
      <c r="D4070" s="60" t="s">
        <v>12232</v>
      </c>
    </row>
    <row r="4071" spans="2:4" x14ac:dyDescent="0.35">
      <c r="B4071" s="60" t="s">
        <v>12233</v>
      </c>
      <c r="C4071" s="60" t="s">
        <v>12234</v>
      </c>
      <c r="D4071" s="60" t="s">
        <v>12235</v>
      </c>
    </row>
    <row r="4072" spans="2:4" x14ac:dyDescent="0.35">
      <c r="B4072" s="60" t="s">
        <v>12236</v>
      </c>
      <c r="C4072" s="60" t="s">
        <v>12237</v>
      </c>
      <c r="D4072" s="60" t="s">
        <v>12238</v>
      </c>
    </row>
    <row r="4073" spans="2:4" x14ac:dyDescent="0.35">
      <c r="B4073" s="60" t="s">
        <v>12239</v>
      </c>
      <c r="C4073" s="60" t="s">
        <v>12240</v>
      </c>
      <c r="D4073" s="60" t="s">
        <v>12241</v>
      </c>
    </row>
    <row r="4074" spans="2:4" x14ac:dyDescent="0.35">
      <c r="B4074" s="60" t="s">
        <v>12242</v>
      </c>
      <c r="C4074" s="60" t="s">
        <v>12243</v>
      </c>
      <c r="D4074" s="60" t="s">
        <v>12244</v>
      </c>
    </row>
    <row r="4075" spans="2:4" x14ac:dyDescent="0.35">
      <c r="B4075" s="60" t="s">
        <v>12245</v>
      </c>
      <c r="C4075" s="60" t="s">
        <v>12246</v>
      </c>
      <c r="D4075" s="60" t="s">
        <v>12247</v>
      </c>
    </row>
    <row r="4076" spans="2:4" x14ac:dyDescent="0.35">
      <c r="B4076" s="60" t="s">
        <v>12248</v>
      </c>
      <c r="C4076" s="60" t="s">
        <v>12249</v>
      </c>
      <c r="D4076" s="60" t="s">
        <v>12250</v>
      </c>
    </row>
    <row r="4077" spans="2:4" x14ac:dyDescent="0.35">
      <c r="B4077" s="60" t="s">
        <v>12251</v>
      </c>
      <c r="C4077" s="60" t="s">
        <v>12252</v>
      </c>
      <c r="D4077" s="60" t="s">
        <v>12253</v>
      </c>
    </row>
    <row r="4078" spans="2:4" x14ac:dyDescent="0.35">
      <c r="B4078" s="60" t="s">
        <v>12251</v>
      </c>
      <c r="C4078" s="60" t="s">
        <v>12254</v>
      </c>
      <c r="D4078" s="60" t="s">
        <v>12255</v>
      </c>
    </row>
    <row r="4079" spans="2:4" x14ac:dyDescent="0.35">
      <c r="B4079" s="60" t="s">
        <v>12256</v>
      </c>
      <c r="C4079" s="60" t="s">
        <v>12257</v>
      </c>
      <c r="D4079" s="60" t="s">
        <v>12258</v>
      </c>
    </row>
    <row r="4080" spans="2:4" x14ac:dyDescent="0.35">
      <c r="B4080" s="60" t="s">
        <v>12259</v>
      </c>
      <c r="C4080" s="60" t="s">
        <v>12260</v>
      </c>
      <c r="D4080" s="60" t="s">
        <v>12261</v>
      </c>
    </row>
    <row r="4081" spans="2:4" x14ac:dyDescent="0.35">
      <c r="B4081" s="60" t="s">
        <v>12262</v>
      </c>
      <c r="C4081" s="60" t="s">
        <v>12263</v>
      </c>
      <c r="D4081" s="60" t="s">
        <v>12264</v>
      </c>
    </row>
    <row r="4082" spans="2:4" x14ac:dyDescent="0.35">
      <c r="B4082" s="60" t="s">
        <v>12265</v>
      </c>
      <c r="C4082" s="60" t="s">
        <v>12266</v>
      </c>
      <c r="D4082" s="60" t="s">
        <v>12267</v>
      </c>
    </row>
    <row r="4083" spans="2:4" x14ac:dyDescent="0.35">
      <c r="B4083" s="60" t="s">
        <v>12268</v>
      </c>
      <c r="C4083" s="60" t="s">
        <v>12269</v>
      </c>
      <c r="D4083" s="60" t="s">
        <v>12270</v>
      </c>
    </row>
    <row r="4084" spans="2:4" x14ac:dyDescent="0.35">
      <c r="B4084" s="60" t="s">
        <v>12271</v>
      </c>
      <c r="C4084" s="60" t="s">
        <v>12272</v>
      </c>
      <c r="D4084" s="60" t="s">
        <v>12273</v>
      </c>
    </row>
    <row r="4085" spans="2:4" x14ac:dyDescent="0.35">
      <c r="B4085" s="60" t="s">
        <v>12274</v>
      </c>
      <c r="C4085" s="60" t="s">
        <v>12275</v>
      </c>
      <c r="D4085" s="60" t="s">
        <v>12276</v>
      </c>
    </row>
    <row r="4086" spans="2:4" x14ac:dyDescent="0.35">
      <c r="B4086" s="60" t="s">
        <v>12274</v>
      </c>
      <c r="C4086" s="60" t="s">
        <v>12277</v>
      </c>
      <c r="D4086" s="60" t="s">
        <v>12278</v>
      </c>
    </row>
    <row r="4087" spans="2:4" x14ac:dyDescent="0.35">
      <c r="B4087" s="60" t="s">
        <v>12279</v>
      </c>
      <c r="C4087" s="60" t="s">
        <v>12280</v>
      </c>
      <c r="D4087" s="60" t="s">
        <v>12281</v>
      </c>
    </row>
    <row r="4088" spans="2:4" x14ac:dyDescent="0.35">
      <c r="B4088" s="60" t="s">
        <v>12282</v>
      </c>
      <c r="C4088" s="60" t="s">
        <v>12283</v>
      </c>
      <c r="D4088" s="60" t="s">
        <v>12284</v>
      </c>
    </row>
    <row r="4089" spans="2:4" x14ac:dyDescent="0.35">
      <c r="B4089" s="60" t="s">
        <v>12285</v>
      </c>
      <c r="C4089" s="60" t="s">
        <v>12286</v>
      </c>
      <c r="D4089" s="60" t="s">
        <v>12287</v>
      </c>
    </row>
    <row r="4090" spans="2:4" x14ac:dyDescent="0.35">
      <c r="B4090" s="60" t="s">
        <v>12288</v>
      </c>
      <c r="C4090" s="60" t="s">
        <v>12289</v>
      </c>
      <c r="D4090" s="60" t="s">
        <v>12290</v>
      </c>
    </row>
    <row r="4091" spans="2:4" x14ac:dyDescent="0.35">
      <c r="B4091" s="60" t="s">
        <v>12291</v>
      </c>
      <c r="C4091" s="60" t="s">
        <v>12292</v>
      </c>
      <c r="D4091" s="60" t="s">
        <v>12293</v>
      </c>
    </row>
    <row r="4092" spans="2:4" x14ac:dyDescent="0.35">
      <c r="B4092" s="60" t="s">
        <v>12294</v>
      </c>
      <c r="C4092" s="60" t="s">
        <v>12295</v>
      </c>
      <c r="D4092" s="60" t="s">
        <v>12296</v>
      </c>
    </row>
    <row r="4093" spans="2:4" x14ac:dyDescent="0.35">
      <c r="B4093" s="60" t="s">
        <v>12297</v>
      </c>
      <c r="C4093" s="60" t="s">
        <v>12298</v>
      </c>
      <c r="D4093" s="60" t="s">
        <v>12299</v>
      </c>
    </row>
    <row r="4094" spans="2:4" x14ac:dyDescent="0.35">
      <c r="B4094" s="60" t="s">
        <v>12300</v>
      </c>
      <c r="C4094" s="60" t="s">
        <v>12301</v>
      </c>
      <c r="D4094" s="60" t="s">
        <v>12302</v>
      </c>
    </row>
    <row r="4095" spans="2:4" x14ac:dyDescent="0.35">
      <c r="B4095" s="60" t="s">
        <v>12303</v>
      </c>
      <c r="C4095" s="60" t="s">
        <v>12304</v>
      </c>
      <c r="D4095" s="60" t="s">
        <v>12305</v>
      </c>
    </row>
    <row r="4096" spans="2:4" x14ac:dyDescent="0.35">
      <c r="B4096" s="60" t="s">
        <v>12306</v>
      </c>
      <c r="C4096" s="60" t="s">
        <v>12307</v>
      </c>
      <c r="D4096" s="60" t="s">
        <v>12308</v>
      </c>
    </row>
    <row r="4097" spans="2:4" x14ac:dyDescent="0.35">
      <c r="B4097" s="60" t="s">
        <v>12309</v>
      </c>
      <c r="C4097" s="60" t="s">
        <v>12310</v>
      </c>
      <c r="D4097" s="60" t="s">
        <v>12311</v>
      </c>
    </row>
    <row r="4098" spans="2:4" x14ac:dyDescent="0.35">
      <c r="B4098" s="60" t="s">
        <v>12312</v>
      </c>
      <c r="C4098" s="60" t="s">
        <v>12313</v>
      </c>
      <c r="D4098" s="60" t="s">
        <v>12314</v>
      </c>
    </row>
    <row r="4099" spans="2:4" x14ac:dyDescent="0.35">
      <c r="B4099" s="60" t="s">
        <v>12315</v>
      </c>
      <c r="C4099" s="60" t="s">
        <v>12316</v>
      </c>
      <c r="D4099" s="60" t="s">
        <v>12317</v>
      </c>
    </row>
    <row r="4100" spans="2:4" x14ac:dyDescent="0.35">
      <c r="B4100" s="60" t="s">
        <v>12318</v>
      </c>
      <c r="C4100" s="60" t="s">
        <v>12319</v>
      </c>
      <c r="D4100" s="60" t="s">
        <v>12320</v>
      </c>
    </row>
    <row r="4101" spans="2:4" x14ac:dyDescent="0.35">
      <c r="B4101" s="60" t="s">
        <v>12321</v>
      </c>
      <c r="C4101" s="60" t="s">
        <v>12322</v>
      </c>
      <c r="D4101" s="60" t="s">
        <v>12323</v>
      </c>
    </row>
    <row r="4102" spans="2:4" x14ac:dyDescent="0.35">
      <c r="B4102" s="60" t="s">
        <v>12324</v>
      </c>
      <c r="C4102" s="60" t="s">
        <v>12325</v>
      </c>
      <c r="D4102" s="60" t="s">
        <v>12326</v>
      </c>
    </row>
    <row r="4103" spans="2:4" x14ac:dyDescent="0.35">
      <c r="B4103" s="60" t="s">
        <v>12327</v>
      </c>
      <c r="C4103" s="60" t="s">
        <v>12328</v>
      </c>
      <c r="D4103" s="60" t="s">
        <v>12329</v>
      </c>
    </row>
    <row r="4104" spans="2:4" x14ac:dyDescent="0.35">
      <c r="B4104" s="60" t="s">
        <v>12330</v>
      </c>
      <c r="C4104" s="60" t="s">
        <v>12331</v>
      </c>
      <c r="D4104" s="60" t="s">
        <v>12332</v>
      </c>
    </row>
    <row r="4105" spans="2:4" x14ac:dyDescent="0.35">
      <c r="B4105" s="60" t="s">
        <v>12333</v>
      </c>
      <c r="C4105" s="60" t="s">
        <v>12334</v>
      </c>
      <c r="D4105" s="60" t="s">
        <v>12335</v>
      </c>
    </row>
    <row r="4106" spans="2:4" x14ac:dyDescent="0.35">
      <c r="B4106" s="60" t="s">
        <v>12336</v>
      </c>
      <c r="C4106" s="60" t="s">
        <v>12337</v>
      </c>
      <c r="D4106" s="60" t="s">
        <v>12338</v>
      </c>
    </row>
    <row r="4107" spans="2:4" x14ac:dyDescent="0.35">
      <c r="B4107" s="60" t="s">
        <v>12339</v>
      </c>
      <c r="C4107" s="60" t="s">
        <v>12340</v>
      </c>
      <c r="D4107" s="60" t="s">
        <v>12341</v>
      </c>
    </row>
    <row r="4108" spans="2:4" x14ac:dyDescent="0.35">
      <c r="B4108" s="60" t="s">
        <v>12342</v>
      </c>
      <c r="C4108" s="60" t="s">
        <v>12343</v>
      </c>
      <c r="D4108" s="60" t="s">
        <v>12344</v>
      </c>
    </row>
    <row r="4109" spans="2:4" x14ac:dyDescent="0.35">
      <c r="B4109" s="60" t="s">
        <v>12345</v>
      </c>
      <c r="C4109" s="60" t="s">
        <v>12346</v>
      </c>
      <c r="D4109" s="60" t="s">
        <v>12347</v>
      </c>
    </row>
    <row r="4110" spans="2:4" x14ac:dyDescent="0.35">
      <c r="B4110" s="60" t="s">
        <v>12348</v>
      </c>
      <c r="C4110" s="60" t="s">
        <v>12349</v>
      </c>
      <c r="D4110" s="60" t="s">
        <v>12350</v>
      </c>
    </row>
    <row r="4111" spans="2:4" x14ac:dyDescent="0.35">
      <c r="B4111" s="60" t="s">
        <v>12351</v>
      </c>
      <c r="C4111" s="60" t="s">
        <v>12352</v>
      </c>
      <c r="D4111" s="60" t="s">
        <v>12353</v>
      </c>
    </row>
    <row r="4112" spans="2:4" x14ac:dyDescent="0.35">
      <c r="B4112" s="60" t="s">
        <v>12354</v>
      </c>
      <c r="C4112" s="60" t="s">
        <v>12355</v>
      </c>
      <c r="D4112" s="60" t="s">
        <v>12356</v>
      </c>
    </row>
    <row r="4113" spans="2:4" x14ac:dyDescent="0.35">
      <c r="B4113" s="60" t="s">
        <v>12357</v>
      </c>
      <c r="C4113" s="60" t="s">
        <v>12358</v>
      </c>
      <c r="D4113" s="60" t="s">
        <v>12359</v>
      </c>
    </row>
    <row r="4114" spans="2:4" x14ac:dyDescent="0.35">
      <c r="B4114" s="60" t="s">
        <v>12360</v>
      </c>
      <c r="C4114" s="60" t="s">
        <v>12361</v>
      </c>
      <c r="D4114" s="60" t="s">
        <v>12362</v>
      </c>
    </row>
    <row r="4115" spans="2:4" x14ac:dyDescent="0.35">
      <c r="B4115" s="60" t="s">
        <v>12363</v>
      </c>
      <c r="C4115" s="60" t="s">
        <v>12364</v>
      </c>
      <c r="D4115" s="60" t="s">
        <v>12365</v>
      </c>
    </row>
    <row r="4116" spans="2:4" x14ac:dyDescent="0.35">
      <c r="B4116" s="60" t="s">
        <v>12366</v>
      </c>
      <c r="C4116" s="60" t="s">
        <v>12367</v>
      </c>
      <c r="D4116" s="60" t="s">
        <v>12368</v>
      </c>
    </row>
    <row r="4117" spans="2:4" x14ac:dyDescent="0.35">
      <c r="B4117" s="60" t="s">
        <v>12369</v>
      </c>
      <c r="C4117" s="60" t="s">
        <v>12370</v>
      </c>
      <c r="D4117" s="60" t="s">
        <v>12371</v>
      </c>
    </row>
    <row r="4118" spans="2:4" x14ac:dyDescent="0.35">
      <c r="B4118" s="60" t="s">
        <v>132</v>
      </c>
      <c r="C4118" s="60" t="s">
        <v>12372</v>
      </c>
      <c r="D4118" s="60" t="s">
        <v>12373</v>
      </c>
    </row>
    <row r="4119" spans="2:4" x14ac:dyDescent="0.35">
      <c r="B4119" s="60" t="s">
        <v>12374</v>
      </c>
      <c r="C4119" s="60" t="s">
        <v>12375</v>
      </c>
      <c r="D4119" s="60" t="s">
        <v>12376</v>
      </c>
    </row>
    <row r="4120" spans="2:4" x14ac:dyDescent="0.35">
      <c r="B4120" s="60" t="s">
        <v>12377</v>
      </c>
      <c r="C4120" s="60" t="s">
        <v>12378</v>
      </c>
      <c r="D4120" s="60" t="s">
        <v>12379</v>
      </c>
    </row>
    <row r="4121" spans="2:4" x14ac:dyDescent="0.35">
      <c r="B4121" s="60" t="s">
        <v>12380</v>
      </c>
      <c r="C4121" s="60" t="s">
        <v>12381</v>
      </c>
      <c r="D4121" s="60" t="s">
        <v>12382</v>
      </c>
    </row>
    <row r="4122" spans="2:4" x14ac:dyDescent="0.35">
      <c r="B4122" s="60" t="s">
        <v>12383</v>
      </c>
      <c r="C4122" s="60" t="s">
        <v>12384</v>
      </c>
      <c r="D4122" s="60" t="s">
        <v>12385</v>
      </c>
    </row>
    <row r="4123" spans="2:4" x14ac:dyDescent="0.35">
      <c r="B4123" s="60" t="s">
        <v>12386</v>
      </c>
      <c r="C4123" s="60" t="s">
        <v>12387</v>
      </c>
      <c r="D4123" s="60" t="s">
        <v>12388</v>
      </c>
    </row>
    <row r="4124" spans="2:4" x14ac:dyDescent="0.35">
      <c r="B4124" s="60" t="s">
        <v>12389</v>
      </c>
      <c r="C4124" s="60" t="s">
        <v>12390</v>
      </c>
      <c r="D4124" s="60" t="s">
        <v>12391</v>
      </c>
    </row>
    <row r="4125" spans="2:4" x14ac:dyDescent="0.35">
      <c r="B4125" s="60" t="s">
        <v>12392</v>
      </c>
      <c r="C4125" s="60" t="s">
        <v>12393</v>
      </c>
      <c r="D4125" s="60" t="s">
        <v>12394</v>
      </c>
    </row>
    <row r="4126" spans="2:4" x14ac:dyDescent="0.35">
      <c r="B4126" s="60" t="s">
        <v>12395</v>
      </c>
      <c r="C4126" s="60" t="s">
        <v>12396</v>
      </c>
      <c r="D4126" s="60" t="s">
        <v>12397</v>
      </c>
    </row>
    <row r="4127" spans="2:4" x14ac:dyDescent="0.35">
      <c r="B4127" s="60" t="s">
        <v>12398</v>
      </c>
      <c r="C4127" s="60" t="s">
        <v>12399</v>
      </c>
      <c r="D4127" s="60" t="s">
        <v>12400</v>
      </c>
    </row>
    <row r="4128" spans="2:4" x14ac:dyDescent="0.35">
      <c r="B4128" s="60" t="s">
        <v>12401</v>
      </c>
      <c r="C4128" s="60" t="s">
        <v>12402</v>
      </c>
      <c r="D4128" s="60" t="s">
        <v>12403</v>
      </c>
    </row>
    <row r="4129" spans="2:4" x14ac:dyDescent="0.35">
      <c r="B4129" s="60" t="s">
        <v>12404</v>
      </c>
      <c r="C4129" s="60" t="s">
        <v>12405</v>
      </c>
      <c r="D4129" s="60" t="s">
        <v>12406</v>
      </c>
    </row>
    <row r="4130" spans="2:4" x14ac:dyDescent="0.35">
      <c r="B4130" s="60" t="s">
        <v>12407</v>
      </c>
      <c r="C4130" s="60" t="s">
        <v>12408</v>
      </c>
      <c r="D4130" s="60" t="s">
        <v>12409</v>
      </c>
    </row>
    <row r="4131" spans="2:4" x14ac:dyDescent="0.35">
      <c r="B4131" s="60" t="s">
        <v>12410</v>
      </c>
      <c r="C4131" s="60" t="s">
        <v>12411</v>
      </c>
      <c r="D4131" s="60" t="s">
        <v>12412</v>
      </c>
    </row>
    <row r="4132" spans="2:4" x14ac:dyDescent="0.35">
      <c r="B4132" s="60" t="s">
        <v>12413</v>
      </c>
      <c r="C4132" s="60" t="s">
        <v>12414</v>
      </c>
      <c r="D4132" s="60" t="s">
        <v>12415</v>
      </c>
    </row>
    <row r="4133" spans="2:4" x14ac:dyDescent="0.35">
      <c r="B4133" s="60" t="s">
        <v>12416</v>
      </c>
      <c r="C4133" s="60" t="s">
        <v>12417</v>
      </c>
      <c r="D4133" s="60" t="s">
        <v>12418</v>
      </c>
    </row>
    <row r="4134" spans="2:4" x14ac:dyDescent="0.35">
      <c r="B4134" s="60" t="s">
        <v>12419</v>
      </c>
      <c r="C4134" s="60" t="s">
        <v>12420</v>
      </c>
      <c r="D4134" s="60" t="s">
        <v>12421</v>
      </c>
    </row>
    <row r="4135" spans="2:4" x14ac:dyDescent="0.35">
      <c r="B4135" s="60" t="s">
        <v>12422</v>
      </c>
      <c r="C4135" s="60" t="s">
        <v>12423</v>
      </c>
      <c r="D4135" s="60" t="s">
        <v>12424</v>
      </c>
    </row>
    <row r="4136" spans="2:4" x14ac:dyDescent="0.35">
      <c r="B4136" s="60" t="s">
        <v>12425</v>
      </c>
      <c r="C4136" s="60" t="s">
        <v>12426</v>
      </c>
      <c r="D4136" s="60" t="s">
        <v>12427</v>
      </c>
    </row>
    <row r="4137" spans="2:4" x14ac:dyDescent="0.35">
      <c r="B4137" s="60" t="s">
        <v>12428</v>
      </c>
      <c r="C4137" s="60" t="s">
        <v>12429</v>
      </c>
      <c r="D4137" s="60" t="s">
        <v>12430</v>
      </c>
    </row>
    <row r="4138" spans="2:4" x14ac:dyDescent="0.35">
      <c r="B4138" s="60" t="s">
        <v>12431</v>
      </c>
      <c r="C4138" s="60" t="s">
        <v>12432</v>
      </c>
      <c r="D4138" s="60" t="s">
        <v>12433</v>
      </c>
    </row>
    <row r="4139" spans="2:4" x14ac:dyDescent="0.35">
      <c r="B4139" s="60" t="s">
        <v>12434</v>
      </c>
      <c r="C4139" s="60" t="s">
        <v>12435</v>
      </c>
      <c r="D4139" s="60" t="s">
        <v>12436</v>
      </c>
    </row>
    <row r="4140" spans="2:4" x14ac:dyDescent="0.35">
      <c r="B4140" s="60" t="s">
        <v>12437</v>
      </c>
      <c r="C4140" s="60" t="s">
        <v>12438</v>
      </c>
      <c r="D4140" s="60" t="s">
        <v>12439</v>
      </c>
    </row>
    <row r="4141" spans="2:4" x14ac:dyDescent="0.35">
      <c r="B4141" s="60" t="s">
        <v>12440</v>
      </c>
      <c r="C4141" s="60" t="s">
        <v>12441</v>
      </c>
      <c r="D4141" s="60" t="s">
        <v>12442</v>
      </c>
    </row>
    <row r="4142" spans="2:4" x14ac:dyDescent="0.35">
      <c r="B4142" s="60" t="s">
        <v>12443</v>
      </c>
      <c r="C4142" s="60" t="s">
        <v>12444</v>
      </c>
      <c r="D4142" s="60" t="s">
        <v>12445</v>
      </c>
    </row>
    <row r="4143" spans="2:4" x14ac:dyDescent="0.35">
      <c r="B4143" s="60" t="s">
        <v>12446</v>
      </c>
      <c r="C4143" s="60" t="s">
        <v>12447</v>
      </c>
      <c r="D4143" s="60" t="s">
        <v>12448</v>
      </c>
    </row>
    <row r="4144" spans="2:4" x14ac:dyDescent="0.35">
      <c r="B4144" s="60" t="s">
        <v>12449</v>
      </c>
      <c r="C4144" s="60" t="s">
        <v>12450</v>
      </c>
      <c r="D4144" s="60" t="s">
        <v>12451</v>
      </c>
    </row>
    <row r="4145" spans="2:4" x14ac:dyDescent="0.35">
      <c r="B4145" s="60" t="s">
        <v>12452</v>
      </c>
      <c r="C4145" s="60" t="s">
        <v>12453</v>
      </c>
      <c r="D4145" s="60" t="s">
        <v>12454</v>
      </c>
    </row>
    <row r="4146" spans="2:4" x14ac:dyDescent="0.35">
      <c r="B4146" s="60" t="s">
        <v>12455</v>
      </c>
      <c r="C4146" s="60" t="s">
        <v>12456</v>
      </c>
      <c r="D4146" s="60" t="s">
        <v>12457</v>
      </c>
    </row>
    <row r="4147" spans="2:4" x14ac:dyDescent="0.35">
      <c r="B4147" s="60" t="s">
        <v>12458</v>
      </c>
      <c r="C4147" s="60" t="s">
        <v>12459</v>
      </c>
      <c r="D4147" s="60" t="s">
        <v>12460</v>
      </c>
    </row>
    <row r="4148" spans="2:4" x14ac:dyDescent="0.35">
      <c r="B4148" s="60" t="s">
        <v>12461</v>
      </c>
      <c r="C4148" s="60" t="s">
        <v>12462</v>
      </c>
      <c r="D4148" s="60" t="s">
        <v>12463</v>
      </c>
    </row>
    <row r="4149" spans="2:4" x14ac:dyDescent="0.35">
      <c r="B4149" s="60" t="s">
        <v>12461</v>
      </c>
      <c r="C4149" s="60" t="s">
        <v>12464</v>
      </c>
      <c r="D4149" s="60" t="s">
        <v>12465</v>
      </c>
    </row>
    <row r="4150" spans="2:4" x14ac:dyDescent="0.35">
      <c r="B4150" s="60" t="s">
        <v>12466</v>
      </c>
      <c r="C4150" s="60" t="s">
        <v>12467</v>
      </c>
      <c r="D4150" s="60" t="s">
        <v>12468</v>
      </c>
    </row>
    <row r="4151" spans="2:4" x14ac:dyDescent="0.35">
      <c r="B4151" s="60" t="s">
        <v>12469</v>
      </c>
      <c r="C4151" s="60" t="s">
        <v>12470</v>
      </c>
      <c r="D4151" s="60" t="s">
        <v>12471</v>
      </c>
    </row>
    <row r="4152" spans="2:4" x14ac:dyDescent="0.35">
      <c r="B4152" s="60" t="s">
        <v>12472</v>
      </c>
      <c r="C4152" s="60" t="s">
        <v>12473</v>
      </c>
      <c r="D4152" s="60" t="s">
        <v>12474</v>
      </c>
    </row>
    <row r="4153" spans="2:4" x14ac:dyDescent="0.35">
      <c r="B4153" s="60" t="s">
        <v>12472</v>
      </c>
      <c r="C4153" s="60" t="s">
        <v>12475</v>
      </c>
      <c r="D4153" s="60" t="s">
        <v>12476</v>
      </c>
    </row>
    <row r="4154" spans="2:4" x14ac:dyDescent="0.35">
      <c r="B4154" s="60" t="s">
        <v>12477</v>
      </c>
      <c r="C4154" s="60" t="s">
        <v>12478</v>
      </c>
      <c r="D4154" s="60" t="s">
        <v>12479</v>
      </c>
    </row>
    <row r="4155" spans="2:4" x14ac:dyDescent="0.35">
      <c r="B4155" s="60" t="s">
        <v>12480</v>
      </c>
      <c r="C4155" s="60" t="s">
        <v>12481</v>
      </c>
      <c r="D4155" s="60" t="s">
        <v>12482</v>
      </c>
    </row>
    <row r="4156" spans="2:4" x14ac:dyDescent="0.35">
      <c r="B4156" s="60" t="s">
        <v>12483</v>
      </c>
      <c r="C4156" s="60" t="s">
        <v>12484</v>
      </c>
      <c r="D4156" s="60" t="s">
        <v>12485</v>
      </c>
    </row>
    <row r="4157" spans="2:4" x14ac:dyDescent="0.35">
      <c r="B4157" s="60" t="s">
        <v>12486</v>
      </c>
      <c r="C4157" s="60" t="s">
        <v>12487</v>
      </c>
      <c r="D4157" s="60" t="s">
        <v>12488</v>
      </c>
    </row>
    <row r="4158" spans="2:4" x14ac:dyDescent="0.35">
      <c r="B4158" s="60" t="s">
        <v>12489</v>
      </c>
      <c r="C4158" s="60" t="s">
        <v>12490</v>
      </c>
      <c r="D4158" s="60" t="s">
        <v>12491</v>
      </c>
    </row>
    <row r="4159" spans="2:4" x14ac:dyDescent="0.35">
      <c r="B4159" s="60" t="s">
        <v>12492</v>
      </c>
      <c r="C4159" s="60" t="s">
        <v>12493</v>
      </c>
      <c r="D4159" s="60" t="s">
        <v>12494</v>
      </c>
    </row>
    <row r="4160" spans="2:4" x14ac:dyDescent="0.35">
      <c r="B4160" s="60" t="s">
        <v>12495</v>
      </c>
      <c r="C4160" s="60" t="s">
        <v>12496</v>
      </c>
      <c r="D4160" s="60" t="s">
        <v>12497</v>
      </c>
    </row>
    <row r="4161" spans="2:4" x14ac:dyDescent="0.35">
      <c r="B4161" s="60" t="s">
        <v>12498</v>
      </c>
      <c r="C4161" s="60" t="s">
        <v>12499</v>
      </c>
      <c r="D4161" s="60" t="s">
        <v>12500</v>
      </c>
    </row>
    <row r="4162" spans="2:4" x14ac:dyDescent="0.35">
      <c r="B4162" s="60" t="s">
        <v>12501</v>
      </c>
      <c r="C4162" s="60" t="s">
        <v>12502</v>
      </c>
      <c r="D4162" s="60" t="s">
        <v>12503</v>
      </c>
    </row>
    <row r="4163" spans="2:4" x14ac:dyDescent="0.35">
      <c r="B4163" s="60" t="s">
        <v>12501</v>
      </c>
      <c r="C4163" s="60" t="s">
        <v>12504</v>
      </c>
      <c r="D4163" s="60" t="s">
        <v>12505</v>
      </c>
    </row>
    <row r="4164" spans="2:4" x14ac:dyDescent="0.35">
      <c r="B4164" s="60" t="s">
        <v>12506</v>
      </c>
      <c r="C4164" s="60" t="s">
        <v>12507</v>
      </c>
      <c r="D4164" s="60" t="s">
        <v>12508</v>
      </c>
    </row>
    <row r="4165" spans="2:4" x14ac:dyDescent="0.35">
      <c r="B4165" s="60" t="s">
        <v>12509</v>
      </c>
      <c r="C4165" s="60" t="s">
        <v>12510</v>
      </c>
      <c r="D4165" s="60" t="s">
        <v>2287</v>
      </c>
    </row>
    <row r="4166" spans="2:4" x14ac:dyDescent="0.35">
      <c r="B4166" s="60" t="s">
        <v>12511</v>
      </c>
      <c r="C4166" s="60" t="s">
        <v>12512</v>
      </c>
      <c r="D4166" s="60" t="s">
        <v>12513</v>
      </c>
    </row>
    <row r="4167" spans="2:4" x14ac:dyDescent="0.35">
      <c r="B4167" s="60" t="s">
        <v>12514</v>
      </c>
      <c r="C4167" s="60" t="s">
        <v>12515</v>
      </c>
      <c r="D4167" s="60" t="s">
        <v>12516</v>
      </c>
    </row>
    <row r="4168" spans="2:4" x14ac:dyDescent="0.35">
      <c r="B4168" s="60" t="s">
        <v>12517</v>
      </c>
      <c r="C4168" s="60" t="s">
        <v>12518</v>
      </c>
      <c r="D4168" s="60" t="s">
        <v>12519</v>
      </c>
    </row>
    <row r="4169" spans="2:4" x14ac:dyDescent="0.35">
      <c r="B4169" s="60" t="s">
        <v>12520</v>
      </c>
      <c r="C4169" s="60" t="s">
        <v>12521</v>
      </c>
      <c r="D4169" s="60" t="s">
        <v>12522</v>
      </c>
    </row>
    <row r="4170" spans="2:4" x14ac:dyDescent="0.35">
      <c r="B4170" s="60" t="s">
        <v>12523</v>
      </c>
      <c r="C4170" s="60" t="s">
        <v>12524</v>
      </c>
      <c r="D4170" s="60" t="s">
        <v>12525</v>
      </c>
    </row>
    <row r="4171" spans="2:4" x14ac:dyDescent="0.35">
      <c r="B4171" s="60" t="s">
        <v>12526</v>
      </c>
      <c r="C4171" s="60" t="s">
        <v>12527</v>
      </c>
      <c r="D4171" s="60" t="s">
        <v>12528</v>
      </c>
    </row>
    <row r="4172" spans="2:4" x14ac:dyDescent="0.35">
      <c r="B4172" s="60" t="s">
        <v>12529</v>
      </c>
      <c r="C4172" s="60" t="s">
        <v>12530</v>
      </c>
      <c r="D4172" s="60" t="s">
        <v>12531</v>
      </c>
    </row>
    <row r="4173" spans="2:4" x14ac:dyDescent="0.35">
      <c r="B4173" s="60" t="s">
        <v>12532</v>
      </c>
      <c r="C4173" s="60" t="s">
        <v>12533</v>
      </c>
      <c r="D4173" s="60" t="s">
        <v>12534</v>
      </c>
    </row>
    <row r="4174" spans="2:4" x14ac:dyDescent="0.35">
      <c r="B4174" s="60" t="s">
        <v>12535</v>
      </c>
      <c r="C4174" s="60" t="s">
        <v>12536</v>
      </c>
      <c r="D4174" s="60" t="s">
        <v>12537</v>
      </c>
    </row>
    <row r="4175" spans="2:4" x14ac:dyDescent="0.35">
      <c r="B4175" s="60" t="s">
        <v>12538</v>
      </c>
      <c r="C4175" s="60" t="s">
        <v>12539</v>
      </c>
      <c r="D4175" s="60" t="s">
        <v>12540</v>
      </c>
    </row>
    <row r="4176" spans="2:4" x14ac:dyDescent="0.35">
      <c r="B4176" s="60" t="s">
        <v>12541</v>
      </c>
      <c r="C4176" s="60" t="s">
        <v>12542</v>
      </c>
      <c r="D4176" s="60" t="s">
        <v>12543</v>
      </c>
    </row>
    <row r="4177" spans="2:4" x14ac:dyDescent="0.35">
      <c r="B4177" s="60" t="s">
        <v>12544</v>
      </c>
      <c r="C4177" s="60" t="s">
        <v>12545</v>
      </c>
      <c r="D4177" s="60" t="s">
        <v>12546</v>
      </c>
    </row>
    <row r="4178" spans="2:4" x14ac:dyDescent="0.35">
      <c r="B4178" s="60" t="s">
        <v>12547</v>
      </c>
      <c r="C4178" s="60" t="s">
        <v>12548</v>
      </c>
      <c r="D4178" s="60" t="s">
        <v>12549</v>
      </c>
    </row>
    <row r="4179" spans="2:4" x14ac:dyDescent="0.35">
      <c r="B4179" s="60" t="s">
        <v>12550</v>
      </c>
      <c r="C4179" s="60" t="s">
        <v>12551</v>
      </c>
      <c r="D4179" s="60" t="s">
        <v>12552</v>
      </c>
    </row>
    <row r="4180" spans="2:4" x14ac:dyDescent="0.35">
      <c r="B4180" s="60" t="s">
        <v>12553</v>
      </c>
      <c r="C4180" s="60" t="s">
        <v>12554</v>
      </c>
      <c r="D4180" s="60" t="s">
        <v>12555</v>
      </c>
    </row>
    <row r="4181" spans="2:4" x14ac:dyDescent="0.35">
      <c r="B4181" s="60" t="s">
        <v>12556</v>
      </c>
      <c r="C4181" s="60" t="s">
        <v>12557</v>
      </c>
      <c r="D4181" s="60" t="s">
        <v>12558</v>
      </c>
    </row>
    <row r="4182" spans="2:4" x14ac:dyDescent="0.35">
      <c r="B4182" s="60" t="s">
        <v>12559</v>
      </c>
      <c r="C4182" s="60" t="s">
        <v>12560</v>
      </c>
      <c r="D4182" s="60" t="s">
        <v>12561</v>
      </c>
    </row>
    <row r="4183" spans="2:4" x14ac:dyDescent="0.35">
      <c r="B4183" s="60" t="s">
        <v>12562</v>
      </c>
      <c r="C4183" s="60" t="s">
        <v>12563</v>
      </c>
      <c r="D4183" s="60" t="s">
        <v>12564</v>
      </c>
    </row>
    <row r="4184" spans="2:4" x14ac:dyDescent="0.35">
      <c r="B4184" s="60" t="s">
        <v>12565</v>
      </c>
      <c r="C4184" s="60" t="s">
        <v>12566</v>
      </c>
      <c r="D4184" s="60" t="s">
        <v>12567</v>
      </c>
    </row>
    <row r="4185" spans="2:4" x14ac:dyDescent="0.35">
      <c r="B4185" s="60" t="s">
        <v>12568</v>
      </c>
      <c r="C4185" s="60" t="s">
        <v>12569</v>
      </c>
      <c r="D4185" s="60" t="s">
        <v>12570</v>
      </c>
    </row>
    <row r="4186" spans="2:4" x14ac:dyDescent="0.35">
      <c r="B4186" s="60" t="s">
        <v>12571</v>
      </c>
      <c r="C4186" s="60" t="s">
        <v>12572</v>
      </c>
      <c r="D4186" s="60" t="s">
        <v>12573</v>
      </c>
    </row>
    <row r="4187" spans="2:4" x14ac:dyDescent="0.35">
      <c r="B4187" s="60" t="s">
        <v>12574</v>
      </c>
      <c r="C4187" s="60" t="s">
        <v>12575</v>
      </c>
      <c r="D4187" s="60" t="s">
        <v>12576</v>
      </c>
    </row>
    <row r="4188" spans="2:4" x14ac:dyDescent="0.35">
      <c r="B4188" s="60" t="s">
        <v>12577</v>
      </c>
      <c r="C4188" s="60" t="s">
        <v>12578</v>
      </c>
      <c r="D4188" s="60" t="s">
        <v>12579</v>
      </c>
    </row>
    <row r="4189" spans="2:4" x14ac:dyDescent="0.35">
      <c r="B4189" s="60" t="s">
        <v>12580</v>
      </c>
      <c r="C4189" s="60" t="s">
        <v>12581</v>
      </c>
      <c r="D4189" s="60" t="s">
        <v>12582</v>
      </c>
    </row>
    <row r="4190" spans="2:4" x14ac:dyDescent="0.35">
      <c r="B4190" s="60" t="s">
        <v>12583</v>
      </c>
      <c r="C4190" s="60" t="s">
        <v>12584</v>
      </c>
      <c r="D4190" s="60" t="s">
        <v>12585</v>
      </c>
    </row>
    <row r="4191" spans="2:4" x14ac:dyDescent="0.35">
      <c r="B4191" s="60" t="s">
        <v>12586</v>
      </c>
      <c r="C4191" s="60" t="s">
        <v>12587</v>
      </c>
      <c r="D4191" s="60" t="s">
        <v>12588</v>
      </c>
    </row>
    <row r="4192" spans="2:4" x14ac:dyDescent="0.35">
      <c r="B4192" s="60" t="s">
        <v>12586</v>
      </c>
      <c r="C4192" s="60" t="s">
        <v>12589</v>
      </c>
      <c r="D4192" s="60" t="s">
        <v>12590</v>
      </c>
    </row>
    <row r="4193" spans="2:4" x14ac:dyDescent="0.35">
      <c r="B4193" s="60" t="s">
        <v>12591</v>
      </c>
      <c r="C4193" s="60" t="s">
        <v>12592</v>
      </c>
      <c r="D4193" s="60" t="s">
        <v>12593</v>
      </c>
    </row>
    <row r="4194" spans="2:4" x14ac:dyDescent="0.35">
      <c r="B4194" s="60" t="s">
        <v>12594</v>
      </c>
      <c r="C4194" s="60" t="s">
        <v>12595</v>
      </c>
      <c r="D4194" s="60" t="s">
        <v>12596</v>
      </c>
    </row>
    <row r="4195" spans="2:4" x14ac:dyDescent="0.35">
      <c r="B4195" s="60" t="s">
        <v>12597</v>
      </c>
      <c r="C4195" s="60" t="s">
        <v>12598</v>
      </c>
      <c r="D4195" s="60" t="s">
        <v>12599</v>
      </c>
    </row>
    <row r="4196" spans="2:4" x14ac:dyDescent="0.35">
      <c r="B4196" s="60" t="s">
        <v>12600</v>
      </c>
      <c r="C4196" s="60" t="s">
        <v>12601</v>
      </c>
      <c r="D4196" s="60" t="s">
        <v>12602</v>
      </c>
    </row>
    <row r="4197" spans="2:4" x14ac:dyDescent="0.35">
      <c r="B4197" s="60" t="s">
        <v>12603</v>
      </c>
      <c r="C4197" s="60" t="s">
        <v>12604</v>
      </c>
      <c r="D4197" s="60" t="s">
        <v>12605</v>
      </c>
    </row>
    <row r="4198" spans="2:4" x14ac:dyDescent="0.35">
      <c r="B4198" s="60" t="s">
        <v>12606</v>
      </c>
      <c r="C4198" s="60" t="s">
        <v>12607</v>
      </c>
      <c r="D4198" s="60" t="s">
        <v>12608</v>
      </c>
    </row>
    <row r="4199" spans="2:4" x14ac:dyDescent="0.35">
      <c r="B4199" s="60" t="s">
        <v>12609</v>
      </c>
      <c r="C4199" s="60" t="s">
        <v>12610</v>
      </c>
      <c r="D4199" s="60" t="s">
        <v>12611</v>
      </c>
    </row>
    <row r="4200" spans="2:4" x14ac:dyDescent="0.35">
      <c r="B4200" s="60" t="s">
        <v>12612</v>
      </c>
      <c r="C4200" s="60" t="s">
        <v>12613</v>
      </c>
      <c r="D4200" s="60" t="s">
        <v>12614</v>
      </c>
    </row>
    <row r="4201" spans="2:4" x14ac:dyDescent="0.35">
      <c r="B4201" s="60" t="s">
        <v>12615</v>
      </c>
      <c r="C4201" s="60" t="s">
        <v>12616</v>
      </c>
      <c r="D4201" s="60" t="s">
        <v>12617</v>
      </c>
    </row>
    <row r="4202" spans="2:4" x14ac:dyDescent="0.35">
      <c r="B4202" s="60" t="s">
        <v>12618</v>
      </c>
      <c r="C4202" s="60" t="s">
        <v>12619</v>
      </c>
      <c r="D4202" s="60" t="s">
        <v>12620</v>
      </c>
    </row>
    <row r="4203" spans="2:4" x14ac:dyDescent="0.35">
      <c r="B4203" s="60" t="s">
        <v>12621</v>
      </c>
      <c r="C4203" s="60" t="s">
        <v>12622</v>
      </c>
      <c r="D4203" s="60" t="s">
        <v>12623</v>
      </c>
    </row>
    <row r="4204" spans="2:4" x14ac:dyDescent="0.35">
      <c r="B4204" s="60" t="s">
        <v>12624</v>
      </c>
      <c r="C4204" s="60" t="s">
        <v>12625</v>
      </c>
      <c r="D4204" s="60" t="s">
        <v>12626</v>
      </c>
    </row>
    <row r="4205" spans="2:4" x14ac:dyDescent="0.35">
      <c r="B4205" s="60" t="s">
        <v>12627</v>
      </c>
      <c r="C4205" s="60" t="s">
        <v>12628</v>
      </c>
      <c r="D4205" s="60" t="s">
        <v>12629</v>
      </c>
    </row>
    <row r="4206" spans="2:4" x14ac:dyDescent="0.35">
      <c r="B4206" s="60" t="s">
        <v>12630</v>
      </c>
      <c r="C4206" s="60" t="s">
        <v>12631</v>
      </c>
      <c r="D4206" s="60" t="s">
        <v>12632</v>
      </c>
    </row>
    <row r="4207" spans="2:4" x14ac:dyDescent="0.35">
      <c r="B4207" s="60" t="s">
        <v>12633</v>
      </c>
      <c r="C4207" s="60" t="s">
        <v>12634</v>
      </c>
      <c r="D4207" s="60" t="s">
        <v>12558</v>
      </c>
    </row>
    <row r="4208" spans="2:4" x14ac:dyDescent="0.35">
      <c r="B4208" s="60" t="s">
        <v>12635</v>
      </c>
      <c r="C4208" s="60" t="s">
        <v>12636</v>
      </c>
      <c r="D4208" s="60" t="s">
        <v>12637</v>
      </c>
    </row>
    <row r="4209" spans="2:4" x14ac:dyDescent="0.35">
      <c r="B4209" s="60" t="s">
        <v>12638</v>
      </c>
      <c r="C4209" s="60" t="s">
        <v>12639</v>
      </c>
      <c r="D4209" s="60" t="s">
        <v>12640</v>
      </c>
    </row>
    <row r="4210" spans="2:4" x14ac:dyDescent="0.35">
      <c r="B4210" s="60" t="s">
        <v>12641</v>
      </c>
      <c r="C4210" s="60" t="s">
        <v>12642</v>
      </c>
      <c r="D4210" s="60" t="s">
        <v>12643</v>
      </c>
    </row>
    <row r="4211" spans="2:4" x14ac:dyDescent="0.35">
      <c r="B4211" s="60" t="s">
        <v>12644</v>
      </c>
      <c r="C4211" s="60" t="s">
        <v>12645</v>
      </c>
      <c r="D4211" s="60" t="s">
        <v>12646</v>
      </c>
    </row>
    <row r="4212" spans="2:4" x14ac:dyDescent="0.35">
      <c r="B4212" s="60" t="s">
        <v>12647</v>
      </c>
      <c r="C4212" s="60" t="s">
        <v>12648</v>
      </c>
      <c r="D4212" s="60" t="s">
        <v>12649</v>
      </c>
    </row>
    <row r="4213" spans="2:4" x14ac:dyDescent="0.35">
      <c r="B4213" s="60" t="s">
        <v>12650</v>
      </c>
      <c r="C4213" s="60" t="s">
        <v>12651</v>
      </c>
      <c r="D4213" s="60" t="s">
        <v>12652</v>
      </c>
    </row>
    <row r="4214" spans="2:4" x14ac:dyDescent="0.35">
      <c r="B4214" s="60" t="s">
        <v>12653</v>
      </c>
      <c r="C4214" s="60" t="s">
        <v>12654</v>
      </c>
      <c r="D4214" s="60" t="s">
        <v>12655</v>
      </c>
    </row>
    <row r="4215" spans="2:4" x14ac:dyDescent="0.35">
      <c r="B4215" s="60" t="s">
        <v>12656</v>
      </c>
      <c r="C4215" s="60" t="s">
        <v>12657</v>
      </c>
      <c r="D4215" s="60" t="s">
        <v>12658</v>
      </c>
    </row>
    <row r="4216" spans="2:4" x14ac:dyDescent="0.35">
      <c r="B4216" s="60" t="s">
        <v>12659</v>
      </c>
      <c r="C4216" s="60" t="s">
        <v>12660</v>
      </c>
      <c r="D4216" s="60" t="s">
        <v>12661</v>
      </c>
    </row>
    <row r="4217" spans="2:4" x14ac:dyDescent="0.35">
      <c r="B4217" s="60" t="s">
        <v>12662</v>
      </c>
      <c r="C4217" s="60" t="s">
        <v>12663</v>
      </c>
      <c r="D4217" s="60" t="s">
        <v>12664</v>
      </c>
    </row>
    <row r="4218" spans="2:4" x14ac:dyDescent="0.35">
      <c r="B4218" s="60" t="s">
        <v>12665</v>
      </c>
      <c r="C4218" s="60" t="s">
        <v>12666</v>
      </c>
      <c r="D4218" s="60" t="s">
        <v>12667</v>
      </c>
    </row>
    <row r="4219" spans="2:4" x14ac:dyDescent="0.35">
      <c r="B4219" s="60" t="s">
        <v>12668</v>
      </c>
      <c r="C4219" s="60" t="s">
        <v>12669</v>
      </c>
      <c r="D4219" s="60" t="s">
        <v>12670</v>
      </c>
    </row>
    <row r="4220" spans="2:4" x14ac:dyDescent="0.35">
      <c r="B4220" s="60" t="s">
        <v>12671</v>
      </c>
      <c r="C4220" s="60" t="s">
        <v>12672</v>
      </c>
      <c r="D4220" s="60" t="s">
        <v>12673</v>
      </c>
    </row>
    <row r="4221" spans="2:4" x14ac:dyDescent="0.35">
      <c r="B4221" s="60" t="s">
        <v>12674</v>
      </c>
      <c r="C4221" s="60" t="s">
        <v>12675</v>
      </c>
      <c r="D4221" s="60" t="s">
        <v>12676</v>
      </c>
    </row>
    <row r="4222" spans="2:4" x14ac:dyDescent="0.35">
      <c r="B4222" s="60" t="s">
        <v>12677</v>
      </c>
      <c r="C4222" s="60" t="s">
        <v>12678</v>
      </c>
      <c r="D4222" s="60" t="s">
        <v>12679</v>
      </c>
    </row>
    <row r="4223" spans="2:4" x14ac:dyDescent="0.35">
      <c r="B4223" s="60" t="s">
        <v>12680</v>
      </c>
      <c r="C4223" s="60" t="s">
        <v>12681</v>
      </c>
      <c r="D4223" s="60" t="s">
        <v>12682</v>
      </c>
    </row>
    <row r="4224" spans="2:4" x14ac:dyDescent="0.35">
      <c r="B4224" s="60" t="s">
        <v>12680</v>
      </c>
      <c r="C4224" s="60" t="s">
        <v>12683</v>
      </c>
      <c r="D4224" s="60" t="s">
        <v>12684</v>
      </c>
    </row>
    <row r="4225" spans="2:4" x14ac:dyDescent="0.35">
      <c r="B4225" s="60" t="s">
        <v>12685</v>
      </c>
      <c r="C4225" s="60" t="s">
        <v>12686</v>
      </c>
      <c r="D4225" s="60" t="s">
        <v>12687</v>
      </c>
    </row>
    <row r="4226" spans="2:4" x14ac:dyDescent="0.35">
      <c r="B4226" s="60" t="s">
        <v>12688</v>
      </c>
      <c r="C4226" s="60" t="s">
        <v>12689</v>
      </c>
      <c r="D4226" s="60" t="s">
        <v>12690</v>
      </c>
    </row>
    <row r="4227" spans="2:4" x14ac:dyDescent="0.35">
      <c r="B4227" s="60" t="s">
        <v>12691</v>
      </c>
      <c r="C4227" s="60" t="s">
        <v>12692</v>
      </c>
      <c r="D4227" s="60" t="s">
        <v>12693</v>
      </c>
    </row>
    <row r="4228" spans="2:4" x14ac:dyDescent="0.35">
      <c r="B4228" s="60" t="s">
        <v>12694</v>
      </c>
      <c r="C4228" s="60" t="s">
        <v>12695</v>
      </c>
      <c r="D4228" s="60" t="s">
        <v>12696</v>
      </c>
    </row>
    <row r="4229" spans="2:4" x14ac:dyDescent="0.35">
      <c r="B4229" s="60" t="s">
        <v>12697</v>
      </c>
      <c r="C4229" s="60" t="s">
        <v>12698</v>
      </c>
      <c r="D4229" s="60" t="s">
        <v>12699</v>
      </c>
    </row>
    <row r="4230" spans="2:4" x14ac:dyDescent="0.35">
      <c r="B4230" s="60" t="s">
        <v>12700</v>
      </c>
      <c r="C4230" s="60" t="s">
        <v>12701</v>
      </c>
      <c r="D4230" s="60" t="s">
        <v>12702</v>
      </c>
    </row>
    <row r="4231" spans="2:4" x14ac:dyDescent="0.35">
      <c r="B4231" s="60" t="s">
        <v>12700</v>
      </c>
      <c r="C4231" s="60" t="s">
        <v>12703</v>
      </c>
      <c r="D4231" s="60" t="s">
        <v>12704</v>
      </c>
    </row>
    <row r="4232" spans="2:4" x14ac:dyDescent="0.35">
      <c r="B4232" s="60" t="s">
        <v>12705</v>
      </c>
      <c r="C4232" s="60" t="s">
        <v>12706</v>
      </c>
      <c r="D4232" s="60" t="s">
        <v>12707</v>
      </c>
    </row>
    <row r="4233" spans="2:4" x14ac:dyDescent="0.35">
      <c r="B4233" s="60" t="s">
        <v>12708</v>
      </c>
      <c r="C4233" s="60" t="s">
        <v>12709</v>
      </c>
      <c r="D4233" s="60" t="s">
        <v>12710</v>
      </c>
    </row>
    <row r="4234" spans="2:4" x14ac:dyDescent="0.35">
      <c r="B4234" s="60" t="s">
        <v>12711</v>
      </c>
      <c r="C4234" s="60" t="s">
        <v>12712</v>
      </c>
      <c r="D4234" s="60" t="s">
        <v>12713</v>
      </c>
    </row>
    <row r="4235" spans="2:4" x14ac:dyDescent="0.35">
      <c r="B4235" s="60" t="s">
        <v>12714</v>
      </c>
      <c r="C4235" s="60" t="s">
        <v>12715</v>
      </c>
      <c r="D4235" s="60" t="s">
        <v>12716</v>
      </c>
    </row>
    <row r="4236" spans="2:4" x14ac:dyDescent="0.35">
      <c r="B4236" s="60" t="s">
        <v>12717</v>
      </c>
      <c r="C4236" s="60" t="s">
        <v>12718</v>
      </c>
      <c r="D4236" s="60" t="s">
        <v>12719</v>
      </c>
    </row>
    <row r="4237" spans="2:4" x14ac:dyDescent="0.35">
      <c r="B4237" s="60" t="s">
        <v>12720</v>
      </c>
      <c r="C4237" s="60" t="s">
        <v>12721</v>
      </c>
      <c r="D4237" s="60" t="s">
        <v>12722</v>
      </c>
    </row>
    <row r="4238" spans="2:4" x14ac:dyDescent="0.35">
      <c r="B4238" s="60" t="s">
        <v>12723</v>
      </c>
      <c r="C4238" s="60" t="s">
        <v>12724</v>
      </c>
      <c r="D4238" s="60" t="s">
        <v>12725</v>
      </c>
    </row>
    <row r="4239" spans="2:4" x14ac:dyDescent="0.35">
      <c r="B4239" s="60" t="s">
        <v>12723</v>
      </c>
      <c r="C4239" s="60" t="s">
        <v>12726</v>
      </c>
      <c r="D4239" s="60" t="s">
        <v>12727</v>
      </c>
    </row>
    <row r="4240" spans="2:4" x14ac:dyDescent="0.35">
      <c r="B4240" s="60" t="s">
        <v>12728</v>
      </c>
      <c r="C4240" s="60" t="s">
        <v>12729</v>
      </c>
      <c r="D4240" s="60" t="s">
        <v>12730</v>
      </c>
    </row>
    <row r="4241" spans="2:4" x14ac:dyDescent="0.35">
      <c r="B4241" s="60" t="s">
        <v>12731</v>
      </c>
      <c r="C4241" s="60" t="s">
        <v>12732</v>
      </c>
      <c r="D4241" s="60" t="s">
        <v>12733</v>
      </c>
    </row>
    <row r="4242" spans="2:4" x14ac:dyDescent="0.35">
      <c r="B4242" s="60" t="s">
        <v>12734</v>
      </c>
      <c r="C4242" s="60" t="s">
        <v>12735</v>
      </c>
      <c r="D4242" s="60" t="s">
        <v>12736</v>
      </c>
    </row>
    <row r="4243" spans="2:4" x14ac:dyDescent="0.35">
      <c r="B4243" s="60" t="s">
        <v>12737</v>
      </c>
      <c r="C4243" s="60" t="s">
        <v>12738</v>
      </c>
      <c r="D4243" s="60" t="s">
        <v>12739</v>
      </c>
    </row>
    <row r="4244" spans="2:4" x14ac:dyDescent="0.35">
      <c r="B4244" s="60" t="s">
        <v>12740</v>
      </c>
      <c r="C4244" s="60" t="s">
        <v>12741</v>
      </c>
      <c r="D4244" s="60" t="s">
        <v>12742</v>
      </c>
    </row>
    <row r="4245" spans="2:4" x14ac:dyDescent="0.35">
      <c r="B4245" s="60" t="s">
        <v>12740</v>
      </c>
      <c r="C4245" s="60" t="s">
        <v>12743</v>
      </c>
      <c r="D4245" s="60" t="s">
        <v>12744</v>
      </c>
    </row>
    <row r="4246" spans="2:4" x14ac:dyDescent="0.35">
      <c r="B4246" s="60" t="s">
        <v>12745</v>
      </c>
      <c r="C4246" s="60" t="s">
        <v>12746</v>
      </c>
      <c r="D4246" s="60" t="s">
        <v>12747</v>
      </c>
    </row>
    <row r="4247" spans="2:4" x14ac:dyDescent="0.35">
      <c r="B4247" s="60" t="s">
        <v>12748</v>
      </c>
      <c r="C4247" s="60" t="s">
        <v>12749</v>
      </c>
      <c r="D4247" s="60" t="s">
        <v>12750</v>
      </c>
    </row>
    <row r="4248" spans="2:4" x14ac:dyDescent="0.35">
      <c r="B4248" s="60" t="s">
        <v>12751</v>
      </c>
      <c r="C4248" s="60" t="s">
        <v>12752</v>
      </c>
      <c r="D4248" s="60" t="s">
        <v>12753</v>
      </c>
    </row>
    <row r="4249" spans="2:4" x14ac:dyDescent="0.35">
      <c r="B4249" s="60" t="s">
        <v>12754</v>
      </c>
      <c r="C4249" s="60" t="s">
        <v>12755</v>
      </c>
      <c r="D4249" s="60" t="s">
        <v>12756</v>
      </c>
    </row>
    <row r="4250" spans="2:4" x14ac:dyDescent="0.35">
      <c r="B4250" s="60" t="s">
        <v>12757</v>
      </c>
      <c r="C4250" s="60" t="s">
        <v>12758</v>
      </c>
      <c r="D4250" s="60" t="s">
        <v>12759</v>
      </c>
    </row>
    <row r="4251" spans="2:4" x14ac:dyDescent="0.35">
      <c r="B4251" s="60" t="s">
        <v>12760</v>
      </c>
      <c r="C4251" s="60" t="s">
        <v>12761</v>
      </c>
      <c r="D4251" s="60" t="s">
        <v>12762</v>
      </c>
    </row>
    <row r="4252" spans="2:4" x14ac:dyDescent="0.35">
      <c r="B4252" s="60" t="s">
        <v>12763</v>
      </c>
      <c r="C4252" s="60" t="s">
        <v>12764</v>
      </c>
      <c r="D4252" s="60" t="s">
        <v>12765</v>
      </c>
    </row>
    <row r="4253" spans="2:4" x14ac:dyDescent="0.35">
      <c r="B4253" s="60" t="s">
        <v>12766</v>
      </c>
      <c r="C4253" s="60" t="s">
        <v>12767</v>
      </c>
      <c r="D4253" s="60" t="s">
        <v>12768</v>
      </c>
    </row>
    <row r="4254" spans="2:4" x14ac:dyDescent="0.35">
      <c r="B4254" s="60" t="s">
        <v>12769</v>
      </c>
      <c r="C4254" s="60" t="s">
        <v>12770</v>
      </c>
      <c r="D4254" s="60" t="s">
        <v>12771</v>
      </c>
    </row>
    <row r="4255" spans="2:4" x14ac:dyDescent="0.35">
      <c r="B4255" s="60" t="s">
        <v>12772</v>
      </c>
      <c r="C4255" s="60" t="s">
        <v>12773</v>
      </c>
      <c r="D4255" s="60" t="s">
        <v>12774</v>
      </c>
    </row>
    <row r="4256" spans="2:4" x14ac:dyDescent="0.35">
      <c r="B4256" s="60" t="s">
        <v>12775</v>
      </c>
      <c r="C4256" s="60" t="s">
        <v>12776</v>
      </c>
      <c r="D4256" s="60" t="s">
        <v>12777</v>
      </c>
    </row>
    <row r="4257" spans="2:4" x14ac:dyDescent="0.35">
      <c r="B4257" s="60" t="s">
        <v>12778</v>
      </c>
      <c r="C4257" s="60" t="s">
        <v>12779</v>
      </c>
      <c r="D4257" s="60" t="s">
        <v>12780</v>
      </c>
    </row>
    <row r="4258" spans="2:4" x14ac:dyDescent="0.35">
      <c r="B4258" s="60" t="s">
        <v>12778</v>
      </c>
      <c r="C4258" s="60" t="s">
        <v>12781</v>
      </c>
      <c r="D4258" s="60" t="s">
        <v>12780</v>
      </c>
    </row>
    <row r="4259" spans="2:4" x14ac:dyDescent="0.35">
      <c r="B4259" s="60" t="s">
        <v>12782</v>
      </c>
      <c r="C4259" s="60" t="s">
        <v>12783</v>
      </c>
      <c r="D4259" s="60" t="s">
        <v>12784</v>
      </c>
    </row>
    <row r="4260" spans="2:4" x14ac:dyDescent="0.35">
      <c r="B4260" s="60" t="s">
        <v>12785</v>
      </c>
      <c r="C4260" s="60" t="s">
        <v>12786</v>
      </c>
      <c r="D4260" s="60" t="s">
        <v>12787</v>
      </c>
    </row>
    <row r="4261" spans="2:4" x14ac:dyDescent="0.35">
      <c r="B4261" s="60" t="s">
        <v>12788</v>
      </c>
      <c r="C4261" s="60" t="s">
        <v>12789</v>
      </c>
      <c r="D4261" s="60" t="s">
        <v>12790</v>
      </c>
    </row>
    <row r="4262" spans="2:4" x14ac:dyDescent="0.35">
      <c r="B4262" s="60" t="s">
        <v>12791</v>
      </c>
      <c r="C4262" s="60" t="s">
        <v>12792</v>
      </c>
      <c r="D4262" s="60" t="s">
        <v>12793</v>
      </c>
    </row>
    <row r="4263" spans="2:4" x14ac:dyDescent="0.35">
      <c r="B4263" s="60" t="s">
        <v>12794</v>
      </c>
      <c r="C4263" s="60" t="s">
        <v>12795</v>
      </c>
      <c r="D4263" s="60" t="s">
        <v>12796</v>
      </c>
    </row>
    <row r="4264" spans="2:4" x14ac:dyDescent="0.35">
      <c r="B4264" s="60" t="s">
        <v>12797</v>
      </c>
      <c r="C4264" s="60" t="s">
        <v>12798</v>
      </c>
      <c r="D4264" s="60" t="s">
        <v>12799</v>
      </c>
    </row>
    <row r="4265" spans="2:4" x14ac:dyDescent="0.35">
      <c r="B4265" s="60" t="s">
        <v>12800</v>
      </c>
      <c r="C4265" s="60" t="s">
        <v>12801</v>
      </c>
      <c r="D4265" s="60" t="s">
        <v>12802</v>
      </c>
    </row>
    <row r="4266" spans="2:4" x14ac:dyDescent="0.35">
      <c r="B4266" s="60" t="s">
        <v>12803</v>
      </c>
      <c r="C4266" s="60" t="s">
        <v>12804</v>
      </c>
      <c r="D4266" s="60" t="s">
        <v>12805</v>
      </c>
    </row>
    <row r="4267" spans="2:4" x14ac:dyDescent="0.35">
      <c r="B4267" s="60" t="s">
        <v>12803</v>
      </c>
      <c r="C4267" s="60" t="s">
        <v>12806</v>
      </c>
      <c r="D4267" s="60" t="s">
        <v>12807</v>
      </c>
    </row>
    <row r="4268" spans="2:4" x14ac:dyDescent="0.35">
      <c r="B4268" s="60" t="s">
        <v>12808</v>
      </c>
      <c r="C4268" s="60" t="s">
        <v>12806</v>
      </c>
      <c r="D4268" s="60" t="s">
        <v>12809</v>
      </c>
    </row>
    <row r="4269" spans="2:4" x14ac:dyDescent="0.35">
      <c r="B4269" s="60" t="s">
        <v>12810</v>
      </c>
      <c r="C4269" s="60" t="s">
        <v>12811</v>
      </c>
      <c r="D4269" s="60" t="s">
        <v>12812</v>
      </c>
    </row>
    <row r="4270" spans="2:4" x14ac:dyDescent="0.35">
      <c r="B4270" s="60" t="s">
        <v>12813</v>
      </c>
      <c r="C4270" s="60" t="s">
        <v>12814</v>
      </c>
      <c r="D4270" s="60" t="s">
        <v>12815</v>
      </c>
    </row>
    <row r="4271" spans="2:4" x14ac:dyDescent="0.35">
      <c r="B4271" s="60" t="s">
        <v>12816</v>
      </c>
      <c r="C4271" s="60" t="s">
        <v>12817</v>
      </c>
      <c r="D4271" s="60" t="s">
        <v>12818</v>
      </c>
    </row>
    <row r="4272" spans="2:4" x14ac:dyDescent="0.35">
      <c r="B4272" s="60" t="s">
        <v>12819</v>
      </c>
      <c r="C4272" s="60" t="s">
        <v>12820</v>
      </c>
      <c r="D4272" s="60" t="s">
        <v>12821</v>
      </c>
    </row>
    <row r="4273" spans="2:4" x14ac:dyDescent="0.35">
      <c r="B4273" s="60" t="s">
        <v>12822</v>
      </c>
      <c r="C4273" s="60" t="s">
        <v>12823</v>
      </c>
      <c r="D4273" s="60" t="s">
        <v>12824</v>
      </c>
    </row>
    <row r="4274" spans="2:4" x14ac:dyDescent="0.35">
      <c r="B4274" s="60" t="s">
        <v>12825</v>
      </c>
      <c r="C4274" s="60" t="s">
        <v>12826</v>
      </c>
      <c r="D4274" s="60" t="s">
        <v>12827</v>
      </c>
    </row>
    <row r="4275" spans="2:4" x14ac:dyDescent="0.35">
      <c r="B4275" s="60" t="s">
        <v>12828</v>
      </c>
      <c r="C4275" s="60" t="s">
        <v>12829</v>
      </c>
      <c r="D4275" s="60" t="s">
        <v>12830</v>
      </c>
    </row>
    <row r="4276" spans="2:4" x14ac:dyDescent="0.35">
      <c r="B4276" s="60" t="s">
        <v>12831</v>
      </c>
      <c r="C4276" s="60" t="s">
        <v>12832</v>
      </c>
      <c r="D4276" s="60" t="s">
        <v>12833</v>
      </c>
    </row>
    <row r="4277" spans="2:4" x14ac:dyDescent="0.35">
      <c r="B4277" s="60" t="s">
        <v>12834</v>
      </c>
      <c r="C4277" s="60" t="s">
        <v>12835</v>
      </c>
      <c r="D4277" s="60" t="s">
        <v>12836</v>
      </c>
    </row>
    <row r="4278" spans="2:4" x14ac:dyDescent="0.35">
      <c r="B4278" s="60" t="s">
        <v>12837</v>
      </c>
      <c r="C4278" s="60" t="s">
        <v>12838</v>
      </c>
      <c r="D4278" s="60" t="s">
        <v>12839</v>
      </c>
    </row>
    <row r="4279" spans="2:4" x14ac:dyDescent="0.35">
      <c r="B4279" s="60" t="s">
        <v>12840</v>
      </c>
      <c r="C4279" s="60" t="s">
        <v>12841</v>
      </c>
      <c r="D4279" s="60" t="s">
        <v>12842</v>
      </c>
    </row>
    <row r="4280" spans="2:4" x14ac:dyDescent="0.35">
      <c r="B4280" s="60" t="s">
        <v>12843</v>
      </c>
      <c r="C4280" s="60" t="s">
        <v>12844</v>
      </c>
      <c r="D4280" s="60" t="s">
        <v>12845</v>
      </c>
    </row>
    <row r="4281" spans="2:4" x14ac:dyDescent="0.35">
      <c r="B4281" s="60" t="s">
        <v>12846</v>
      </c>
      <c r="C4281" s="60" t="s">
        <v>12847</v>
      </c>
      <c r="D4281" s="60" t="s">
        <v>12848</v>
      </c>
    </row>
    <row r="4282" spans="2:4" x14ac:dyDescent="0.35">
      <c r="B4282" s="60" t="s">
        <v>12849</v>
      </c>
      <c r="C4282" s="60" t="s">
        <v>12850</v>
      </c>
      <c r="D4282" s="60" t="s">
        <v>12851</v>
      </c>
    </row>
    <row r="4283" spans="2:4" x14ac:dyDescent="0.35">
      <c r="B4283" s="60" t="s">
        <v>12852</v>
      </c>
      <c r="C4283" s="60" t="s">
        <v>12853</v>
      </c>
      <c r="D4283" s="60" t="s">
        <v>12854</v>
      </c>
    </row>
    <row r="4284" spans="2:4" x14ac:dyDescent="0.35">
      <c r="B4284" s="60" t="s">
        <v>12855</v>
      </c>
      <c r="C4284" s="60" t="s">
        <v>12856</v>
      </c>
      <c r="D4284" s="60" t="s">
        <v>12857</v>
      </c>
    </row>
    <row r="4285" spans="2:4" x14ac:dyDescent="0.35">
      <c r="B4285" s="60" t="s">
        <v>12858</v>
      </c>
      <c r="C4285" s="60" t="s">
        <v>12859</v>
      </c>
      <c r="D4285" s="60" t="s">
        <v>12860</v>
      </c>
    </row>
    <row r="4286" spans="2:4" x14ac:dyDescent="0.35">
      <c r="B4286" s="60" t="s">
        <v>12861</v>
      </c>
      <c r="C4286" s="60" t="s">
        <v>12862</v>
      </c>
      <c r="D4286" s="60" t="s">
        <v>12863</v>
      </c>
    </row>
    <row r="4287" spans="2:4" x14ac:dyDescent="0.35">
      <c r="B4287" s="60" t="s">
        <v>12864</v>
      </c>
      <c r="C4287" s="60" t="s">
        <v>12865</v>
      </c>
      <c r="D4287" s="60" t="s">
        <v>12866</v>
      </c>
    </row>
    <row r="4288" spans="2:4" x14ac:dyDescent="0.35">
      <c r="B4288" s="60" t="s">
        <v>12867</v>
      </c>
      <c r="C4288" s="60" t="s">
        <v>12868</v>
      </c>
      <c r="D4288" s="60" t="s">
        <v>12869</v>
      </c>
    </row>
    <row r="4289" spans="2:4" x14ac:dyDescent="0.35">
      <c r="B4289" s="60" t="s">
        <v>12870</v>
      </c>
      <c r="C4289" s="60" t="s">
        <v>12871</v>
      </c>
      <c r="D4289" s="60" t="s">
        <v>12872</v>
      </c>
    </row>
    <row r="4290" spans="2:4" x14ac:dyDescent="0.35">
      <c r="B4290" s="60" t="s">
        <v>12873</v>
      </c>
      <c r="C4290" s="60" t="s">
        <v>12874</v>
      </c>
      <c r="D4290" s="60" t="s">
        <v>12875</v>
      </c>
    </row>
    <row r="4291" spans="2:4" x14ac:dyDescent="0.35">
      <c r="B4291" s="60" t="s">
        <v>12876</v>
      </c>
      <c r="C4291" s="60" t="s">
        <v>12877</v>
      </c>
      <c r="D4291" s="60" t="s">
        <v>12878</v>
      </c>
    </row>
    <row r="4292" spans="2:4" x14ac:dyDescent="0.35">
      <c r="B4292" s="60" t="s">
        <v>12879</v>
      </c>
      <c r="C4292" s="60" t="s">
        <v>12880</v>
      </c>
      <c r="D4292" s="60" t="s">
        <v>12881</v>
      </c>
    </row>
    <row r="4293" spans="2:4" x14ac:dyDescent="0.35">
      <c r="B4293" s="60" t="s">
        <v>12882</v>
      </c>
      <c r="C4293" s="60" t="s">
        <v>12883</v>
      </c>
      <c r="D4293" s="60" t="s">
        <v>12884</v>
      </c>
    </row>
    <row r="4294" spans="2:4" x14ac:dyDescent="0.35">
      <c r="B4294" s="60" t="s">
        <v>12885</v>
      </c>
      <c r="C4294" s="60" t="s">
        <v>12886</v>
      </c>
      <c r="D4294" s="60" t="s">
        <v>12887</v>
      </c>
    </row>
    <row r="4295" spans="2:4" x14ac:dyDescent="0.35">
      <c r="B4295" s="60" t="s">
        <v>12888</v>
      </c>
      <c r="C4295" s="60" t="s">
        <v>12889</v>
      </c>
      <c r="D4295" s="60" t="s">
        <v>12890</v>
      </c>
    </row>
    <row r="4296" spans="2:4" x14ac:dyDescent="0.35">
      <c r="B4296" s="60" t="s">
        <v>12891</v>
      </c>
      <c r="C4296" s="60" t="s">
        <v>12892</v>
      </c>
      <c r="D4296" s="60" t="s">
        <v>12893</v>
      </c>
    </row>
    <row r="4297" spans="2:4" x14ac:dyDescent="0.35">
      <c r="B4297" s="60" t="s">
        <v>12891</v>
      </c>
      <c r="C4297" s="60" t="s">
        <v>12894</v>
      </c>
      <c r="D4297" s="60" t="s">
        <v>12895</v>
      </c>
    </row>
    <row r="4298" spans="2:4" x14ac:dyDescent="0.35">
      <c r="B4298" s="60" t="s">
        <v>125</v>
      </c>
      <c r="C4298" s="60" t="s">
        <v>12896</v>
      </c>
      <c r="D4298" s="60" t="s">
        <v>12897</v>
      </c>
    </row>
    <row r="4299" spans="2:4" x14ac:dyDescent="0.35">
      <c r="B4299" s="60" t="s">
        <v>125</v>
      </c>
      <c r="C4299" s="60" t="s">
        <v>12898</v>
      </c>
      <c r="D4299" s="60" t="s">
        <v>12899</v>
      </c>
    </row>
    <row r="4300" spans="2:4" x14ac:dyDescent="0.35">
      <c r="B4300" s="60" t="s">
        <v>12900</v>
      </c>
      <c r="C4300" s="60" t="s">
        <v>12901</v>
      </c>
      <c r="D4300" s="60" t="s">
        <v>12902</v>
      </c>
    </row>
    <row r="4301" spans="2:4" x14ac:dyDescent="0.35">
      <c r="B4301" s="60" t="s">
        <v>12903</v>
      </c>
      <c r="C4301" s="60" t="s">
        <v>12904</v>
      </c>
      <c r="D4301" s="60" t="s">
        <v>12905</v>
      </c>
    </row>
    <row r="4302" spans="2:4" x14ac:dyDescent="0.35">
      <c r="B4302" s="60" t="s">
        <v>12906</v>
      </c>
      <c r="C4302" s="60" t="s">
        <v>12907</v>
      </c>
      <c r="D4302" s="60" t="s">
        <v>12908</v>
      </c>
    </row>
    <row r="4303" spans="2:4" x14ac:dyDescent="0.35">
      <c r="B4303" s="60" t="s">
        <v>12909</v>
      </c>
      <c r="C4303" s="60" t="s">
        <v>12910</v>
      </c>
      <c r="D4303" s="60" t="s">
        <v>12911</v>
      </c>
    </row>
    <row r="4304" spans="2:4" x14ac:dyDescent="0.35">
      <c r="B4304" s="60" t="s">
        <v>12912</v>
      </c>
      <c r="C4304" s="60" t="s">
        <v>12913</v>
      </c>
      <c r="D4304" s="60" t="s">
        <v>12914</v>
      </c>
    </row>
    <row r="4305" spans="2:4" x14ac:dyDescent="0.35">
      <c r="B4305" s="60" t="s">
        <v>12915</v>
      </c>
      <c r="C4305" s="60" t="s">
        <v>12916</v>
      </c>
      <c r="D4305" s="60" t="s">
        <v>12917</v>
      </c>
    </row>
    <row r="4306" spans="2:4" x14ac:dyDescent="0.35">
      <c r="B4306" s="60" t="s">
        <v>12918</v>
      </c>
      <c r="C4306" s="60" t="s">
        <v>12919</v>
      </c>
      <c r="D4306" s="60" t="s">
        <v>12920</v>
      </c>
    </row>
    <row r="4307" spans="2:4" x14ac:dyDescent="0.35">
      <c r="B4307" s="60" t="s">
        <v>12921</v>
      </c>
      <c r="C4307" s="60" t="s">
        <v>12922</v>
      </c>
      <c r="D4307" s="60" t="s">
        <v>12923</v>
      </c>
    </row>
    <row r="4308" spans="2:4" x14ac:dyDescent="0.35">
      <c r="B4308" s="60" t="s">
        <v>12924</v>
      </c>
      <c r="C4308" s="60" t="s">
        <v>12925</v>
      </c>
      <c r="D4308" s="60" t="s">
        <v>12926</v>
      </c>
    </row>
    <row r="4309" spans="2:4" x14ac:dyDescent="0.35">
      <c r="B4309" s="60" t="s">
        <v>12927</v>
      </c>
      <c r="C4309" s="60" t="s">
        <v>12928</v>
      </c>
      <c r="D4309" s="60" t="s">
        <v>12929</v>
      </c>
    </row>
    <row r="4310" spans="2:4" x14ac:dyDescent="0.35">
      <c r="B4310" s="60" t="s">
        <v>12930</v>
      </c>
      <c r="C4310" s="60" t="s">
        <v>12931</v>
      </c>
      <c r="D4310" s="60" t="s">
        <v>12932</v>
      </c>
    </row>
    <row r="4311" spans="2:4" x14ac:dyDescent="0.35">
      <c r="B4311" s="60" t="s">
        <v>12933</v>
      </c>
      <c r="C4311" s="60" t="s">
        <v>12934</v>
      </c>
      <c r="D4311" s="60" t="s">
        <v>12935</v>
      </c>
    </row>
    <row r="4312" spans="2:4" x14ac:dyDescent="0.35">
      <c r="B4312" s="60" t="s">
        <v>12936</v>
      </c>
      <c r="C4312" s="60" t="s">
        <v>12937</v>
      </c>
      <c r="D4312" s="60" t="s">
        <v>12938</v>
      </c>
    </row>
    <row r="4313" spans="2:4" x14ac:dyDescent="0.35">
      <c r="B4313" s="60" t="s">
        <v>12939</v>
      </c>
      <c r="C4313" s="60" t="s">
        <v>12940</v>
      </c>
      <c r="D4313" s="60" t="s">
        <v>12941</v>
      </c>
    </row>
    <row r="4314" spans="2:4" x14ac:dyDescent="0.35">
      <c r="B4314" s="60" t="s">
        <v>12942</v>
      </c>
      <c r="C4314" s="60" t="s">
        <v>12943</v>
      </c>
      <c r="D4314" s="60" t="s">
        <v>12944</v>
      </c>
    </row>
    <row r="4315" spans="2:4" x14ac:dyDescent="0.35">
      <c r="B4315" s="60" t="s">
        <v>12945</v>
      </c>
      <c r="C4315" s="60" t="s">
        <v>12946</v>
      </c>
      <c r="D4315" s="60" t="s">
        <v>12947</v>
      </c>
    </row>
    <row r="4316" spans="2:4" x14ac:dyDescent="0.35">
      <c r="B4316" s="60" t="s">
        <v>12948</v>
      </c>
      <c r="C4316" s="60" t="s">
        <v>12949</v>
      </c>
      <c r="D4316" s="60" t="s">
        <v>12950</v>
      </c>
    </row>
    <row r="4317" spans="2:4" x14ac:dyDescent="0.35">
      <c r="B4317" s="60" t="s">
        <v>12951</v>
      </c>
      <c r="C4317" s="60" t="s">
        <v>12952</v>
      </c>
      <c r="D4317" s="60" t="s">
        <v>12953</v>
      </c>
    </row>
    <row r="4318" spans="2:4" x14ac:dyDescent="0.35">
      <c r="B4318" s="60" t="s">
        <v>12954</v>
      </c>
      <c r="C4318" s="60" t="s">
        <v>12955</v>
      </c>
      <c r="D4318" s="60" t="s">
        <v>12956</v>
      </c>
    </row>
    <row r="4319" spans="2:4" x14ac:dyDescent="0.35">
      <c r="B4319" s="60" t="s">
        <v>12957</v>
      </c>
      <c r="C4319" s="60" t="s">
        <v>12958</v>
      </c>
      <c r="D4319" s="60" t="s">
        <v>12959</v>
      </c>
    </row>
    <row r="4320" spans="2:4" x14ac:dyDescent="0.35">
      <c r="B4320" s="60" t="s">
        <v>12960</v>
      </c>
      <c r="C4320" s="60" t="s">
        <v>12961</v>
      </c>
      <c r="D4320" s="60" t="s">
        <v>12962</v>
      </c>
    </row>
    <row r="4321" spans="2:4" x14ac:dyDescent="0.35">
      <c r="B4321" s="60" t="s">
        <v>12963</v>
      </c>
      <c r="C4321" s="60" t="s">
        <v>12964</v>
      </c>
      <c r="D4321" s="60" t="s">
        <v>12965</v>
      </c>
    </row>
    <row r="4322" spans="2:4" x14ac:dyDescent="0.35">
      <c r="B4322" s="60" t="s">
        <v>12966</v>
      </c>
      <c r="C4322" s="60" t="s">
        <v>12967</v>
      </c>
      <c r="D4322" s="60" t="s">
        <v>12968</v>
      </c>
    </row>
    <row r="4323" spans="2:4" x14ac:dyDescent="0.35">
      <c r="B4323" s="60" t="s">
        <v>12969</v>
      </c>
      <c r="C4323" s="60" t="s">
        <v>12970</v>
      </c>
      <c r="D4323" s="60" t="s">
        <v>12971</v>
      </c>
    </row>
    <row r="4324" spans="2:4" x14ac:dyDescent="0.35">
      <c r="B4324" s="60" t="s">
        <v>12972</v>
      </c>
      <c r="C4324" s="60" t="s">
        <v>12973</v>
      </c>
      <c r="D4324" s="60" t="s">
        <v>2287</v>
      </c>
    </row>
    <row r="4325" spans="2:4" x14ac:dyDescent="0.35">
      <c r="B4325" s="60" t="s">
        <v>12974</v>
      </c>
      <c r="C4325" s="60" t="s">
        <v>12975</v>
      </c>
      <c r="D4325" s="60" t="s">
        <v>12976</v>
      </c>
    </row>
    <row r="4326" spans="2:4" x14ac:dyDescent="0.35">
      <c r="B4326" s="60" t="s">
        <v>12977</v>
      </c>
      <c r="C4326" s="60" t="s">
        <v>12978</v>
      </c>
      <c r="D4326" s="60" t="s">
        <v>12979</v>
      </c>
    </row>
    <row r="4327" spans="2:4" x14ac:dyDescent="0.35">
      <c r="B4327" s="60" t="s">
        <v>12980</v>
      </c>
      <c r="C4327" s="60" t="s">
        <v>12981</v>
      </c>
      <c r="D4327" s="60" t="s">
        <v>12982</v>
      </c>
    </row>
    <row r="4328" spans="2:4" x14ac:dyDescent="0.35">
      <c r="B4328" s="60" t="s">
        <v>12983</v>
      </c>
      <c r="C4328" s="60" t="s">
        <v>12984</v>
      </c>
      <c r="D4328" s="60" t="s">
        <v>12985</v>
      </c>
    </row>
    <row r="4329" spans="2:4" x14ac:dyDescent="0.35">
      <c r="B4329" s="60" t="s">
        <v>12986</v>
      </c>
      <c r="C4329" s="60" t="s">
        <v>12987</v>
      </c>
      <c r="D4329" s="60" t="s">
        <v>12988</v>
      </c>
    </row>
    <row r="4330" spans="2:4" x14ac:dyDescent="0.35">
      <c r="B4330" s="60" t="s">
        <v>12989</v>
      </c>
      <c r="C4330" s="60" t="s">
        <v>12990</v>
      </c>
      <c r="D4330" s="60" t="s">
        <v>12991</v>
      </c>
    </row>
    <row r="4331" spans="2:4" x14ac:dyDescent="0.35">
      <c r="B4331" s="60" t="s">
        <v>12992</v>
      </c>
      <c r="C4331" s="60" t="s">
        <v>12993</v>
      </c>
      <c r="D4331" s="60" t="s">
        <v>12994</v>
      </c>
    </row>
    <row r="4332" spans="2:4" x14ac:dyDescent="0.35">
      <c r="B4332" s="60" t="s">
        <v>12995</v>
      </c>
      <c r="C4332" s="60" t="s">
        <v>12996</v>
      </c>
      <c r="D4332" s="60" t="s">
        <v>12997</v>
      </c>
    </row>
    <row r="4333" spans="2:4" x14ac:dyDescent="0.35">
      <c r="B4333" s="60" t="s">
        <v>12998</v>
      </c>
      <c r="C4333" s="60" t="s">
        <v>12999</v>
      </c>
      <c r="D4333" s="60" t="s">
        <v>13000</v>
      </c>
    </row>
    <row r="4334" spans="2:4" x14ac:dyDescent="0.35">
      <c r="B4334" s="60" t="s">
        <v>13001</v>
      </c>
      <c r="C4334" s="60" t="s">
        <v>13002</v>
      </c>
      <c r="D4334" s="60" t="s">
        <v>13003</v>
      </c>
    </row>
    <row r="4335" spans="2:4" x14ac:dyDescent="0.35">
      <c r="B4335" s="60" t="s">
        <v>13004</v>
      </c>
      <c r="C4335" s="60" t="s">
        <v>13005</v>
      </c>
      <c r="D4335" s="60" t="s">
        <v>13006</v>
      </c>
    </row>
    <row r="4336" spans="2:4" x14ac:dyDescent="0.35">
      <c r="B4336" s="60" t="s">
        <v>13007</v>
      </c>
      <c r="C4336" s="60" t="s">
        <v>13008</v>
      </c>
      <c r="D4336" s="60" t="s">
        <v>13009</v>
      </c>
    </row>
    <row r="4337" spans="2:4" x14ac:dyDescent="0.35">
      <c r="B4337" s="60" t="s">
        <v>13010</v>
      </c>
      <c r="C4337" s="60" t="s">
        <v>13011</v>
      </c>
      <c r="D4337" s="60" t="s">
        <v>13012</v>
      </c>
    </row>
    <row r="4338" spans="2:4" x14ac:dyDescent="0.35">
      <c r="B4338" s="60" t="s">
        <v>13013</v>
      </c>
      <c r="C4338" s="60" t="s">
        <v>13014</v>
      </c>
      <c r="D4338" s="60" t="s">
        <v>13015</v>
      </c>
    </row>
    <row r="4339" spans="2:4" x14ac:dyDescent="0.35">
      <c r="B4339" s="60" t="s">
        <v>13016</v>
      </c>
      <c r="C4339" s="60" t="s">
        <v>13017</v>
      </c>
      <c r="D4339" s="60" t="s">
        <v>13018</v>
      </c>
    </row>
    <row r="4340" spans="2:4" x14ac:dyDescent="0.35">
      <c r="B4340" s="60" t="s">
        <v>13019</v>
      </c>
      <c r="C4340" s="60" t="s">
        <v>13020</v>
      </c>
      <c r="D4340" s="60" t="s">
        <v>13021</v>
      </c>
    </row>
    <row r="4341" spans="2:4" x14ac:dyDescent="0.35">
      <c r="B4341" s="60" t="s">
        <v>13022</v>
      </c>
      <c r="C4341" s="60" t="s">
        <v>13023</v>
      </c>
      <c r="D4341" s="60" t="s">
        <v>13024</v>
      </c>
    </row>
    <row r="4342" spans="2:4" x14ac:dyDescent="0.35">
      <c r="B4342" s="60" t="s">
        <v>13025</v>
      </c>
      <c r="C4342" s="60" t="s">
        <v>13026</v>
      </c>
      <c r="D4342" s="60" t="s">
        <v>13027</v>
      </c>
    </row>
    <row r="4343" spans="2:4" x14ac:dyDescent="0.35">
      <c r="B4343" s="60" t="s">
        <v>13028</v>
      </c>
      <c r="C4343" s="60" t="s">
        <v>13029</v>
      </c>
      <c r="D4343" s="60" t="s">
        <v>13030</v>
      </c>
    </row>
    <row r="4344" spans="2:4" x14ac:dyDescent="0.35">
      <c r="B4344" s="60" t="s">
        <v>13031</v>
      </c>
      <c r="C4344" s="60" t="s">
        <v>13032</v>
      </c>
      <c r="D4344" s="60" t="s">
        <v>13033</v>
      </c>
    </row>
    <row r="4345" spans="2:4" x14ac:dyDescent="0.35">
      <c r="B4345" s="60" t="s">
        <v>13034</v>
      </c>
      <c r="C4345" s="60" t="s">
        <v>13035</v>
      </c>
      <c r="D4345" s="60" t="s">
        <v>13036</v>
      </c>
    </row>
    <row r="4346" spans="2:4" x14ac:dyDescent="0.35">
      <c r="B4346" s="60" t="s">
        <v>13037</v>
      </c>
      <c r="C4346" s="60" t="s">
        <v>13038</v>
      </c>
      <c r="D4346" s="60" t="s">
        <v>13039</v>
      </c>
    </row>
    <row r="4347" spans="2:4" x14ac:dyDescent="0.35">
      <c r="B4347" s="60" t="s">
        <v>13040</v>
      </c>
      <c r="C4347" s="60" t="s">
        <v>13041</v>
      </c>
      <c r="D4347" s="60" t="s">
        <v>13042</v>
      </c>
    </row>
    <row r="4348" spans="2:4" x14ac:dyDescent="0.35">
      <c r="B4348" s="60" t="s">
        <v>13043</v>
      </c>
      <c r="C4348" s="60" t="s">
        <v>13044</v>
      </c>
      <c r="D4348" s="60" t="s">
        <v>13045</v>
      </c>
    </row>
    <row r="4349" spans="2:4" x14ac:dyDescent="0.35">
      <c r="B4349" s="60" t="s">
        <v>13046</v>
      </c>
      <c r="C4349" s="60" t="s">
        <v>13047</v>
      </c>
      <c r="D4349" s="60" t="s">
        <v>13048</v>
      </c>
    </row>
    <row r="4350" spans="2:4" x14ac:dyDescent="0.35">
      <c r="B4350" s="60" t="s">
        <v>13049</v>
      </c>
      <c r="C4350" s="60" t="s">
        <v>13050</v>
      </c>
      <c r="D4350" s="60" t="s">
        <v>13051</v>
      </c>
    </row>
    <row r="4351" spans="2:4" x14ac:dyDescent="0.35">
      <c r="B4351" s="60" t="s">
        <v>13049</v>
      </c>
      <c r="C4351" s="60" t="s">
        <v>13052</v>
      </c>
      <c r="D4351" s="60" t="s">
        <v>13053</v>
      </c>
    </row>
    <row r="4352" spans="2:4" x14ac:dyDescent="0.35">
      <c r="B4352" s="60" t="s">
        <v>13054</v>
      </c>
      <c r="C4352" s="60" t="s">
        <v>13055</v>
      </c>
      <c r="D4352" s="60" t="s">
        <v>13056</v>
      </c>
    </row>
    <row r="4353" spans="2:4" x14ac:dyDescent="0.35">
      <c r="B4353" s="60" t="s">
        <v>13057</v>
      </c>
      <c r="C4353" s="60" t="s">
        <v>13058</v>
      </c>
      <c r="D4353" s="60" t="s">
        <v>13059</v>
      </c>
    </row>
    <row r="4354" spans="2:4" x14ac:dyDescent="0.35">
      <c r="B4354" s="60" t="s">
        <v>13060</v>
      </c>
      <c r="C4354" s="60" t="s">
        <v>13061</v>
      </c>
      <c r="D4354" s="60" t="s">
        <v>13062</v>
      </c>
    </row>
    <row r="4355" spans="2:4" x14ac:dyDescent="0.35">
      <c r="B4355" s="60" t="s">
        <v>13063</v>
      </c>
      <c r="C4355" s="60" t="s">
        <v>13064</v>
      </c>
      <c r="D4355" s="60" t="s">
        <v>13065</v>
      </c>
    </row>
    <row r="4356" spans="2:4" x14ac:dyDescent="0.35">
      <c r="B4356" s="60" t="s">
        <v>13066</v>
      </c>
      <c r="C4356" s="60" t="s">
        <v>13067</v>
      </c>
      <c r="D4356" s="60" t="s">
        <v>13068</v>
      </c>
    </row>
    <row r="4357" spans="2:4" x14ac:dyDescent="0.35">
      <c r="B4357" s="60" t="s">
        <v>13069</v>
      </c>
      <c r="C4357" s="60" t="s">
        <v>13070</v>
      </c>
      <c r="D4357" s="60" t="s">
        <v>13071</v>
      </c>
    </row>
    <row r="4358" spans="2:4" x14ac:dyDescent="0.35">
      <c r="B4358" s="60" t="s">
        <v>13072</v>
      </c>
      <c r="C4358" s="60" t="s">
        <v>13073</v>
      </c>
      <c r="D4358" s="60" t="s">
        <v>13074</v>
      </c>
    </row>
    <row r="4359" spans="2:4" x14ac:dyDescent="0.35">
      <c r="B4359" s="60" t="s">
        <v>13075</v>
      </c>
      <c r="C4359" s="60" t="s">
        <v>13076</v>
      </c>
      <c r="D4359" s="60" t="s">
        <v>13077</v>
      </c>
    </row>
    <row r="4360" spans="2:4" x14ac:dyDescent="0.35">
      <c r="B4360" s="60" t="s">
        <v>13078</v>
      </c>
      <c r="C4360" s="60" t="s">
        <v>13079</v>
      </c>
      <c r="D4360" s="60" t="s">
        <v>13080</v>
      </c>
    </row>
    <row r="4361" spans="2:4" x14ac:dyDescent="0.35">
      <c r="B4361" s="60" t="s">
        <v>13081</v>
      </c>
      <c r="C4361" s="60" t="s">
        <v>13082</v>
      </c>
      <c r="D4361" s="60" t="s">
        <v>13083</v>
      </c>
    </row>
    <row r="4362" spans="2:4" x14ac:dyDescent="0.35">
      <c r="B4362" s="60" t="s">
        <v>13084</v>
      </c>
      <c r="C4362" s="60" t="s">
        <v>13085</v>
      </c>
      <c r="D4362" s="60" t="s">
        <v>13086</v>
      </c>
    </row>
    <row r="4363" spans="2:4" x14ac:dyDescent="0.35">
      <c r="B4363" s="60" t="s">
        <v>13087</v>
      </c>
      <c r="C4363" s="60" t="s">
        <v>13088</v>
      </c>
      <c r="D4363" s="60" t="s">
        <v>13089</v>
      </c>
    </row>
    <row r="4364" spans="2:4" x14ac:dyDescent="0.35">
      <c r="B4364" s="60" t="s">
        <v>13090</v>
      </c>
      <c r="C4364" s="60" t="s">
        <v>13091</v>
      </c>
      <c r="D4364" s="60" t="s">
        <v>13092</v>
      </c>
    </row>
    <row r="4365" spans="2:4" x14ac:dyDescent="0.35">
      <c r="B4365" s="60" t="s">
        <v>13093</v>
      </c>
      <c r="C4365" s="60" t="s">
        <v>13094</v>
      </c>
      <c r="D4365" s="60" t="s">
        <v>13095</v>
      </c>
    </row>
    <row r="4366" spans="2:4" x14ac:dyDescent="0.35">
      <c r="B4366" s="60" t="s">
        <v>13096</v>
      </c>
      <c r="C4366" s="60" t="s">
        <v>13097</v>
      </c>
      <c r="D4366" s="60" t="s">
        <v>13098</v>
      </c>
    </row>
    <row r="4367" spans="2:4" x14ac:dyDescent="0.35">
      <c r="B4367" s="60" t="s">
        <v>13099</v>
      </c>
      <c r="C4367" s="60" t="s">
        <v>13100</v>
      </c>
      <c r="D4367" s="60" t="s">
        <v>13101</v>
      </c>
    </row>
    <row r="4368" spans="2:4" x14ac:dyDescent="0.35">
      <c r="B4368" s="60" t="s">
        <v>13102</v>
      </c>
      <c r="C4368" s="60" t="s">
        <v>13103</v>
      </c>
      <c r="D4368" s="60" t="s">
        <v>13104</v>
      </c>
    </row>
    <row r="4369" spans="2:4" x14ac:dyDescent="0.35">
      <c r="B4369" s="60" t="s">
        <v>13105</v>
      </c>
      <c r="C4369" s="60" t="s">
        <v>13106</v>
      </c>
      <c r="D4369" s="60" t="s">
        <v>13107</v>
      </c>
    </row>
    <row r="4370" spans="2:4" x14ac:dyDescent="0.35">
      <c r="B4370" s="60" t="s">
        <v>13108</v>
      </c>
      <c r="C4370" s="60" t="s">
        <v>13109</v>
      </c>
      <c r="D4370" s="60" t="s">
        <v>13110</v>
      </c>
    </row>
    <row r="4371" spans="2:4" x14ac:dyDescent="0.35">
      <c r="B4371" s="60" t="s">
        <v>13111</v>
      </c>
      <c r="C4371" s="60" t="s">
        <v>13112</v>
      </c>
      <c r="D4371" s="60" t="s">
        <v>13113</v>
      </c>
    </row>
    <row r="4372" spans="2:4" x14ac:dyDescent="0.35">
      <c r="B4372" s="60" t="s">
        <v>13114</v>
      </c>
      <c r="C4372" s="60" t="s">
        <v>13115</v>
      </c>
      <c r="D4372" s="60" t="s">
        <v>13116</v>
      </c>
    </row>
    <row r="4373" spans="2:4" x14ac:dyDescent="0.35">
      <c r="B4373" s="60" t="s">
        <v>13117</v>
      </c>
      <c r="C4373" s="60" t="s">
        <v>13118</v>
      </c>
      <c r="D4373" s="60" t="s">
        <v>13119</v>
      </c>
    </row>
    <row r="4374" spans="2:4" x14ac:dyDescent="0.35">
      <c r="B4374" s="60" t="s">
        <v>13120</v>
      </c>
      <c r="C4374" s="60" t="s">
        <v>13121</v>
      </c>
      <c r="D4374" s="60" t="s">
        <v>13122</v>
      </c>
    </row>
    <row r="4375" spans="2:4" x14ac:dyDescent="0.35">
      <c r="B4375" s="60" t="s">
        <v>13123</v>
      </c>
      <c r="C4375" s="60" t="s">
        <v>13124</v>
      </c>
      <c r="D4375" s="60" t="s">
        <v>13125</v>
      </c>
    </row>
    <row r="4376" spans="2:4" x14ac:dyDescent="0.35">
      <c r="B4376" s="60" t="s">
        <v>13126</v>
      </c>
      <c r="C4376" s="60" t="s">
        <v>13127</v>
      </c>
      <c r="D4376" s="60" t="s">
        <v>13128</v>
      </c>
    </row>
    <row r="4377" spans="2:4" x14ac:dyDescent="0.35">
      <c r="B4377" s="60" t="s">
        <v>13129</v>
      </c>
      <c r="C4377" s="60" t="s">
        <v>13130</v>
      </c>
      <c r="D4377" s="60" t="s">
        <v>13131</v>
      </c>
    </row>
    <row r="4378" spans="2:4" x14ac:dyDescent="0.35">
      <c r="B4378" s="60" t="s">
        <v>13132</v>
      </c>
      <c r="C4378" s="60" t="s">
        <v>13133</v>
      </c>
      <c r="D4378" s="60" t="s">
        <v>13134</v>
      </c>
    </row>
    <row r="4379" spans="2:4" x14ac:dyDescent="0.35">
      <c r="B4379" s="60" t="s">
        <v>13135</v>
      </c>
      <c r="C4379" s="60" t="s">
        <v>13136</v>
      </c>
      <c r="D4379" s="60" t="s">
        <v>13137</v>
      </c>
    </row>
    <row r="4380" spans="2:4" x14ac:dyDescent="0.35">
      <c r="B4380" s="60" t="s">
        <v>13138</v>
      </c>
      <c r="C4380" s="60" t="s">
        <v>13139</v>
      </c>
      <c r="D4380" s="60" t="s">
        <v>13140</v>
      </c>
    </row>
    <row r="4381" spans="2:4" x14ac:dyDescent="0.35">
      <c r="B4381" s="60" t="s">
        <v>13141</v>
      </c>
      <c r="C4381" s="60" t="s">
        <v>13142</v>
      </c>
      <c r="D4381" s="60" t="s">
        <v>13143</v>
      </c>
    </row>
    <row r="4382" spans="2:4" x14ac:dyDescent="0.35">
      <c r="B4382" s="60" t="s">
        <v>13144</v>
      </c>
      <c r="C4382" s="60" t="s">
        <v>13145</v>
      </c>
      <c r="D4382" s="60" t="s">
        <v>13146</v>
      </c>
    </row>
    <row r="4383" spans="2:4" x14ac:dyDescent="0.35">
      <c r="B4383" s="60" t="s">
        <v>13147</v>
      </c>
      <c r="C4383" s="60" t="s">
        <v>13148</v>
      </c>
      <c r="D4383" s="60" t="s">
        <v>13149</v>
      </c>
    </row>
    <row r="4384" spans="2:4" x14ac:dyDescent="0.35">
      <c r="B4384" s="60" t="s">
        <v>13150</v>
      </c>
      <c r="C4384" s="60" t="s">
        <v>13151</v>
      </c>
      <c r="D4384" s="60" t="s">
        <v>13152</v>
      </c>
    </row>
    <row r="4385" spans="2:4" x14ac:dyDescent="0.35">
      <c r="B4385" s="60" t="s">
        <v>13153</v>
      </c>
      <c r="C4385" s="60" t="s">
        <v>13154</v>
      </c>
      <c r="D4385" s="60" t="s">
        <v>13155</v>
      </c>
    </row>
    <row r="4386" spans="2:4" x14ac:dyDescent="0.35">
      <c r="B4386" s="60" t="s">
        <v>13156</v>
      </c>
      <c r="C4386" s="60" t="s">
        <v>13157</v>
      </c>
      <c r="D4386" s="60" t="s">
        <v>13158</v>
      </c>
    </row>
    <row r="4387" spans="2:4" x14ac:dyDescent="0.35">
      <c r="B4387" s="60" t="s">
        <v>13159</v>
      </c>
      <c r="C4387" s="60" t="s">
        <v>13160</v>
      </c>
      <c r="D4387" s="60" t="s">
        <v>13161</v>
      </c>
    </row>
    <row r="4388" spans="2:4" x14ac:dyDescent="0.35">
      <c r="B4388" s="60" t="s">
        <v>13162</v>
      </c>
      <c r="C4388" s="60" t="s">
        <v>13163</v>
      </c>
      <c r="D4388" s="60" t="s">
        <v>13164</v>
      </c>
    </row>
    <row r="4389" spans="2:4" x14ac:dyDescent="0.35">
      <c r="B4389" s="60" t="s">
        <v>13165</v>
      </c>
      <c r="C4389" s="60" t="s">
        <v>13166</v>
      </c>
      <c r="D4389" s="60" t="s">
        <v>13167</v>
      </c>
    </row>
    <row r="4390" spans="2:4" x14ac:dyDescent="0.35">
      <c r="B4390" s="60" t="s">
        <v>13168</v>
      </c>
      <c r="C4390" s="60" t="s">
        <v>13169</v>
      </c>
      <c r="D4390" s="60" t="s">
        <v>13170</v>
      </c>
    </row>
    <row r="4391" spans="2:4" x14ac:dyDescent="0.35">
      <c r="B4391" s="60" t="s">
        <v>13171</v>
      </c>
      <c r="C4391" s="60" t="s">
        <v>13172</v>
      </c>
      <c r="D4391" s="60" t="s">
        <v>13173</v>
      </c>
    </row>
    <row r="4392" spans="2:4" x14ac:dyDescent="0.35">
      <c r="B4392" s="60" t="s">
        <v>13174</v>
      </c>
      <c r="C4392" s="60" t="s">
        <v>13175</v>
      </c>
      <c r="D4392" s="60" t="s">
        <v>13176</v>
      </c>
    </row>
    <row r="4393" spans="2:4" x14ac:dyDescent="0.35">
      <c r="B4393" s="60" t="s">
        <v>13177</v>
      </c>
      <c r="C4393" s="60" t="s">
        <v>13178</v>
      </c>
      <c r="D4393" s="60" t="s">
        <v>13179</v>
      </c>
    </row>
    <row r="4394" spans="2:4" x14ac:dyDescent="0.35">
      <c r="B4394" s="60" t="s">
        <v>13180</v>
      </c>
      <c r="C4394" s="60" t="s">
        <v>13181</v>
      </c>
      <c r="D4394" s="60" t="s">
        <v>13182</v>
      </c>
    </row>
    <row r="4395" spans="2:4" x14ac:dyDescent="0.35">
      <c r="B4395" s="60" t="s">
        <v>13183</v>
      </c>
      <c r="C4395" s="60" t="s">
        <v>13184</v>
      </c>
      <c r="D4395" s="60" t="s">
        <v>13185</v>
      </c>
    </row>
    <row r="4396" spans="2:4" x14ac:dyDescent="0.35">
      <c r="B4396" s="60" t="s">
        <v>13186</v>
      </c>
      <c r="C4396" s="60" t="s">
        <v>13187</v>
      </c>
      <c r="D4396" s="60" t="s">
        <v>13188</v>
      </c>
    </row>
    <row r="4397" spans="2:4" x14ac:dyDescent="0.35">
      <c r="B4397" s="60" t="s">
        <v>13189</v>
      </c>
      <c r="C4397" s="60" t="s">
        <v>13190</v>
      </c>
      <c r="D4397" s="60" t="s">
        <v>13191</v>
      </c>
    </row>
    <row r="4398" spans="2:4" x14ac:dyDescent="0.35">
      <c r="B4398" s="60" t="s">
        <v>13189</v>
      </c>
      <c r="C4398" s="60" t="s">
        <v>13192</v>
      </c>
      <c r="D4398" s="60" t="s">
        <v>13193</v>
      </c>
    </row>
    <row r="4399" spans="2:4" x14ac:dyDescent="0.35">
      <c r="B4399" s="60" t="s">
        <v>13194</v>
      </c>
      <c r="C4399" s="60" t="s">
        <v>13195</v>
      </c>
      <c r="D4399" s="60" t="s">
        <v>13196</v>
      </c>
    </row>
    <row r="4400" spans="2:4" x14ac:dyDescent="0.35">
      <c r="B4400" s="60" t="s">
        <v>13197</v>
      </c>
      <c r="C4400" s="60" t="s">
        <v>13198</v>
      </c>
      <c r="D4400" s="60" t="s">
        <v>13199</v>
      </c>
    </row>
    <row r="4401" spans="2:4" x14ac:dyDescent="0.35">
      <c r="B4401" s="60" t="s">
        <v>13200</v>
      </c>
      <c r="C4401" s="60" t="s">
        <v>13201</v>
      </c>
      <c r="D4401" s="60" t="s">
        <v>13202</v>
      </c>
    </row>
    <row r="4402" spans="2:4" x14ac:dyDescent="0.35">
      <c r="B4402" s="60" t="s">
        <v>13203</v>
      </c>
      <c r="C4402" s="60" t="s">
        <v>13204</v>
      </c>
      <c r="D4402" s="60" t="s">
        <v>13205</v>
      </c>
    </row>
    <row r="4403" spans="2:4" x14ac:dyDescent="0.35">
      <c r="B4403" s="60" t="s">
        <v>13203</v>
      </c>
      <c r="C4403" s="60" t="s">
        <v>13206</v>
      </c>
      <c r="D4403" s="60" t="s">
        <v>13207</v>
      </c>
    </row>
    <row r="4404" spans="2:4" x14ac:dyDescent="0.35">
      <c r="B4404" s="60" t="s">
        <v>13208</v>
      </c>
      <c r="C4404" s="60" t="s">
        <v>13209</v>
      </c>
      <c r="D4404" s="60" t="s">
        <v>13210</v>
      </c>
    </row>
    <row r="4405" spans="2:4" x14ac:dyDescent="0.35">
      <c r="B4405" s="60" t="s">
        <v>13211</v>
      </c>
      <c r="C4405" s="60" t="s">
        <v>13212</v>
      </c>
      <c r="D4405" s="60" t="s">
        <v>13213</v>
      </c>
    </row>
    <row r="4406" spans="2:4" x14ac:dyDescent="0.35">
      <c r="B4406" s="60" t="s">
        <v>13214</v>
      </c>
      <c r="C4406" s="60" t="s">
        <v>13215</v>
      </c>
      <c r="D4406" s="60" t="s">
        <v>13216</v>
      </c>
    </row>
    <row r="4407" spans="2:4" x14ac:dyDescent="0.35">
      <c r="B4407" s="60" t="s">
        <v>13217</v>
      </c>
      <c r="C4407" s="60" t="s">
        <v>13218</v>
      </c>
      <c r="D4407" s="60" t="s">
        <v>13219</v>
      </c>
    </row>
    <row r="4408" spans="2:4" x14ac:dyDescent="0.35">
      <c r="B4408" s="60" t="s">
        <v>13220</v>
      </c>
      <c r="C4408" s="60" t="s">
        <v>13221</v>
      </c>
      <c r="D4408" s="60" t="s">
        <v>13222</v>
      </c>
    </row>
    <row r="4409" spans="2:4" x14ac:dyDescent="0.35">
      <c r="B4409" s="60" t="s">
        <v>13223</v>
      </c>
      <c r="C4409" s="60" t="s">
        <v>13224</v>
      </c>
      <c r="D4409" s="60" t="s">
        <v>13225</v>
      </c>
    </row>
    <row r="4410" spans="2:4" x14ac:dyDescent="0.35">
      <c r="B4410" s="60" t="s">
        <v>13226</v>
      </c>
      <c r="C4410" s="60" t="s">
        <v>13227</v>
      </c>
      <c r="D4410" s="60" t="s">
        <v>13228</v>
      </c>
    </row>
    <row r="4411" spans="2:4" x14ac:dyDescent="0.35">
      <c r="B4411" s="60" t="s">
        <v>13229</v>
      </c>
      <c r="C4411" s="60" t="s">
        <v>13230</v>
      </c>
      <c r="D4411" s="60" t="s">
        <v>13231</v>
      </c>
    </row>
    <row r="4412" spans="2:4" x14ac:dyDescent="0.35">
      <c r="B4412" s="60" t="s">
        <v>13232</v>
      </c>
      <c r="C4412" s="60" t="s">
        <v>13233</v>
      </c>
      <c r="D4412" s="60" t="s">
        <v>13234</v>
      </c>
    </row>
    <row r="4413" spans="2:4" x14ac:dyDescent="0.35">
      <c r="B4413" s="60" t="s">
        <v>13235</v>
      </c>
      <c r="C4413" s="60" t="s">
        <v>13236</v>
      </c>
      <c r="D4413" s="60" t="s">
        <v>13237</v>
      </c>
    </row>
    <row r="4414" spans="2:4" x14ac:dyDescent="0.35">
      <c r="B4414" s="60" t="s">
        <v>13238</v>
      </c>
      <c r="C4414" s="60" t="s">
        <v>13239</v>
      </c>
      <c r="D4414" s="60" t="s">
        <v>13240</v>
      </c>
    </row>
    <row r="4415" spans="2:4" x14ac:dyDescent="0.35">
      <c r="B4415" s="60" t="s">
        <v>13241</v>
      </c>
      <c r="C4415" s="60" t="s">
        <v>13242</v>
      </c>
      <c r="D4415" s="60" t="s">
        <v>13243</v>
      </c>
    </row>
    <row r="4416" spans="2:4" x14ac:dyDescent="0.35">
      <c r="B4416" s="60" t="s">
        <v>13244</v>
      </c>
      <c r="C4416" s="60" t="s">
        <v>13245</v>
      </c>
      <c r="D4416" s="60" t="s">
        <v>13246</v>
      </c>
    </row>
    <row r="4417" spans="2:4" x14ac:dyDescent="0.35">
      <c r="B4417" s="60" t="s">
        <v>13247</v>
      </c>
      <c r="C4417" s="60" t="s">
        <v>13248</v>
      </c>
      <c r="D4417" s="60" t="s">
        <v>13249</v>
      </c>
    </row>
    <row r="4418" spans="2:4" x14ac:dyDescent="0.35">
      <c r="B4418" s="60" t="s">
        <v>13250</v>
      </c>
      <c r="C4418" s="60" t="s">
        <v>13251</v>
      </c>
      <c r="D4418" s="60" t="s">
        <v>12491</v>
      </c>
    </row>
    <row r="4419" spans="2:4" x14ac:dyDescent="0.35">
      <c r="B4419" s="60" t="s">
        <v>13252</v>
      </c>
      <c r="C4419" s="60" t="s">
        <v>13253</v>
      </c>
      <c r="D4419" s="60" t="s">
        <v>13254</v>
      </c>
    </row>
    <row r="4420" spans="2:4" x14ac:dyDescent="0.35">
      <c r="B4420" s="60" t="s">
        <v>13255</v>
      </c>
      <c r="C4420" s="60" t="s">
        <v>13256</v>
      </c>
      <c r="D4420" s="60" t="s">
        <v>13257</v>
      </c>
    </row>
    <row r="4421" spans="2:4" x14ac:dyDescent="0.35">
      <c r="B4421" s="60" t="s">
        <v>13258</v>
      </c>
      <c r="C4421" s="60" t="s">
        <v>13259</v>
      </c>
      <c r="D4421" s="60" t="s">
        <v>13260</v>
      </c>
    </row>
    <row r="4422" spans="2:4" x14ac:dyDescent="0.35">
      <c r="B4422" s="60" t="s">
        <v>13261</v>
      </c>
      <c r="C4422" s="60" t="s">
        <v>13262</v>
      </c>
      <c r="D4422" s="60" t="s">
        <v>13263</v>
      </c>
    </row>
    <row r="4423" spans="2:4" x14ac:dyDescent="0.35">
      <c r="B4423" s="60" t="s">
        <v>13264</v>
      </c>
      <c r="C4423" s="60" t="s">
        <v>13265</v>
      </c>
      <c r="D4423" s="60" t="s">
        <v>13266</v>
      </c>
    </row>
    <row r="4424" spans="2:4" x14ac:dyDescent="0.35">
      <c r="B4424" s="60" t="s">
        <v>13267</v>
      </c>
      <c r="C4424" s="60" t="s">
        <v>13268</v>
      </c>
      <c r="D4424" s="60" t="s">
        <v>13269</v>
      </c>
    </row>
    <row r="4425" spans="2:4" x14ac:dyDescent="0.35">
      <c r="B4425" s="60" t="s">
        <v>13270</v>
      </c>
      <c r="C4425" s="60" t="s">
        <v>13271</v>
      </c>
      <c r="D4425" s="60" t="s">
        <v>13272</v>
      </c>
    </row>
    <row r="4426" spans="2:4" x14ac:dyDescent="0.35">
      <c r="B4426" s="60" t="s">
        <v>13273</v>
      </c>
      <c r="C4426" s="60" t="s">
        <v>13274</v>
      </c>
      <c r="D4426" s="60" t="s">
        <v>13275</v>
      </c>
    </row>
    <row r="4427" spans="2:4" x14ac:dyDescent="0.35">
      <c r="B4427" s="60" t="s">
        <v>13276</v>
      </c>
      <c r="C4427" s="60" t="s">
        <v>13277</v>
      </c>
      <c r="D4427" s="60" t="s">
        <v>13278</v>
      </c>
    </row>
    <row r="4428" spans="2:4" x14ac:dyDescent="0.35">
      <c r="B4428" s="60" t="s">
        <v>13279</v>
      </c>
      <c r="C4428" s="60" t="s">
        <v>13280</v>
      </c>
      <c r="D4428" s="60" t="s">
        <v>13281</v>
      </c>
    </row>
    <row r="4429" spans="2:4" x14ac:dyDescent="0.35">
      <c r="B4429" s="60" t="s">
        <v>13282</v>
      </c>
      <c r="C4429" s="60" t="s">
        <v>13283</v>
      </c>
      <c r="D4429" s="60" t="s">
        <v>13284</v>
      </c>
    </row>
    <row r="4430" spans="2:4" x14ac:dyDescent="0.35">
      <c r="B4430" s="60" t="s">
        <v>13285</v>
      </c>
      <c r="C4430" s="60" t="s">
        <v>13286</v>
      </c>
      <c r="D4430" s="60" t="s">
        <v>13287</v>
      </c>
    </row>
    <row r="4431" spans="2:4" x14ac:dyDescent="0.35">
      <c r="B4431" s="60" t="s">
        <v>13288</v>
      </c>
      <c r="C4431" s="60" t="s">
        <v>13289</v>
      </c>
      <c r="D4431" s="60" t="s">
        <v>13290</v>
      </c>
    </row>
    <row r="4432" spans="2:4" x14ac:dyDescent="0.35">
      <c r="B4432" s="60" t="s">
        <v>13291</v>
      </c>
      <c r="C4432" s="60" t="s">
        <v>13292</v>
      </c>
      <c r="D4432" s="60" t="s">
        <v>13293</v>
      </c>
    </row>
    <row r="4433" spans="2:4" x14ac:dyDescent="0.35">
      <c r="B4433" s="60" t="s">
        <v>13294</v>
      </c>
      <c r="C4433" s="60" t="s">
        <v>13295</v>
      </c>
      <c r="D4433" s="60" t="s">
        <v>13296</v>
      </c>
    </row>
    <row r="4434" spans="2:4" x14ac:dyDescent="0.35">
      <c r="B4434" s="60" t="s">
        <v>13297</v>
      </c>
      <c r="C4434" s="60" t="s">
        <v>13298</v>
      </c>
      <c r="D4434" s="60" t="s">
        <v>13299</v>
      </c>
    </row>
    <row r="4435" spans="2:4" x14ac:dyDescent="0.35">
      <c r="B4435" s="60" t="s">
        <v>13300</v>
      </c>
      <c r="C4435" s="60" t="s">
        <v>13301</v>
      </c>
      <c r="D4435" s="60" t="s">
        <v>13302</v>
      </c>
    </row>
    <row r="4436" spans="2:4" x14ac:dyDescent="0.35">
      <c r="B4436" s="60" t="s">
        <v>13303</v>
      </c>
      <c r="C4436" s="60" t="s">
        <v>13304</v>
      </c>
      <c r="D4436" s="60" t="s">
        <v>13305</v>
      </c>
    </row>
    <row r="4437" spans="2:4" x14ac:dyDescent="0.35">
      <c r="B4437" s="60" t="s">
        <v>13306</v>
      </c>
      <c r="C4437" s="60" t="s">
        <v>13307</v>
      </c>
      <c r="D4437" s="60" t="s">
        <v>13308</v>
      </c>
    </row>
    <row r="4438" spans="2:4" x14ac:dyDescent="0.35">
      <c r="B4438" s="60" t="s">
        <v>13309</v>
      </c>
      <c r="C4438" s="60" t="s">
        <v>13310</v>
      </c>
      <c r="D4438" s="60" t="s">
        <v>13311</v>
      </c>
    </row>
    <row r="4439" spans="2:4" x14ac:dyDescent="0.35">
      <c r="B4439" s="60" t="s">
        <v>13312</v>
      </c>
      <c r="C4439" s="60" t="s">
        <v>13313</v>
      </c>
      <c r="D4439" s="60" t="s">
        <v>13314</v>
      </c>
    </row>
    <row r="4440" spans="2:4" x14ac:dyDescent="0.35">
      <c r="B4440" s="60" t="s">
        <v>13315</v>
      </c>
      <c r="C4440" s="60" t="s">
        <v>13316</v>
      </c>
      <c r="D4440" s="60" t="s">
        <v>13317</v>
      </c>
    </row>
    <row r="4441" spans="2:4" x14ac:dyDescent="0.35">
      <c r="B4441" s="60" t="s">
        <v>13318</v>
      </c>
      <c r="C4441" s="60" t="s">
        <v>13319</v>
      </c>
      <c r="D4441" s="60" t="s">
        <v>13320</v>
      </c>
    </row>
    <row r="4442" spans="2:4" x14ac:dyDescent="0.35">
      <c r="B4442" s="60" t="s">
        <v>13321</v>
      </c>
      <c r="C4442" s="60" t="s">
        <v>13322</v>
      </c>
      <c r="D4442" s="60" t="s">
        <v>13323</v>
      </c>
    </row>
    <row r="4443" spans="2:4" x14ac:dyDescent="0.35">
      <c r="B4443" s="60" t="s">
        <v>13324</v>
      </c>
      <c r="C4443" s="60" t="s">
        <v>13325</v>
      </c>
      <c r="D4443" s="60" t="s">
        <v>13326</v>
      </c>
    </row>
    <row r="4444" spans="2:4" x14ac:dyDescent="0.35">
      <c r="B4444" s="60" t="s">
        <v>13327</v>
      </c>
      <c r="C4444" s="60" t="s">
        <v>13328</v>
      </c>
      <c r="D4444" s="60" t="s">
        <v>13329</v>
      </c>
    </row>
    <row r="4445" spans="2:4" x14ac:dyDescent="0.35">
      <c r="B4445" s="60" t="s">
        <v>13330</v>
      </c>
      <c r="C4445" s="60" t="s">
        <v>13331</v>
      </c>
      <c r="D4445" s="60" t="s">
        <v>13332</v>
      </c>
    </row>
    <row r="4446" spans="2:4" x14ac:dyDescent="0.35">
      <c r="B4446" s="60" t="s">
        <v>13333</v>
      </c>
      <c r="C4446" s="60" t="s">
        <v>13334</v>
      </c>
      <c r="D4446" s="60" t="s">
        <v>13335</v>
      </c>
    </row>
    <row r="4447" spans="2:4" x14ac:dyDescent="0.35">
      <c r="B4447" s="60" t="s">
        <v>13336</v>
      </c>
      <c r="C4447" s="60" t="s">
        <v>13337</v>
      </c>
      <c r="D4447" s="60" t="s">
        <v>13338</v>
      </c>
    </row>
    <row r="4448" spans="2:4" x14ac:dyDescent="0.35">
      <c r="B4448" s="60" t="s">
        <v>13339</v>
      </c>
      <c r="C4448" s="60" t="s">
        <v>13340</v>
      </c>
      <c r="D4448" s="60" t="s">
        <v>13341</v>
      </c>
    </row>
    <row r="4449" spans="2:4" x14ac:dyDescent="0.35">
      <c r="B4449" s="60" t="s">
        <v>13342</v>
      </c>
      <c r="C4449" s="60" t="s">
        <v>13343</v>
      </c>
      <c r="D4449" s="60" t="s">
        <v>13344</v>
      </c>
    </row>
    <row r="4450" spans="2:4" x14ac:dyDescent="0.35">
      <c r="B4450" s="60" t="s">
        <v>13342</v>
      </c>
      <c r="C4450" s="60" t="s">
        <v>13345</v>
      </c>
      <c r="D4450" s="60" t="s">
        <v>13346</v>
      </c>
    </row>
    <row r="4451" spans="2:4" x14ac:dyDescent="0.35">
      <c r="B4451" s="60" t="s">
        <v>13347</v>
      </c>
      <c r="C4451" s="60" t="s">
        <v>13348</v>
      </c>
      <c r="D4451" s="60" t="s">
        <v>13349</v>
      </c>
    </row>
    <row r="4452" spans="2:4" x14ac:dyDescent="0.35">
      <c r="B4452" s="60" t="s">
        <v>13350</v>
      </c>
      <c r="C4452" s="60" t="s">
        <v>13351</v>
      </c>
      <c r="D4452" s="60" t="s">
        <v>13352</v>
      </c>
    </row>
    <row r="4453" spans="2:4" x14ac:dyDescent="0.35">
      <c r="B4453" s="60" t="s">
        <v>13353</v>
      </c>
      <c r="C4453" s="60" t="s">
        <v>13354</v>
      </c>
      <c r="D4453" s="60" t="s">
        <v>13355</v>
      </c>
    </row>
    <row r="4454" spans="2:4" x14ac:dyDescent="0.35">
      <c r="B4454" s="60" t="s">
        <v>13356</v>
      </c>
      <c r="C4454" s="60" t="s">
        <v>13357</v>
      </c>
      <c r="D4454" s="60" t="s">
        <v>13358</v>
      </c>
    </row>
    <row r="4455" spans="2:4" x14ac:dyDescent="0.35">
      <c r="B4455" s="60" t="s">
        <v>13359</v>
      </c>
      <c r="C4455" s="60" t="s">
        <v>13360</v>
      </c>
      <c r="D4455" s="60" t="s">
        <v>13361</v>
      </c>
    </row>
    <row r="4456" spans="2:4" x14ac:dyDescent="0.35">
      <c r="B4456" s="60" t="s">
        <v>13362</v>
      </c>
      <c r="C4456" s="60" t="s">
        <v>13363</v>
      </c>
      <c r="D4456" s="60" t="s">
        <v>13364</v>
      </c>
    </row>
    <row r="4457" spans="2:4" x14ac:dyDescent="0.35">
      <c r="B4457" s="60" t="s">
        <v>13365</v>
      </c>
      <c r="C4457" s="60" t="s">
        <v>13366</v>
      </c>
      <c r="D4457" s="60" t="s">
        <v>13367</v>
      </c>
    </row>
    <row r="4458" spans="2:4" x14ac:dyDescent="0.35">
      <c r="B4458" s="60" t="s">
        <v>13368</v>
      </c>
      <c r="C4458" s="60" t="s">
        <v>13369</v>
      </c>
      <c r="D4458" s="60" t="s">
        <v>13370</v>
      </c>
    </row>
    <row r="4459" spans="2:4" x14ac:dyDescent="0.35">
      <c r="B4459" s="60" t="s">
        <v>13371</v>
      </c>
      <c r="C4459" s="60" t="s">
        <v>13372</v>
      </c>
      <c r="D4459" s="60" t="s">
        <v>13373</v>
      </c>
    </row>
    <row r="4460" spans="2:4" x14ac:dyDescent="0.35">
      <c r="B4460" s="60" t="s">
        <v>13374</v>
      </c>
      <c r="C4460" s="60" t="s">
        <v>13375</v>
      </c>
      <c r="D4460" s="60" t="s">
        <v>13376</v>
      </c>
    </row>
    <row r="4461" spans="2:4" x14ac:dyDescent="0.35">
      <c r="B4461" s="60" t="s">
        <v>13377</v>
      </c>
      <c r="C4461" s="60" t="s">
        <v>13378</v>
      </c>
      <c r="D4461" s="60" t="s">
        <v>13379</v>
      </c>
    </row>
    <row r="4462" spans="2:4" x14ac:dyDescent="0.35">
      <c r="B4462" s="60" t="s">
        <v>13380</v>
      </c>
      <c r="C4462" s="60" t="s">
        <v>13381</v>
      </c>
      <c r="D4462" s="60" t="s">
        <v>13382</v>
      </c>
    </row>
    <row r="4463" spans="2:4" x14ac:dyDescent="0.35">
      <c r="B4463" s="60" t="s">
        <v>13383</v>
      </c>
      <c r="C4463" s="60" t="s">
        <v>13384</v>
      </c>
      <c r="D4463" s="60" t="s">
        <v>13385</v>
      </c>
    </row>
    <row r="4464" spans="2:4" x14ac:dyDescent="0.35">
      <c r="B4464" s="60" t="s">
        <v>13386</v>
      </c>
      <c r="C4464" s="60" t="s">
        <v>13387</v>
      </c>
      <c r="D4464" s="60" t="s">
        <v>13388</v>
      </c>
    </row>
    <row r="4465" spans="2:4" x14ac:dyDescent="0.35">
      <c r="B4465" s="60" t="s">
        <v>13389</v>
      </c>
      <c r="C4465" s="60" t="s">
        <v>13390</v>
      </c>
      <c r="D4465" s="60" t="s">
        <v>13391</v>
      </c>
    </row>
    <row r="4466" spans="2:4" x14ac:dyDescent="0.35">
      <c r="B4466" s="60" t="s">
        <v>13392</v>
      </c>
      <c r="C4466" s="60" t="s">
        <v>13393</v>
      </c>
      <c r="D4466" s="60" t="s">
        <v>13394</v>
      </c>
    </row>
    <row r="4467" spans="2:4" x14ac:dyDescent="0.35">
      <c r="B4467" s="60" t="s">
        <v>13395</v>
      </c>
      <c r="C4467" s="60" t="s">
        <v>13396</v>
      </c>
      <c r="D4467" s="60" t="s">
        <v>13397</v>
      </c>
    </row>
    <row r="4468" spans="2:4" x14ac:dyDescent="0.35">
      <c r="B4468" s="60" t="s">
        <v>13398</v>
      </c>
      <c r="C4468" s="60" t="s">
        <v>13399</v>
      </c>
      <c r="D4468" s="60" t="s">
        <v>13400</v>
      </c>
    </row>
    <row r="4469" spans="2:4" x14ac:dyDescent="0.35">
      <c r="B4469" s="60" t="s">
        <v>13401</v>
      </c>
      <c r="C4469" s="60" t="s">
        <v>13402</v>
      </c>
      <c r="D4469" s="60" t="s">
        <v>11854</v>
      </c>
    </row>
    <row r="4470" spans="2:4" x14ac:dyDescent="0.35">
      <c r="B4470" s="60" t="s">
        <v>13403</v>
      </c>
      <c r="C4470" s="60" t="s">
        <v>13404</v>
      </c>
      <c r="D4470" s="60" t="s">
        <v>13405</v>
      </c>
    </row>
    <row r="4471" spans="2:4" x14ac:dyDescent="0.35">
      <c r="B4471" s="60" t="s">
        <v>13406</v>
      </c>
      <c r="C4471" s="60" t="s">
        <v>13407</v>
      </c>
      <c r="D4471" s="60" t="s">
        <v>13408</v>
      </c>
    </row>
    <row r="4472" spans="2:4" x14ac:dyDescent="0.35">
      <c r="B4472" s="60" t="s">
        <v>13409</v>
      </c>
      <c r="C4472" s="60" t="s">
        <v>13410</v>
      </c>
      <c r="D4472" s="60" t="s">
        <v>13411</v>
      </c>
    </row>
    <row r="4473" spans="2:4" x14ac:dyDescent="0.35">
      <c r="B4473" s="60" t="s">
        <v>13412</v>
      </c>
      <c r="C4473" s="60" t="s">
        <v>13413</v>
      </c>
      <c r="D4473" s="60" t="s">
        <v>13414</v>
      </c>
    </row>
    <row r="4474" spans="2:4" x14ac:dyDescent="0.35">
      <c r="B4474" s="60" t="s">
        <v>13415</v>
      </c>
      <c r="C4474" s="60" t="s">
        <v>13416</v>
      </c>
      <c r="D4474" s="60" t="s">
        <v>13417</v>
      </c>
    </row>
    <row r="4475" spans="2:4" x14ac:dyDescent="0.35">
      <c r="B4475" s="60" t="s">
        <v>13418</v>
      </c>
      <c r="C4475" s="60" t="s">
        <v>13419</v>
      </c>
      <c r="D4475" s="60" t="s">
        <v>13420</v>
      </c>
    </row>
    <row r="4476" spans="2:4" x14ac:dyDescent="0.35">
      <c r="B4476" s="60" t="s">
        <v>13421</v>
      </c>
      <c r="C4476" s="60" t="s">
        <v>13422</v>
      </c>
      <c r="D4476" s="60" t="s">
        <v>13423</v>
      </c>
    </row>
    <row r="4477" spans="2:4" x14ac:dyDescent="0.35">
      <c r="B4477" s="60" t="s">
        <v>13424</v>
      </c>
      <c r="C4477" s="60" t="s">
        <v>13425</v>
      </c>
      <c r="D4477" s="60" t="s">
        <v>13426</v>
      </c>
    </row>
    <row r="4478" spans="2:4" x14ac:dyDescent="0.35">
      <c r="B4478" s="60" t="s">
        <v>13427</v>
      </c>
      <c r="C4478" s="60" t="s">
        <v>13428</v>
      </c>
      <c r="D4478" s="60" t="s">
        <v>13429</v>
      </c>
    </row>
    <row r="4479" spans="2:4" x14ac:dyDescent="0.35">
      <c r="B4479" s="60" t="s">
        <v>13430</v>
      </c>
      <c r="C4479" s="60" t="s">
        <v>13431</v>
      </c>
      <c r="D4479" s="60" t="s">
        <v>13432</v>
      </c>
    </row>
    <row r="4480" spans="2:4" x14ac:dyDescent="0.35">
      <c r="B4480" s="60" t="s">
        <v>13433</v>
      </c>
      <c r="C4480" s="60" t="s">
        <v>13434</v>
      </c>
      <c r="D4480" s="60" t="s">
        <v>13435</v>
      </c>
    </row>
    <row r="4481" spans="2:4" x14ac:dyDescent="0.35">
      <c r="B4481" s="60" t="s">
        <v>13436</v>
      </c>
      <c r="C4481" s="60" t="s">
        <v>13437</v>
      </c>
      <c r="D4481" s="60" t="s">
        <v>13438</v>
      </c>
    </row>
    <row r="4482" spans="2:4" x14ac:dyDescent="0.35">
      <c r="B4482" s="60" t="s">
        <v>13439</v>
      </c>
      <c r="C4482" s="60" t="s">
        <v>13440</v>
      </c>
      <c r="D4482" s="60" t="s">
        <v>13441</v>
      </c>
    </row>
    <row r="4483" spans="2:4" x14ac:dyDescent="0.35">
      <c r="B4483" s="60" t="s">
        <v>13442</v>
      </c>
      <c r="C4483" s="60" t="s">
        <v>13443</v>
      </c>
      <c r="D4483" s="60" t="s">
        <v>13444</v>
      </c>
    </row>
    <row r="4484" spans="2:4" x14ac:dyDescent="0.35">
      <c r="B4484" s="60" t="s">
        <v>13445</v>
      </c>
      <c r="C4484" s="60" t="s">
        <v>13446</v>
      </c>
      <c r="D4484" s="60" t="s">
        <v>13447</v>
      </c>
    </row>
    <row r="4485" spans="2:4" x14ac:dyDescent="0.35">
      <c r="B4485" s="60" t="s">
        <v>13448</v>
      </c>
      <c r="C4485" s="60" t="s">
        <v>13449</v>
      </c>
      <c r="D4485" s="60" t="s">
        <v>13450</v>
      </c>
    </row>
    <row r="4486" spans="2:4" x14ac:dyDescent="0.35">
      <c r="B4486" s="60" t="s">
        <v>13451</v>
      </c>
      <c r="C4486" s="60" t="s">
        <v>13452</v>
      </c>
      <c r="D4486" s="60" t="s">
        <v>13453</v>
      </c>
    </row>
    <row r="4487" spans="2:4" x14ac:dyDescent="0.35">
      <c r="B4487" s="60" t="s">
        <v>13454</v>
      </c>
      <c r="C4487" s="60" t="s">
        <v>13455</v>
      </c>
      <c r="D4487" s="60" t="s">
        <v>13456</v>
      </c>
    </row>
    <row r="4488" spans="2:4" x14ac:dyDescent="0.35">
      <c r="B4488" s="60" t="s">
        <v>13457</v>
      </c>
      <c r="C4488" s="60" t="s">
        <v>13458</v>
      </c>
      <c r="D4488" s="60" t="s">
        <v>13459</v>
      </c>
    </row>
    <row r="4489" spans="2:4" x14ac:dyDescent="0.35">
      <c r="B4489" s="60" t="s">
        <v>13457</v>
      </c>
      <c r="C4489" s="60" t="s">
        <v>13460</v>
      </c>
      <c r="D4489" s="60" t="s">
        <v>13461</v>
      </c>
    </row>
    <row r="4490" spans="2:4" x14ac:dyDescent="0.35">
      <c r="B4490" s="60" t="s">
        <v>13462</v>
      </c>
      <c r="C4490" s="60" t="s">
        <v>13463</v>
      </c>
      <c r="D4490" s="60" t="s">
        <v>13464</v>
      </c>
    </row>
    <row r="4491" spans="2:4" x14ac:dyDescent="0.35">
      <c r="B4491" s="60" t="s">
        <v>13465</v>
      </c>
      <c r="C4491" s="60" t="s">
        <v>13466</v>
      </c>
      <c r="D4491" s="60" t="s">
        <v>13467</v>
      </c>
    </row>
    <row r="4492" spans="2:4" x14ac:dyDescent="0.35">
      <c r="B4492" s="60" t="s">
        <v>13468</v>
      </c>
      <c r="C4492" s="60" t="s">
        <v>13469</v>
      </c>
      <c r="D4492" s="60" t="s">
        <v>13470</v>
      </c>
    </row>
    <row r="4493" spans="2:4" x14ac:dyDescent="0.35">
      <c r="B4493" s="60" t="s">
        <v>13471</v>
      </c>
      <c r="C4493" s="60" t="s">
        <v>13472</v>
      </c>
      <c r="D4493" s="60" t="s">
        <v>13473</v>
      </c>
    </row>
    <row r="4494" spans="2:4" x14ac:dyDescent="0.35">
      <c r="B4494" s="60" t="s">
        <v>13474</v>
      </c>
      <c r="C4494" s="60" t="s">
        <v>13475</v>
      </c>
      <c r="D4494" s="60" t="s">
        <v>13476</v>
      </c>
    </row>
    <row r="4495" spans="2:4" x14ac:dyDescent="0.35">
      <c r="B4495" s="60" t="s">
        <v>13477</v>
      </c>
      <c r="C4495" s="60" t="s">
        <v>13478</v>
      </c>
      <c r="D4495" s="60" t="s">
        <v>13479</v>
      </c>
    </row>
    <row r="4496" spans="2:4" x14ac:dyDescent="0.35">
      <c r="B4496" s="60" t="s">
        <v>13480</v>
      </c>
      <c r="C4496" s="60" t="s">
        <v>13481</v>
      </c>
      <c r="D4496" s="60" t="s">
        <v>13482</v>
      </c>
    </row>
    <row r="4497" spans="2:4" x14ac:dyDescent="0.35">
      <c r="B4497" s="60" t="s">
        <v>13483</v>
      </c>
      <c r="C4497" s="60" t="s">
        <v>13484</v>
      </c>
      <c r="D4497" s="60" t="s">
        <v>13485</v>
      </c>
    </row>
    <row r="4498" spans="2:4" x14ac:dyDescent="0.35">
      <c r="B4498" s="60" t="s">
        <v>13486</v>
      </c>
      <c r="C4498" s="60" t="s">
        <v>13487</v>
      </c>
      <c r="D4498" s="60" t="s">
        <v>13488</v>
      </c>
    </row>
    <row r="4499" spans="2:4" x14ac:dyDescent="0.35">
      <c r="B4499" s="60" t="s">
        <v>13489</v>
      </c>
      <c r="C4499" s="60" t="s">
        <v>13490</v>
      </c>
      <c r="D4499" s="60" t="s">
        <v>13491</v>
      </c>
    </row>
    <row r="4500" spans="2:4" x14ac:dyDescent="0.35">
      <c r="B4500" s="60" t="s">
        <v>13492</v>
      </c>
      <c r="C4500" s="60" t="s">
        <v>13493</v>
      </c>
      <c r="D4500" s="60" t="s">
        <v>13494</v>
      </c>
    </row>
    <row r="4501" spans="2:4" x14ac:dyDescent="0.35">
      <c r="B4501" s="60" t="s">
        <v>13495</v>
      </c>
      <c r="C4501" s="60" t="s">
        <v>13496</v>
      </c>
      <c r="D4501" s="60" t="s">
        <v>13497</v>
      </c>
    </row>
    <row r="4502" spans="2:4" x14ac:dyDescent="0.35">
      <c r="B4502" s="60" t="s">
        <v>13498</v>
      </c>
      <c r="C4502" s="60" t="s">
        <v>13499</v>
      </c>
      <c r="D4502" s="60" t="s">
        <v>13500</v>
      </c>
    </row>
    <row r="4503" spans="2:4" x14ac:dyDescent="0.35">
      <c r="B4503" s="60" t="s">
        <v>13501</v>
      </c>
      <c r="C4503" s="60" t="s">
        <v>13502</v>
      </c>
      <c r="D4503" s="60" t="s">
        <v>13503</v>
      </c>
    </row>
    <row r="4504" spans="2:4" x14ac:dyDescent="0.35">
      <c r="B4504" s="60" t="s">
        <v>13504</v>
      </c>
      <c r="C4504" s="60" t="s">
        <v>13505</v>
      </c>
      <c r="D4504" s="60" t="s">
        <v>13506</v>
      </c>
    </row>
    <row r="4505" spans="2:4" x14ac:dyDescent="0.35">
      <c r="B4505" s="60" t="s">
        <v>13507</v>
      </c>
      <c r="C4505" s="60" t="s">
        <v>13508</v>
      </c>
      <c r="D4505" s="60" t="s">
        <v>13509</v>
      </c>
    </row>
    <row r="4506" spans="2:4" x14ac:dyDescent="0.35">
      <c r="B4506" s="60" t="s">
        <v>13510</v>
      </c>
      <c r="C4506" s="60" t="s">
        <v>13511</v>
      </c>
      <c r="D4506" s="60" t="s">
        <v>13512</v>
      </c>
    </row>
    <row r="4507" spans="2:4" x14ac:dyDescent="0.35">
      <c r="B4507" s="60" t="s">
        <v>13513</v>
      </c>
      <c r="C4507" s="60" t="s">
        <v>13514</v>
      </c>
      <c r="D4507" s="60" t="s">
        <v>13515</v>
      </c>
    </row>
    <row r="4508" spans="2:4" x14ac:dyDescent="0.35">
      <c r="B4508" s="60" t="s">
        <v>13516</v>
      </c>
      <c r="C4508" s="60" t="s">
        <v>13517</v>
      </c>
      <c r="D4508" s="60" t="s">
        <v>13518</v>
      </c>
    </row>
    <row r="4509" spans="2:4" x14ac:dyDescent="0.35">
      <c r="B4509" s="60" t="s">
        <v>13519</v>
      </c>
      <c r="C4509" s="60" t="s">
        <v>13520</v>
      </c>
      <c r="D4509" s="60" t="s">
        <v>13521</v>
      </c>
    </row>
    <row r="4510" spans="2:4" x14ac:dyDescent="0.35">
      <c r="B4510" s="60" t="s">
        <v>13522</v>
      </c>
      <c r="C4510" s="60" t="s">
        <v>13523</v>
      </c>
      <c r="D4510" s="60" t="s">
        <v>13524</v>
      </c>
    </row>
    <row r="4511" spans="2:4" x14ac:dyDescent="0.35">
      <c r="B4511" s="60" t="s">
        <v>13525</v>
      </c>
      <c r="C4511" s="60" t="s">
        <v>13526</v>
      </c>
      <c r="D4511" s="60" t="s">
        <v>13527</v>
      </c>
    </row>
    <row r="4512" spans="2:4" x14ac:dyDescent="0.35">
      <c r="B4512" s="60" t="s">
        <v>13528</v>
      </c>
      <c r="C4512" s="60" t="s">
        <v>13529</v>
      </c>
      <c r="D4512" s="60" t="s">
        <v>13530</v>
      </c>
    </row>
    <row r="4513" spans="2:4" x14ac:dyDescent="0.35">
      <c r="B4513" s="60" t="s">
        <v>13531</v>
      </c>
      <c r="C4513" s="60" t="s">
        <v>13532</v>
      </c>
      <c r="D4513" s="60" t="s">
        <v>13533</v>
      </c>
    </row>
    <row r="4514" spans="2:4" x14ac:dyDescent="0.35">
      <c r="B4514" s="60" t="s">
        <v>13534</v>
      </c>
      <c r="C4514" s="60" t="s">
        <v>13535</v>
      </c>
      <c r="D4514" s="60" t="s">
        <v>13536</v>
      </c>
    </row>
    <row r="4515" spans="2:4" x14ac:dyDescent="0.35">
      <c r="B4515" s="60" t="s">
        <v>13537</v>
      </c>
      <c r="C4515" s="60" t="s">
        <v>13538</v>
      </c>
      <c r="D4515" s="60" t="s">
        <v>13539</v>
      </c>
    </row>
    <row r="4516" spans="2:4" x14ac:dyDescent="0.35">
      <c r="B4516" s="60" t="s">
        <v>13540</v>
      </c>
      <c r="C4516" s="60" t="s">
        <v>13541</v>
      </c>
      <c r="D4516" s="60" t="s">
        <v>13542</v>
      </c>
    </row>
    <row r="4517" spans="2:4" x14ac:dyDescent="0.35">
      <c r="B4517" s="60" t="s">
        <v>13543</v>
      </c>
      <c r="C4517" s="60" t="s">
        <v>13544</v>
      </c>
      <c r="D4517" s="60" t="s">
        <v>13545</v>
      </c>
    </row>
    <row r="4518" spans="2:4" x14ac:dyDescent="0.35">
      <c r="B4518" s="60" t="s">
        <v>13546</v>
      </c>
      <c r="C4518" s="60" t="s">
        <v>13547</v>
      </c>
      <c r="D4518" s="60" t="s">
        <v>13548</v>
      </c>
    </row>
    <row r="4519" spans="2:4" x14ac:dyDescent="0.35">
      <c r="B4519" s="60" t="s">
        <v>13549</v>
      </c>
      <c r="C4519" s="60" t="s">
        <v>13550</v>
      </c>
      <c r="D4519" s="60" t="s">
        <v>13551</v>
      </c>
    </row>
    <row r="4520" spans="2:4" x14ac:dyDescent="0.35">
      <c r="B4520" s="60" t="s">
        <v>13552</v>
      </c>
      <c r="C4520" s="60" t="s">
        <v>13553</v>
      </c>
      <c r="D4520" s="60" t="s">
        <v>13554</v>
      </c>
    </row>
    <row r="4521" spans="2:4" x14ac:dyDescent="0.35">
      <c r="B4521" s="60" t="s">
        <v>13555</v>
      </c>
      <c r="C4521" s="60" t="s">
        <v>13556</v>
      </c>
      <c r="D4521" s="60" t="s">
        <v>13557</v>
      </c>
    </row>
    <row r="4522" spans="2:4" x14ac:dyDescent="0.35">
      <c r="B4522" s="60" t="s">
        <v>13558</v>
      </c>
      <c r="C4522" s="60" t="s">
        <v>13559</v>
      </c>
      <c r="D4522" s="60" t="s">
        <v>13560</v>
      </c>
    </row>
    <row r="4523" spans="2:4" x14ac:dyDescent="0.35">
      <c r="B4523" s="60" t="s">
        <v>13561</v>
      </c>
      <c r="C4523" s="60" t="s">
        <v>13562</v>
      </c>
      <c r="D4523" s="60" t="s">
        <v>13563</v>
      </c>
    </row>
    <row r="4524" spans="2:4" x14ac:dyDescent="0.35">
      <c r="B4524" s="60" t="s">
        <v>13564</v>
      </c>
      <c r="C4524" s="60" t="s">
        <v>13565</v>
      </c>
      <c r="D4524" s="60" t="s">
        <v>13566</v>
      </c>
    </row>
    <row r="4525" spans="2:4" x14ac:dyDescent="0.35">
      <c r="B4525" s="60" t="s">
        <v>13567</v>
      </c>
      <c r="C4525" s="60" t="s">
        <v>13568</v>
      </c>
      <c r="D4525" s="60" t="s">
        <v>13569</v>
      </c>
    </row>
    <row r="4526" spans="2:4" x14ac:dyDescent="0.35">
      <c r="B4526" s="60" t="s">
        <v>13570</v>
      </c>
      <c r="C4526" s="60" t="s">
        <v>13571</v>
      </c>
      <c r="D4526" s="60" t="s">
        <v>13572</v>
      </c>
    </row>
    <row r="4527" spans="2:4" x14ac:dyDescent="0.35">
      <c r="B4527" s="60" t="s">
        <v>13573</v>
      </c>
      <c r="C4527" s="60" t="s">
        <v>13574</v>
      </c>
      <c r="D4527" s="60" t="s">
        <v>13575</v>
      </c>
    </row>
    <row r="4528" spans="2:4" x14ac:dyDescent="0.35">
      <c r="B4528" s="60" t="s">
        <v>13576</v>
      </c>
      <c r="C4528" s="60" t="s">
        <v>13577</v>
      </c>
      <c r="D4528" s="60" t="s">
        <v>13578</v>
      </c>
    </row>
    <row r="4529" spans="2:4" x14ac:dyDescent="0.35">
      <c r="B4529" s="60" t="s">
        <v>13579</v>
      </c>
      <c r="C4529" s="60" t="s">
        <v>13580</v>
      </c>
      <c r="D4529" s="60" t="s">
        <v>13581</v>
      </c>
    </row>
    <row r="4530" spans="2:4" x14ac:dyDescent="0.35">
      <c r="B4530" s="60" t="s">
        <v>13582</v>
      </c>
      <c r="C4530" s="60" t="s">
        <v>13583</v>
      </c>
      <c r="D4530" s="60" t="s">
        <v>13584</v>
      </c>
    </row>
    <row r="4531" spans="2:4" x14ac:dyDescent="0.35">
      <c r="B4531" s="60" t="s">
        <v>13585</v>
      </c>
      <c r="C4531" s="60" t="s">
        <v>13586</v>
      </c>
      <c r="D4531" s="60" t="s">
        <v>13587</v>
      </c>
    </row>
    <row r="4532" spans="2:4" x14ac:dyDescent="0.35">
      <c r="B4532" s="60" t="s">
        <v>13588</v>
      </c>
      <c r="C4532" s="60" t="s">
        <v>13589</v>
      </c>
      <c r="D4532" s="60" t="s">
        <v>13590</v>
      </c>
    </row>
    <row r="4533" spans="2:4" x14ac:dyDescent="0.35">
      <c r="B4533" s="60" t="s">
        <v>13591</v>
      </c>
      <c r="C4533" s="60" t="s">
        <v>13592</v>
      </c>
      <c r="D4533" s="60" t="s">
        <v>13593</v>
      </c>
    </row>
    <row r="4534" spans="2:4" x14ac:dyDescent="0.35">
      <c r="B4534" s="60" t="s">
        <v>13594</v>
      </c>
      <c r="C4534" s="60" t="s">
        <v>13595</v>
      </c>
      <c r="D4534" s="60" t="s">
        <v>13596</v>
      </c>
    </row>
    <row r="4535" spans="2:4" x14ac:dyDescent="0.35">
      <c r="B4535" s="60" t="s">
        <v>13597</v>
      </c>
      <c r="C4535" s="60" t="s">
        <v>13598</v>
      </c>
      <c r="D4535" s="60" t="s">
        <v>13599</v>
      </c>
    </row>
    <row r="4536" spans="2:4" x14ac:dyDescent="0.35">
      <c r="B4536" s="60" t="s">
        <v>13600</v>
      </c>
      <c r="C4536" s="60" t="s">
        <v>13601</v>
      </c>
      <c r="D4536" s="60" t="s">
        <v>13602</v>
      </c>
    </row>
    <row r="4537" spans="2:4" x14ac:dyDescent="0.35">
      <c r="B4537" s="60" t="s">
        <v>13603</v>
      </c>
      <c r="C4537" s="60" t="s">
        <v>13604</v>
      </c>
      <c r="D4537" s="60" t="s">
        <v>13605</v>
      </c>
    </row>
    <row r="4538" spans="2:4" x14ac:dyDescent="0.35">
      <c r="B4538" s="60" t="s">
        <v>13606</v>
      </c>
      <c r="C4538" s="60" t="s">
        <v>13607</v>
      </c>
      <c r="D4538" s="60" t="s">
        <v>13608</v>
      </c>
    </row>
    <row r="4539" spans="2:4" x14ac:dyDescent="0.35">
      <c r="B4539" s="60" t="s">
        <v>13609</v>
      </c>
      <c r="C4539" s="60" t="s">
        <v>13610</v>
      </c>
      <c r="D4539" s="60" t="s">
        <v>13611</v>
      </c>
    </row>
    <row r="4540" spans="2:4" x14ac:dyDescent="0.35">
      <c r="B4540" s="60" t="s">
        <v>13612</v>
      </c>
      <c r="C4540" s="60" t="s">
        <v>13613</v>
      </c>
      <c r="D4540" s="60" t="s">
        <v>13614</v>
      </c>
    </row>
    <row r="4541" spans="2:4" x14ac:dyDescent="0.35">
      <c r="B4541" s="60" t="s">
        <v>13615</v>
      </c>
      <c r="C4541" s="60" t="s">
        <v>13616</v>
      </c>
      <c r="D4541" s="60" t="s">
        <v>13617</v>
      </c>
    </row>
    <row r="4542" spans="2:4" x14ac:dyDescent="0.35">
      <c r="B4542" s="60" t="s">
        <v>13618</v>
      </c>
      <c r="C4542" s="60" t="s">
        <v>13619</v>
      </c>
      <c r="D4542" s="60" t="s">
        <v>13620</v>
      </c>
    </row>
    <row r="4543" spans="2:4" x14ac:dyDescent="0.35">
      <c r="B4543" s="60" t="s">
        <v>13621</v>
      </c>
      <c r="C4543" s="60" t="s">
        <v>13622</v>
      </c>
      <c r="D4543" s="60" t="s">
        <v>13623</v>
      </c>
    </row>
    <row r="4544" spans="2:4" x14ac:dyDescent="0.35">
      <c r="B4544" s="60" t="s">
        <v>13621</v>
      </c>
      <c r="C4544" s="60" t="s">
        <v>13624</v>
      </c>
      <c r="D4544" s="60" t="s">
        <v>13625</v>
      </c>
    </row>
    <row r="4545" spans="2:4" x14ac:dyDescent="0.35">
      <c r="B4545" s="60" t="s">
        <v>13626</v>
      </c>
      <c r="C4545" s="60" t="s">
        <v>13627</v>
      </c>
      <c r="D4545" s="60" t="s">
        <v>13628</v>
      </c>
    </row>
    <row r="4546" spans="2:4" x14ac:dyDescent="0.35">
      <c r="B4546" s="60" t="s">
        <v>13629</v>
      </c>
      <c r="C4546" s="60" t="s">
        <v>13630</v>
      </c>
      <c r="D4546" s="60" t="s">
        <v>13631</v>
      </c>
    </row>
    <row r="4547" spans="2:4" x14ac:dyDescent="0.35">
      <c r="B4547" s="60" t="s">
        <v>13632</v>
      </c>
      <c r="C4547" s="60" t="s">
        <v>13633</v>
      </c>
      <c r="D4547" s="60" t="s">
        <v>13634</v>
      </c>
    </row>
    <row r="4548" spans="2:4" x14ac:dyDescent="0.35">
      <c r="B4548" s="60" t="s">
        <v>13635</v>
      </c>
      <c r="C4548" s="60" t="s">
        <v>13636</v>
      </c>
      <c r="D4548" s="60" t="s">
        <v>13637</v>
      </c>
    </row>
    <row r="4549" spans="2:4" x14ac:dyDescent="0.35">
      <c r="B4549" s="60" t="s">
        <v>13638</v>
      </c>
      <c r="C4549" s="60" t="s">
        <v>13639</v>
      </c>
      <c r="D4549" s="60" t="s">
        <v>13640</v>
      </c>
    </row>
    <row r="4550" spans="2:4" x14ac:dyDescent="0.35">
      <c r="B4550" s="60" t="s">
        <v>13641</v>
      </c>
      <c r="C4550" s="60" t="s">
        <v>13642</v>
      </c>
      <c r="D4550" s="60" t="s">
        <v>13643</v>
      </c>
    </row>
    <row r="4551" spans="2:4" x14ac:dyDescent="0.35">
      <c r="B4551" s="60" t="s">
        <v>13644</v>
      </c>
      <c r="C4551" s="60" t="s">
        <v>13645</v>
      </c>
      <c r="D4551" s="60" t="s">
        <v>13646</v>
      </c>
    </row>
    <row r="4552" spans="2:4" x14ac:dyDescent="0.35">
      <c r="B4552" s="60" t="s">
        <v>13647</v>
      </c>
      <c r="C4552" s="60" t="s">
        <v>13648</v>
      </c>
      <c r="D4552" s="60" t="s">
        <v>13649</v>
      </c>
    </row>
    <row r="4553" spans="2:4" x14ac:dyDescent="0.35">
      <c r="B4553" s="60" t="s">
        <v>13650</v>
      </c>
      <c r="C4553" s="60" t="s">
        <v>13651</v>
      </c>
      <c r="D4553" s="60" t="s">
        <v>13652</v>
      </c>
    </row>
    <row r="4554" spans="2:4" x14ac:dyDescent="0.35">
      <c r="B4554" s="60" t="s">
        <v>13653</v>
      </c>
      <c r="C4554" s="60" t="s">
        <v>13654</v>
      </c>
      <c r="D4554" s="60" t="s">
        <v>13655</v>
      </c>
    </row>
    <row r="4555" spans="2:4" x14ac:dyDescent="0.35">
      <c r="B4555" s="60" t="s">
        <v>13656</v>
      </c>
      <c r="C4555" s="60" t="s">
        <v>13657</v>
      </c>
      <c r="D4555" s="60" t="s">
        <v>13658</v>
      </c>
    </row>
    <row r="4556" spans="2:4" x14ac:dyDescent="0.35">
      <c r="B4556" s="60" t="s">
        <v>13659</v>
      </c>
      <c r="C4556" s="60" t="s">
        <v>13660</v>
      </c>
      <c r="D4556" s="60" t="s">
        <v>13661</v>
      </c>
    </row>
    <row r="4557" spans="2:4" x14ac:dyDescent="0.35">
      <c r="B4557" s="60" t="s">
        <v>13662</v>
      </c>
      <c r="C4557" s="60" t="s">
        <v>13663</v>
      </c>
      <c r="D4557" s="60" t="s">
        <v>13664</v>
      </c>
    </row>
    <row r="4558" spans="2:4" x14ac:dyDescent="0.35">
      <c r="B4558" s="60" t="s">
        <v>13665</v>
      </c>
      <c r="C4558" s="60" t="s">
        <v>13666</v>
      </c>
      <c r="D4558" s="60" t="s">
        <v>13667</v>
      </c>
    </row>
    <row r="4559" spans="2:4" x14ac:dyDescent="0.35">
      <c r="B4559" s="60" t="s">
        <v>13668</v>
      </c>
      <c r="C4559" s="60" t="s">
        <v>13669</v>
      </c>
      <c r="D4559" s="60" t="s">
        <v>13670</v>
      </c>
    </row>
    <row r="4560" spans="2:4" x14ac:dyDescent="0.35">
      <c r="B4560" s="60" t="s">
        <v>13671</v>
      </c>
      <c r="C4560" s="60" t="s">
        <v>13672</v>
      </c>
      <c r="D4560" s="60" t="s">
        <v>13673</v>
      </c>
    </row>
    <row r="4561" spans="2:4" x14ac:dyDescent="0.35">
      <c r="B4561" s="60" t="s">
        <v>13674</v>
      </c>
      <c r="C4561" s="60" t="s">
        <v>13675</v>
      </c>
      <c r="D4561" s="60" t="s">
        <v>13676</v>
      </c>
    </row>
    <row r="4562" spans="2:4" x14ac:dyDescent="0.35">
      <c r="B4562" s="60" t="s">
        <v>13677</v>
      </c>
      <c r="C4562" s="60" t="s">
        <v>13678</v>
      </c>
      <c r="D4562" s="60" t="s">
        <v>13679</v>
      </c>
    </row>
    <row r="4563" spans="2:4" x14ac:dyDescent="0.35">
      <c r="B4563" s="60" t="s">
        <v>13680</v>
      </c>
      <c r="C4563" s="60" t="s">
        <v>13681</v>
      </c>
      <c r="D4563" s="60" t="s">
        <v>13682</v>
      </c>
    </row>
    <row r="4564" spans="2:4" x14ac:dyDescent="0.35">
      <c r="B4564" s="60" t="s">
        <v>13683</v>
      </c>
      <c r="C4564" s="60" t="s">
        <v>13684</v>
      </c>
      <c r="D4564" s="60" t="s">
        <v>13685</v>
      </c>
    </row>
    <row r="4565" spans="2:4" x14ac:dyDescent="0.35">
      <c r="B4565" s="60" t="s">
        <v>13686</v>
      </c>
      <c r="C4565" s="60" t="s">
        <v>13687</v>
      </c>
      <c r="D4565" s="60" t="s">
        <v>13688</v>
      </c>
    </row>
    <row r="4566" spans="2:4" x14ac:dyDescent="0.35">
      <c r="B4566" s="60" t="s">
        <v>13689</v>
      </c>
      <c r="C4566" s="60" t="s">
        <v>13690</v>
      </c>
      <c r="D4566" s="60" t="s">
        <v>13691</v>
      </c>
    </row>
    <row r="4567" spans="2:4" x14ac:dyDescent="0.35">
      <c r="B4567" s="60" t="s">
        <v>13692</v>
      </c>
      <c r="C4567" s="60" t="s">
        <v>13693</v>
      </c>
      <c r="D4567" s="60" t="s">
        <v>13694</v>
      </c>
    </row>
    <row r="4568" spans="2:4" x14ac:dyDescent="0.35">
      <c r="B4568" s="60" t="s">
        <v>13695</v>
      </c>
      <c r="C4568" s="60" t="s">
        <v>13696</v>
      </c>
      <c r="D4568" s="60" t="s">
        <v>13697</v>
      </c>
    </row>
    <row r="4569" spans="2:4" x14ac:dyDescent="0.35">
      <c r="B4569" s="60" t="s">
        <v>13698</v>
      </c>
      <c r="C4569" s="60" t="s">
        <v>13699</v>
      </c>
      <c r="D4569" s="60" t="s">
        <v>13700</v>
      </c>
    </row>
    <row r="4570" spans="2:4" x14ac:dyDescent="0.35">
      <c r="B4570" s="60" t="s">
        <v>13701</v>
      </c>
      <c r="C4570" s="60" t="s">
        <v>13702</v>
      </c>
      <c r="D4570" s="60" t="s">
        <v>13703</v>
      </c>
    </row>
    <row r="4571" spans="2:4" x14ac:dyDescent="0.35">
      <c r="B4571" s="60" t="s">
        <v>13701</v>
      </c>
      <c r="C4571" s="60" t="s">
        <v>13704</v>
      </c>
      <c r="D4571" s="60" t="s">
        <v>13705</v>
      </c>
    </row>
    <row r="4572" spans="2:4" x14ac:dyDescent="0.35">
      <c r="B4572" s="60" t="s">
        <v>13706</v>
      </c>
      <c r="C4572" s="60" t="s">
        <v>13707</v>
      </c>
      <c r="D4572" s="60" t="s">
        <v>13708</v>
      </c>
    </row>
    <row r="4573" spans="2:4" x14ac:dyDescent="0.35">
      <c r="B4573" s="60" t="s">
        <v>13709</v>
      </c>
      <c r="C4573" s="60" t="s">
        <v>13710</v>
      </c>
      <c r="D4573" s="60" t="s">
        <v>13711</v>
      </c>
    </row>
    <row r="4574" spans="2:4" x14ac:dyDescent="0.35">
      <c r="B4574" s="60" t="s">
        <v>13712</v>
      </c>
      <c r="C4574" s="60" t="s">
        <v>13713</v>
      </c>
      <c r="D4574" s="60" t="s">
        <v>13714</v>
      </c>
    </row>
    <row r="4575" spans="2:4" x14ac:dyDescent="0.35">
      <c r="B4575" s="60" t="s">
        <v>13715</v>
      </c>
      <c r="C4575" s="60" t="s">
        <v>13716</v>
      </c>
      <c r="D4575" s="60" t="s">
        <v>13717</v>
      </c>
    </row>
    <row r="4576" spans="2:4" x14ac:dyDescent="0.35">
      <c r="B4576" s="60" t="s">
        <v>13718</v>
      </c>
      <c r="C4576" s="60" t="s">
        <v>13719</v>
      </c>
      <c r="D4576" s="60" t="s">
        <v>13720</v>
      </c>
    </row>
    <row r="4577" spans="2:4" x14ac:dyDescent="0.35">
      <c r="B4577" s="60" t="s">
        <v>13721</v>
      </c>
      <c r="C4577" s="60" t="s">
        <v>13722</v>
      </c>
      <c r="D4577" s="60" t="s">
        <v>13723</v>
      </c>
    </row>
    <row r="4578" spans="2:4" x14ac:dyDescent="0.35">
      <c r="B4578" s="60" t="s">
        <v>13724</v>
      </c>
      <c r="C4578" s="60" t="s">
        <v>13725</v>
      </c>
      <c r="D4578" s="60" t="s">
        <v>13726</v>
      </c>
    </row>
    <row r="4579" spans="2:4" x14ac:dyDescent="0.35">
      <c r="B4579" s="60" t="s">
        <v>13727</v>
      </c>
      <c r="C4579" s="60" t="s">
        <v>13728</v>
      </c>
      <c r="D4579" s="60" t="s">
        <v>13729</v>
      </c>
    </row>
    <row r="4580" spans="2:4" x14ac:dyDescent="0.35">
      <c r="B4580" s="60" t="s">
        <v>13730</v>
      </c>
      <c r="C4580" s="60" t="s">
        <v>13731</v>
      </c>
      <c r="D4580" s="60" t="s">
        <v>13732</v>
      </c>
    </row>
    <row r="4581" spans="2:4" x14ac:dyDescent="0.35">
      <c r="B4581" s="60" t="s">
        <v>13733</v>
      </c>
      <c r="C4581" s="60" t="s">
        <v>13734</v>
      </c>
      <c r="D4581" s="60" t="s">
        <v>13735</v>
      </c>
    </row>
    <row r="4582" spans="2:4" x14ac:dyDescent="0.35">
      <c r="B4582" s="60" t="s">
        <v>13736</v>
      </c>
      <c r="C4582" s="60" t="s">
        <v>13737</v>
      </c>
      <c r="D4582" s="60" t="s">
        <v>13738</v>
      </c>
    </row>
    <row r="4583" spans="2:4" x14ac:dyDescent="0.35">
      <c r="B4583" s="60" t="s">
        <v>13739</v>
      </c>
      <c r="C4583" s="60" t="s">
        <v>13740</v>
      </c>
      <c r="D4583" s="60" t="s">
        <v>13741</v>
      </c>
    </row>
    <row r="4584" spans="2:4" x14ac:dyDescent="0.35">
      <c r="B4584" s="60" t="s">
        <v>13742</v>
      </c>
      <c r="C4584" s="60" t="s">
        <v>13743</v>
      </c>
      <c r="D4584" s="60" t="s">
        <v>13744</v>
      </c>
    </row>
    <row r="4585" spans="2:4" x14ac:dyDescent="0.35">
      <c r="B4585" s="60" t="s">
        <v>13745</v>
      </c>
      <c r="C4585" s="60" t="s">
        <v>13746</v>
      </c>
      <c r="D4585" s="60" t="s">
        <v>13747</v>
      </c>
    </row>
    <row r="4586" spans="2:4" x14ac:dyDescent="0.35">
      <c r="B4586" s="60" t="s">
        <v>13748</v>
      </c>
      <c r="C4586" s="60" t="s">
        <v>13749</v>
      </c>
      <c r="D4586" s="60" t="s">
        <v>13750</v>
      </c>
    </row>
    <row r="4587" spans="2:4" x14ac:dyDescent="0.35">
      <c r="B4587" s="60" t="s">
        <v>13751</v>
      </c>
      <c r="C4587" s="60" t="s">
        <v>13752</v>
      </c>
      <c r="D4587" s="60" t="s">
        <v>13753</v>
      </c>
    </row>
    <row r="4588" spans="2:4" x14ac:dyDescent="0.35">
      <c r="B4588" s="60" t="s">
        <v>13754</v>
      </c>
      <c r="C4588" s="60" t="s">
        <v>13755</v>
      </c>
      <c r="D4588" s="60" t="s">
        <v>13756</v>
      </c>
    </row>
    <row r="4589" spans="2:4" x14ac:dyDescent="0.35">
      <c r="B4589" s="60" t="s">
        <v>13757</v>
      </c>
      <c r="C4589" s="60" t="s">
        <v>13758</v>
      </c>
      <c r="D4589" s="60" t="s">
        <v>13759</v>
      </c>
    </row>
    <row r="4590" spans="2:4" x14ac:dyDescent="0.35">
      <c r="B4590" s="60" t="s">
        <v>13760</v>
      </c>
      <c r="C4590" s="60" t="s">
        <v>13761</v>
      </c>
      <c r="D4590" s="60" t="s">
        <v>13762</v>
      </c>
    </row>
    <row r="4591" spans="2:4" x14ac:dyDescent="0.35">
      <c r="B4591" s="60" t="s">
        <v>13763</v>
      </c>
      <c r="C4591" s="60" t="s">
        <v>13764</v>
      </c>
      <c r="D4591" s="60" t="s">
        <v>13765</v>
      </c>
    </row>
    <row r="4592" spans="2:4" x14ac:dyDescent="0.35">
      <c r="B4592" s="60" t="s">
        <v>13766</v>
      </c>
      <c r="C4592" s="60" t="s">
        <v>13767</v>
      </c>
      <c r="D4592" s="60" t="s">
        <v>13768</v>
      </c>
    </row>
    <row r="4593" spans="2:4" x14ac:dyDescent="0.35">
      <c r="B4593" s="60" t="s">
        <v>13769</v>
      </c>
      <c r="C4593" s="60" t="s">
        <v>13770</v>
      </c>
      <c r="D4593" s="60" t="s">
        <v>13771</v>
      </c>
    </row>
    <row r="4594" spans="2:4" x14ac:dyDescent="0.35">
      <c r="B4594" s="60" t="s">
        <v>13772</v>
      </c>
      <c r="C4594" s="60" t="s">
        <v>13773</v>
      </c>
      <c r="D4594" s="60" t="s">
        <v>13774</v>
      </c>
    </row>
    <row r="4595" spans="2:4" x14ac:dyDescent="0.35">
      <c r="B4595" s="60" t="s">
        <v>13775</v>
      </c>
      <c r="C4595" s="60" t="s">
        <v>13776</v>
      </c>
      <c r="D4595" s="60" t="s">
        <v>13777</v>
      </c>
    </row>
    <row r="4596" spans="2:4" x14ac:dyDescent="0.35">
      <c r="B4596" s="60" t="s">
        <v>13778</v>
      </c>
      <c r="C4596" s="60" t="s">
        <v>13779</v>
      </c>
      <c r="D4596" s="60" t="s">
        <v>13780</v>
      </c>
    </row>
    <row r="4597" spans="2:4" x14ac:dyDescent="0.35">
      <c r="B4597" s="60" t="s">
        <v>13781</v>
      </c>
      <c r="C4597" s="60" t="s">
        <v>13782</v>
      </c>
      <c r="D4597" s="60" t="s">
        <v>13783</v>
      </c>
    </row>
    <row r="4598" spans="2:4" x14ac:dyDescent="0.35">
      <c r="B4598" s="60" t="s">
        <v>13784</v>
      </c>
      <c r="C4598" s="60" t="s">
        <v>13785</v>
      </c>
      <c r="D4598" s="60" t="s">
        <v>13786</v>
      </c>
    </row>
    <row r="4599" spans="2:4" x14ac:dyDescent="0.35">
      <c r="B4599" s="60" t="s">
        <v>13787</v>
      </c>
      <c r="C4599" s="60" t="s">
        <v>13788</v>
      </c>
      <c r="D4599" s="60" t="s">
        <v>13789</v>
      </c>
    </row>
    <row r="4600" spans="2:4" x14ac:dyDescent="0.35">
      <c r="B4600" s="60" t="s">
        <v>13790</v>
      </c>
      <c r="C4600" s="60" t="s">
        <v>13791</v>
      </c>
      <c r="D4600" s="60" t="s">
        <v>13792</v>
      </c>
    </row>
    <row r="4601" spans="2:4" x14ac:dyDescent="0.35">
      <c r="B4601" s="60" t="s">
        <v>13793</v>
      </c>
      <c r="C4601" s="60" t="s">
        <v>13794</v>
      </c>
      <c r="D4601" s="60" t="s">
        <v>13795</v>
      </c>
    </row>
    <row r="4602" spans="2:4" x14ac:dyDescent="0.35">
      <c r="B4602" s="60" t="s">
        <v>13796</v>
      </c>
      <c r="C4602" s="60" t="s">
        <v>13797</v>
      </c>
      <c r="D4602" s="60" t="s">
        <v>13798</v>
      </c>
    </row>
    <row r="4603" spans="2:4" x14ac:dyDescent="0.35">
      <c r="B4603" s="60" t="s">
        <v>13796</v>
      </c>
      <c r="C4603" s="60" t="s">
        <v>13799</v>
      </c>
      <c r="D4603" s="60" t="s">
        <v>13800</v>
      </c>
    </row>
    <row r="4604" spans="2:4" x14ac:dyDescent="0.35">
      <c r="B4604" s="60" t="s">
        <v>13801</v>
      </c>
      <c r="C4604" s="60" t="s">
        <v>13802</v>
      </c>
      <c r="D4604" s="60" t="s">
        <v>13803</v>
      </c>
    </row>
    <row r="4605" spans="2:4" x14ac:dyDescent="0.35">
      <c r="B4605" s="60" t="s">
        <v>13804</v>
      </c>
      <c r="C4605" s="60" t="s">
        <v>13805</v>
      </c>
      <c r="D4605" s="60" t="s">
        <v>13806</v>
      </c>
    </row>
    <row r="4606" spans="2:4" x14ac:dyDescent="0.35">
      <c r="B4606" s="60" t="s">
        <v>13807</v>
      </c>
      <c r="C4606" s="60" t="s">
        <v>13808</v>
      </c>
      <c r="D4606" s="60" t="s">
        <v>13809</v>
      </c>
    </row>
    <row r="4607" spans="2:4" x14ac:dyDescent="0.35">
      <c r="B4607" s="60" t="s">
        <v>13810</v>
      </c>
      <c r="C4607" s="60" t="s">
        <v>13811</v>
      </c>
      <c r="D4607" s="60" t="s">
        <v>13812</v>
      </c>
    </row>
    <row r="4608" spans="2:4" x14ac:dyDescent="0.35">
      <c r="B4608" s="60" t="s">
        <v>13813</v>
      </c>
      <c r="C4608" s="60" t="s">
        <v>13814</v>
      </c>
      <c r="D4608" s="60" t="s">
        <v>13815</v>
      </c>
    </row>
    <row r="4609" spans="2:4" x14ac:dyDescent="0.35">
      <c r="B4609" s="60" t="s">
        <v>13813</v>
      </c>
      <c r="C4609" s="60" t="s">
        <v>13816</v>
      </c>
      <c r="D4609" s="60" t="s">
        <v>13817</v>
      </c>
    </row>
    <row r="4610" spans="2:4" x14ac:dyDescent="0.35">
      <c r="B4610" s="60" t="s">
        <v>13818</v>
      </c>
      <c r="C4610" s="60" t="s">
        <v>13819</v>
      </c>
      <c r="D4610" s="60" t="s">
        <v>13820</v>
      </c>
    </row>
    <row r="4611" spans="2:4" x14ac:dyDescent="0.35">
      <c r="B4611" s="60" t="s">
        <v>13821</v>
      </c>
      <c r="C4611" s="60" t="s">
        <v>13822</v>
      </c>
      <c r="D4611" s="60" t="s">
        <v>13823</v>
      </c>
    </row>
    <row r="4612" spans="2:4" x14ac:dyDescent="0.35">
      <c r="B4612" s="60" t="s">
        <v>13824</v>
      </c>
      <c r="C4612" s="60" t="s">
        <v>13825</v>
      </c>
      <c r="D4612" s="60" t="s">
        <v>13826</v>
      </c>
    </row>
    <row r="4613" spans="2:4" x14ac:dyDescent="0.35">
      <c r="B4613" s="60" t="s">
        <v>13827</v>
      </c>
      <c r="C4613" s="60" t="s">
        <v>13828</v>
      </c>
      <c r="D4613" s="60" t="s">
        <v>13829</v>
      </c>
    </row>
    <row r="4614" spans="2:4" x14ac:dyDescent="0.35">
      <c r="B4614" s="60" t="s">
        <v>13830</v>
      </c>
      <c r="C4614" s="60" t="s">
        <v>13831</v>
      </c>
      <c r="D4614" s="60" t="s">
        <v>13832</v>
      </c>
    </row>
    <row r="4615" spans="2:4" x14ac:dyDescent="0.35">
      <c r="B4615" s="60" t="s">
        <v>13833</v>
      </c>
      <c r="C4615" s="60" t="s">
        <v>13834</v>
      </c>
      <c r="D4615" s="60" t="s">
        <v>13835</v>
      </c>
    </row>
    <row r="4616" spans="2:4" x14ac:dyDescent="0.35">
      <c r="B4616" s="60" t="s">
        <v>13833</v>
      </c>
      <c r="C4616" s="60" t="s">
        <v>13836</v>
      </c>
      <c r="D4616" s="60" t="s">
        <v>13837</v>
      </c>
    </row>
    <row r="4617" spans="2:4" x14ac:dyDescent="0.35">
      <c r="B4617" s="60" t="s">
        <v>13838</v>
      </c>
      <c r="C4617" s="60" t="s">
        <v>13839</v>
      </c>
      <c r="D4617" s="60" t="s">
        <v>13840</v>
      </c>
    </row>
    <row r="4618" spans="2:4" x14ac:dyDescent="0.35">
      <c r="B4618" s="60" t="s">
        <v>13841</v>
      </c>
      <c r="C4618" s="60" t="s">
        <v>13842</v>
      </c>
      <c r="D4618" s="60" t="s">
        <v>13843</v>
      </c>
    </row>
    <row r="4619" spans="2:4" x14ac:dyDescent="0.35">
      <c r="B4619" s="60" t="s">
        <v>13844</v>
      </c>
      <c r="C4619" s="60" t="s">
        <v>13845</v>
      </c>
      <c r="D4619" s="60" t="s">
        <v>13846</v>
      </c>
    </row>
    <row r="4620" spans="2:4" x14ac:dyDescent="0.35">
      <c r="B4620" s="60" t="s">
        <v>13847</v>
      </c>
      <c r="C4620" s="60" t="s">
        <v>13848</v>
      </c>
      <c r="D4620" s="60" t="s">
        <v>13849</v>
      </c>
    </row>
    <row r="4621" spans="2:4" x14ac:dyDescent="0.35">
      <c r="B4621" s="60" t="s">
        <v>13850</v>
      </c>
      <c r="C4621" s="60" t="s">
        <v>13851</v>
      </c>
      <c r="D4621" s="60" t="s">
        <v>13852</v>
      </c>
    </row>
    <row r="4622" spans="2:4" x14ac:dyDescent="0.35">
      <c r="B4622" s="60" t="s">
        <v>13853</v>
      </c>
      <c r="C4622" s="60" t="s">
        <v>13854</v>
      </c>
      <c r="D4622" s="60" t="s">
        <v>13855</v>
      </c>
    </row>
    <row r="4623" spans="2:4" x14ac:dyDescent="0.35">
      <c r="B4623" s="60" t="s">
        <v>13856</v>
      </c>
      <c r="C4623" s="60" t="s">
        <v>13857</v>
      </c>
      <c r="D4623" s="60" t="s">
        <v>13858</v>
      </c>
    </row>
    <row r="4624" spans="2:4" x14ac:dyDescent="0.35">
      <c r="B4624" s="60" t="s">
        <v>13859</v>
      </c>
      <c r="C4624" s="60" t="s">
        <v>13860</v>
      </c>
      <c r="D4624" s="60" t="s">
        <v>13861</v>
      </c>
    </row>
    <row r="4625" spans="2:4" x14ac:dyDescent="0.35">
      <c r="B4625" s="60" t="s">
        <v>13862</v>
      </c>
      <c r="C4625" s="60" t="s">
        <v>13863</v>
      </c>
      <c r="D4625" s="60" t="s">
        <v>13864</v>
      </c>
    </row>
    <row r="4626" spans="2:4" x14ac:dyDescent="0.35">
      <c r="B4626" s="60" t="s">
        <v>13865</v>
      </c>
      <c r="C4626" s="60" t="s">
        <v>13866</v>
      </c>
      <c r="D4626" s="60" t="s">
        <v>13867</v>
      </c>
    </row>
    <row r="4627" spans="2:4" x14ac:dyDescent="0.35">
      <c r="B4627" s="60" t="s">
        <v>13868</v>
      </c>
      <c r="C4627" s="60" t="s">
        <v>13869</v>
      </c>
      <c r="D4627" s="60" t="s">
        <v>13870</v>
      </c>
    </row>
    <row r="4628" spans="2:4" x14ac:dyDescent="0.35">
      <c r="B4628" s="60" t="s">
        <v>13871</v>
      </c>
      <c r="C4628" s="60" t="s">
        <v>13872</v>
      </c>
      <c r="D4628" s="60" t="s">
        <v>13873</v>
      </c>
    </row>
    <row r="4629" spans="2:4" x14ac:dyDescent="0.35">
      <c r="B4629" s="60" t="s">
        <v>13874</v>
      </c>
      <c r="C4629" s="60" t="s">
        <v>13875</v>
      </c>
      <c r="D4629" s="60" t="s">
        <v>13876</v>
      </c>
    </row>
    <row r="4630" spans="2:4" x14ac:dyDescent="0.35">
      <c r="B4630" s="60" t="s">
        <v>13877</v>
      </c>
      <c r="C4630" s="60" t="s">
        <v>13878</v>
      </c>
      <c r="D4630" s="60" t="s">
        <v>13879</v>
      </c>
    </row>
    <row r="4631" spans="2:4" x14ac:dyDescent="0.35">
      <c r="B4631" s="60" t="s">
        <v>13880</v>
      </c>
      <c r="C4631" s="60" t="s">
        <v>13881</v>
      </c>
      <c r="D4631" s="60" t="s">
        <v>13882</v>
      </c>
    </row>
    <row r="4632" spans="2:4" x14ac:dyDescent="0.35">
      <c r="B4632" s="60" t="s">
        <v>13883</v>
      </c>
      <c r="C4632" s="60" t="s">
        <v>13884</v>
      </c>
      <c r="D4632" s="60" t="s">
        <v>13885</v>
      </c>
    </row>
    <row r="4633" spans="2:4" x14ac:dyDescent="0.35">
      <c r="B4633" s="60" t="s">
        <v>13886</v>
      </c>
      <c r="C4633" s="60" t="s">
        <v>13887</v>
      </c>
      <c r="D4633" s="60" t="s">
        <v>13888</v>
      </c>
    </row>
    <row r="4634" spans="2:4" x14ac:dyDescent="0.35">
      <c r="B4634" s="60" t="s">
        <v>13889</v>
      </c>
      <c r="C4634" s="60" t="s">
        <v>13890</v>
      </c>
      <c r="D4634" s="60" t="s">
        <v>13891</v>
      </c>
    </row>
    <row r="4635" spans="2:4" x14ac:dyDescent="0.35">
      <c r="B4635" s="60" t="s">
        <v>13892</v>
      </c>
      <c r="C4635" s="60" t="s">
        <v>13893</v>
      </c>
      <c r="D4635" s="60" t="s">
        <v>13894</v>
      </c>
    </row>
    <row r="4636" spans="2:4" x14ac:dyDescent="0.35">
      <c r="B4636" s="60" t="s">
        <v>13895</v>
      </c>
      <c r="C4636" s="60" t="s">
        <v>13896</v>
      </c>
      <c r="D4636" s="60" t="s">
        <v>13897</v>
      </c>
    </row>
    <row r="4637" spans="2:4" x14ac:dyDescent="0.35">
      <c r="B4637" s="60" t="s">
        <v>13898</v>
      </c>
      <c r="C4637" s="60" t="s">
        <v>13899</v>
      </c>
      <c r="D4637" s="60" t="s">
        <v>13900</v>
      </c>
    </row>
    <row r="4638" spans="2:4" x14ac:dyDescent="0.35">
      <c r="B4638" s="60" t="s">
        <v>13901</v>
      </c>
      <c r="C4638" s="60" t="s">
        <v>13902</v>
      </c>
      <c r="D4638" s="60" t="s">
        <v>13903</v>
      </c>
    </row>
    <row r="4639" spans="2:4" x14ac:dyDescent="0.35">
      <c r="B4639" s="60" t="s">
        <v>13904</v>
      </c>
      <c r="C4639" s="60" t="s">
        <v>13905</v>
      </c>
      <c r="D4639" s="60" t="s">
        <v>13906</v>
      </c>
    </row>
    <row r="4640" spans="2:4" x14ac:dyDescent="0.35">
      <c r="B4640" s="60" t="s">
        <v>13907</v>
      </c>
      <c r="C4640" s="60" t="s">
        <v>13908</v>
      </c>
      <c r="D4640" s="60" t="s">
        <v>13909</v>
      </c>
    </row>
    <row r="4641" spans="2:4" x14ac:dyDescent="0.35">
      <c r="B4641" s="60" t="s">
        <v>13910</v>
      </c>
      <c r="C4641" s="60" t="s">
        <v>13911</v>
      </c>
      <c r="D4641" s="60" t="s">
        <v>13912</v>
      </c>
    </row>
    <row r="4642" spans="2:4" x14ac:dyDescent="0.35">
      <c r="B4642" s="60" t="s">
        <v>13913</v>
      </c>
      <c r="C4642" s="60" t="s">
        <v>13914</v>
      </c>
      <c r="D4642" s="60" t="s">
        <v>13915</v>
      </c>
    </row>
    <row r="4643" spans="2:4" x14ac:dyDescent="0.35">
      <c r="B4643" s="60" t="s">
        <v>13916</v>
      </c>
      <c r="C4643" s="60" t="s">
        <v>13917</v>
      </c>
      <c r="D4643" s="60" t="s">
        <v>13918</v>
      </c>
    </row>
    <row r="4644" spans="2:4" x14ac:dyDescent="0.35">
      <c r="B4644" s="60" t="s">
        <v>13919</v>
      </c>
      <c r="C4644" s="60" t="s">
        <v>13920</v>
      </c>
      <c r="D4644" s="60" t="s">
        <v>13921</v>
      </c>
    </row>
    <row r="4645" spans="2:4" x14ac:dyDescent="0.35">
      <c r="B4645" s="60" t="s">
        <v>13922</v>
      </c>
      <c r="C4645" s="60" t="s">
        <v>13923</v>
      </c>
      <c r="D4645" s="60" t="s">
        <v>13924</v>
      </c>
    </row>
    <row r="4646" spans="2:4" x14ac:dyDescent="0.35">
      <c r="B4646" s="60" t="s">
        <v>13925</v>
      </c>
      <c r="C4646" s="60" t="s">
        <v>13926</v>
      </c>
      <c r="D4646" s="60" t="s">
        <v>13927</v>
      </c>
    </row>
    <row r="4647" spans="2:4" x14ac:dyDescent="0.35">
      <c r="B4647" s="60" t="s">
        <v>13925</v>
      </c>
      <c r="C4647" s="60" t="s">
        <v>13928</v>
      </c>
      <c r="D4647" s="60" t="s">
        <v>13927</v>
      </c>
    </row>
    <row r="4648" spans="2:4" x14ac:dyDescent="0.35">
      <c r="B4648" s="60" t="s">
        <v>13929</v>
      </c>
      <c r="C4648" s="60" t="s">
        <v>13930</v>
      </c>
      <c r="D4648" s="60" t="s">
        <v>13931</v>
      </c>
    </row>
    <row r="4649" spans="2:4" x14ac:dyDescent="0.35">
      <c r="B4649" s="60" t="s">
        <v>13932</v>
      </c>
      <c r="C4649" s="60" t="s">
        <v>13933</v>
      </c>
      <c r="D4649" s="60" t="s">
        <v>13934</v>
      </c>
    </row>
    <row r="4650" spans="2:4" x14ac:dyDescent="0.35">
      <c r="B4650" s="60" t="s">
        <v>13935</v>
      </c>
      <c r="C4650" s="60" t="s">
        <v>13936</v>
      </c>
      <c r="D4650" s="60" t="s">
        <v>13937</v>
      </c>
    </row>
    <row r="4651" spans="2:4" x14ac:dyDescent="0.35">
      <c r="B4651" s="60" t="s">
        <v>13938</v>
      </c>
      <c r="C4651" s="60" t="s">
        <v>13939</v>
      </c>
      <c r="D4651" s="60" t="s">
        <v>13940</v>
      </c>
    </row>
    <row r="4652" spans="2:4" x14ac:dyDescent="0.35">
      <c r="B4652" s="60" t="s">
        <v>13941</v>
      </c>
      <c r="C4652" s="60" t="s">
        <v>13942</v>
      </c>
      <c r="D4652" s="60" t="s">
        <v>13943</v>
      </c>
    </row>
    <row r="4653" spans="2:4" x14ac:dyDescent="0.35">
      <c r="B4653" s="60" t="s">
        <v>13944</v>
      </c>
      <c r="C4653" s="60" t="s">
        <v>13945</v>
      </c>
      <c r="D4653" s="60" t="s">
        <v>13946</v>
      </c>
    </row>
    <row r="4654" spans="2:4" x14ac:dyDescent="0.35">
      <c r="B4654" s="60" t="s">
        <v>13947</v>
      </c>
      <c r="C4654" s="60" t="s">
        <v>13948</v>
      </c>
      <c r="D4654" s="60" t="s">
        <v>13949</v>
      </c>
    </row>
    <row r="4655" spans="2:4" x14ac:dyDescent="0.35">
      <c r="B4655" s="60" t="s">
        <v>13950</v>
      </c>
      <c r="C4655" s="60" t="s">
        <v>13951</v>
      </c>
      <c r="D4655" s="60" t="s">
        <v>13952</v>
      </c>
    </row>
    <row r="4656" spans="2:4" x14ac:dyDescent="0.35">
      <c r="B4656" s="60" t="s">
        <v>13953</v>
      </c>
      <c r="C4656" s="60" t="s">
        <v>13954</v>
      </c>
      <c r="D4656" s="60" t="s">
        <v>13955</v>
      </c>
    </row>
    <row r="4657" spans="2:4" x14ac:dyDescent="0.35">
      <c r="B4657" s="60" t="s">
        <v>13956</v>
      </c>
      <c r="C4657" s="60" t="s">
        <v>13957</v>
      </c>
      <c r="D4657" s="60" t="s">
        <v>13958</v>
      </c>
    </row>
    <row r="4658" spans="2:4" x14ac:dyDescent="0.35">
      <c r="B4658" s="60" t="s">
        <v>13959</v>
      </c>
      <c r="C4658" s="60" t="s">
        <v>13960</v>
      </c>
      <c r="D4658" s="60" t="s">
        <v>13961</v>
      </c>
    </row>
    <row r="4659" spans="2:4" x14ac:dyDescent="0.35">
      <c r="B4659" s="60" t="s">
        <v>13962</v>
      </c>
      <c r="C4659" s="60" t="s">
        <v>13963</v>
      </c>
      <c r="D4659" s="60" t="s">
        <v>13964</v>
      </c>
    </row>
    <row r="4660" spans="2:4" x14ac:dyDescent="0.35">
      <c r="B4660" s="60" t="s">
        <v>13965</v>
      </c>
      <c r="C4660" s="60" t="s">
        <v>13966</v>
      </c>
      <c r="D4660" s="60" t="s">
        <v>13967</v>
      </c>
    </row>
    <row r="4661" spans="2:4" x14ac:dyDescent="0.35">
      <c r="B4661" s="60" t="s">
        <v>13968</v>
      </c>
      <c r="C4661" s="60" t="s">
        <v>13969</v>
      </c>
      <c r="D4661" s="60" t="s">
        <v>13970</v>
      </c>
    </row>
    <row r="4662" spans="2:4" x14ac:dyDescent="0.35">
      <c r="B4662" s="60" t="s">
        <v>13971</v>
      </c>
      <c r="C4662" s="60" t="s">
        <v>13972</v>
      </c>
      <c r="D4662" s="60" t="s">
        <v>13973</v>
      </c>
    </row>
    <row r="4663" spans="2:4" x14ac:dyDescent="0.35">
      <c r="B4663" s="60" t="s">
        <v>13974</v>
      </c>
      <c r="C4663" s="60" t="s">
        <v>13975</v>
      </c>
      <c r="D4663" s="60" t="s">
        <v>13976</v>
      </c>
    </row>
    <row r="4664" spans="2:4" x14ac:dyDescent="0.35">
      <c r="B4664" s="60" t="s">
        <v>13977</v>
      </c>
      <c r="C4664" s="60" t="s">
        <v>13978</v>
      </c>
      <c r="D4664" s="60" t="s">
        <v>13979</v>
      </c>
    </row>
    <row r="4665" spans="2:4" x14ac:dyDescent="0.35">
      <c r="B4665" s="60" t="s">
        <v>13980</v>
      </c>
      <c r="C4665" s="60" t="s">
        <v>13981</v>
      </c>
      <c r="D4665" s="60" t="s">
        <v>13982</v>
      </c>
    </row>
    <row r="4666" spans="2:4" x14ac:dyDescent="0.35">
      <c r="B4666" s="60" t="s">
        <v>13983</v>
      </c>
      <c r="C4666" s="60" t="s">
        <v>13984</v>
      </c>
      <c r="D4666" s="60" t="s">
        <v>13985</v>
      </c>
    </row>
    <row r="4667" spans="2:4" x14ac:dyDescent="0.35">
      <c r="B4667" s="60" t="s">
        <v>13986</v>
      </c>
      <c r="C4667" s="60" t="s">
        <v>13987</v>
      </c>
      <c r="D4667" s="60" t="s">
        <v>13988</v>
      </c>
    </row>
    <row r="4668" spans="2:4" x14ac:dyDescent="0.35">
      <c r="B4668" s="60" t="s">
        <v>13989</v>
      </c>
      <c r="C4668" s="60" t="s">
        <v>13990</v>
      </c>
      <c r="D4668" s="60" t="s">
        <v>13991</v>
      </c>
    </row>
    <row r="4669" spans="2:4" x14ac:dyDescent="0.35">
      <c r="B4669" s="60" t="s">
        <v>13992</v>
      </c>
      <c r="C4669" s="60" t="s">
        <v>13993</v>
      </c>
      <c r="D4669" s="60" t="s">
        <v>13994</v>
      </c>
    </row>
    <row r="4670" spans="2:4" x14ac:dyDescent="0.35">
      <c r="B4670" s="60" t="s">
        <v>13995</v>
      </c>
      <c r="C4670" s="60" t="s">
        <v>13996</v>
      </c>
      <c r="D4670" s="60" t="s">
        <v>13997</v>
      </c>
    </row>
    <row r="4671" spans="2:4" x14ac:dyDescent="0.35">
      <c r="B4671" s="60" t="s">
        <v>13998</v>
      </c>
      <c r="C4671" s="60" t="s">
        <v>2463</v>
      </c>
      <c r="D4671" s="60" t="s">
        <v>2464</v>
      </c>
    </row>
    <row r="4672" spans="2:4" x14ac:dyDescent="0.35">
      <c r="B4672" s="60" t="s">
        <v>13999</v>
      </c>
      <c r="C4672" s="60" t="s">
        <v>14000</v>
      </c>
      <c r="D4672" s="60" t="s">
        <v>14001</v>
      </c>
    </row>
    <row r="4673" spans="2:4" x14ac:dyDescent="0.35">
      <c r="B4673" s="60" t="s">
        <v>14002</v>
      </c>
      <c r="C4673" s="60" t="s">
        <v>14003</v>
      </c>
      <c r="D4673" s="60" t="s">
        <v>14004</v>
      </c>
    </row>
    <row r="4674" spans="2:4" x14ac:dyDescent="0.35">
      <c r="B4674" s="60" t="s">
        <v>14005</v>
      </c>
      <c r="C4674" s="60" t="s">
        <v>14006</v>
      </c>
      <c r="D4674" s="60" t="s">
        <v>14007</v>
      </c>
    </row>
    <row r="4675" spans="2:4" x14ac:dyDescent="0.35">
      <c r="B4675" s="60" t="s">
        <v>14008</v>
      </c>
      <c r="C4675" s="60" t="s">
        <v>14009</v>
      </c>
      <c r="D4675" s="60" t="s">
        <v>14010</v>
      </c>
    </row>
    <row r="4676" spans="2:4" x14ac:dyDescent="0.35">
      <c r="B4676" s="60" t="s">
        <v>14011</v>
      </c>
      <c r="C4676" s="60" t="s">
        <v>14012</v>
      </c>
      <c r="D4676" s="60" t="s">
        <v>14013</v>
      </c>
    </row>
    <row r="4677" spans="2:4" x14ac:dyDescent="0.35">
      <c r="B4677" s="60" t="s">
        <v>14014</v>
      </c>
      <c r="C4677" s="60" t="s">
        <v>14015</v>
      </c>
      <c r="D4677" s="60" t="s">
        <v>14016</v>
      </c>
    </row>
    <row r="4678" spans="2:4" x14ac:dyDescent="0.35">
      <c r="B4678" s="60" t="s">
        <v>14017</v>
      </c>
      <c r="C4678" s="60" t="s">
        <v>14018</v>
      </c>
      <c r="D4678" s="60" t="s">
        <v>14019</v>
      </c>
    </row>
    <row r="4679" spans="2:4" x14ac:dyDescent="0.35">
      <c r="B4679" s="60" t="s">
        <v>14020</v>
      </c>
      <c r="C4679" s="60" t="s">
        <v>14021</v>
      </c>
      <c r="D4679" s="60" t="s">
        <v>14022</v>
      </c>
    </row>
    <row r="4680" spans="2:4" x14ac:dyDescent="0.35">
      <c r="B4680" s="60" t="s">
        <v>14023</v>
      </c>
      <c r="C4680" s="60" t="s">
        <v>14024</v>
      </c>
      <c r="D4680" s="60" t="s">
        <v>14025</v>
      </c>
    </row>
    <row r="4681" spans="2:4" x14ac:dyDescent="0.35">
      <c r="B4681" s="60" t="s">
        <v>14026</v>
      </c>
      <c r="C4681" s="60" t="s">
        <v>14027</v>
      </c>
      <c r="D4681" s="60" t="s">
        <v>14028</v>
      </c>
    </row>
    <row r="4682" spans="2:4" x14ac:dyDescent="0.35">
      <c r="B4682" s="60" t="s">
        <v>14029</v>
      </c>
      <c r="C4682" s="60" t="s">
        <v>14030</v>
      </c>
      <c r="D4682" s="60" t="s">
        <v>14031</v>
      </c>
    </row>
    <row r="4683" spans="2:4" x14ac:dyDescent="0.35">
      <c r="B4683" s="60" t="s">
        <v>14032</v>
      </c>
      <c r="C4683" s="60" t="s">
        <v>14033</v>
      </c>
      <c r="D4683" s="60" t="s">
        <v>14034</v>
      </c>
    </row>
    <row r="4684" spans="2:4" x14ac:dyDescent="0.35">
      <c r="B4684" s="60" t="s">
        <v>14035</v>
      </c>
      <c r="C4684" s="60" t="s">
        <v>14036</v>
      </c>
      <c r="D4684" s="60" t="s">
        <v>14037</v>
      </c>
    </row>
    <row r="4685" spans="2:4" x14ac:dyDescent="0.35">
      <c r="B4685" s="60" t="s">
        <v>14038</v>
      </c>
      <c r="C4685" s="60" t="s">
        <v>14039</v>
      </c>
      <c r="D4685" s="60" t="s">
        <v>14040</v>
      </c>
    </row>
    <row r="4686" spans="2:4" x14ac:dyDescent="0.35">
      <c r="B4686" s="60" t="s">
        <v>14041</v>
      </c>
      <c r="C4686" s="60" t="s">
        <v>14042</v>
      </c>
      <c r="D4686" s="60" t="s">
        <v>14043</v>
      </c>
    </row>
    <row r="4687" spans="2:4" x14ac:dyDescent="0.35">
      <c r="B4687" s="60" t="s">
        <v>14044</v>
      </c>
      <c r="C4687" s="60" t="s">
        <v>14045</v>
      </c>
      <c r="D4687" s="60" t="s">
        <v>14046</v>
      </c>
    </row>
    <row r="4688" spans="2:4" x14ac:dyDescent="0.35">
      <c r="B4688" s="60" t="s">
        <v>14047</v>
      </c>
      <c r="C4688" s="60" t="s">
        <v>14048</v>
      </c>
      <c r="D4688" s="60" t="s">
        <v>14049</v>
      </c>
    </row>
    <row r="4689" spans="2:4" x14ac:dyDescent="0.35">
      <c r="B4689" s="60" t="s">
        <v>14050</v>
      </c>
      <c r="C4689" s="60" t="s">
        <v>14051</v>
      </c>
      <c r="D4689" s="60" t="s">
        <v>14052</v>
      </c>
    </row>
    <row r="4690" spans="2:4" x14ac:dyDescent="0.35">
      <c r="B4690" s="60" t="s">
        <v>14053</v>
      </c>
      <c r="C4690" s="60" t="s">
        <v>14054</v>
      </c>
      <c r="D4690" s="60" t="s">
        <v>14055</v>
      </c>
    </row>
    <row r="4691" spans="2:4" x14ac:dyDescent="0.35">
      <c r="B4691" s="60" t="s">
        <v>14056</v>
      </c>
      <c r="C4691" s="60" t="s">
        <v>14057</v>
      </c>
      <c r="D4691" s="60" t="s">
        <v>14058</v>
      </c>
    </row>
    <row r="4692" spans="2:4" x14ac:dyDescent="0.35">
      <c r="B4692" s="60" t="s">
        <v>14059</v>
      </c>
      <c r="C4692" s="60" t="s">
        <v>14060</v>
      </c>
      <c r="D4692" s="60" t="s">
        <v>14061</v>
      </c>
    </row>
    <row r="4693" spans="2:4" x14ac:dyDescent="0.35">
      <c r="B4693" s="60" t="s">
        <v>14059</v>
      </c>
      <c r="C4693" s="60" t="s">
        <v>14062</v>
      </c>
      <c r="D4693" s="60" t="s">
        <v>14063</v>
      </c>
    </row>
    <row r="4694" spans="2:4" x14ac:dyDescent="0.35">
      <c r="B4694" s="60" t="s">
        <v>14064</v>
      </c>
      <c r="C4694" s="60" t="s">
        <v>14065</v>
      </c>
      <c r="D4694" s="60" t="s">
        <v>14066</v>
      </c>
    </row>
    <row r="4695" spans="2:4" x14ac:dyDescent="0.35">
      <c r="B4695" s="60" t="s">
        <v>14067</v>
      </c>
      <c r="C4695" s="60" t="s">
        <v>14068</v>
      </c>
      <c r="D4695" s="60" t="s">
        <v>14069</v>
      </c>
    </row>
    <row r="4696" spans="2:4" x14ac:dyDescent="0.35">
      <c r="B4696" s="60" t="s">
        <v>14070</v>
      </c>
      <c r="C4696" s="60" t="s">
        <v>14071</v>
      </c>
      <c r="D4696" s="60" t="s">
        <v>14072</v>
      </c>
    </row>
    <row r="4697" spans="2:4" x14ac:dyDescent="0.35">
      <c r="B4697" s="60" t="s">
        <v>14073</v>
      </c>
      <c r="C4697" s="60" t="s">
        <v>14074</v>
      </c>
      <c r="D4697" s="60" t="s">
        <v>14075</v>
      </c>
    </row>
    <row r="4698" spans="2:4" x14ac:dyDescent="0.35">
      <c r="B4698" s="60" t="s">
        <v>14076</v>
      </c>
      <c r="C4698" s="60" t="s">
        <v>14077</v>
      </c>
      <c r="D4698" s="60" t="s">
        <v>14078</v>
      </c>
    </row>
    <row r="4699" spans="2:4" x14ac:dyDescent="0.35">
      <c r="B4699" s="60" t="s">
        <v>14079</v>
      </c>
      <c r="C4699" s="60" t="s">
        <v>14080</v>
      </c>
      <c r="D4699" s="60" t="s">
        <v>14081</v>
      </c>
    </row>
    <row r="4700" spans="2:4" x14ac:dyDescent="0.35">
      <c r="B4700" s="60" t="s">
        <v>14082</v>
      </c>
      <c r="C4700" s="60" t="s">
        <v>14083</v>
      </c>
      <c r="D4700" s="60" t="s">
        <v>14084</v>
      </c>
    </row>
    <row r="4701" spans="2:4" x14ac:dyDescent="0.35">
      <c r="B4701" s="60" t="s">
        <v>14085</v>
      </c>
      <c r="C4701" s="60" t="s">
        <v>14086</v>
      </c>
      <c r="D4701" s="60" t="s">
        <v>14087</v>
      </c>
    </row>
    <row r="4702" spans="2:4" x14ac:dyDescent="0.35">
      <c r="B4702" s="60" t="s">
        <v>14088</v>
      </c>
      <c r="C4702" s="60" t="s">
        <v>14089</v>
      </c>
      <c r="D4702" s="60" t="s">
        <v>14090</v>
      </c>
    </row>
    <row r="4703" spans="2:4" x14ac:dyDescent="0.35">
      <c r="B4703" s="60" t="s">
        <v>14091</v>
      </c>
      <c r="C4703" s="60" t="s">
        <v>14092</v>
      </c>
      <c r="D4703" s="60" t="s">
        <v>14093</v>
      </c>
    </row>
    <row r="4704" spans="2:4" x14ac:dyDescent="0.35">
      <c r="B4704" s="60" t="s">
        <v>14094</v>
      </c>
      <c r="C4704" s="60" t="s">
        <v>14095</v>
      </c>
      <c r="D4704" s="60" t="s">
        <v>14096</v>
      </c>
    </row>
    <row r="4705" spans="2:4" x14ac:dyDescent="0.35">
      <c r="B4705" s="60" t="s">
        <v>14097</v>
      </c>
      <c r="C4705" s="60" t="s">
        <v>14098</v>
      </c>
      <c r="D4705" s="60" t="s">
        <v>14099</v>
      </c>
    </row>
    <row r="4706" spans="2:4" x14ac:dyDescent="0.35">
      <c r="B4706" s="60" t="s">
        <v>14100</v>
      </c>
      <c r="C4706" s="60" t="s">
        <v>14101</v>
      </c>
      <c r="D4706" s="60" t="s">
        <v>14102</v>
      </c>
    </row>
    <row r="4707" spans="2:4" x14ac:dyDescent="0.35">
      <c r="B4707" s="60" t="s">
        <v>14103</v>
      </c>
      <c r="C4707" s="60" t="s">
        <v>14104</v>
      </c>
      <c r="D4707" s="60" t="s">
        <v>14105</v>
      </c>
    </row>
    <row r="4708" spans="2:4" x14ac:dyDescent="0.35">
      <c r="B4708" s="60" t="s">
        <v>14106</v>
      </c>
      <c r="C4708" s="60" t="s">
        <v>14051</v>
      </c>
      <c r="D4708" s="60" t="s">
        <v>14052</v>
      </c>
    </row>
    <row r="4709" spans="2:4" x14ac:dyDescent="0.35">
      <c r="B4709" s="60" t="s">
        <v>14107</v>
      </c>
      <c r="C4709" s="60" t="s">
        <v>14108</v>
      </c>
      <c r="D4709" s="60" t="s">
        <v>14109</v>
      </c>
    </row>
    <row r="4710" spans="2:4" x14ac:dyDescent="0.35">
      <c r="B4710" s="60" t="s">
        <v>14110</v>
      </c>
      <c r="C4710" s="60" t="s">
        <v>14111</v>
      </c>
      <c r="D4710" s="60" t="s">
        <v>14112</v>
      </c>
    </row>
    <row r="4711" spans="2:4" x14ac:dyDescent="0.35">
      <c r="B4711" s="60" t="s">
        <v>14113</v>
      </c>
      <c r="C4711" s="60" t="s">
        <v>14114</v>
      </c>
      <c r="D4711" s="60" t="s">
        <v>14115</v>
      </c>
    </row>
    <row r="4712" spans="2:4" x14ac:dyDescent="0.35">
      <c r="B4712" s="60" t="s">
        <v>14116</v>
      </c>
      <c r="C4712" s="60" t="s">
        <v>14117</v>
      </c>
      <c r="D4712" s="60" t="s">
        <v>14118</v>
      </c>
    </row>
    <row r="4713" spans="2:4" x14ac:dyDescent="0.35">
      <c r="B4713" s="60" t="s">
        <v>14119</v>
      </c>
      <c r="C4713" s="60" t="s">
        <v>14120</v>
      </c>
      <c r="D4713" s="60" t="s">
        <v>14121</v>
      </c>
    </row>
    <row r="4714" spans="2:4" x14ac:dyDescent="0.35">
      <c r="B4714" s="60" t="s">
        <v>14122</v>
      </c>
      <c r="C4714" s="60" t="s">
        <v>14123</v>
      </c>
      <c r="D4714" s="60" t="s">
        <v>14124</v>
      </c>
    </row>
    <row r="4715" spans="2:4" x14ac:dyDescent="0.35">
      <c r="B4715" s="60" t="s">
        <v>14122</v>
      </c>
      <c r="C4715" s="60" t="s">
        <v>14125</v>
      </c>
      <c r="D4715" s="60" t="s">
        <v>14126</v>
      </c>
    </row>
    <row r="4716" spans="2:4" x14ac:dyDescent="0.35">
      <c r="B4716" s="60" t="s">
        <v>14127</v>
      </c>
      <c r="C4716" s="60" t="s">
        <v>14128</v>
      </c>
      <c r="D4716" s="60" t="s">
        <v>14129</v>
      </c>
    </row>
    <row r="4717" spans="2:4" x14ac:dyDescent="0.35">
      <c r="B4717" s="60" t="s">
        <v>14130</v>
      </c>
      <c r="C4717" s="60" t="s">
        <v>14131</v>
      </c>
      <c r="D4717" s="60" t="s">
        <v>14132</v>
      </c>
    </row>
    <row r="4718" spans="2:4" x14ac:dyDescent="0.35">
      <c r="B4718" s="60" t="s">
        <v>14130</v>
      </c>
      <c r="C4718" s="60" t="s">
        <v>14133</v>
      </c>
      <c r="D4718" s="60" t="s">
        <v>14134</v>
      </c>
    </row>
    <row r="4719" spans="2:4" x14ac:dyDescent="0.35">
      <c r="B4719" s="60" t="s">
        <v>14135</v>
      </c>
      <c r="C4719" s="60" t="s">
        <v>14136</v>
      </c>
      <c r="D4719" s="60" t="s">
        <v>14137</v>
      </c>
    </row>
    <row r="4720" spans="2:4" x14ac:dyDescent="0.35">
      <c r="B4720" s="60" t="s">
        <v>14138</v>
      </c>
      <c r="C4720" s="60" t="s">
        <v>14139</v>
      </c>
      <c r="D4720" s="60" t="s">
        <v>14140</v>
      </c>
    </row>
    <row r="4721" spans="2:4" x14ac:dyDescent="0.35">
      <c r="B4721" s="60" t="s">
        <v>14141</v>
      </c>
      <c r="C4721" s="60" t="s">
        <v>14142</v>
      </c>
      <c r="D4721" s="60" t="s">
        <v>14143</v>
      </c>
    </row>
    <row r="4722" spans="2:4" x14ac:dyDescent="0.35">
      <c r="B4722" s="60" t="s">
        <v>14144</v>
      </c>
      <c r="C4722" s="60" t="s">
        <v>14145</v>
      </c>
      <c r="D4722" s="60" t="s">
        <v>14146</v>
      </c>
    </row>
    <row r="4723" spans="2:4" x14ac:dyDescent="0.35">
      <c r="B4723" s="60" t="s">
        <v>14147</v>
      </c>
      <c r="C4723" s="60" t="s">
        <v>14148</v>
      </c>
      <c r="D4723" s="60" t="s">
        <v>14149</v>
      </c>
    </row>
    <row r="4724" spans="2:4" x14ac:dyDescent="0.35">
      <c r="B4724" s="60" t="s">
        <v>14150</v>
      </c>
      <c r="C4724" s="60" t="s">
        <v>14151</v>
      </c>
      <c r="D4724" s="60" t="s">
        <v>14152</v>
      </c>
    </row>
    <row r="4725" spans="2:4" x14ac:dyDescent="0.35">
      <c r="B4725" s="60" t="s">
        <v>14153</v>
      </c>
      <c r="C4725" s="60" t="s">
        <v>14154</v>
      </c>
      <c r="D4725" s="60" t="s">
        <v>14155</v>
      </c>
    </row>
    <row r="4726" spans="2:4" x14ac:dyDescent="0.35">
      <c r="B4726" s="60" t="s">
        <v>14156</v>
      </c>
      <c r="C4726" s="60" t="s">
        <v>14157</v>
      </c>
      <c r="D4726" s="60" t="s">
        <v>14158</v>
      </c>
    </row>
    <row r="4727" spans="2:4" x14ac:dyDescent="0.35">
      <c r="B4727" s="60" t="s">
        <v>14156</v>
      </c>
      <c r="C4727" s="60" t="s">
        <v>14159</v>
      </c>
      <c r="D4727" s="60" t="s">
        <v>14160</v>
      </c>
    </row>
    <row r="4728" spans="2:4" x14ac:dyDescent="0.35">
      <c r="B4728" s="60" t="s">
        <v>14161</v>
      </c>
      <c r="C4728" s="60" t="s">
        <v>14162</v>
      </c>
      <c r="D4728" s="60" t="s">
        <v>14163</v>
      </c>
    </row>
    <row r="4729" spans="2:4" x14ac:dyDescent="0.35">
      <c r="B4729" s="60" t="s">
        <v>14164</v>
      </c>
      <c r="C4729" s="60" t="s">
        <v>14165</v>
      </c>
      <c r="D4729" s="60" t="s">
        <v>14166</v>
      </c>
    </row>
    <row r="4730" spans="2:4" x14ac:dyDescent="0.35">
      <c r="B4730" s="60" t="s">
        <v>14167</v>
      </c>
      <c r="C4730" s="60" t="s">
        <v>14168</v>
      </c>
      <c r="D4730" s="60" t="s">
        <v>14169</v>
      </c>
    </row>
    <row r="4731" spans="2:4" x14ac:dyDescent="0.35">
      <c r="B4731" s="60" t="s">
        <v>14170</v>
      </c>
      <c r="C4731" s="60" t="s">
        <v>14171</v>
      </c>
      <c r="D4731" s="60" t="s">
        <v>14172</v>
      </c>
    </row>
    <row r="4732" spans="2:4" x14ac:dyDescent="0.35">
      <c r="B4732" s="60" t="s">
        <v>14173</v>
      </c>
      <c r="C4732" s="60" t="s">
        <v>14174</v>
      </c>
      <c r="D4732" s="60" t="s">
        <v>14175</v>
      </c>
    </row>
    <row r="4733" spans="2:4" x14ac:dyDescent="0.35">
      <c r="B4733" s="60" t="s">
        <v>14176</v>
      </c>
      <c r="C4733" s="60" t="s">
        <v>14177</v>
      </c>
      <c r="D4733" s="60" t="s">
        <v>14178</v>
      </c>
    </row>
    <row r="4734" spans="2:4" x14ac:dyDescent="0.35">
      <c r="B4734" s="60" t="s">
        <v>14179</v>
      </c>
      <c r="C4734" s="60" t="s">
        <v>14180</v>
      </c>
      <c r="D4734" s="60" t="s">
        <v>14181</v>
      </c>
    </row>
    <row r="4735" spans="2:4" x14ac:dyDescent="0.35">
      <c r="B4735" s="60" t="s">
        <v>14182</v>
      </c>
      <c r="C4735" s="60" t="s">
        <v>14183</v>
      </c>
      <c r="D4735" s="60" t="s">
        <v>14184</v>
      </c>
    </row>
    <row r="4736" spans="2:4" x14ac:dyDescent="0.35">
      <c r="B4736" s="60" t="s">
        <v>14185</v>
      </c>
      <c r="C4736" s="60" t="s">
        <v>14186</v>
      </c>
      <c r="D4736" s="60" t="s">
        <v>14187</v>
      </c>
    </row>
    <row r="4737" spans="2:4" x14ac:dyDescent="0.35">
      <c r="B4737" s="60" t="s">
        <v>14188</v>
      </c>
      <c r="C4737" s="60" t="s">
        <v>14189</v>
      </c>
      <c r="D4737" s="60" t="s">
        <v>14190</v>
      </c>
    </row>
    <row r="4738" spans="2:4" x14ac:dyDescent="0.35">
      <c r="B4738" s="60" t="s">
        <v>14191</v>
      </c>
      <c r="C4738" s="60" t="s">
        <v>14192</v>
      </c>
      <c r="D4738" s="60" t="s">
        <v>14193</v>
      </c>
    </row>
    <row r="4739" spans="2:4" x14ac:dyDescent="0.35">
      <c r="B4739" s="60" t="s">
        <v>14194</v>
      </c>
      <c r="C4739" s="60" t="s">
        <v>14195</v>
      </c>
      <c r="D4739" s="60" t="s">
        <v>14196</v>
      </c>
    </row>
    <row r="4740" spans="2:4" x14ac:dyDescent="0.35">
      <c r="B4740" s="60" t="s">
        <v>14197</v>
      </c>
      <c r="C4740" s="60" t="s">
        <v>14198</v>
      </c>
      <c r="D4740" s="60" t="s">
        <v>14199</v>
      </c>
    </row>
    <row r="4741" spans="2:4" x14ac:dyDescent="0.35">
      <c r="B4741" s="60" t="s">
        <v>14200</v>
      </c>
      <c r="C4741" s="60" t="s">
        <v>14201</v>
      </c>
      <c r="D4741" s="60" t="s">
        <v>14202</v>
      </c>
    </row>
    <row r="4742" spans="2:4" x14ac:dyDescent="0.35">
      <c r="B4742" s="60" t="s">
        <v>14203</v>
      </c>
      <c r="C4742" s="60" t="s">
        <v>14204</v>
      </c>
      <c r="D4742" s="60" t="s">
        <v>14205</v>
      </c>
    </row>
    <row r="4743" spans="2:4" x14ac:dyDescent="0.35">
      <c r="B4743" s="60" t="s">
        <v>14206</v>
      </c>
      <c r="C4743" s="60" t="s">
        <v>14207</v>
      </c>
      <c r="D4743" s="60" t="s">
        <v>14208</v>
      </c>
    </row>
    <row r="4744" spans="2:4" x14ac:dyDescent="0.35">
      <c r="B4744" s="60" t="s">
        <v>14209</v>
      </c>
      <c r="C4744" s="60" t="s">
        <v>14210</v>
      </c>
      <c r="D4744" s="60" t="s">
        <v>14211</v>
      </c>
    </row>
    <row r="4745" spans="2:4" x14ac:dyDescent="0.35">
      <c r="B4745" s="60" t="s">
        <v>14212</v>
      </c>
      <c r="C4745" s="60" t="s">
        <v>14213</v>
      </c>
      <c r="D4745" s="60" t="s">
        <v>14214</v>
      </c>
    </row>
    <row r="4746" spans="2:4" x14ac:dyDescent="0.35">
      <c r="B4746" s="60" t="s">
        <v>14215</v>
      </c>
      <c r="C4746" s="60" t="s">
        <v>14216</v>
      </c>
      <c r="D4746" s="60" t="s">
        <v>14217</v>
      </c>
    </row>
    <row r="4747" spans="2:4" x14ac:dyDescent="0.35">
      <c r="B4747" s="60" t="s">
        <v>14218</v>
      </c>
      <c r="C4747" s="60" t="s">
        <v>14219</v>
      </c>
      <c r="D4747" s="60" t="s">
        <v>14220</v>
      </c>
    </row>
    <row r="4748" spans="2:4" x14ac:dyDescent="0.35">
      <c r="B4748" s="60" t="s">
        <v>14221</v>
      </c>
      <c r="C4748" s="60" t="s">
        <v>14222</v>
      </c>
      <c r="D4748" s="60" t="s">
        <v>14223</v>
      </c>
    </row>
    <row r="4749" spans="2:4" x14ac:dyDescent="0.35">
      <c r="B4749" s="60" t="s">
        <v>14224</v>
      </c>
      <c r="C4749" s="60" t="s">
        <v>14225</v>
      </c>
      <c r="D4749" s="60" t="s">
        <v>14226</v>
      </c>
    </row>
    <row r="4750" spans="2:4" x14ac:dyDescent="0.35">
      <c r="B4750" s="60" t="s">
        <v>14227</v>
      </c>
      <c r="C4750" s="60" t="s">
        <v>14228</v>
      </c>
      <c r="D4750" s="60" t="s">
        <v>14229</v>
      </c>
    </row>
    <row r="4751" spans="2:4" x14ac:dyDescent="0.35">
      <c r="B4751" s="60" t="s">
        <v>14230</v>
      </c>
      <c r="C4751" s="60" t="s">
        <v>14231</v>
      </c>
      <c r="D4751" s="60" t="s">
        <v>14232</v>
      </c>
    </row>
    <row r="4752" spans="2:4" x14ac:dyDescent="0.35">
      <c r="B4752" s="60" t="s">
        <v>14233</v>
      </c>
      <c r="C4752" s="60" t="s">
        <v>14234</v>
      </c>
      <c r="D4752" s="60" t="s">
        <v>14235</v>
      </c>
    </row>
    <row r="4753" spans="2:4" x14ac:dyDescent="0.35">
      <c r="B4753" s="60" t="s">
        <v>14236</v>
      </c>
      <c r="C4753" s="60" t="s">
        <v>14237</v>
      </c>
      <c r="D4753" s="60" t="s">
        <v>14238</v>
      </c>
    </row>
    <row r="4754" spans="2:4" x14ac:dyDescent="0.35">
      <c r="B4754" s="60" t="s">
        <v>14239</v>
      </c>
      <c r="C4754" s="60" t="s">
        <v>14240</v>
      </c>
      <c r="D4754" s="60" t="s">
        <v>14241</v>
      </c>
    </row>
    <row r="4755" spans="2:4" x14ac:dyDescent="0.35">
      <c r="B4755" s="60" t="s">
        <v>14242</v>
      </c>
      <c r="C4755" s="60" t="s">
        <v>14243</v>
      </c>
      <c r="D4755" s="60" t="s">
        <v>14244</v>
      </c>
    </row>
    <row r="4756" spans="2:4" x14ac:dyDescent="0.35">
      <c r="B4756" s="60" t="s">
        <v>14245</v>
      </c>
      <c r="C4756" s="60" t="s">
        <v>14246</v>
      </c>
      <c r="D4756" s="60" t="s">
        <v>14247</v>
      </c>
    </row>
    <row r="4757" spans="2:4" x14ac:dyDescent="0.35">
      <c r="B4757" s="60" t="s">
        <v>14248</v>
      </c>
      <c r="C4757" s="60" t="s">
        <v>14249</v>
      </c>
      <c r="D4757" s="60" t="s">
        <v>14250</v>
      </c>
    </row>
    <row r="4758" spans="2:4" x14ac:dyDescent="0.35">
      <c r="B4758" s="60" t="s">
        <v>14251</v>
      </c>
      <c r="C4758" s="60" t="s">
        <v>14252</v>
      </c>
      <c r="D4758" s="60" t="s">
        <v>14253</v>
      </c>
    </row>
    <row r="4759" spans="2:4" x14ac:dyDescent="0.35">
      <c r="B4759" s="60" t="s">
        <v>14254</v>
      </c>
      <c r="C4759" s="60" t="s">
        <v>14255</v>
      </c>
      <c r="D4759" s="60" t="s">
        <v>14256</v>
      </c>
    </row>
    <row r="4760" spans="2:4" x14ac:dyDescent="0.35">
      <c r="B4760" s="60" t="s">
        <v>14257</v>
      </c>
      <c r="C4760" s="60" t="s">
        <v>14258</v>
      </c>
      <c r="D4760" s="60" t="s">
        <v>14259</v>
      </c>
    </row>
    <row r="4761" spans="2:4" x14ac:dyDescent="0.35">
      <c r="B4761" s="60" t="s">
        <v>14260</v>
      </c>
      <c r="C4761" s="60" t="s">
        <v>14261</v>
      </c>
      <c r="D4761" s="60" t="s">
        <v>14262</v>
      </c>
    </row>
    <row r="4762" spans="2:4" x14ac:dyDescent="0.35">
      <c r="B4762" s="60" t="s">
        <v>14263</v>
      </c>
      <c r="C4762" s="60" t="s">
        <v>14264</v>
      </c>
      <c r="D4762" s="60" t="s">
        <v>14265</v>
      </c>
    </row>
    <row r="4763" spans="2:4" x14ac:dyDescent="0.35">
      <c r="B4763" s="60" t="s">
        <v>14266</v>
      </c>
      <c r="C4763" s="60" t="s">
        <v>14267</v>
      </c>
      <c r="D4763" s="60" t="s">
        <v>14268</v>
      </c>
    </row>
    <row r="4764" spans="2:4" x14ac:dyDescent="0.35">
      <c r="B4764" s="60" t="s">
        <v>14269</v>
      </c>
      <c r="C4764" s="60" t="s">
        <v>14270</v>
      </c>
      <c r="D4764" s="60" t="s">
        <v>14271</v>
      </c>
    </row>
    <row r="4765" spans="2:4" x14ac:dyDescent="0.35">
      <c r="B4765" s="60" t="s">
        <v>14272</v>
      </c>
      <c r="C4765" s="60" t="s">
        <v>14273</v>
      </c>
      <c r="D4765" s="60" t="s">
        <v>13266</v>
      </c>
    </row>
    <row r="4766" spans="2:4" x14ac:dyDescent="0.35">
      <c r="B4766" s="60" t="s">
        <v>14274</v>
      </c>
      <c r="C4766" s="60" t="s">
        <v>14275</v>
      </c>
      <c r="D4766" s="60" t="s">
        <v>14276</v>
      </c>
    </row>
    <row r="4767" spans="2:4" x14ac:dyDescent="0.35">
      <c r="B4767" s="60" t="s">
        <v>14277</v>
      </c>
      <c r="C4767" s="60" t="s">
        <v>14278</v>
      </c>
      <c r="D4767" s="60" t="s">
        <v>14279</v>
      </c>
    </row>
    <row r="4768" spans="2:4" x14ac:dyDescent="0.35">
      <c r="B4768" s="60" t="s">
        <v>14280</v>
      </c>
      <c r="C4768" s="60" t="s">
        <v>14281</v>
      </c>
      <c r="D4768" s="60" t="s">
        <v>14282</v>
      </c>
    </row>
    <row r="4769" spans="2:4" x14ac:dyDescent="0.35">
      <c r="B4769" s="60" t="s">
        <v>14283</v>
      </c>
      <c r="C4769" s="60" t="s">
        <v>14284</v>
      </c>
      <c r="D4769" s="60" t="s">
        <v>14285</v>
      </c>
    </row>
    <row r="4770" spans="2:4" x14ac:dyDescent="0.35">
      <c r="B4770" s="60" t="s">
        <v>14286</v>
      </c>
      <c r="C4770" s="60" t="s">
        <v>14287</v>
      </c>
      <c r="D4770" s="60" t="s">
        <v>14288</v>
      </c>
    </row>
    <row r="4771" spans="2:4" x14ac:dyDescent="0.35">
      <c r="B4771" s="60" t="s">
        <v>14289</v>
      </c>
      <c r="C4771" s="60" t="s">
        <v>14290</v>
      </c>
      <c r="D4771" s="60" t="s">
        <v>14291</v>
      </c>
    </row>
    <row r="4772" spans="2:4" x14ac:dyDescent="0.35">
      <c r="B4772" s="60" t="s">
        <v>14292</v>
      </c>
      <c r="C4772" s="60" t="s">
        <v>14293</v>
      </c>
      <c r="D4772" s="60" t="s">
        <v>14294</v>
      </c>
    </row>
    <row r="4773" spans="2:4" x14ac:dyDescent="0.35">
      <c r="B4773" s="60" t="s">
        <v>14295</v>
      </c>
      <c r="C4773" s="60" t="s">
        <v>14296</v>
      </c>
      <c r="D4773" s="60" t="s">
        <v>14297</v>
      </c>
    </row>
    <row r="4774" spans="2:4" x14ac:dyDescent="0.35">
      <c r="B4774" s="60" t="s">
        <v>14298</v>
      </c>
      <c r="C4774" s="60" t="s">
        <v>14299</v>
      </c>
      <c r="D4774" s="60" t="s">
        <v>14300</v>
      </c>
    </row>
    <row r="4775" spans="2:4" x14ac:dyDescent="0.35">
      <c r="B4775" s="60" t="s">
        <v>14301</v>
      </c>
      <c r="C4775" s="60" t="s">
        <v>14302</v>
      </c>
      <c r="D4775" s="60" t="s">
        <v>14303</v>
      </c>
    </row>
    <row r="4776" spans="2:4" x14ac:dyDescent="0.35">
      <c r="B4776" s="60" t="s">
        <v>14304</v>
      </c>
      <c r="C4776" s="60" t="s">
        <v>14305</v>
      </c>
      <c r="D4776" s="60" t="s">
        <v>14306</v>
      </c>
    </row>
    <row r="4777" spans="2:4" x14ac:dyDescent="0.35">
      <c r="B4777" s="60" t="s">
        <v>14307</v>
      </c>
      <c r="C4777" s="60" t="s">
        <v>14308</v>
      </c>
      <c r="D4777" s="60" t="s">
        <v>14309</v>
      </c>
    </row>
    <row r="4778" spans="2:4" x14ac:dyDescent="0.35">
      <c r="B4778" s="60" t="s">
        <v>14310</v>
      </c>
      <c r="C4778" s="60" t="s">
        <v>14311</v>
      </c>
      <c r="D4778" s="60" t="s">
        <v>14312</v>
      </c>
    </row>
    <row r="4779" spans="2:4" x14ac:dyDescent="0.35">
      <c r="B4779" s="60" t="s">
        <v>14313</v>
      </c>
      <c r="C4779" s="60" t="s">
        <v>14314</v>
      </c>
      <c r="D4779" s="60" t="s">
        <v>14315</v>
      </c>
    </row>
    <row r="4780" spans="2:4" x14ac:dyDescent="0.35">
      <c r="B4780" s="60" t="s">
        <v>14316</v>
      </c>
      <c r="C4780" s="60" t="s">
        <v>14317</v>
      </c>
      <c r="D4780" s="60" t="s">
        <v>14318</v>
      </c>
    </row>
    <row r="4781" spans="2:4" x14ac:dyDescent="0.35">
      <c r="B4781" s="60" t="s">
        <v>14319</v>
      </c>
      <c r="C4781" s="60" t="s">
        <v>14320</v>
      </c>
      <c r="D4781" s="60" t="s">
        <v>14321</v>
      </c>
    </row>
    <row r="4782" spans="2:4" x14ac:dyDescent="0.35">
      <c r="B4782" s="60" t="s">
        <v>14319</v>
      </c>
      <c r="C4782" s="60" t="s">
        <v>14322</v>
      </c>
      <c r="D4782" s="60" t="s">
        <v>14323</v>
      </c>
    </row>
    <row r="4783" spans="2:4" x14ac:dyDescent="0.35">
      <c r="B4783" s="60" t="s">
        <v>14324</v>
      </c>
      <c r="C4783" s="60" t="s">
        <v>14325</v>
      </c>
      <c r="D4783" s="60" t="s">
        <v>14326</v>
      </c>
    </row>
    <row r="4784" spans="2:4" x14ac:dyDescent="0.35">
      <c r="B4784" s="60" t="s">
        <v>14327</v>
      </c>
      <c r="C4784" s="60" t="s">
        <v>14328</v>
      </c>
      <c r="D4784" s="60" t="s">
        <v>14329</v>
      </c>
    </row>
    <row r="4785" spans="2:4" x14ac:dyDescent="0.35">
      <c r="B4785" s="60" t="s">
        <v>14330</v>
      </c>
      <c r="C4785" s="60" t="s">
        <v>14331</v>
      </c>
      <c r="D4785" s="60" t="s">
        <v>14332</v>
      </c>
    </row>
    <row r="4786" spans="2:4" x14ac:dyDescent="0.35">
      <c r="B4786" s="60" t="s">
        <v>14333</v>
      </c>
      <c r="C4786" s="60" t="s">
        <v>14334</v>
      </c>
      <c r="D4786" s="60" t="s">
        <v>14335</v>
      </c>
    </row>
    <row r="4787" spans="2:4" x14ac:dyDescent="0.35">
      <c r="B4787" s="60" t="s">
        <v>14336</v>
      </c>
      <c r="C4787" s="60" t="s">
        <v>14337</v>
      </c>
      <c r="D4787" s="60" t="s">
        <v>14338</v>
      </c>
    </row>
    <row r="4788" spans="2:4" x14ac:dyDescent="0.35">
      <c r="B4788" s="60" t="s">
        <v>14339</v>
      </c>
      <c r="C4788" s="60" t="s">
        <v>14340</v>
      </c>
      <c r="D4788" s="60" t="s">
        <v>14341</v>
      </c>
    </row>
    <row r="4789" spans="2:4" x14ac:dyDescent="0.35">
      <c r="B4789" s="60" t="s">
        <v>14342</v>
      </c>
      <c r="C4789" s="60" t="s">
        <v>14343</v>
      </c>
      <c r="D4789" s="60" t="s">
        <v>14344</v>
      </c>
    </row>
    <row r="4790" spans="2:4" x14ac:dyDescent="0.35">
      <c r="B4790" s="60" t="s">
        <v>14345</v>
      </c>
      <c r="C4790" s="60" t="s">
        <v>14346</v>
      </c>
      <c r="D4790" s="60" t="s">
        <v>14347</v>
      </c>
    </row>
    <row r="4791" spans="2:4" x14ac:dyDescent="0.35">
      <c r="B4791" s="60" t="s">
        <v>14348</v>
      </c>
      <c r="C4791" s="60" t="s">
        <v>14349</v>
      </c>
      <c r="D4791" s="60" t="s">
        <v>14350</v>
      </c>
    </row>
    <row r="4792" spans="2:4" x14ac:dyDescent="0.35">
      <c r="B4792" s="60" t="s">
        <v>14351</v>
      </c>
      <c r="C4792" s="60" t="s">
        <v>14352</v>
      </c>
      <c r="D4792" s="60" t="s">
        <v>14353</v>
      </c>
    </row>
    <row r="4793" spans="2:4" x14ac:dyDescent="0.35">
      <c r="B4793" s="60" t="s">
        <v>14354</v>
      </c>
      <c r="C4793" s="60" t="s">
        <v>14355</v>
      </c>
      <c r="D4793" s="60" t="s">
        <v>14356</v>
      </c>
    </row>
    <row r="4794" spans="2:4" x14ac:dyDescent="0.35">
      <c r="B4794" s="60" t="s">
        <v>14357</v>
      </c>
      <c r="C4794" s="60" t="s">
        <v>14358</v>
      </c>
      <c r="D4794" s="60" t="s">
        <v>14359</v>
      </c>
    </row>
    <row r="4795" spans="2:4" x14ac:dyDescent="0.35">
      <c r="B4795" s="60" t="s">
        <v>14360</v>
      </c>
      <c r="C4795" s="60" t="s">
        <v>14361</v>
      </c>
      <c r="D4795" s="60" t="s">
        <v>14362</v>
      </c>
    </row>
    <row r="4796" spans="2:4" x14ac:dyDescent="0.35">
      <c r="B4796" s="60" t="s">
        <v>14363</v>
      </c>
      <c r="C4796" s="60" t="s">
        <v>14364</v>
      </c>
      <c r="D4796" s="60" t="s">
        <v>14365</v>
      </c>
    </row>
    <row r="4797" spans="2:4" x14ac:dyDescent="0.35">
      <c r="B4797" s="60" t="s">
        <v>14366</v>
      </c>
      <c r="C4797" s="60" t="s">
        <v>14367</v>
      </c>
      <c r="D4797" s="60" t="s">
        <v>14368</v>
      </c>
    </row>
    <row r="4798" spans="2:4" x14ac:dyDescent="0.35">
      <c r="B4798" s="60" t="s">
        <v>14369</v>
      </c>
      <c r="C4798" s="60" t="s">
        <v>14370</v>
      </c>
      <c r="D4798" s="60" t="s">
        <v>14371</v>
      </c>
    </row>
    <row r="4799" spans="2:4" x14ac:dyDescent="0.35">
      <c r="B4799" s="60" t="s">
        <v>14372</v>
      </c>
      <c r="C4799" s="60" t="s">
        <v>14373</v>
      </c>
      <c r="D4799" s="60" t="s">
        <v>13703</v>
      </c>
    </row>
    <row r="4800" spans="2:4" x14ac:dyDescent="0.35">
      <c r="B4800" s="60" t="s">
        <v>14374</v>
      </c>
      <c r="C4800" s="60" t="s">
        <v>14375</v>
      </c>
      <c r="D4800" s="60" t="s">
        <v>14376</v>
      </c>
    </row>
    <row r="4801" spans="2:4" x14ac:dyDescent="0.35">
      <c r="B4801" s="60" t="s">
        <v>14377</v>
      </c>
      <c r="C4801" s="60" t="s">
        <v>14378</v>
      </c>
      <c r="D4801" s="60" t="s">
        <v>14379</v>
      </c>
    </row>
    <row r="4802" spans="2:4" x14ac:dyDescent="0.35">
      <c r="B4802" s="60" t="s">
        <v>14380</v>
      </c>
      <c r="C4802" s="60" t="s">
        <v>14381</v>
      </c>
      <c r="D4802" s="60" t="s">
        <v>14382</v>
      </c>
    </row>
    <row r="4803" spans="2:4" x14ac:dyDescent="0.35">
      <c r="B4803" s="60" t="s">
        <v>14383</v>
      </c>
      <c r="C4803" s="60" t="s">
        <v>14384</v>
      </c>
      <c r="D4803" s="60" t="s">
        <v>14385</v>
      </c>
    </row>
    <row r="4804" spans="2:4" x14ac:dyDescent="0.35">
      <c r="B4804" s="60" t="s">
        <v>14386</v>
      </c>
      <c r="C4804" s="60" t="s">
        <v>14387</v>
      </c>
      <c r="D4804" s="60" t="s">
        <v>14388</v>
      </c>
    </row>
    <row r="4805" spans="2:4" x14ac:dyDescent="0.35">
      <c r="B4805" s="60" t="s">
        <v>14389</v>
      </c>
      <c r="C4805" s="60" t="s">
        <v>14390</v>
      </c>
      <c r="D4805" s="60" t="s">
        <v>14391</v>
      </c>
    </row>
    <row r="4806" spans="2:4" x14ac:dyDescent="0.35">
      <c r="B4806" s="60" t="s">
        <v>14392</v>
      </c>
      <c r="C4806" s="60" t="s">
        <v>14393</v>
      </c>
      <c r="D4806" s="60" t="s">
        <v>14394</v>
      </c>
    </row>
    <row r="4807" spans="2:4" x14ac:dyDescent="0.35">
      <c r="B4807" s="60" t="s">
        <v>14395</v>
      </c>
      <c r="C4807" s="60" t="s">
        <v>14396</v>
      </c>
      <c r="D4807" s="60" t="s">
        <v>14397</v>
      </c>
    </row>
    <row r="4808" spans="2:4" x14ac:dyDescent="0.35">
      <c r="B4808" s="60" t="s">
        <v>14398</v>
      </c>
      <c r="C4808" s="60" t="s">
        <v>14399</v>
      </c>
      <c r="D4808" s="60" t="s">
        <v>14400</v>
      </c>
    </row>
    <row r="4809" spans="2:4" x14ac:dyDescent="0.35">
      <c r="B4809" s="60" t="s">
        <v>14401</v>
      </c>
      <c r="C4809" s="60" t="s">
        <v>14402</v>
      </c>
      <c r="D4809" s="60" t="s">
        <v>14403</v>
      </c>
    </row>
    <row r="4810" spans="2:4" x14ac:dyDescent="0.35">
      <c r="B4810" s="60" t="s">
        <v>14404</v>
      </c>
      <c r="C4810" s="60" t="s">
        <v>14405</v>
      </c>
      <c r="D4810" s="60" t="s">
        <v>14406</v>
      </c>
    </row>
    <row r="4811" spans="2:4" x14ac:dyDescent="0.35">
      <c r="B4811" s="60" t="s">
        <v>14407</v>
      </c>
      <c r="C4811" s="60" t="s">
        <v>14408</v>
      </c>
      <c r="D4811" s="60" t="s">
        <v>14409</v>
      </c>
    </row>
    <row r="4812" spans="2:4" x14ac:dyDescent="0.35">
      <c r="B4812" s="60" t="s">
        <v>14407</v>
      </c>
      <c r="C4812" s="60" t="s">
        <v>14410</v>
      </c>
      <c r="D4812" s="60" t="s">
        <v>12023</v>
      </c>
    </row>
    <row r="4813" spans="2:4" x14ac:dyDescent="0.35">
      <c r="B4813" s="60" t="s">
        <v>14411</v>
      </c>
      <c r="C4813" s="60" t="s">
        <v>14412</v>
      </c>
      <c r="D4813" s="60" t="s">
        <v>14413</v>
      </c>
    </row>
    <row r="4814" spans="2:4" x14ac:dyDescent="0.35">
      <c r="B4814" s="60" t="s">
        <v>14414</v>
      </c>
      <c r="C4814" s="60" t="s">
        <v>14415</v>
      </c>
      <c r="D4814" s="60" t="s">
        <v>14416</v>
      </c>
    </row>
    <row r="4815" spans="2:4" x14ac:dyDescent="0.35">
      <c r="B4815" s="60" t="s">
        <v>14417</v>
      </c>
      <c r="C4815" s="60" t="s">
        <v>14418</v>
      </c>
      <c r="D4815" s="60" t="s">
        <v>14419</v>
      </c>
    </row>
    <row r="4816" spans="2:4" x14ac:dyDescent="0.35">
      <c r="B4816" s="60" t="s">
        <v>14420</v>
      </c>
      <c r="C4816" s="60" t="s">
        <v>14421</v>
      </c>
      <c r="D4816" s="60" t="s">
        <v>14422</v>
      </c>
    </row>
    <row r="4817" spans="2:4" x14ac:dyDescent="0.35">
      <c r="B4817" s="60" t="s">
        <v>14423</v>
      </c>
      <c r="C4817" s="60" t="s">
        <v>14424</v>
      </c>
      <c r="D4817" s="60" t="s">
        <v>14425</v>
      </c>
    </row>
    <row r="4818" spans="2:4" x14ac:dyDescent="0.35">
      <c r="B4818" s="60" t="s">
        <v>14426</v>
      </c>
      <c r="C4818" s="60" t="s">
        <v>14427</v>
      </c>
      <c r="D4818" s="60" t="s">
        <v>14428</v>
      </c>
    </row>
    <row r="4819" spans="2:4" x14ac:dyDescent="0.35">
      <c r="B4819" s="60" t="s">
        <v>14429</v>
      </c>
      <c r="C4819" s="60" t="s">
        <v>14430</v>
      </c>
      <c r="D4819" s="60" t="s">
        <v>14431</v>
      </c>
    </row>
    <row r="4820" spans="2:4" x14ac:dyDescent="0.35">
      <c r="B4820" s="60" t="s">
        <v>14432</v>
      </c>
      <c r="C4820" s="60" t="s">
        <v>14433</v>
      </c>
      <c r="D4820" s="60" t="s">
        <v>14434</v>
      </c>
    </row>
    <row r="4821" spans="2:4" x14ac:dyDescent="0.35">
      <c r="B4821" s="60" t="s">
        <v>14435</v>
      </c>
      <c r="C4821" s="60" t="s">
        <v>14436</v>
      </c>
      <c r="D4821" s="60" t="s">
        <v>14437</v>
      </c>
    </row>
    <row r="4822" spans="2:4" x14ac:dyDescent="0.35">
      <c r="B4822" s="60" t="s">
        <v>14438</v>
      </c>
      <c r="C4822" s="60" t="s">
        <v>14439</v>
      </c>
      <c r="D4822" s="60" t="s">
        <v>14440</v>
      </c>
    </row>
    <row r="4823" spans="2:4" x14ac:dyDescent="0.35">
      <c r="B4823" s="60" t="s">
        <v>14441</v>
      </c>
      <c r="C4823" s="60" t="s">
        <v>14442</v>
      </c>
      <c r="D4823" s="60" t="s">
        <v>14443</v>
      </c>
    </row>
    <row r="4824" spans="2:4" x14ac:dyDescent="0.35">
      <c r="B4824" s="60" t="s">
        <v>14444</v>
      </c>
      <c r="C4824" s="60" t="s">
        <v>14445</v>
      </c>
      <c r="D4824" s="60" t="s">
        <v>14446</v>
      </c>
    </row>
    <row r="4825" spans="2:4" x14ac:dyDescent="0.35">
      <c r="B4825" s="60" t="s">
        <v>14447</v>
      </c>
      <c r="C4825" s="60" t="s">
        <v>14448</v>
      </c>
      <c r="D4825" s="60" t="s">
        <v>14449</v>
      </c>
    </row>
    <row r="4826" spans="2:4" x14ac:dyDescent="0.35">
      <c r="B4826" s="60" t="s">
        <v>14450</v>
      </c>
      <c r="C4826" s="60" t="s">
        <v>14451</v>
      </c>
      <c r="D4826" s="60" t="s">
        <v>14452</v>
      </c>
    </row>
    <row r="4827" spans="2:4" x14ac:dyDescent="0.35">
      <c r="B4827" s="60" t="s">
        <v>14453</v>
      </c>
      <c r="C4827" s="60" t="s">
        <v>14454</v>
      </c>
      <c r="D4827" s="60" t="s">
        <v>14455</v>
      </c>
    </row>
    <row r="4828" spans="2:4" x14ac:dyDescent="0.35">
      <c r="B4828" s="60" t="s">
        <v>14456</v>
      </c>
      <c r="C4828" s="60" t="s">
        <v>14457</v>
      </c>
      <c r="D4828" s="60" t="s">
        <v>14458</v>
      </c>
    </row>
    <row r="4829" spans="2:4" x14ac:dyDescent="0.35">
      <c r="B4829" s="60" t="s">
        <v>14459</v>
      </c>
      <c r="C4829" s="60" t="s">
        <v>14460</v>
      </c>
      <c r="D4829" s="60" t="s">
        <v>14461</v>
      </c>
    </row>
    <row r="4830" spans="2:4" x14ac:dyDescent="0.35">
      <c r="B4830" s="60" t="s">
        <v>14462</v>
      </c>
      <c r="C4830" s="60" t="s">
        <v>14463</v>
      </c>
      <c r="D4830" s="60" t="s">
        <v>14464</v>
      </c>
    </row>
    <row r="4831" spans="2:4" x14ac:dyDescent="0.35">
      <c r="B4831" s="60" t="s">
        <v>14465</v>
      </c>
      <c r="C4831" s="60" t="s">
        <v>14466</v>
      </c>
      <c r="D4831" s="60" t="s">
        <v>14467</v>
      </c>
    </row>
    <row r="4832" spans="2:4" x14ac:dyDescent="0.35">
      <c r="B4832" s="60" t="s">
        <v>14468</v>
      </c>
      <c r="C4832" s="60" t="s">
        <v>14469</v>
      </c>
      <c r="D4832" s="60" t="s">
        <v>14470</v>
      </c>
    </row>
    <row r="4833" spans="2:4" x14ac:dyDescent="0.35">
      <c r="B4833" s="60" t="s">
        <v>14471</v>
      </c>
      <c r="C4833" s="60" t="s">
        <v>14472</v>
      </c>
      <c r="D4833" s="60" t="s">
        <v>14473</v>
      </c>
    </row>
    <row r="4834" spans="2:4" x14ac:dyDescent="0.35">
      <c r="B4834" s="60" t="s">
        <v>14474</v>
      </c>
      <c r="C4834" s="60" t="s">
        <v>14475</v>
      </c>
      <c r="D4834" s="60" t="s">
        <v>14476</v>
      </c>
    </row>
    <row r="4835" spans="2:4" x14ac:dyDescent="0.35">
      <c r="B4835" s="60" t="s">
        <v>14477</v>
      </c>
      <c r="C4835" s="60" t="s">
        <v>14478</v>
      </c>
      <c r="D4835" s="60" t="s">
        <v>14479</v>
      </c>
    </row>
    <row r="4836" spans="2:4" x14ac:dyDescent="0.35">
      <c r="B4836" s="60" t="s">
        <v>14480</v>
      </c>
      <c r="C4836" s="60" t="s">
        <v>14481</v>
      </c>
      <c r="D4836" s="60" t="s">
        <v>14482</v>
      </c>
    </row>
    <row r="4837" spans="2:4" x14ac:dyDescent="0.35">
      <c r="B4837" s="60" t="s">
        <v>14483</v>
      </c>
      <c r="C4837" s="60" t="s">
        <v>14484</v>
      </c>
      <c r="D4837" s="60" t="s">
        <v>14485</v>
      </c>
    </row>
    <row r="4838" spans="2:4" x14ac:dyDescent="0.35">
      <c r="B4838" s="60" t="s">
        <v>14486</v>
      </c>
      <c r="C4838" s="60" t="s">
        <v>14487</v>
      </c>
      <c r="D4838" s="60" t="s">
        <v>14488</v>
      </c>
    </row>
    <row r="4839" spans="2:4" x14ac:dyDescent="0.35">
      <c r="B4839" s="60" t="s">
        <v>14489</v>
      </c>
      <c r="C4839" s="60" t="s">
        <v>14490</v>
      </c>
      <c r="D4839" s="60" t="s">
        <v>14491</v>
      </c>
    </row>
    <row r="4840" spans="2:4" x14ac:dyDescent="0.35">
      <c r="B4840" s="60" t="s">
        <v>14492</v>
      </c>
      <c r="C4840" s="60" t="s">
        <v>14493</v>
      </c>
      <c r="D4840" s="60" t="s">
        <v>14494</v>
      </c>
    </row>
    <row r="4841" spans="2:4" x14ac:dyDescent="0.35">
      <c r="B4841" s="60" t="s">
        <v>14495</v>
      </c>
      <c r="C4841" s="60" t="s">
        <v>14496</v>
      </c>
      <c r="D4841" s="60" t="s">
        <v>14497</v>
      </c>
    </row>
    <row r="4842" spans="2:4" x14ac:dyDescent="0.35">
      <c r="B4842" s="60" t="s">
        <v>14498</v>
      </c>
      <c r="C4842" s="60" t="s">
        <v>14499</v>
      </c>
      <c r="D4842" s="60" t="s">
        <v>14500</v>
      </c>
    </row>
    <row r="4843" spans="2:4" x14ac:dyDescent="0.35">
      <c r="B4843" s="60" t="s">
        <v>14501</v>
      </c>
      <c r="C4843" s="60" t="s">
        <v>14502</v>
      </c>
      <c r="D4843" s="60" t="s">
        <v>14503</v>
      </c>
    </row>
    <row r="4844" spans="2:4" x14ac:dyDescent="0.35">
      <c r="B4844" s="60" t="s">
        <v>14504</v>
      </c>
      <c r="C4844" s="60" t="s">
        <v>14505</v>
      </c>
      <c r="D4844" s="60" t="s">
        <v>14506</v>
      </c>
    </row>
    <row r="4845" spans="2:4" x14ac:dyDescent="0.35">
      <c r="B4845" s="60" t="s">
        <v>14507</v>
      </c>
      <c r="C4845" s="60" t="s">
        <v>14508</v>
      </c>
      <c r="D4845" s="60" t="s">
        <v>14509</v>
      </c>
    </row>
    <row r="4846" spans="2:4" x14ac:dyDescent="0.35">
      <c r="B4846" s="60" t="s">
        <v>14510</v>
      </c>
      <c r="C4846" s="60" t="s">
        <v>14511</v>
      </c>
      <c r="D4846" s="60" t="s">
        <v>14512</v>
      </c>
    </row>
    <row r="4847" spans="2:4" x14ac:dyDescent="0.35">
      <c r="B4847" s="60" t="s">
        <v>14513</v>
      </c>
      <c r="C4847" s="60" t="s">
        <v>14514</v>
      </c>
      <c r="D4847" s="60" t="s">
        <v>14515</v>
      </c>
    </row>
    <row r="4848" spans="2:4" x14ac:dyDescent="0.35">
      <c r="B4848" s="60" t="s">
        <v>14516</v>
      </c>
      <c r="C4848" s="60" t="s">
        <v>14517</v>
      </c>
      <c r="D4848" s="60" t="s">
        <v>14518</v>
      </c>
    </row>
    <row r="4849" spans="2:4" x14ac:dyDescent="0.35">
      <c r="B4849" s="60" t="s">
        <v>14519</v>
      </c>
      <c r="C4849" s="60" t="s">
        <v>14520</v>
      </c>
      <c r="D4849" s="60" t="s">
        <v>14521</v>
      </c>
    </row>
    <row r="4850" spans="2:4" x14ac:dyDescent="0.35">
      <c r="B4850" s="60" t="s">
        <v>14522</v>
      </c>
      <c r="C4850" s="60" t="s">
        <v>14523</v>
      </c>
      <c r="D4850" s="60" t="s">
        <v>14524</v>
      </c>
    </row>
    <row r="4851" spans="2:4" x14ac:dyDescent="0.35">
      <c r="B4851" s="60" t="s">
        <v>14525</v>
      </c>
      <c r="C4851" s="60" t="s">
        <v>14526</v>
      </c>
      <c r="D4851" s="60" t="s">
        <v>14527</v>
      </c>
    </row>
    <row r="4852" spans="2:4" x14ac:dyDescent="0.35">
      <c r="B4852" s="60" t="s">
        <v>14528</v>
      </c>
      <c r="C4852" s="60" t="s">
        <v>14529</v>
      </c>
      <c r="D4852" s="60" t="s">
        <v>14530</v>
      </c>
    </row>
    <row r="4853" spans="2:4" x14ac:dyDescent="0.35">
      <c r="B4853" s="60" t="s">
        <v>14531</v>
      </c>
      <c r="C4853" s="60" t="s">
        <v>14532</v>
      </c>
      <c r="D4853" s="60" t="s">
        <v>14533</v>
      </c>
    </row>
    <row r="4854" spans="2:4" x14ac:dyDescent="0.35">
      <c r="B4854" s="60" t="s">
        <v>14531</v>
      </c>
      <c r="C4854" s="60" t="s">
        <v>14534</v>
      </c>
      <c r="D4854" s="60" t="s">
        <v>14535</v>
      </c>
    </row>
    <row r="4855" spans="2:4" x14ac:dyDescent="0.35">
      <c r="B4855" s="60" t="s">
        <v>14536</v>
      </c>
      <c r="C4855" s="60" t="s">
        <v>14537</v>
      </c>
      <c r="D4855" s="60" t="s">
        <v>14538</v>
      </c>
    </row>
    <row r="4856" spans="2:4" x14ac:dyDescent="0.35">
      <c r="B4856" s="60" t="s">
        <v>14539</v>
      </c>
      <c r="C4856" s="60" t="s">
        <v>14540</v>
      </c>
      <c r="D4856" s="60" t="s">
        <v>14541</v>
      </c>
    </row>
    <row r="4857" spans="2:4" x14ac:dyDescent="0.35">
      <c r="B4857" s="60" t="s">
        <v>14539</v>
      </c>
      <c r="C4857" s="60" t="s">
        <v>14542</v>
      </c>
      <c r="D4857" s="60" t="s">
        <v>14543</v>
      </c>
    </row>
    <row r="4858" spans="2:4" x14ac:dyDescent="0.35">
      <c r="B4858" s="60" t="s">
        <v>14544</v>
      </c>
      <c r="C4858" s="60" t="s">
        <v>14545</v>
      </c>
      <c r="D4858" s="60" t="s">
        <v>14546</v>
      </c>
    </row>
    <row r="4859" spans="2:4" x14ac:dyDescent="0.35">
      <c r="B4859" s="60" t="s">
        <v>14547</v>
      </c>
      <c r="C4859" s="60" t="s">
        <v>14548</v>
      </c>
      <c r="D4859" s="60" t="s">
        <v>14549</v>
      </c>
    </row>
    <row r="4860" spans="2:4" x14ac:dyDescent="0.35">
      <c r="B4860" s="60" t="s">
        <v>14547</v>
      </c>
      <c r="C4860" s="60" t="s">
        <v>14550</v>
      </c>
      <c r="D4860" s="60" t="s">
        <v>14551</v>
      </c>
    </row>
    <row r="4861" spans="2:4" x14ac:dyDescent="0.35">
      <c r="B4861" s="60" t="s">
        <v>14552</v>
      </c>
      <c r="C4861" s="60" t="s">
        <v>14553</v>
      </c>
      <c r="D4861" s="60" t="s">
        <v>14554</v>
      </c>
    </row>
    <row r="4862" spans="2:4" x14ac:dyDescent="0.35">
      <c r="B4862" s="60" t="s">
        <v>14555</v>
      </c>
      <c r="C4862" s="60" t="s">
        <v>14556</v>
      </c>
      <c r="D4862" s="60" t="s">
        <v>14557</v>
      </c>
    </row>
    <row r="4863" spans="2:4" x14ac:dyDescent="0.35">
      <c r="B4863" s="60" t="s">
        <v>14558</v>
      </c>
      <c r="C4863" s="60" t="s">
        <v>14559</v>
      </c>
      <c r="D4863" s="60" t="s">
        <v>14560</v>
      </c>
    </row>
    <row r="4864" spans="2:4" x14ac:dyDescent="0.35">
      <c r="B4864" s="60" t="s">
        <v>14558</v>
      </c>
      <c r="C4864" s="60" t="s">
        <v>14561</v>
      </c>
      <c r="D4864" s="60" t="s">
        <v>14560</v>
      </c>
    </row>
    <row r="4865" spans="2:4" x14ac:dyDescent="0.35">
      <c r="B4865" s="60" t="s">
        <v>14562</v>
      </c>
      <c r="C4865" s="60" t="s">
        <v>14563</v>
      </c>
      <c r="D4865" s="60" t="s">
        <v>14564</v>
      </c>
    </row>
    <row r="4866" spans="2:4" x14ac:dyDescent="0.35">
      <c r="B4866" s="60" t="s">
        <v>14565</v>
      </c>
      <c r="C4866" s="60" t="s">
        <v>14566</v>
      </c>
      <c r="D4866" s="60" t="s">
        <v>14567</v>
      </c>
    </row>
    <row r="4867" spans="2:4" x14ac:dyDescent="0.35">
      <c r="B4867" s="60" t="s">
        <v>14568</v>
      </c>
      <c r="C4867" s="60" t="s">
        <v>14569</v>
      </c>
      <c r="D4867" s="60" t="s">
        <v>14570</v>
      </c>
    </row>
    <row r="4868" spans="2:4" x14ac:dyDescent="0.35">
      <c r="B4868" s="60" t="s">
        <v>14571</v>
      </c>
      <c r="C4868" s="60" t="s">
        <v>14572</v>
      </c>
      <c r="D4868" s="60" t="s">
        <v>14573</v>
      </c>
    </row>
    <row r="4869" spans="2:4" x14ac:dyDescent="0.35">
      <c r="B4869" s="60" t="s">
        <v>14574</v>
      </c>
      <c r="C4869" s="60" t="s">
        <v>14575</v>
      </c>
      <c r="D4869" s="60" t="s">
        <v>14576</v>
      </c>
    </row>
    <row r="4870" spans="2:4" x14ac:dyDescent="0.35">
      <c r="B4870" s="60" t="s">
        <v>14577</v>
      </c>
      <c r="C4870" s="60" t="s">
        <v>14578</v>
      </c>
      <c r="D4870" s="60" t="s">
        <v>14579</v>
      </c>
    </row>
    <row r="4871" spans="2:4" x14ac:dyDescent="0.35">
      <c r="B4871" s="60" t="s">
        <v>14580</v>
      </c>
      <c r="C4871" s="60" t="s">
        <v>14581</v>
      </c>
      <c r="D4871" s="60" t="s">
        <v>14582</v>
      </c>
    </row>
    <row r="4872" spans="2:4" x14ac:dyDescent="0.35">
      <c r="B4872" s="60" t="s">
        <v>14583</v>
      </c>
      <c r="C4872" s="60" t="s">
        <v>14584</v>
      </c>
      <c r="D4872" s="60" t="s">
        <v>14585</v>
      </c>
    </row>
    <row r="4873" spans="2:4" x14ac:dyDescent="0.35">
      <c r="B4873" s="60" t="s">
        <v>14586</v>
      </c>
      <c r="C4873" s="60" t="s">
        <v>14587</v>
      </c>
      <c r="D4873" s="60" t="s">
        <v>14588</v>
      </c>
    </row>
    <row r="4874" spans="2:4" x14ac:dyDescent="0.35">
      <c r="B4874" s="60" t="s">
        <v>14589</v>
      </c>
      <c r="C4874" s="60" t="s">
        <v>14590</v>
      </c>
      <c r="D4874" s="60" t="s">
        <v>14591</v>
      </c>
    </row>
    <row r="4875" spans="2:4" x14ac:dyDescent="0.35">
      <c r="B4875" s="60" t="s">
        <v>14592</v>
      </c>
      <c r="C4875" s="60" t="s">
        <v>14593</v>
      </c>
      <c r="D4875" s="60" t="s">
        <v>14594</v>
      </c>
    </row>
    <row r="4876" spans="2:4" x14ac:dyDescent="0.35">
      <c r="B4876" s="60" t="s">
        <v>14595</v>
      </c>
      <c r="C4876" s="60" t="s">
        <v>14596</v>
      </c>
      <c r="D4876" s="60" t="s">
        <v>14597</v>
      </c>
    </row>
    <row r="4877" spans="2:4" x14ac:dyDescent="0.35">
      <c r="B4877" s="60" t="s">
        <v>14598</v>
      </c>
      <c r="C4877" s="60" t="s">
        <v>14599</v>
      </c>
      <c r="D4877" s="60" t="s">
        <v>14600</v>
      </c>
    </row>
    <row r="4878" spans="2:4" x14ac:dyDescent="0.35">
      <c r="B4878" s="60" t="s">
        <v>14601</v>
      </c>
      <c r="C4878" s="60" t="s">
        <v>14602</v>
      </c>
      <c r="D4878" s="60" t="s">
        <v>14603</v>
      </c>
    </row>
    <row r="4879" spans="2:4" x14ac:dyDescent="0.35">
      <c r="B4879" s="60" t="s">
        <v>14604</v>
      </c>
      <c r="C4879" s="60" t="s">
        <v>14605</v>
      </c>
      <c r="D4879" s="60" t="s">
        <v>14606</v>
      </c>
    </row>
    <row r="4880" spans="2:4" x14ac:dyDescent="0.35">
      <c r="B4880" s="60" t="s">
        <v>14607</v>
      </c>
      <c r="C4880" s="60" t="s">
        <v>14608</v>
      </c>
      <c r="D4880" s="60" t="s">
        <v>14609</v>
      </c>
    </row>
    <row r="4881" spans="2:4" x14ac:dyDescent="0.35">
      <c r="B4881" s="60" t="s">
        <v>14610</v>
      </c>
      <c r="C4881" s="60" t="s">
        <v>14611</v>
      </c>
      <c r="D4881" s="60" t="s">
        <v>14612</v>
      </c>
    </row>
    <row r="4882" spans="2:4" x14ac:dyDescent="0.35">
      <c r="B4882" s="60" t="s">
        <v>14613</v>
      </c>
      <c r="C4882" s="60" t="s">
        <v>14614</v>
      </c>
      <c r="D4882" s="60" t="s">
        <v>14615</v>
      </c>
    </row>
    <row r="4883" spans="2:4" x14ac:dyDescent="0.35">
      <c r="B4883" s="60" t="s">
        <v>14616</v>
      </c>
      <c r="C4883" s="60" t="s">
        <v>14617</v>
      </c>
      <c r="D4883" s="60" t="s">
        <v>14618</v>
      </c>
    </row>
    <row r="4884" spans="2:4" x14ac:dyDescent="0.35">
      <c r="B4884" s="60" t="s">
        <v>14619</v>
      </c>
      <c r="C4884" s="60" t="s">
        <v>14620</v>
      </c>
      <c r="D4884" s="60" t="s">
        <v>14621</v>
      </c>
    </row>
    <row r="4885" spans="2:4" x14ac:dyDescent="0.35">
      <c r="B4885" s="60" t="s">
        <v>14619</v>
      </c>
      <c r="C4885" s="60" t="s">
        <v>8862</v>
      </c>
      <c r="D4885" s="60" t="s">
        <v>14622</v>
      </c>
    </row>
    <row r="4886" spans="2:4" x14ac:dyDescent="0.35">
      <c r="B4886" s="60" t="s">
        <v>14623</v>
      </c>
      <c r="C4886" s="60" t="s">
        <v>14624</v>
      </c>
      <c r="D4886" s="60" t="s">
        <v>14625</v>
      </c>
    </row>
    <row r="4887" spans="2:4" x14ac:dyDescent="0.35">
      <c r="B4887" s="60" t="s">
        <v>14626</v>
      </c>
      <c r="C4887" s="60" t="s">
        <v>14627</v>
      </c>
      <c r="D4887" s="60" t="s">
        <v>14628</v>
      </c>
    </row>
    <row r="4888" spans="2:4" x14ac:dyDescent="0.35">
      <c r="B4888" s="60" t="s">
        <v>14629</v>
      </c>
      <c r="C4888" s="60" t="s">
        <v>14630</v>
      </c>
      <c r="D4888" s="60" t="s">
        <v>14631</v>
      </c>
    </row>
    <row r="4889" spans="2:4" x14ac:dyDescent="0.35">
      <c r="B4889" s="60" t="s">
        <v>14632</v>
      </c>
      <c r="C4889" s="60" t="s">
        <v>14633</v>
      </c>
      <c r="D4889" s="60" t="s">
        <v>14634</v>
      </c>
    </row>
    <row r="4890" spans="2:4" x14ac:dyDescent="0.35">
      <c r="B4890" s="60" t="s">
        <v>14635</v>
      </c>
      <c r="C4890" s="60" t="s">
        <v>14636</v>
      </c>
      <c r="D4890" s="60" t="s">
        <v>14637</v>
      </c>
    </row>
    <row r="4891" spans="2:4" x14ac:dyDescent="0.35">
      <c r="B4891" s="60" t="s">
        <v>14638</v>
      </c>
      <c r="C4891" s="60" t="s">
        <v>14639</v>
      </c>
      <c r="D4891" s="60" t="s">
        <v>14640</v>
      </c>
    </row>
    <row r="4892" spans="2:4" x14ac:dyDescent="0.35">
      <c r="B4892" s="60" t="s">
        <v>14641</v>
      </c>
      <c r="C4892" s="60" t="s">
        <v>14642</v>
      </c>
      <c r="D4892" s="60" t="s">
        <v>14643</v>
      </c>
    </row>
    <row r="4893" spans="2:4" x14ac:dyDescent="0.35">
      <c r="B4893" s="60" t="s">
        <v>14644</v>
      </c>
      <c r="C4893" s="60" t="s">
        <v>14645</v>
      </c>
      <c r="D4893" s="60" t="s">
        <v>14646</v>
      </c>
    </row>
    <row r="4894" spans="2:4" x14ac:dyDescent="0.35">
      <c r="B4894" s="60" t="s">
        <v>14647</v>
      </c>
      <c r="C4894" s="60" t="s">
        <v>14648</v>
      </c>
      <c r="D4894" s="60" t="s">
        <v>2879</v>
      </c>
    </row>
    <row r="4895" spans="2:4" x14ac:dyDescent="0.35">
      <c r="B4895" s="60" t="s">
        <v>14649</v>
      </c>
      <c r="C4895" s="60" t="s">
        <v>14650</v>
      </c>
      <c r="D4895" s="60" t="s">
        <v>14651</v>
      </c>
    </row>
    <row r="4896" spans="2:4" x14ac:dyDescent="0.35">
      <c r="B4896" s="60" t="s">
        <v>14652</v>
      </c>
      <c r="C4896" s="60" t="s">
        <v>14653</v>
      </c>
      <c r="D4896" s="60" t="s">
        <v>14654</v>
      </c>
    </row>
    <row r="4897" spans="2:4" x14ac:dyDescent="0.35">
      <c r="B4897" s="60" t="s">
        <v>14655</v>
      </c>
      <c r="C4897" s="60" t="s">
        <v>14656</v>
      </c>
      <c r="D4897" s="60" t="s">
        <v>14657</v>
      </c>
    </row>
    <row r="4898" spans="2:4" x14ac:dyDescent="0.35">
      <c r="B4898" s="60" t="s">
        <v>14658</v>
      </c>
      <c r="C4898" s="60" t="s">
        <v>14659</v>
      </c>
      <c r="D4898" s="60" t="s">
        <v>14660</v>
      </c>
    </row>
    <row r="4899" spans="2:4" x14ac:dyDescent="0.35">
      <c r="B4899" s="60" t="s">
        <v>14661</v>
      </c>
      <c r="C4899" s="60" t="s">
        <v>14662</v>
      </c>
      <c r="D4899" s="60" t="s">
        <v>14663</v>
      </c>
    </row>
    <row r="4900" spans="2:4" x14ac:dyDescent="0.35">
      <c r="B4900" s="60" t="s">
        <v>14664</v>
      </c>
      <c r="C4900" s="60" t="s">
        <v>14665</v>
      </c>
      <c r="D4900" s="60" t="s">
        <v>14666</v>
      </c>
    </row>
    <row r="4901" spans="2:4" x14ac:dyDescent="0.35">
      <c r="B4901" s="60" t="s">
        <v>14667</v>
      </c>
      <c r="C4901" s="60" t="s">
        <v>14668</v>
      </c>
      <c r="D4901" s="60" t="s">
        <v>14669</v>
      </c>
    </row>
    <row r="4902" spans="2:4" x14ac:dyDescent="0.35">
      <c r="B4902" s="60" t="s">
        <v>14670</v>
      </c>
      <c r="C4902" s="60" t="s">
        <v>14671</v>
      </c>
      <c r="D4902" s="60" t="s">
        <v>14672</v>
      </c>
    </row>
    <row r="4903" spans="2:4" x14ac:dyDescent="0.35">
      <c r="B4903" s="60" t="s">
        <v>14673</v>
      </c>
      <c r="C4903" s="60" t="s">
        <v>14674</v>
      </c>
      <c r="D4903" s="60" t="s">
        <v>14675</v>
      </c>
    </row>
    <row r="4904" spans="2:4" x14ac:dyDescent="0.35">
      <c r="B4904" s="60" t="s">
        <v>14676</v>
      </c>
      <c r="C4904" s="60" t="s">
        <v>14677</v>
      </c>
      <c r="D4904" s="60" t="s">
        <v>14678</v>
      </c>
    </row>
    <row r="4905" spans="2:4" x14ac:dyDescent="0.35">
      <c r="B4905" s="60" t="s">
        <v>14679</v>
      </c>
      <c r="C4905" s="60" t="s">
        <v>14680</v>
      </c>
      <c r="D4905" s="60" t="s">
        <v>14681</v>
      </c>
    </row>
    <row r="4906" spans="2:4" x14ac:dyDescent="0.35">
      <c r="B4906" s="60" t="s">
        <v>14682</v>
      </c>
      <c r="C4906" s="60" t="s">
        <v>14683</v>
      </c>
      <c r="D4906" s="60" t="s">
        <v>14684</v>
      </c>
    </row>
    <row r="4907" spans="2:4" x14ac:dyDescent="0.35">
      <c r="B4907" s="60" t="s">
        <v>14685</v>
      </c>
      <c r="C4907" s="60" t="s">
        <v>14686</v>
      </c>
      <c r="D4907" s="60" t="s">
        <v>14687</v>
      </c>
    </row>
    <row r="4908" spans="2:4" x14ac:dyDescent="0.35">
      <c r="B4908" s="60" t="s">
        <v>14688</v>
      </c>
      <c r="C4908" s="60" t="s">
        <v>14689</v>
      </c>
      <c r="D4908" s="60" t="s">
        <v>14690</v>
      </c>
    </row>
    <row r="4909" spans="2:4" x14ac:dyDescent="0.35">
      <c r="B4909" s="60" t="s">
        <v>14691</v>
      </c>
      <c r="C4909" s="60" t="s">
        <v>14692</v>
      </c>
      <c r="D4909" s="60" t="s">
        <v>14693</v>
      </c>
    </row>
    <row r="4910" spans="2:4" x14ac:dyDescent="0.35">
      <c r="B4910" s="60" t="s">
        <v>14694</v>
      </c>
      <c r="C4910" s="60" t="s">
        <v>14695</v>
      </c>
      <c r="D4910" s="60" t="s">
        <v>14696</v>
      </c>
    </row>
    <row r="4911" spans="2:4" x14ac:dyDescent="0.35">
      <c r="B4911" s="60" t="s">
        <v>14697</v>
      </c>
      <c r="C4911" s="60" t="s">
        <v>14698</v>
      </c>
      <c r="D4911" s="60" t="s">
        <v>14699</v>
      </c>
    </row>
    <row r="4912" spans="2:4" x14ac:dyDescent="0.35">
      <c r="B4912" s="60" t="s">
        <v>14700</v>
      </c>
      <c r="C4912" s="60" t="s">
        <v>14701</v>
      </c>
      <c r="D4912" s="60" t="s">
        <v>14702</v>
      </c>
    </row>
    <row r="4913" spans="2:4" x14ac:dyDescent="0.35">
      <c r="B4913" s="60" t="s">
        <v>14703</v>
      </c>
      <c r="C4913" s="60" t="s">
        <v>14704</v>
      </c>
      <c r="D4913" s="60" t="s">
        <v>14705</v>
      </c>
    </row>
    <row r="4914" spans="2:4" x14ac:dyDescent="0.35">
      <c r="B4914" s="60" t="s">
        <v>14706</v>
      </c>
      <c r="C4914" s="60" t="s">
        <v>14707</v>
      </c>
      <c r="D4914" s="60" t="s">
        <v>14708</v>
      </c>
    </row>
    <row r="4915" spans="2:4" x14ac:dyDescent="0.35">
      <c r="B4915" s="60" t="s">
        <v>14709</v>
      </c>
      <c r="C4915" s="60" t="s">
        <v>14710</v>
      </c>
      <c r="D4915" s="60" t="s">
        <v>14711</v>
      </c>
    </row>
    <row r="4916" spans="2:4" x14ac:dyDescent="0.35">
      <c r="B4916" s="60" t="s">
        <v>14712</v>
      </c>
      <c r="C4916" s="60" t="s">
        <v>14713</v>
      </c>
      <c r="D4916" s="60" t="s">
        <v>14714</v>
      </c>
    </row>
    <row r="4917" spans="2:4" x14ac:dyDescent="0.35">
      <c r="B4917" s="60" t="s">
        <v>14715</v>
      </c>
      <c r="C4917" s="60" t="s">
        <v>14716</v>
      </c>
      <c r="D4917" s="60" t="s">
        <v>14717</v>
      </c>
    </row>
    <row r="4918" spans="2:4" x14ac:dyDescent="0.35">
      <c r="B4918" s="60" t="s">
        <v>14718</v>
      </c>
      <c r="C4918" s="60" t="s">
        <v>14719</v>
      </c>
      <c r="D4918" s="60" t="s">
        <v>14720</v>
      </c>
    </row>
    <row r="4919" spans="2:4" x14ac:dyDescent="0.35">
      <c r="B4919" s="60" t="s">
        <v>14721</v>
      </c>
      <c r="C4919" s="60" t="s">
        <v>14722</v>
      </c>
      <c r="D4919" s="60" t="s">
        <v>14723</v>
      </c>
    </row>
    <row r="4920" spans="2:4" x14ac:dyDescent="0.35">
      <c r="B4920" s="60" t="s">
        <v>14724</v>
      </c>
      <c r="C4920" s="60" t="s">
        <v>14725</v>
      </c>
      <c r="D4920" s="60" t="s">
        <v>14726</v>
      </c>
    </row>
    <row r="4921" spans="2:4" x14ac:dyDescent="0.35">
      <c r="B4921" s="60" t="s">
        <v>14727</v>
      </c>
      <c r="C4921" s="60" t="s">
        <v>14728</v>
      </c>
      <c r="D4921" s="60" t="s">
        <v>14729</v>
      </c>
    </row>
    <row r="4922" spans="2:4" x14ac:dyDescent="0.35">
      <c r="B4922" s="60" t="s">
        <v>14730</v>
      </c>
      <c r="C4922" s="60" t="s">
        <v>14731</v>
      </c>
      <c r="D4922" s="60" t="s">
        <v>14732</v>
      </c>
    </row>
    <row r="4923" spans="2:4" x14ac:dyDescent="0.35">
      <c r="B4923" s="60" t="s">
        <v>14730</v>
      </c>
      <c r="C4923" s="60" t="s">
        <v>14733</v>
      </c>
      <c r="D4923" s="60" t="s">
        <v>14734</v>
      </c>
    </row>
    <row r="4924" spans="2:4" x14ac:dyDescent="0.35">
      <c r="B4924" s="60" t="s">
        <v>14735</v>
      </c>
      <c r="C4924" s="60" t="s">
        <v>14736</v>
      </c>
      <c r="D4924" s="60" t="s">
        <v>14737</v>
      </c>
    </row>
    <row r="4925" spans="2:4" x14ac:dyDescent="0.35">
      <c r="B4925" s="60" t="s">
        <v>14738</v>
      </c>
      <c r="C4925" s="60" t="s">
        <v>14739</v>
      </c>
      <c r="D4925" s="60" t="s">
        <v>14740</v>
      </c>
    </row>
    <row r="4926" spans="2:4" x14ac:dyDescent="0.35">
      <c r="B4926" s="60" t="s">
        <v>14741</v>
      </c>
      <c r="C4926" s="60" t="s">
        <v>14742</v>
      </c>
      <c r="D4926" s="60" t="s">
        <v>14743</v>
      </c>
    </row>
    <row r="4927" spans="2:4" x14ac:dyDescent="0.35">
      <c r="B4927" s="60" t="s">
        <v>14744</v>
      </c>
      <c r="C4927" s="60" t="s">
        <v>14745</v>
      </c>
      <c r="D4927" s="60" t="s">
        <v>14746</v>
      </c>
    </row>
    <row r="4928" spans="2:4" x14ac:dyDescent="0.35">
      <c r="B4928" s="60" t="s">
        <v>14747</v>
      </c>
      <c r="C4928" s="60" t="s">
        <v>14748</v>
      </c>
      <c r="D4928" s="60" t="s">
        <v>14749</v>
      </c>
    </row>
    <row r="4929" spans="2:4" x14ac:dyDescent="0.35">
      <c r="B4929" s="60" t="s">
        <v>14750</v>
      </c>
      <c r="C4929" s="60" t="s">
        <v>14751</v>
      </c>
      <c r="D4929" s="60" t="s">
        <v>14752</v>
      </c>
    </row>
    <row r="4930" spans="2:4" x14ac:dyDescent="0.35">
      <c r="B4930" s="60" t="s">
        <v>14753</v>
      </c>
      <c r="C4930" s="60" t="s">
        <v>14754</v>
      </c>
      <c r="D4930" s="60" t="s">
        <v>14755</v>
      </c>
    </row>
    <row r="4931" spans="2:4" x14ac:dyDescent="0.35">
      <c r="B4931" s="60" t="s">
        <v>14756</v>
      </c>
      <c r="C4931" s="60" t="s">
        <v>14757</v>
      </c>
      <c r="D4931" s="60" t="s">
        <v>14758</v>
      </c>
    </row>
    <row r="4932" spans="2:4" x14ac:dyDescent="0.35">
      <c r="B4932" s="60" t="s">
        <v>14759</v>
      </c>
      <c r="C4932" s="60" t="s">
        <v>14760</v>
      </c>
      <c r="D4932" s="60" t="s">
        <v>14761</v>
      </c>
    </row>
    <row r="4933" spans="2:4" x14ac:dyDescent="0.35">
      <c r="B4933" s="60" t="s">
        <v>14762</v>
      </c>
      <c r="C4933" s="60" t="s">
        <v>14763</v>
      </c>
      <c r="D4933" s="60" t="s">
        <v>14764</v>
      </c>
    </row>
    <row r="4934" spans="2:4" x14ac:dyDescent="0.35">
      <c r="B4934" s="60" t="s">
        <v>14765</v>
      </c>
      <c r="C4934" s="60" t="s">
        <v>14766</v>
      </c>
      <c r="D4934" s="60" t="s">
        <v>14767</v>
      </c>
    </row>
    <row r="4935" spans="2:4" x14ac:dyDescent="0.35">
      <c r="B4935" s="60" t="s">
        <v>14768</v>
      </c>
      <c r="C4935" s="60" t="s">
        <v>14769</v>
      </c>
      <c r="D4935" s="60" t="s">
        <v>14770</v>
      </c>
    </row>
    <row r="4936" spans="2:4" x14ac:dyDescent="0.35">
      <c r="B4936" s="60" t="s">
        <v>14771</v>
      </c>
      <c r="C4936" s="60" t="s">
        <v>14772</v>
      </c>
      <c r="D4936" s="60" t="s">
        <v>14773</v>
      </c>
    </row>
    <row r="4937" spans="2:4" x14ac:dyDescent="0.35">
      <c r="B4937" s="60" t="s">
        <v>14774</v>
      </c>
      <c r="C4937" s="60" t="s">
        <v>14775</v>
      </c>
      <c r="D4937" s="60" t="s">
        <v>14776</v>
      </c>
    </row>
    <row r="4938" spans="2:4" x14ac:dyDescent="0.35">
      <c r="B4938" s="60" t="s">
        <v>14777</v>
      </c>
      <c r="C4938" s="60" t="s">
        <v>14778</v>
      </c>
      <c r="D4938" s="60" t="s">
        <v>14779</v>
      </c>
    </row>
    <row r="4939" spans="2:4" x14ac:dyDescent="0.35">
      <c r="B4939" s="60" t="s">
        <v>14780</v>
      </c>
      <c r="C4939" s="60" t="s">
        <v>14781</v>
      </c>
      <c r="D4939" s="60" t="s">
        <v>14782</v>
      </c>
    </row>
    <row r="4940" spans="2:4" x14ac:dyDescent="0.35">
      <c r="B4940" s="60" t="s">
        <v>14783</v>
      </c>
      <c r="C4940" s="60" t="s">
        <v>14784</v>
      </c>
      <c r="D4940" s="60" t="s">
        <v>14785</v>
      </c>
    </row>
    <row r="4941" spans="2:4" x14ac:dyDescent="0.35">
      <c r="B4941" s="60" t="s">
        <v>14786</v>
      </c>
      <c r="C4941" s="60" t="s">
        <v>14787</v>
      </c>
      <c r="D4941" s="60" t="s">
        <v>14788</v>
      </c>
    </row>
    <row r="4942" spans="2:4" x14ac:dyDescent="0.35">
      <c r="B4942" s="60" t="s">
        <v>14789</v>
      </c>
      <c r="C4942" s="60" t="s">
        <v>14790</v>
      </c>
      <c r="D4942" s="60" t="s">
        <v>14791</v>
      </c>
    </row>
    <row r="4943" spans="2:4" x14ac:dyDescent="0.35">
      <c r="B4943" s="60" t="s">
        <v>14792</v>
      </c>
      <c r="C4943" s="60" t="s">
        <v>14793</v>
      </c>
      <c r="D4943" s="60" t="s">
        <v>14794</v>
      </c>
    </row>
    <row r="4944" spans="2:4" x14ac:dyDescent="0.35">
      <c r="B4944" s="60" t="s">
        <v>14795</v>
      </c>
      <c r="C4944" s="60" t="s">
        <v>14796</v>
      </c>
      <c r="D4944" s="60" t="s">
        <v>14797</v>
      </c>
    </row>
    <row r="4945" spans="2:4" x14ac:dyDescent="0.35">
      <c r="B4945" s="60" t="s">
        <v>14798</v>
      </c>
      <c r="C4945" s="60" t="s">
        <v>14799</v>
      </c>
      <c r="D4945" s="60" t="s">
        <v>14800</v>
      </c>
    </row>
    <row r="4946" spans="2:4" x14ac:dyDescent="0.35">
      <c r="B4946" s="60" t="s">
        <v>14801</v>
      </c>
      <c r="C4946" s="60" t="s">
        <v>14802</v>
      </c>
      <c r="D4946" s="60" t="s">
        <v>14803</v>
      </c>
    </row>
    <row r="4947" spans="2:4" x14ac:dyDescent="0.35">
      <c r="B4947" s="60" t="s">
        <v>14804</v>
      </c>
      <c r="C4947" s="60" t="s">
        <v>14805</v>
      </c>
      <c r="D4947" s="60" t="s">
        <v>14806</v>
      </c>
    </row>
    <row r="4948" spans="2:4" x14ac:dyDescent="0.35">
      <c r="B4948" s="60" t="s">
        <v>14807</v>
      </c>
      <c r="C4948" s="60" t="s">
        <v>14808</v>
      </c>
      <c r="D4948" s="60" t="s">
        <v>14809</v>
      </c>
    </row>
    <row r="4949" spans="2:4" x14ac:dyDescent="0.35">
      <c r="B4949" s="60" t="s">
        <v>14810</v>
      </c>
      <c r="C4949" s="60" t="s">
        <v>14811</v>
      </c>
      <c r="D4949" s="60" t="s">
        <v>14812</v>
      </c>
    </row>
    <row r="4950" spans="2:4" x14ac:dyDescent="0.35">
      <c r="B4950" s="60" t="s">
        <v>14813</v>
      </c>
      <c r="C4950" s="60" t="s">
        <v>14814</v>
      </c>
      <c r="D4950" s="60" t="s">
        <v>14815</v>
      </c>
    </row>
    <row r="4951" spans="2:4" x14ac:dyDescent="0.35">
      <c r="B4951" s="60" t="s">
        <v>14816</v>
      </c>
      <c r="C4951" s="60" t="s">
        <v>14817</v>
      </c>
      <c r="D4951" s="60" t="s">
        <v>14818</v>
      </c>
    </row>
    <row r="4952" spans="2:4" x14ac:dyDescent="0.35">
      <c r="B4952" s="60" t="s">
        <v>14819</v>
      </c>
      <c r="C4952" s="60" t="s">
        <v>14820</v>
      </c>
      <c r="D4952" s="60" t="s">
        <v>14821</v>
      </c>
    </row>
    <row r="4953" spans="2:4" x14ac:dyDescent="0.35">
      <c r="B4953" s="60" t="s">
        <v>14822</v>
      </c>
      <c r="C4953" s="60" t="s">
        <v>14823</v>
      </c>
      <c r="D4953" s="60" t="s">
        <v>14824</v>
      </c>
    </row>
    <row r="4954" spans="2:4" x14ac:dyDescent="0.35">
      <c r="B4954" s="60" t="s">
        <v>14825</v>
      </c>
      <c r="C4954" s="60" t="s">
        <v>14826</v>
      </c>
      <c r="D4954" s="60" t="s">
        <v>14827</v>
      </c>
    </row>
    <row r="4955" spans="2:4" x14ac:dyDescent="0.35">
      <c r="B4955" s="60" t="s">
        <v>14828</v>
      </c>
      <c r="C4955" s="60" t="s">
        <v>14829</v>
      </c>
      <c r="D4955" s="60" t="s">
        <v>14830</v>
      </c>
    </row>
    <row r="4956" spans="2:4" x14ac:dyDescent="0.35">
      <c r="B4956" s="60" t="s">
        <v>14831</v>
      </c>
      <c r="C4956" s="60" t="s">
        <v>14832</v>
      </c>
      <c r="D4956" s="60" t="s">
        <v>14833</v>
      </c>
    </row>
    <row r="4957" spans="2:4" x14ac:dyDescent="0.35">
      <c r="B4957" s="60" t="s">
        <v>14834</v>
      </c>
      <c r="C4957" s="60" t="s">
        <v>14835</v>
      </c>
      <c r="D4957" s="60" t="s">
        <v>14836</v>
      </c>
    </row>
    <row r="4958" spans="2:4" x14ac:dyDescent="0.35">
      <c r="B4958" s="60" t="s">
        <v>14837</v>
      </c>
      <c r="C4958" s="60" t="s">
        <v>14838</v>
      </c>
      <c r="D4958" s="60" t="s">
        <v>14839</v>
      </c>
    </row>
    <row r="4959" spans="2:4" x14ac:dyDescent="0.35">
      <c r="B4959" s="60" t="s">
        <v>14840</v>
      </c>
      <c r="C4959" s="60" t="s">
        <v>14841</v>
      </c>
      <c r="D4959" s="60" t="s">
        <v>14842</v>
      </c>
    </row>
    <row r="4960" spans="2:4" x14ac:dyDescent="0.35">
      <c r="B4960" s="60" t="s">
        <v>14843</v>
      </c>
      <c r="C4960" s="60" t="s">
        <v>14844</v>
      </c>
      <c r="D4960" s="60" t="s">
        <v>14845</v>
      </c>
    </row>
    <row r="4961" spans="2:4" x14ac:dyDescent="0.35">
      <c r="B4961" s="60" t="s">
        <v>14846</v>
      </c>
      <c r="C4961" s="60" t="s">
        <v>14847</v>
      </c>
      <c r="D4961" s="60" t="s">
        <v>14848</v>
      </c>
    </row>
    <row r="4962" spans="2:4" x14ac:dyDescent="0.35">
      <c r="B4962" s="60" t="s">
        <v>14849</v>
      </c>
      <c r="C4962" s="60" t="s">
        <v>14850</v>
      </c>
      <c r="D4962" s="60" t="s">
        <v>14851</v>
      </c>
    </row>
    <row r="4963" spans="2:4" x14ac:dyDescent="0.35">
      <c r="B4963" s="60" t="s">
        <v>14852</v>
      </c>
      <c r="C4963" s="60" t="s">
        <v>14853</v>
      </c>
      <c r="D4963" s="60" t="s">
        <v>14854</v>
      </c>
    </row>
    <row r="4964" spans="2:4" x14ac:dyDescent="0.35">
      <c r="B4964" s="60" t="s">
        <v>14855</v>
      </c>
      <c r="C4964" s="60" t="s">
        <v>14856</v>
      </c>
      <c r="D4964" s="60" t="s">
        <v>14857</v>
      </c>
    </row>
    <row r="4965" spans="2:4" x14ac:dyDescent="0.35">
      <c r="B4965" s="60" t="s">
        <v>14858</v>
      </c>
      <c r="C4965" s="60" t="s">
        <v>14859</v>
      </c>
      <c r="D4965" s="60" t="s">
        <v>14860</v>
      </c>
    </row>
    <row r="4966" spans="2:4" x14ac:dyDescent="0.35">
      <c r="B4966" s="60" t="s">
        <v>14861</v>
      </c>
      <c r="C4966" s="60" t="s">
        <v>14862</v>
      </c>
      <c r="D4966" s="60" t="s">
        <v>14863</v>
      </c>
    </row>
    <row r="4967" spans="2:4" x14ac:dyDescent="0.35">
      <c r="B4967" s="60" t="s">
        <v>14861</v>
      </c>
      <c r="C4967" s="60" t="s">
        <v>14864</v>
      </c>
      <c r="D4967" s="60" t="s">
        <v>14865</v>
      </c>
    </row>
    <row r="4968" spans="2:4" x14ac:dyDescent="0.35">
      <c r="B4968" s="60" t="s">
        <v>14866</v>
      </c>
      <c r="C4968" s="60" t="s">
        <v>14867</v>
      </c>
      <c r="D4968" s="60" t="s">
        <v>14868</v>
      </c>
    </row>
    <row r="4969" spans="2:4" x14ac:dyDescent="0.35">
      <c r="B4969" s="60" t="s">
        <v>14869</v>
      </c>
      <c r="C4969" s="60" t="s">
        <v>14870</v>
      </c>
      <c r="D4969" s="60" t="s">
        <v>14871</v>
      </c>
    </row>
    <row r="4970" spans="2:4" x14ac:dyDescent="0.35">
      <c r="B4970" s="60" t="s">
        <v>14872</v>
      </c>
      <c r="C4970" s="60" t="s">
        <v>14873</v>
      </c>
      <c r="D4970" s="60" t="s">
        <v>14874</v>
      </c>
    </row>
    <row r="4971" spans="2:4" x14ac:dyDescent="0.35">
      <c r="B4971" s="60" t="s">
        <v>14875</v>
      </c>
      <c r="C4971" s="60" t="s">
        <v>14876</v>
      </c>
      <c r="D4971" s="60" t="s">
        <v>14877</v>
      </c>
    </row>
    <row r="4972" spans="2:4" x14ac:dyDescent="0.35">
      <c r="B4972" s="60" t="s">
        <v>14878</v>
      </c>
      <c r="C4972" s="60" t="s">
        <v>14879</v>
      </c>
      <c r="D4972" s="60" t="s">
        <v>14880</v>
      </c>
    </row>
    <row r="4973" spans="2:4" x14ac:dyDescent="0.35">
      <c r="B4973" s="60" t="s">
        <v>14881</v>
      </c>
      <c r="C4973" s="60" t="s">
        <v>14882</v>
      </c>
      <c r="D4973" s="60" t="s">
        <v>14883</v>
      </c>
    </row>
    <row r="4974" spans="2:4" x14ac:dyDescent="0.35">
      <c r="B4974" s="60" t="s">
        <v>14884</v>
      </c>
      <c r="C4974" s="60" t="s">
        <v>14885</v>
      </c>
      <c r="D4974" s="60" t="s">
        <v>14886</v>
      </c>
    </row>
    <row r="4975" spans="2:4" x14ac:dyDescent="0.35">
      <c r="B4975" s="60" t="s">
        <v>14887</v>
      </c>
      <c r="C4975" s="60" t="s">
        <v>14888</v>
      </c>
      <c r="D4975" s="60" t="s">
        <v>14889</v>
      </c>
    </row>
    <row r="4976" spans="2:4" x14ac:dyDescent="0.35">
      <c r="B4976" s="60" t="s">
        <v>14890</v>
      </c>
      <c r="C4976" s="60" t="s">
        <v>14891</v>
      </c>
      <c r="D4976" s="60" t="s">
        <v>14892</v>
      </c>
    </row>
    <row r="4977" spans="2:4" x14ac:dyDescent="0.35">
      <c r="B4977" s="60" t="s">
        <v>14893</v>
      </c>
      <c r="C4977" s="60" t="s">
        <v>14894</v>
      </c>
      <c r="D4977" s="60" t="s">
        <v>14895</v>
      </c>
    </row>
    <row r="4978" spans="2:4" x14ac:dyDescent="0.35">
      <c r="B4978" s="60" t="s">
        <v>14896</v>
      </c>
      <c r="C4978" s="60" t="s">
        <v>14897</v>
      </c>
      <c r="D4978" s="60" t="s">
        <v>14898</v>
      </c>
    </row>
    <row r="4979" spans="2:4" x14ac:dyDescent="0.35">
      <c r="B4979" s="60" t="s">
        <v>14896</v>
      </c>
      <c r="C4979" s="60" t="s">
        <v>14899</v>
      </c>
      <c r="D4979" s="60" t="s">
        <v>14900</v>
      </c>
    </row>
    <row r="4980" spans="2:4" x14ac:dyDescent="0.35">
      <c r="B4980" s="60" t="s">
        <v>14901</v>
      </c>
      <c r="C4980" s="60" t="s">
        <v>14902</v>
      </c>
      <c r="D4980" s="60" t="s">
        <v>14903</v>
      </c>
    </row>
    <row r="4981" spans="2:4" x14ac:dyDescent="0.35">
      <c r="B4981" s="60" t="s">
        <v>14904</v>
      </c>
      <c r="C4981" s="60" t="s">
        <v>14905</v>
      </c>
      <c r="D4981" s="60" t="s">
        <v>14906</v>
      </c>
    </row>
    <row r="4982" spans="2:4" x14ac:dyDescent="0.35">
      <c r="B4982" s="60" t="s">
        <v>14907</v>
      </c>
      <c r="C4982" s="60" t="s">
        <v>14908</v>
      </c>
      <c r="D4982" s="60" t="s">
        <v>14909</v>
      </c>
    </row>
    <row r="4983" spans="2:4" x14ac:dyDescent="0.35">
      <c r="B4983" s="60" t="s">
        <v>14910</v>
      </c>
      <c r="C4983" s="60" t="s">
        <v>14911</v>
      </c>
      <c r="D4983" s="60" t="s">
        <v>14912</v>
      </c>
    </row>
    <row r="4984" spans="2:4" x14ac:dyDescent="0.35">
      <c r="B4984" s="60" t="s">
        <v>14913</v>
      </c>
      <c r="C4984" s="60" t="s">
        <v>14914</v>
      </c>
      <c r="D4984" s="60" t="s">
        <v>14915</v>
      </c>
    </row>
    <row r="4985" spans="2:4" x14ac:dyDescent="0.35">
      <c r="B4985" s="60" t="s">
        <v>14916</v>
      </c>
      <c r="C4985" s="60" t="s">
        <v>14917</v>
      </c>
      <c r="D4985" s="60" t="s">
        <v>14918</v>
      </c>
    </row>
    <row r="4986" spans="2:4" x14ac:dyDescent="0.35">
      <c r="B4986" s="60" t="s">
        <v>14919</v>
      </c>
      <c r="C4986" s="60" t="s">
        <v>14920</v>
      </c>
      <c r="D4986" s="60" t="s">
        <v>14921</v>
      </c>
    </row>
    <row r="4987" spans="2:4" x14ac:dyDescent="0.35">
      <c r="B4987" s="60" t="s">
        <v>14922</v>
      </c>
      <c r="C4987" s="60" t="s">
        <v>14923</v>
      </c>
      <c r="D4987" s="60" t="s">
        <v>14924</v>
      </c>
    </row>
    <row r="4988" spans="2:4" x14ac:dyDescent="0.35">
      <c r="B4988" s="60" t="s">
        <v>14925</v>
      </c>
      <c r="C4988" s="60" t="s">
        <v>14926</v>
      </c>
      <c r="D4988" s="60" t="s">
        <v>14927</v>
      </c>
    </row>
    <row r="4989" spans="2:4" x14ac:dyDescent="0.35">
      <c r="B4989" s="60" t="s">
        <v>14928</v>
      </c>
      <c r="C4989" s="60" t="s">
        <v>14929</v>
      </c>
      <c r="D4989" s="60" t="s">
        <v>14930</v>
      </c>
    </row>
    <row r="4990" spans="2:4" x14ac:dyDescent="0.35">
      <c r="B4990" s="60" t="s">
        <v>14931</v>
      </c>
      <c r="C4990" s="60" t="s">
        <v>14932</v>
      </c>
      <c r="D4990" s="60" t="s">
        <v>14933</v>
      </c>
    </row>
    <row r="4991" spans="2:4" x14ac:dyDescent="0.35">
      <c r="B4991" s="60" t="s">
        <v>14934</v>
      </c>
      <c r="C4991" s="60" t="s">
        <v>14935</v>
      </c>
      <c r="D4991" s="60" t="s">
        <v>14936</v>
      </c>
    </row>
    <row r="4992" spans="2:4" x14ac:dyDescent="0.35">
      <c r="B4992" s="60" t="s">
        <v>14937</v>
      </c>
      <c r="C4992" s="60" t="s">
        <v>14938</v>
      </c>
      <c r="D4992" s="60" t="s">
        <v>14939</v>
      </c>
    </row>
    <row r="4993" spans="2:4" x14ac:dyDescent="0.35">
      <c r="B4993" s="60" t="s">
        <v>14940</v>
      </c>
      <c r="C4993" s="60" t="s">
        <v>14941</v>
      </c>
      <c r="D4993" s="60" t="s">
        <v>14942</v>
      </c>
    </row>
    <row r="4994" spans="2:4" x14ac:dyDescent="0.35">
      <c r="B4994" s="60" t="s">
        <v>14943</v>
      </c>
      <c r="C4994" s="60" t="s">
        <v>14944</v>
      </c>
      <c r="D4994" s="60" t="s">
        <v>14945</v>
      </c>
    </row>
    <row r="4995" spans="2:4" x14ac:dyDescent="0.35">
      <c r="B4995" s="60" t="s">
        <v>14946</v>
      </c>
      <c r="C4995" s="60" t="s">
        <v>14947</v>
      </c>
      <c r="D4995" s="60" t="s">
        <v>14948</v>
      </c>
    </row>
    <row r="4996" spans="2:4" x14ac:dyDescent="0.35">
      <c r="B4996" s="60" t="s">
        <v>14949</v>
      </c>
      <c r="C4996" s="60" t="s">
        <v>14950</v>
      </c>
      <c r="D4996" s="60" t="s">
        <v>14951</v>
      </c>
    </row>
    <row r="4997" spans="2:4" x14ac:dyDescent="0.35">
      <c r="B4997" s="60" t="s">
        <v>14952</v>
      </c>
      <c r="C4997" s="60" t="s">
        <v>14953</v>
      </c>
      <c r="D4997" s="60" t="s">
        <v>14954</v>
      </c>
    </row>
    <row r="4998" spans="2:4" x14ac:dyDescent="0.35">
      <c r="B4998" s="60" t="s">
        <v>14955</v>
      </c>
      <c r="C4998" s="60" t="s">
        <v>14956</v>
      </c>
      <c r="D4998" s="60" t="s">
        <v>14957</v>
      </c>
    </row>
    <row r="4999" spans="2:4" x14ac:dyDescent="0.35">
      <c r="B4999" s="60" t="s">
        <v>14958</v>
      </c>
      <c r="C4999" s="60" t="s">
        <v>14959</v>
      </c>
      <c r="D4999" s="60" t="s">
        <v>14960</v>
      </c>
    </row>
    <row r="5000" spans="2:4" x14ac:dyDescent="0.35">
      <c r="B5000" s="60" t="s">
        <v>14961</v>
      </c>
      <c r="C5000" s="60" t="s">
        <v>14962</v>
      </c>
      <c r="D5000" s="60" t="s">
        <v>14963</v>
      </c>
    </row>
    <row r="5001" spans="2:4" x14ac:dyDescent="0.35">
      <c r="B5001" s="60" t="s">
        <v>14964</v>
      </c>
      <c r="C5001" s="60" t="s">
        <v>14965</v>
      </c>
      <c r="D5001" s="60" t="s">
        <v>14966</v>
      </c>
    </row>
    <row r="5002" spans="2:4" x14ac:dyDescent="0.35">
      <c r="B5002" s="60" t="s">
        <v>14967</v>
      </c>
      <c r="C5002" s="60" t="s">
        <v>14968</v>
      </c>
      <c r="D5002" s="60" t="s">
        <v>14969</v>
      </c>
    </row>
    <row r="5003" spans="2:4" x14ac:dyDescent="0.35">
      <c r="B5003" s="60" t="s">
        <v>14970</v>
      </c>
      <c r="C5003" s="60" t="s">
        <v>14971</v>
      </c>
      <c r="D5003" s="60" t="s">
        <v>14972</v>
      </c>
    </row>
    <row r="5004" spans="2:4" x14ac:dyDescent="0.35">
      <c r="B5004" s="60" t="s">
        <v>14973</v>
      </c>
      <c r="C5004" s="60" t="s">
        <v>14974</v>
      </c>
      <c r="D5004" s="60" t="s">
        <v>14975</v>
      </c>
    </row>
    <row r="5005" spans="2:4" x14ac:dyDescent="0.35">
      <c r="B5005" s="60" t="s">
        <v>14976</v>
      </c>
      <c r="C5005" s="60" t="s">
        <v>14977</v>
      </c>
      <c r="D5005" s="60" t="s">
        <v>14978</v>
      </c>
    </row>
    <row r="5006" spans="2:4" x14ac:dyDescent="0.35">
      <c r="B5006" s="60" t="s">
        <v>14979</v>
      </c>
      <c r="C5006" s="60" t="s">
        <v>14980</v>
      </c>
      <c r="D5006" s="60" t="s">
        <v>14981</v>
      </c>
    </row>
    <row r="5007" spans="2:4" x14ac:dyDescent="0.35">
      <c r="B5007" s="60" t="s">
        <v>14982</v>
      </c>
      <c r="C5007" s="60" t="s">
        <v>14983</v>
      </c>
      <c r="D5007" s="60" t="s">
        <v>14984</v>
      </c>
    </row>
    <row r="5008" spans="2:4" x14ac:dyDescent="0.35">
      <c r="B5008" s="60" t="s">
        <v>14985</v>
      </c>
      <c r="C5008" s="60" t="s">
        <v>14986</v>
      </c>
      <c r="D5008" s="60" t="s">
        <v>14987</v>
      </c>
    </row>
    <row r="5009" spans="2:4" x14ac:dyDescent="0.35">
      <c r="B5009" s="60" t="s">
        <v>14988</v>
      </c>
      <c r="C5009" s="60" t="s">
        <v>14989</v>
      </c>
      <c r="D5009" s="60" t="s">
        <v>14990</v>
      </c>
    </row>
    <row r="5010" spans="2:4" x14ac:dyDescent="0.35">
      <c r="B5010" s="60" t="s">
        <v>14988</v>
      </c>
      <c r="C5010" s="60" t="s">
        <v>14991</v>
      </c>
      <c r="D5010" s="60" t="s">
        <v>14992</v>
      </c>
    </row>
    <row r="5011" spans="2:4" x14ac:dyDescent="0.35">
      <c r="B5011" s="60" t="s">
        <v>14993</v>
      </c>
      <c r="C5011" s="60" t="s">
        <v>14994</v>
      </c>
      <c r="D5011" s="60" t="s">
        <v>14995</v>
      </c>
    </row>
    <row r="5012" spans="2:4" x14ac:dyDescent="0.35">
      <c r="B5012" s="60" t="s">
        <v>14996</v>
      </c>
      <c r="C5012" s="60" t="s">
        <v>14997</v>
      </c>
      <c r="D5012" s="60" t="s">
        <v>14998</v>
      </c>
    </row>
    <row r="5013" spans="2:4" x14ac:dyDescent="0.35">
      <c r="B5013" s="60" t="s">
        <v>14999</v>
      </c>
      <c r="C5013" s="60" t="s">
        <v>15000</v>
      </c>
      <c r="D5013" s="60" t="s">
        <v>15001</v>
      </c>
    </row>
    <row r="5014" spans="2:4" x14ac:dyDescent="0.35">
      <c r="B5014" s="60" t="s">
        <v>14999</v>
      </c>
      <c r="C5014" s="60" t="s">
        <v>15002</v>
      </c>
      <c r="D5014" s="60" t="s">
        <v>15003</v>
      </c>
    </row>
    <row r="5015" spans="2:4" x14ac:dyDescent="0.35">
      <c r="B5015" s="60" t="s">
        <v>15004</v>
      </c>
      <c r="C5015" s="60" t="s">
        <v>15005</v>
      </c>
      <c r="D5015" s="60" t="s">
        <v>15006</v>
      </c>
    </row>
    <row r="5016" spans="2:4" x14ac:dyDescent="0.35">
      <c r="B5016" s="60" t="s">
        <v>15007</v>
      </c>
      <c r="C5016" s="60" t="s">
        <v>15008</v>
      </c>
      <c r="D5016" s="60" t="s">
        <v>15009</v>
      </c>
    </row>
    <row r="5017" spans="2:4" x14ac:dyDescent="0.35">
      <c r="B5017" s="60" t="s">
        <v>15010</v>
      </c>
      <c r="C5017" s="60" t="s">
        <v>15011</v>
      </c>
      <c r="D5017" s="60" t="s">
        <v>15012</v>
      </c>
    </row>
    <row r="5018" spans="2:4" x14ac:dyDescent="0.35">
      <c r="B5018" s="60" t="s">
        <v>15013</v>
      </c>
      <c r="C5018" s="60" t="s">
        <v>15014</v>
      </c>
      <c r="D5018" s="60" t="s">
        <v>15015</v>
      </c>
    </row>
    <row r="5019" spans="2:4" x14ac:dyDescent="0.35">
      <c r="B5019" s="60" t="s">
        <v>15016</v>
      </c>
      <c r="C5019" s="60" t="s">
        <v>15017</v>
      </c>
      <c r="D5019" s="60" t="s">
        <v>15018</v>
      </c>
    </row>
    <row r="5020" spans="2:4" x14ac:dyDescent="0.35">
      <c r="B5020" s="60" t="s">
        <v>15019</v>
      </c>
      <c r="C5020" s="60" t="s">
        <v>15020</v>
      </c>
      <c r="D5020" s="60" t="s">
        <v>15021</v>
      </c>
    </row>
    <row r="5021" spans="2:4" x14ac:dyDescent="0.35">
      <c r="B5021" s="60" t="s">
        <v>15022</v>
      </c>
      <c r="C5021" s="60" t="s">
        <v>15023</v>
      </c>
      <c r="D5021" s="60" t="s">
        <v>15024</v>
      </c>
    </row>
    <row r="5022" spans="2:4" x14ac:dyDescent="0.35">
      <c r="B5022" s="60" t="s">
        <v>15025</v>
      </c>
      <c r="C5022" s="60" t="s">
        <v>15026</v>
      </c>
      <c r="D5022" s="60" t="s">
        <v>15027</v>
      </c>
    </row>
    <row r="5023" spans="2:4" x14ac:dyDescent="0.35">
      <c r="B5023" s="60" t="s">
        <v>15028</v>
      </c>
      <c r="C5023" s="60" t="s">
        <v>15029</v>
      </c>
      <c r="D5023" s="60" t="s">
        <v>15030</v>
      </c>
    </row>
    <row r="5024" spans="2:4" x14ac:dyDescent="0.35">
      <c r="B5024" s="60" t="s">
        <v>15031</v>
      </c>
      <c r="C5024" s="60" t="s">
        <v>15032</v>
      </c>
      <c r="D5024" s="60" t="s">
        <v>15033</v>
      </c>
    </row>
    <row r="5025" spans="2:4" x14ac:dyDescent="0.35">
      <c r="B5025" s="60" t="s">
        <v>15034</v>
      </c>
      <c r="C5025" s="60" t="s">
        <v>15035</v>
      </c>
      <c r="D5025" s="60" t="s">
        <v>15036</v>
      </c>
    </row>
    <row r="5026" spans="2:4" x14ac:dyDescent="0.35">
      <c r="B5026" s="60" t="s">
        <v>15034</v>
      </c>
      <c r="C5026" s="60" t="s">
        <v>15037</v>
      </c>
      <c r="D5026" s="60" t="s">
        <v>15038</v>
      </c>
    </row>
    <row r="5027" spans="2:4" x14ac:dyDescent="0.35">
      <c r="B5027" s="60" t="s">
        <v>15039</v>
      </c>
      <c r="C5027" s="60" t="s">
        <v>15040</v>
      </c>
      <c r="D5027" s="60" t="s">
        <v>15041</v>
      </c>
    </row>
    <row r="5028" spans="2:4" x14ac:dyDescent="0.35">
      <c r="B5028" s="60" t="s">
        <v>15042</v>
      </c>
      <c r="C5028" s="60" t="s">
        <v>15043</v>
      </c>
      <c r="D5028" s="60" t="s">
        <v>15044</v>
      </c>
    </row>
    <row r="5029" spans="2:4" x14ac:dyDescent="0.35">
      <c r="B5029" s="60" t="s">
        <v>15045</v>
      </c>
      <c r="C5029" s="60" t="s">
        <v>15046</v>
      </c>
      <c r="D5029" s="60" t="s">
        <v>15047</v>
      </c>
    </row>
    <row r="5030" spans="2:4" x14ac:dyDescent="0.35">
      <c r="B5030" s="60" t="s">
        <v>15048</v>
      </c>
      <c r="C5030" s="60" t="s">
        <v>15049</v>
      </c>
      <c r="D5030" s="60" t="s">
        <v>15050</v>
      </c>
    </row>
    <row r="5031" spans="2:4" x14ac:dyDescent="0.35">
      <c r="B5031" s="60" t="s">
        <v>15051</v>
      </c>
      <c r="C5031" s="60" t="s">
        <v>15052</v>
      </c>
      <c r="D5031" s="60" t="s">
        <v>15053</v>
      </c>
    </row>
    <row r="5032" spans="2:4" x14ac:dyDescent="0.35">
      <c r="B5032" s="60" t="s">
        <v>15054</v>
      </c>
      <c r="C5032" s="60" t="s">
        <v>15055</v>
      </c>
      <c r="D5032" s="60" t="s">
        <v>15056</v>
      </c>
    </row>
    <row r="5033" spans="2:4" x14ac:dyDescent="0.35">
      <c r="B5033" s="60" t="s">
        <v>15057</v>
      </c>
      <c r="C5033" s="60" t="s">
        <v>15058</v>
      </c>
      <c r="D5033" s="60" t="s">
        <v>15059</v>
      </c>
    </row>
    <row r="5034" spans="2:4" x14ac:dyDescent="0.35">
      <c r="B5034" s="60" t="s">
        <v>15060</v>
      </c>
      <c r="C5034" s="60" t="s">
        <v>15061</v>
      </c>
      <c r="D5034" s="60" t="s">
        <v>15062</v>
      </c>
    </row>
    <row r="5035" spans="2:4" x14ac:dyDescent="0.35">
      <c r="B5035" s="60" t="s">
        <v>15063</v>
      </c>
      <c r="C5035" s="60" t="s">
        <v>15064</v>
      </c>
      <c r="D5035" s="60" t="s">
        <v>15065</v>
      </c>
    </row>
    <row r="5036" spans="2:4" x14ac:dyDescent="0.35">
      <c r="B5036" s="60" t="s">
        <v>15066</v>
      </c>
      <c r="C5036" s="60" t="s">
        <v>15067</v>
      </c>
      <c r="D5036" s="60" t="s">
        <v>15068</v>
      </c>
    </row>
    <row r="5037" spans="2:4" x14ac:dyDescent="0.35">
      <c r="B5037" s="60" t="s">
        <v>15069</v>
      </c>
      <c r="C5037" s="60" t="s">
        <v>15070</v>
      </c>
      <c r="D5037" s="60" t="s">
        <v>15071</v>
      </c>
    </row>
    <row r="5038" spans="2:4" x14ac:dyDescent="0.35">
      <c r="B5038" s="60" t="s">
        <v>15072</v>
      </c>
      <c r="C5038" s="60" t="s">
        <v>15073</v>
      </c>
      <c r="D5038" s="60" t="s">
        <v>15074</v>
      </c>
    </row>
    <row r="5039" spans="2:4" x14ac:dyDescent="0.35">
      <c r="B5039" s="60" t="s">
        <v>15075</v>
      </c>
      <c r="C5039" s="60" t="s">
        <v>15076</v>
      </c>
      <c r="D5039" s="60" t="s">
        <v>15077</v>
      </c>
    </row>
    <row r="5040" spans="2:4" x14ac:dyDescent="0.35">
      <c r="B5040" s="60" t="s">
        <v>15078</v>
      </c>
      <c r="C5040" s="60" t="s">
        <v>15079</v>
      </c>
      <c r="D5040" s="60" t="s">
        <v>15080</v>
      </c>
    </row>
    <row r="5041" spans="2:4" x14ac:dyDescent="0.35">
      <c r="B5041" s="60" t="s">
        <v>15081</v>
      </c>
      <c r="C5041" s="60" t="s">
        <v>15082</v>
      </c>
      <c r="D5041" s="60" t="s">
        <v>15083</v>
      </c>
    </row>
    <row r="5042" spans="2:4" x14ac:dyDescent="0.35">
      <c r="B5042" s="60" t="s">
        <v>15084</v>
      </c>
      <c r="C5042" s="60" t="s">
        <v>15085</v>
      </c>
      <c r="D5042" s="60" t="s">
        <v>15086</v>
      </c>
    </row>
    <row r="5043" spans="2:4" x14ac:dyDescent="0.35">
      <c r="B5043" s="60" t="s">
        <v>15087</v>
      </c>
      <c r="C5043" s="60" t="s">
        <v>15088</v>
      </c>
      <c r="D5043" s="60" t="s">
        <v>15089</v>
      </c>
    </row>
    <row r="5044" spans="2:4" x14ac:dyDescent="0.35">
      <c r="B5044" s="60" t="s">
        <v>15090</v>
      </c>
      <c r="C5044" s="60" t="s">
        <v>15091</v>
      </c>
      <c r="D5044" s="60" t="s">
        <v>15092</v>
      </c>
    </row>
    <row r="5045" spans="2:4" x14ac:dyDescent="0.35">
      <c r="B5045" s="60" t="s">
        <v>15090</v>
      </c>
      <c r="C5045" s="60" t="s">
        <v>15093</v>
      </c>
      <c r="D5045" s="60" t="s">
        <v>15094</v>
      </c>
    </row>
    <row r="5046" spans="2:4" x14ac:dyDescent="0.35">
      <c r="B5046" s="60" t="s">
        <v>15095</v>
      </c>
      <c r="C5046" s="60" t="s">
        <v>15096</v>
      </c>
      <c r="D5046" s="60" t="s">
        <v>15097</v>
      </c>
    </row>
    <row r="5047" spans="2:4" x14ac:dyDescent="0.35">
      <c r="B5047" s="60" t="s">
        <v>15098</v>
      </c>
      <c r="C5047" s="60" t="s">
        <v>15099</v>
      </c>
      <c r="D5047" s="60" t="s">
        <v>15100</v>
      </c>
    </row>
    <row r="5048" spans="2:4" x14ac:dyDescent="0.35">
      <c r="B5048" s="60" t="s">
        <v>15101</v>
      </c>
      <c r="C5048" s="60" t="s">
        <v>15102</v>
      </c>
      <c r="D5048" s="60" t="s">
        <v>15103</v>
      </c>
    </row>
    <row r="5049" spans="2:4" x14ac:dyDescent="0.35">
      <c r="B5049" s="60" t="s">
        <v>15104</v>
      </c>
      <c r="C5049" s="60" t="s">
        <v>15105</v>
      </c>
      <c r="D5049" s="60" t="s">
        <v>15106</v>
      </c>
    </row>
    <row r="5050" spans="2:4" x14ac:dyDescent="0.35">
      <c r="B5050" s="60" t="s">
        <v>15107</v>
      </c>
      <c r="C5050" s="60" t="s">
        <v>15108</v>
      </c>
      <c r="D5050" s="60" t="s">
        <v>15109</v>
      </c>
    </row>
    <row r="5051" spans="2:4" x14ac:dyDescent="0.35">
      <c r="B5051" s="60" t="s">
        <v>15110</v>
      </c>
      <c r="C5051" s="60" t="s">
        <v>15111</v>
      </c>
      <c r="D5051" s="60" t="s">
        <v>15112</v>
      </c>
    </row>
    <row r="5052" spans="2:4" x14ac:dyDescent="0.35">
      <c r="B5052" s="60" t="s">
        <v>15113</v>
      </c>
      <c r="C5052" s="60" t="s">
        <v>15114</v>
      </c>
      <c r="D5052" s="60" t="s">
        <v>15115</v>
      </c>
    </row>
    <row r="5053" spans="2:4" x14ac:dyDescent="0.35">
      <c r="B5053" s="60" t="s">
        <v>15116</v>
      </c>
      <c r="C5053" s="60" t="s">
        <v>15117</v>
      </c>
      <c r="D5053" s="60" t="s">
        <v>15118</v>
      </c>
    </row>
    <row r="5054" spans="2:4" x14ac:dyDescent="0.35">
      <c r="B5054" s="60" t="s">
        <v>15119</v>
      </c>
      <c r="C5054" s="60" t="s">
        <v>15120</v>
      </c>
      <c r="D5054" s="60" t="s">
        <v>15121</v>
      </c>
    </row>
    <row r="5055" spans="2:4" x14ac:dyDescent="0.35">
      <c r="B5055" s="60" t="s">
        <v>15122</v>
      </c>
      <c r="C5055" s="60" t="s">
        <v>15123</v>
      </c>
      <c r="D5055" s="60" t="s">
        <v>15124</v>
      </c>
    </row>
    <row r="5056" spans="2:4" x14ac:dyDescent="0.35">
      <c r="B5056" s="60" t="s">
        <v>15125</v>
      </c>
      <c r="C5056" s="60" t="s">
        <v>15126</v>
      </c>
      <c r="D5056" s="60" t="s">
        <v>15127</v>
      </c>
    </row>
    <row r="5057" spans="2:4" x14ac:dyDescent="0.35">
      <c r="B5057" s="60" t="s">
        <v>15128</v>
      </c>
      <c r="C5057" s="60" t="s">
        <v>15129</v>
      </c>
      <c r="D5057" s="60" t="s">
        <v>15130</v>
      </c>
    </row>
    <row r="5058" spans="2:4" x14ac:dyDescent="0.35">
      <c r="B5058" s="60" t="s">
        <v>15131</v>
      </c>
      <c r="C5058" s="60" t="s">
        <v>15132</v>
      </c>
      <c r="D5058" s="60" t="s">
        <v>15133</v>
      </c>
    </row>
    <row r="5059" spans="2:4" x14ac:dyDescent="0.35">
      <c r="B5059" s="60" t="s">
        <v>15134</v>
      </c>
      <c r="C5059" s="60" t="s">
        <v>15135</v>
      </c>
      <c r="D5059" s="60" t="s">
        <v>15136</v>
      </c>
    </row>
    <row r="5060" spans="2:4" x14ac:dyDescent="0.35">
      <c r="B5060" s="60" t="s">
        <v>15137</v>
      </c>
      <c r="C5060" s="60" t="s">
        <v>15138</v>
      </c>
      <c r="D5060" s="60" t="s">
        <v>15139</v>
      </c>
    </row>
    <row r="5061" spans="2:4" x14ac:dyDescent="0.35">
      <c r="B5061" s="60" t="s">
        <v>15140</v>
      </c>
      <c r="C5061" s="60" t="s">
        <v>15141</v>
      </c>
      <c r="D5061" s="60" t="s">
        <v>15142</v>
      </c>
    </row>
    <row r="5062" spans="2:4" x14ac:dyDescent="0.35">
      <c r="B5062" s="60" t="s">
        <v>15143</v>
      </c>
      <c r="C5062" s="60" t="s">
        <v>15144</v>
      </c>
      <c r="D5062" s="60" t="s">
        <v>15145</v>
      </c>
    </row>
    <row r="5063" spans="2:4" x14ac:dyDescent="0.35">
      <c r="B5063" s="60" t="s">
        <v>15146</v>
      </c>
      <c r="C5063" s="60" t="s">
        <v>15147</v>
      </c>
      <c r="D5063" s="60" t="s">
        <v>15148</v>
      </c>
    </row>
    <row r="5064" spans="2:4" x14ac:dyDescent="0.35">
      <c r="B5064" s="60" t="s">
        <v>15149</v>
      </c>
      <c r="C5064" s="60" t="s">
        <v>15150</v>
      </c>
      <c r="D5064" s="60" t="s">
        <v>15151</v>
      </c>
    </row>
    <row r="5065" spans="2:4" x14ac:dyDescent="0.35">
      <c r="B5065" s="60" t="s">
        <v>15152</v>
      </c>
      <c r="C5065" s="60" t="s">
        <v>14897</v>
      </c>
      <c r="D5065" s="60" t="s">
        <v>15153</v>
      </c>
    </row>
    <row r="5066" spans="2:4" x14ac:dyDescent="0.35">
      <c r="B5066" s="60" t="s">
        <v>15154</v>
      </c>
      <c r="C5066" s="60" t="s">
        <v>15155</v>
      </c>
      <c r="D5066" s="60" t="s">
        <v>15156</v>
      </c>
    </row>
    <row r="5067" spans="2:4" x14ac:dyDescent="0.35">
      <c r="B5067" s="60" t="s">
        <v>15157</v>
      </c>
      <c r="C5067" s="60" t="s">
        <v>15158</v>
      </c>
      <c r="D5067" s="60" t="s">
        <v>15159</v>
      </c>
    </row>
    <row r="5068" spans="2:4" x14ac:dyDescent="0.35">
      <c r="B5068" s="60" t="s">
        <v>15160</v>
      </c>
      <c r="C5068" s="60" t="s">
        <v>15161</v>
      </c>
      <c r="D5068" s="60" t="s">
        <v>15162</v>
      </c>
    </row>
    <row r="5069" spans="2:4" x14ac:dyDescent="0.35">
      <c r="B5069" s="60" t="s">
        <v>15163</v>
      </c>
      <c r="C5069" s="60" t="s">
        <v>15164</v>
      </c>
      <c r="D5069" s="60" t="s">
        <v>15165</v>
      </c>
    </row>
    <row r="5070" spans="2:4" x14ac:dyDescent="0.35">
      <c r="B5070" s="60" t="s">
        <v>15166</v>
      </c>
      <c r="C5070" s="60" t="s">
        <v>15167</v>
      </c>
      <c r="D5070" s="60" t="s">
        <v>15168</v>
      </c>
    </row>
    <row r="5071" spans="2:4" x14ac:dyDescent="0.35">
      <c r="B5071" s="60" t="s">
        <v>15169</v>
      </c>
      <c r="C5071" s="60" t="s">
        <v>15170</v>
      </c>
      <c r="D5071" s="60" t="s">
        <v>15171</v>
      </c>
    </row>
    <row r="5072" spans="2:4" x14ac:dyDescent="0.35">
      <c r="B5072" s="60" t="s">
        <v>15172</v>
      </c>
      <c r="C5072" s="60" t="s">
        <v>15173</v>
      </c>
      <c r="D5072" s="60" t="s">
        <v>15174</v>
      </c>
    </row>
    <row r="5073" spans="2:4" x14ac:dyDescent="0.35">
      <c r="B5073" s="60" t="s">
        <v>15175</v>
      </c>
      <c r="C5073" s="60" t="s">
        <v>15176</v>
      </c>
      <c r="D5073" s="60" t="s">
        <v>15177</v>
      </c>
    </row>
    <row r="5074" spans="2:4" x14ac:dyDescent="0.35">
      <c r="B5074" s="60" t="s">
        <v>15178</v>
      </c>
      <c r="C5074" s="60" t="s">
        <v>15179</v>
      </c>
      <c r="D5074" s="60" t="s">
        <v>15180</v>
      </c>
    </row>
    <row r="5075" spans="2:4" x14ac:dyDescent="0.35">
      <c r="B5075" s="60" t="s">
        <v>15181</v>
      </c>
      <c r="C5075" s="60" t="s">
        <v>15182</v>
      </c>
      <c r="D5075" s="60" t="s">
        <v>15183</v>
      </c>
    </row>
    <row r="5076" spans="2:4" x14ac:dyDescent="0.35">
      <c r="B5076" s="60" t="s">
        <v>15184</v>
      </c>
      <c r="C5076" s="60" t="s">
        <v>15185</v>
      </c>
      <c r="D5076" s="60" t="s">
        <v>15186</v>
      </c>
    </row>
    <row r="5077" spans="2:4" x14ac:dyDescent="0.35">
      <c r="B5077" s="60" t="s">
        <v>15187</v>
      </c>
      <c r="C5077" s="60" t="s">
        <v>15188</v>
      </c>
      <c r="D5077" s="60" t="s">
        <v>15189</v>
      </c>
    </row>
    <row r="5078" spans="2:4" x14ac:dyDescent="0.35">
      <c r="B5078" s="60" t="s">
        <v>15190</v>
      </c>
      <c r="C5078" s="60" t="s">
        <v>15191</v>
      </c>
      <c r="D5078" s="60" t="s">
        <v>15192</v>
      </c>
    </row>
    <row r="5079" spans="2:4" x14ac:dyDescent="0.35">
      <c r="B5079" s="60" t="s">
        <v>15193</v>
      </c>
      <c r="C5079" s="60" t="s">
        <v>15194</v>
      </c>
      <c r="D5079" s="60" t="s">
        <v>15195</v>
      </c>
    </row>
    <row r="5080" spans="2:4" x14ac:dyDescent="0.35">
      <c r="B5080" s="60" t="s">
        <v>15196</v>
      </c>
      <c r="C5080" s="60" t="s">
        <v>15197</v>
      </c>
      <c r="D5080" s="60" t="s">
        <v>15198</v>
      </c>
    </row>
    <row r="5081" spans="2:4" x14ac:dyDescent="0.35">
      <c r="B5081" s="60" t="s">
        <v>15199</v>
      </c>
      <c r="C5081" s="60" t="s">
        <v>15200</v>
      </c>
      <c r="D5081" s="60" t="s">
        <v>15201</v>
      </c>
    </row>
    <row r="5082" spans="2:4" x14ac:dyDescent="0.35">
      <c r="B5082" s="60" t="s">
        <v>15202</v>
      </c>
      <c r="C5082" s="60" t="s">
        <v>15203</v>
      </c>
      <c r="D5082" s="60" t="s">
        <v>15204</v>
      </c>
    </row>
    <row r="5083" spans="2:4" x14ac:dyDescent="0.35">
      <c r="B5083" s="60" t="s">
        <v>15205</v>
      </c>
      <c r="C5083" s="60" t="s">
        <v>15206</v>
      </c>
      <c r="D5083" s="60" t="s">
        <v>15207</v>
      </c>
    </row>
    <row r="5084" spans="2:4" x14ac:dyDescent="0.35">
      <c r="B5084" s="60" t="s">
        <v>15208</v>
      </c>
      <c r="C5084" s="60" t="s">
        <v>15209</v>
      </c>
      <c r="D5084" s="60" t="s">
        <v>15210</v>
      </c>
    </row>
    <row r="5085" spans="2:4" x14ac:dyDescent="0.35">
      <c r="B5085" s="60" t="s">
        <v>15211</v>
      </c>
      <c r="C5085" s="60" t="s">
        <v>15212</v>
      </c>
      <c r="D5085" s="60" t="s">
        <v>15213</v>
      </c>
    </row>
    <row r="5086" spans="2:4" x14ac:dyDescent="0.35">
      <c r="B5086" s="60" t="s">
        <v>15214</v>
      </c>
      <c r="C5086" s="60" t="s">
        <v>15215</v>
      </c>
      <c r="D5086" s="60" t="s">
        <v>15216</v>
      </c>
    </row>
    <row r="5087" spans="2:4" x14ac:dyDescent="0.35">
      <c r="B5087" s="60" t="s">
        <v>15217</v>
      </c>
      <c r="C5087" s="60" t="s">
        <v>15218</v>
      </c>
      <c r="D5087" s="60" t="s">
        <v>15219</v>
      </c>
    </row>
    <row r="5088" spans="2:4" x14ac:dyDescent="0.35">
      <c r="B5088" s="60" t="s">
        <v>15220</v>
      </c>
      <c r="C5088" s="60" t="s">
        <v>15221</v>
      </c>
      <c r="D5088" s="60" t="s">
        <v>15222</v>
      </c>
    </row>
    <row r="5089" spans="2:4" x14ac:dyDescent="0.35">
      <c r="B5089" s="60" t="s">
        <v>15223</v>
      </c>
      <c r="C5089" s="60" t="s">
        <v>15224</v>
      </c>
      <c r="D5089" s="60" t="s">
        <v>15225</v>
      </c>
    </row>
    <row r="5090" spans="2:4" x14ac:dyDescent="0.35">
      <c r="B5090" s="60" t="s">
        <v>15226</v>
      </c>
      <c r="C5090" s="60" t="s">
        <v>15227</v>
      </c>
      <c r="D5090" s="60" t="s">
        <v>15228</v>
      </c>
    </row>
    <row r="5091" spans="2:4" x14ac:dyDescent="0.35">
      <c r="B5091" s="60" t="s">
        <v>15229</v>
      </c>
      <c r="C5091" s="60" t="s">
        <v>15230</v>
      </c>
      <c r="D5091" s="60" t="s">
        <v>15231</v>
      </c>
    </row>
    <row r="5092" spans="2:4" x14ac:dyDescent="0.35">
      <c r="B5092" s="60" t="s">
        <v>15232</v>
      </c>
      <c r="C5092" s="60" t="s">
        <v>15233</v>
      </c>
      <c r="D5092" s="60" t="s">
        <v>15234</v>
      </c>
    </row>
    <row r="5093" spans="2:4" x14ac:dyDescent="0.35">
      <c r="B5093" s="60" t="s">
        <v>15235</v>
      </c>
      <c r="C5093" s="60" t="s">
        <v>15236</v>
      </c>
      <c r="D5093" s="60" t="s">
        <v>15237</v>
      </c>
    </row>
    <row r="5094" spans="2:4" x14ac:dyDescent="0.35">
      <c r="B5094" s="60" t="s">
        <v>15238</v>
      </c>
      <c r="C5094" s="60" t="s">
        <v>15239</v>
      </c>
      <c r="D5094" s="60" t="s">
        <v>15240</v>
      </c>
    </row>
    <row r="5095" spans="2:4" x14ac:dyDescent="0.35">
      <c r="B5095" s="60" t="s">
        <v>15241</v>
      </c>
      <c r="C5095" s="60" t="s">
        <v>15242</v>
      </c>
      <c r="D5095" s="60" t="s">
        <v>15243</v>
      </c>
    </row>
    <row r="5096" spans="2:4" x14ac:dyDescent="0.35">
      <c r="B5096" s="60" t="s">
        <v>15244</v>
      </c>
      <c r="C5096" s="60" t="s">
        <v>15245</v>
      </c>
      <c r="D5096" s="60" t="s">
        <v>15246</v>
      </c>
    </row>
    <row r="5097" spans="2:4" x14ac:dyDescent="0.35">
      <c r="B5097" s="60" t="s">
        <v>15247</v>
      </c>
      <c r="C5097" s="60" t="s">
        <v>15248</v>
      </c>
      <c r="D5097" s="60" t="s">
        <v>15249</v>
      </c>
    </row>
    <row r="5098" spans="2:4" x14ac:dyDescent="0.35">
      <c r="B5098" s="60" t="s">
        <v>15250</v>
      </c>
      <c r="C5098" s="60" t="s">
        <v>15251</v>
      </c>
      <c r="D5098" s="60" t="s">
        <v>15252</v>
      </c>
    </row>
    <row r="5099" spans="2:4" x14ac:dyDescent="0.35">
      <c r="B5099" s="60" t="s">
        <v>15253</v>
      </c>
      <c r="C5099" s="60" t="s">
        <v>15254</v>
      </c>
      <c r="D5099" s="60" t="s">
        <v>15255</v>
      </c>
    </row>
    <row r="5100" spans="2:4" x14ac:dyDescent="0.35">
      <c r="B5100" s="60" t="s">
        <v>15253</v>
      </c>
      <c r="C5100" s="60" t="s">
        <v>15256</v>
      </c>
      <c r="D5100" s="60" t="s">
        <v>15257</v>
      </c>
    </row>
    <row r="5101" spans="2:4" x14ac:dyDescent="0.35">
      <c r="B5101" s="60" t="s">
        <v>15258</v>
      </c>
      <c r="C5101" s="60" t="s">
        <v>15259</v>
      </c>
      <c r="D5101" s="60" t="s">
        <v>15260</v>
      </c>
    </row>
    <row r="5102" spans="2:4" x14ac:dyDescent="0.35">
      <c r="B5102" s="60" t="s">
        <v>15261</v>
      </c>
      <c r="C5102" s="60" t="s">
        <v>15262</v>
      </c>
      <c r="D5102" s="60" t="s">
        <v>15263</v>
      </c>
    </row>
    <row r="5103" spans="2:4" x14ac:dyDescent="0.35">
      <c r="B5103" s="60" t="s">
        <v>15264</v>
      </c>
      <c r="C5103" s="60" t="s">
        <v>15265</v>
      </c>
      <c r="D5103" s="60" t="s">
        <v>15266</v>
      </c>
    </row>
    <row r="5104" spans="2:4" x14ac:dyDescent="0.35">
      <c r="B5104" s="60" t="s">
        <v>15267</v>
      </c>
      <c r="C5104" s="60" t="s">
        <v>15268</v>
      </c>
      <c r="D5104" s="60" t="s">
        <v>15269</v>
      </c>
    </row>
    <row r="5105" spans="2:4" x14ac:dyDescent="0.35">
      <c r="B5105" s="60" t="s">
        <v>15270</v>
      </c>
      <c r="C5105" s="60" t="s">
        <v>15271</v>
      </c>
      <c r="D5105" s="60" t="s">
        <v>15272</v>
      </c>
    </row>
    <row r="5106" spans="2:4" x14ac:dyDescent="0.35">
      <c r="B5106" s="60" t="s">
        <v>15273</v>
      </c>
      <c r="C5106" s="60" t="s">
        <v>15274</v>
      </c>
      <c r="D5106" s="60" t="s">
        <v>15275</v>
      </c>
    </row>
    <row r="5107" spans="2:4" x14ac:dyDescent="0.35">
      <c r="B5107" s="60" t="s">
        <v>15276</v>
      </c>
      <c r="C5107" s="60" t="s">
        <v>15277</v>
      </c>
      <c r="D5107" s="60" t="s">
        <v>15278</v>
      </c>
    </row>
    <row r="5108" spans="2:4" x14ac:dyDescent="0.35">
      <c r="B5108" s="60" t="s">
        <v>15279</v>
      </c>
      <c r="C5108" s="60" t="s">
        <v>15280</v>
      </c>
      <c r="D5108" s="60" t="s">
        <v>15281</v>
      </c>
    </row>
    <row r="5109" spans="2:4" x14ac:dyDescent="0.35">
      <c r="B5109" s="60" t="s">
        <v>15282</v>
      </c>
      <c r="C5109" s="60" t="s">
        <v>15283</v>
      </c>
      <c r="D5109" s="60" t="s">
        <v>15284</v>
      </c>
    </row>
    <row r="5110" spans="2:4" x14ac:dyDescent="0.35">
      <c r="B5110" s="60" t="s">
        <v>15285</v>
      </c>
      <c r="C5110" s="60" t="s">
        <v>15286</v>
      </c>
      <c r="D5110" s="60" t="s">
        <v>15287</v>
      </c>
    </row>
    <row r="5111" spans="2:4" x14ac:dyDescent="0.35">
      <c r="B5111" s="60" t="s">
        <v>15288</v>
      </c>
      <c r="C5111" s="60" t="s">
        <v>15289</v>
      </c>
      <c r="D5111" s="60" t="s">
        <v>15290</v>
      </c>
    </row>
    <row r="5112" spans="2:4" x14ac:dyDescent="0.35">
      <c r="B5112" s="60" t="s">
        <v>15291</v>
      </c>
      <c r="C5112" s="60" t="s">
        <v>15292</v>
      </c>
      <c r="D5112" s="60" t="s">
        <v>15293</v>
      </c>
    </row>
    <row r="5113" spans="2:4" x14ac:dyDescent="0.35">
      <c r="B5113" s="60" t="s">
        <v>15294</v>
      </c>
      <c r="C5113" s="60" t="s">
        <v>15295</v>
      </c>
      <c r="D5113" s="60" t="s">
        <v>15296</v>
      </c>
    </row>
    <row r="5114" spans="2:4" x14ac:dyDescent="0.35">
      <c r="B5114" s="60" t="s">
        <v>15297</v>
      </c>
      <c r="C5114" s="60" t="s">
        <v>15298</v>
      </c>
      <c r="D5114" s="60" t="s">
        <v>15299</v>
      </c>
    </row>
    <row r="5115" spans="2:4" x14ac:dyDescent="0.35">
      <c r="B5115" s="60" t="s">
        <v>15300</v>
      </c>
      <c r="C5115" s="60" t="s">
        <v>15301</v>
      </c>
      <c r="D5115" s="60" t="s">
        <v>15302</v>
      </c>
    </row>
    <row r="5116" spans="2:4" x14ac:dyDescent="0.35">
      <c r="B5116" s="60" t="s">
        <v>15303</v>
      </c>
      <c r="C5116" s="60" t="s">
        <v>15304</v>
      </c>
      <c r="D5116" s="60" t="s">
        <v>15305</v>
      </c>
    </row>
    <row r="5117" spans="2:4" x14ac:dyDescent="0.35">
      <c r="B5117" s="60" t="s">
        <v>15306</v>
      </c>
      <c r="C5117" s="60" t="s">
        <v>15307</v>
      </c>
      <c r="D5117" s="60" t="s">
        <v>15308</v>
      </c>
    </row>
    <row r="5118" spans="2:4" x14ac:dyDescent="0.35">
      <c r="B5118" s="60" t="s">
        <v>15309</v>
      </c>
      <c r="C5118" s="60" t="s">
        <v>15310</v>
      </c>
      <c r="D5118" s="60" t="s">
        <v>15311</v>
      </c>
    </row>
    <row r="5119" spans="2:4" x14ac:dyDescent="0.35">
      <c r="B5119" s="60" t="s">
        <v>15312</v>
      </c>
      <c r="C5119" s="60" t="s">
        <v>15313</v>
      </c>
      <c r="D5119" s="60" t="s">
        <v>15314</v>
      </c>
    </row>
    <row r="5120" spans="2:4" x14ac:dyDescent="0.35">
      <c r="B5120" s="60" t="s">
        <v>15315</v>
      </c>
      <c r="C5120" s="60" t="s">
        <v>15316</v>
      </c>
      <c r="D5120" s="60" t="s">
        <v>15317</v>
      </c>
    </row>
    <row r="5121" spans="2:4" x14ac:dyDescent="0.35">
      <c r="B5121" s="60" t="s">
        <v>15318</v>
      </c>
      <c r="C5121" s="60" t="s">
        <v>15319</v>
      </c>
      <c r="D5121" s="60" t="s">
        <v>15320</v>
      </c>
    </row>
    <row r="5122" spans="2:4" x14ac:dyDescent="0.35">
      <c r="B5122" s="60" t="s">
        <v>15321</v>
      </c>
      <c r="C5122" s="60" t="s">
        <v>15322</v>
      </c>
      <c r="D5122" s="60" t="s">
        <v>15323</v>
      </c>
    </row>
    <row r="5123" spans="2:4" x14ac:dyDescent="0.35">
      <c r="B5123" s="60" t="s">
        <v>15324</v>
      </c>
      <c r="C5123" s="60" t="s">
        <v>15325</v>
      </c>
      <c r="D5123" s="60" t="s">
        <v>15326</v>
      </c>
    </row>
    <row r="5124" spans="2:4" x14ac:dyDescent="0.35">
      <c r="B5124" s="60" t="s">
        <v>15327</v>
      </c>
      <c r="C5124" s="60" t="s">
        <v>15328</v>
      </c>
      <c r="D5124" s="60" t="s">
        <v>15329</v>
      </c>
    </row>
    <row r="5125" spans="2:4" x14ac:dyDescent="0.35">
      <c r="B5125" s="60" t="s">
        <v>15330</v>
      </c>
      <c r="C5125" s="60" t="s">
        <v>15331</v>
      </c>
      <c r="D5125" s="60" t="s">
        <v>15332</v>
      </c>
    </row>
    <row r="5126" spans="2:4" x14ac:dyDescent="0.35">
      <c r="B5126" s="60" t="s">
        <v>15333</v>
      </c>
      <c r="C5126" s="60" t="s">
        <v>15334</v>
      </c>
      <c r="D5126" s="60" t="s">
        <v>15335</v>
      </c>
    </row>
    <row r="5127" spans="2:4" x14ac:dyDescent="0.35">
      <c r="B5127" s="60" t="s">
        <v>15336</v>
      </c>
      <c r="C5127" s="60" t="s">
        <v>15337</v>
      </c>
      <c r="D5127" s="60" t="s">
        <v>15338</v>
      </c>
    </row>
    <row r="5128" spans="2:4" x14ac:dyDescent="0.35">
      <c r="B5128" s="60" t="s">
        <v>15339</v>
      </c>
      <c r="C5128" s="60" t="s">
        <v>15340</v>
      </c>
      <c r="D5128" s="60" t="s">
        <v>15341</v>
      </c>
    </row>
    <row r="5129" spans="2:4" x14ac:dyDescent="0.35">
      <c r="B5129" s="60" t="s">
        <v>15342</v>
      </c>
      <c r="C5129" s="60" t="s">
        <v>15343</v>
      </c>
      <c r="D5129" s="60" t="s">
        <v>15344</v>
      </c>
    </row>
    <row r="5130" spans="2:4" x14ac:dyDescent="0.35">
      <c r="B5130" s="60" t="s">
        <v>15345</v>
      </c>
      <c r="C5130" s="60" t="s">
        <v>15346</v>
      </c>
      <c r="D5130" s="60" t="s">
        <v>15347</v>
      </c>
    </row>
    <row r="5131" spans="2:4" x14ac:dyDescent="0.35">
      <c r="B5131" s="60" t="s">
        <v>15345</v>
      </c>
      <c r="C5131" s="60" t="s">
        <v>15348</v>
      </c>
      <c r="D5131" s="60" t="s">
        <v>15349</v>
      </c>
    </row>
    <row r="5132" spans="2:4" x14ac:dyDescent="0.35">
      <c r="B5132" s="60" t="s">
        <v>15350</v>
      </c>
      <c r="C5132" s="60" t="s">
        <v>15351</v>
      </c>
      <c r="D5132" s="60" t="s">
        <v>15352</v>
      </c>
    </row>
    <row r="5133" spans="2:4" x14ac:dyDescent="0.35">
      <c r="B5133" s="60" t="s">
        <v>15353</v>
      </c>
      <c r="C5133" s="60" t="s">
        <v>15354</v>
      </c>
      <c r="D5133" s="60" t="s">
        <v>15355</v>
      </c>
    </row>
    <row r="5134" spans="2:4" x14ac:dyDescent="0.35">
      <c r="B5134" s="60" t="s">
        <v>15356</v>
      </c>
      <c r="C5134" s="60" t="s">
        <v>15357</v>
      </c>
      <c r="D5134" s="60" t="s">
        <v>15358</v>
      </c>
    </row>
    <row r="5135" spans="2:4" x14ac:dyDescent="0.35">
      <c r="B5135" s="60" t="s">
        <v>15359</v>
      </c>
      <c r="C5135" s="60" t="s">
        <v>15360</v>
      </c>
      <c r="D5135" s="60" t="s">
        <v>15361</v>
      </c>
    </row>
    <row r="5136" spans="2:4" x14ac:dyDescent="0.35">
      <c r="B5136" s="60" t="s">
        <v>15362</v>
      </c>
      <c r="C5136" s="60" t="s">
        <v>15363</v>
      </c>
      <c r="D5136" s="60" t="s">
        <v>15364</v>
      </c>
    </row>
    <row r="5137" spans="2:4" x14ac:dyDescent="0.35">
      <c r="B5137" s="60" t="s">
        <v>15365</v>
      </c>
      <c r="C5137" s="60" t="s">
        <v>15366</v>
      </c>
      <c r="D5137" s="60" t="s">
        <v>15367</v>
      </c>
    </row>
    <row r="5138" spans="2:4" x14ac:dyDescent="0.35">
      <c r="B5138" s="60" t="s">
        <v>15368</v>
      </c>
      <c r="C5138" s="60" t="s">
        <v>15369</v>
      </c>
      <c r="D5138" s="60" t="s">
        <v>15370</v>
      </c>
    </row>
    <row r="5139" spans="2:4" x14ac:dyDescent="0.35">
      <c r="B5139" s="60" t="s">
        <v>15371</v>
      </c>
      <c r="C5139" s="60" t="s">
        <v>15372</v>
      </c>
      <c r="D5139" s="60" t="s">
        <v>15373</v>
      </c>
    </row>
    <row r="5140" spans="2:4" x14ac:dyDescent="0.35">
      <c r="B5140" s="60" t="s">
        <v>15374</v>
      </c>
      <c r="C5140" s="60" t="s">
        <v>15375</v>
      </c>
      <c r="D5140" s="60" t="s">
        <v>15376</v>
      </c>
    </row>
    <row r="5141" spans="2:4" x14ac:dyDescent="0.35">
      <c r="B5141" s="60" t="s">
        <v>15377</v>
      </c>
      <c r="C5141" s="60" t="s">
        <v>15378</v>
      </c>
      <c r="D5141" s="60" t="s">
        <v>15379</v>
      </c>
    </row>
    <row r="5142" spans="2:4" x14ac:dyDescent="0.35">
      <c r="B5142" s="60" t="s">
        <v>15380</v>
      </c>
      <c r="C5142" s="60" t="s">
        <v>15381</v>
      </c>
      <c r="D5142" s="60" t="s">
        <v>15382</v>
      </c>
    </row>
    <row r="5143" spans="2:4" x14ac:dyDescent="0.35">
      <c r="B5143" s="60" t="s">
        <v>15383</v>
      </c>
      <c r="C5143" s="60" t="s">
        <v>15384</v>
      </c>
      <c r="D5143" s="60" t="s">
        <v>15385</v>
      </c>
    </row>
    <row r="5144" spans="2:4" x14ac:dyDescent="0.35">
      <c r="B5144" s="60" t="s">
        <v>15386</v>
      </c>
      <c r="C5144" s="60" t="s">
        <v>15387</v>
      </c>
      <c r="D5144" s="60" t="s">
        <v>15388</v>
      </c>
    </row>
    <row r="5145" spans="2:4" x14ac:dyDescent="0.35">
      <c r="B5145" s="60" t="s">
        <v>15389</v>
      </c>
      <c r="C5145" s="60" t="s">
        <v>15390</v>
      </c>
      <c r="D5145" s="60" t="s">
        <v>15391</v>
      </c>
    </row>
    <row r="5146" spans="2:4" x14ac:dyDescent="0.35">
      <c r="B5146" s="60" t="s">
        <v>15392</v>
      </c>
      <c r="C5146" s="60" t="s">
        <v>15393</v>
      </c>
      <c r="D5146" s="60" t="s">
        <v>15394</v>
      </c>
    </row>
    <row r="5147" spans="2:4" x14ac:dyDescent="0.35">
      <c r="B5147" s="60" t="s">
        <v>15395</v>
      </c>
      <c r="C5147" s="60" t="s">
        <v>4821</v>
      </c>
      <c r="D5147" s="60" t="s">
        <v>15396</v>
      </c>
    </row>
    <row r="5148" spans="2:4" x14ac:dyDescent="0.35">
      <c r="B5148" s="60" t="s">
        <v>15397</v>
      </c>
      <c r="C5148" s="60" t="s">
        <v>15398</v>
      </c>
      <c r="D5148" s="60" t="s">
        <v>15399</v>
      </c>
    </row>
    <row r="5149" spans="2:4" x14ac:dyDescent="0.35">
      <c r="B5149" s="60" t="s">
        <v>15400</v>
      </c>
      <c r="C5149" s="60" t="s">
        <v>15401</v>
      </c>
      <c r="D5149" s="60" t="s">
        <v>15402</v>
      </c>
    </row>
    <row r="5150" spans="2:4" x14ac:dyDescent="0.35">
      <c r="B5150" s="60" t="s">
        <v>15403</v>
      </c>
      <c r="C5150" s="60" t="s">
        <v>15404</v>
      </c>
      <c r="D5150" s="60" t="s">
        <v>15405</v>
      </c>
    </row>
    <row r="5151" spans="2:4" x14ac:dyDescent="0.35">
      <c r="B5151" s="60" t="s">
        <v>15406</v>
      </c>
      <c r="C5151" s="60" t="s">
        <v>15407</v>
      </c>
      <c r="D5151" s="60" t="s">
        <v>15408</v>
      </c>
    </row>
    <row r="5152" spans="2:4" x14ac:dyDescent="0.35">
      <c r="B5152" s="60" t="s">
        <v>15409</v>
      </c>
      <c r="C5152" s="60" t="s">
        <v>15410</v>
      </c>
      <c r="D5152" s="60" t="s">
        <v>15411</v>
      </c>
    </row>
    <row r="5153" spans="2:4" x14ac:dyDescent="0.35">
      <c r="B5153" s="60" t="s">
        <v>15412</v>
      </c>
      <c r="C5153" s="60" t="s">
        <v>15413</v>
      </c>
      <c r="D5153" s="60" t="s">
        <v>15414</v>
      </c>
    </row>
    <row r="5154" spans="2:4" x14ac:dyDescent="0.35">
      <c r="B5154" s="60" t="s">
        <v>15415</v>
      </c>
      <c r="C5154" s="60" t="s">
        <v>15416</v>
      </c>
      <c r="D5154" s="60" t="s">
        <v>15417</v>
      </c>
    </row>
    <row r="5155" spans="2:4" x14ac:dyDescent="0.35">
      <c r="B5155" s="60" t="s">
        <v>15418</v>
      </c>
      <c r="C5155" s="60" t="s">
        <v>15419</v>
      </c>
      <c r="D5155" s="60" t="s">
        <v>15420</v>
      </c>
    </row>
    <row r="5156" spans="2:4" x14ac:dyDescent="0.35">
      <c r="B5156" s="60" t="s">
        <v>15421</v>
      </c>
      <c r="C5156" s="60" t="s">
        <v>15422</v>
      </c>
      <c r="D5156" s="60" t="s">
        <v>15423</v>
      </c>
    </row>
    <row r="5157" spans="2:4" x14ac:dyDescent="0.35">
      <c r="B5157" s="60" t="s">
        <v>15424</v>
      </c>
      <c r="C5157" s="60" t="s">
        <v>15425</v>
      </c>
      <c r="D5157" s="60" t="s">
        <v>15426</v>
      </c>
    </row>
    <row r="5158" spans="2:4" x14ac:dyDescent="0.35">
      <c r="B5158" s="60" t="s">
        <v>15427</v>
      </c>
      <c r="C5158" s="60" t="s">
        <v>15428</v>
      </c>
      <c r="D5158" s="60" t="s">
        <v>15429</v>
      </c>
    </row>
    <row r="5159" spans="2:4" x14ac:dyDescent="0.35">
      <c r="B5159" s="60" t="s">
        <v>15430</v>
      </c>
      <c r="C5159" s="60" t="s">
        <v>15431</v>
      </c>
      <c r="D5159" s="60" t="s">
        <v>15432</v>
      </c>
    </row>
    <row r="5160" spans="2:4" x14ac:dyDescent="0.35">
      <c r="B5160" s="60" t="s">
        <v>15433</v>
      </c>
      <c r="C5160" s="60" t="s">
        <v>15434</v>
      </c>
      <c r="D5160" s="60" t="s">
        <v>15435</v>
      </c>
    </row>
    <row r="5161" spans="2:4" x14ac:dyDescent="0.35">
      <c r="B5161" s="60" t="s">
        <v>15436</v>
      </c>
      <c r="C5161" s="60" t="s">
        <v>15437</v>
      </c>
      <c r="D5161" s="60" t="s">
        <v>15438</v>
      </c>
    </row>
    <row r="5162" spans="2:4" x14ac:dyDescent="0.35">
      <c r="B5162" s="60" t="s">
        <v>15439</v>
      </c>
      <c r="C5162" s="60" t="s">
        <v>15440</v>
      </c>
      <c r="D5162" s="60" t="s">
        <v>15441</v>
      </c>
    </row>
    <row r="5163" spans="2:4" x14ac:dyDescent="0.35">
      <c r="B5163" s="60" t="s">
        <v>15442</v>
      </c>
      <c r="C5163" s="60" t="s">
        <v>15443</v>
      </c>
      <c r="D5163" s="60" t="s">
        <v>15444</v>
      </c>
    </row>
    <row r="5164" spans="2:4" x14ac:dyDescent="0.35">
      <c r="B5164" s="60" t="s">
        <v>15445</v>
      </c>
      <c r="C5164" s="60" t="s">
        <v>15446</v>
      </c>
      <c r="D5164" s="60" t="s">
        <v>15447</v>
      </c>
    </row>
    <row r="5165" spans="2:4" x14ac:dyDescent="0.35">
      <c r="B5165" s="60" t="s">
        <v>15445</v>
      </c>
      <c r="C5165" s="60" t="s">
        <v>15448</v>
      </c>
      <c r="D5165" s="60" t="s">
        <v>15449</v>
      </c>
    </row>
    <row r="5166" spans="2:4" x14ac:dyDescent="0.35">
      <c r="B5166" s="60" t="s">
        <v>15450</v>
      </c>
      <c r="C5166" s="60" t="s">
        <v>15451</v>
      </c>
      <c r="D5166" s="60" t="s">
        <v>15452</v>
      </c>
    </row>
    <row r="5167" spans="2:4" x14ac:dyDescent="0.35">
      <c r="B5167" s="60" t="s">
        <v>15453</v>
      </c>
      <c r="C5167" s="60" t="s">
        <v>15454</v>
      </c>
      <c r="D5167" s="60" t="s">
        <v>15455</v>
      </c>
    </row>
    <row r="5168" spans="2:4" x14ac:dyDescent="0.35">
      <c r="B5168" s="60" t="s">
        <v>15453</v>
      </c>
      <c r="C5168" s="60" t="s">
        <v>15456</v>
      </c>
      <c r="D5168" s="60" t="s">
        <v>15457</v>
      </c>
    </row>
    <row r="5169" spans="2:4" x14ac:dyDescent="0.35">
      <c r="B5169" s="60" t="s">
        <v>15458</v>
      </c>
      <c r="C5169" s="60" t="s">
        <v>15459</v>
      </c>
      <c r="D5169" s="60" t="s">
        <v>15460</v>
      </c>
    </row>
    <row r="5170" spans="2:4" x14ac:dyDescent="0.35">
      <c r="B5170" s="60" t="s">
        <v>15458</v>
      </c>
      <c r="C5170" s="60" t="s">
        <v>15461</v>
      </c>
      <c r="D5170" s="60" t="s">
        <v>15462</v>
      </c>
    </row>
    <row r="5171" spans="2:4" x14ac:dyDescent="0.35">
      <c r="B5171" s="60" t="s">
        <v>15463</v>
      </c>
      <c r="C5171" s="60" t="s">
        <v>15464</v>
      </c>
      <c r="D5171" s="60" t="s">
        <v>15465</v>
      </c>
    </row>
    <row r="5172" spans="2:4" x14ac:dyDescent="0.35">
      <c r="B5172" s="60" t="s">
        <v>15466</v>
      </c>
      <c r="C5172" s="60" t="s">
        <v>15467</v>
      </c>
      <c r="D5172" s="60" t="s">
        <v>15468</v>
      </c>
    </row>
    <row r="5173" spans="2:4" x14ac:dyDescent="0.35">
      <c r="B5173" s="60" t="s">
        <v>15469</v>
      </c>
      <c r="C5173" s="60" t="s">
        <v>15470</v>
      </c>
      <c r="D5173" s="60" t="s">
        <v>15471</v>
      </c>
    </row>
    <row r="5174" spans="2:4" x14ac:dyDescent="0.35">
      <c r="B5174" s="60" t="s">
        <v>15472</v>
      </c>
      <c r="C5174" s="60" t="s">
        <v>15473</v>
      </c>
      <c r="D5174" s="60" t="s">
        <v>15474</v>
      </c>
    </row>
    <row r="5175" spans="2:4" x14ac:dyDescent="0.35">
      <c r="B5175" s="60" t="s">
        <v>15475</v>
      </c>
      <c r="C5175" s="60" t="s">
        <v>15476</v>
      </c>
      <c r="D5175" s="60" t="s">
        <v>15477</v>
      </c>
    </row>
    <row r="5176" spans="2:4" x14ac:dyDescent="0.35">
      <c r="B5176" s="60" t="s">
        <v>15478</v>
      </c>
      <c r="C5176" s="60" t="s">
        <v>15479</v>
      </c>
      <c r="D5176" s="60" t="s">
        <v>15480</v>
      </c>
    </row>
    <row r="5177" spans="2:4" x14ac:dyDescent="0.35">
      <c r="B5177" s="60" t="s">
        <v>15481</v>
      </c>
      <c r="C5177" s="60" t="s">
        <v>15482</v>
      </c>
      <c r="D5177" s="60" t="s">
        <v>15483</v>
      </c>
    </row>
    <row r="5178" spans="2:4" x14ac:dyDescent="0.35">
      <c r="B5178" s="60" t="s">
        <v>15484</v>
      </c>
      <c r="C5178" s="60" t="s">
        <v>15485</v>
      </c>
      <c r="D5178" s="60" t="s">
        <v>15486</v>
      </c>
    </row>
    <row r="5179" spans="2:4" x14ac:dyDescent="0.35">
      <c r="B5179" s="60" t="s">
        <v>15487</v>
      </c>
      <c r="C5179" s="60" t="s">
        <v>15488</v>
      </c>
      <c r="D5179" s="60" t="s">
        <v>15489</v>
      </c>
    </row>
    <row r="5180" spans="2:4" x14ac:dyDescent="0.35">
      <c r="B5180" s="60" t="s">
        <v>15490</v>
      </c>
      <c r="C5180" s="60" t="s">
        <v>15491</v>
      </c>
      <c r="D5180" s="60" t="s">
        <v>15492</v>
      </c>
    </row>
    <row r="5181" spans="2:4" x14ac:dyDescent="0.35">
      <c r="B5181" s="60" t="s">
        <v>15493</v>
      </c>
      <c r="C5181" s="60" t="s">
        <v>15494</v>
      </c>
      <c r="D5181" s="60" t="s">
        <v>15495</v>
      </c>
    </row>
    <row r="5182" spans="2:4" x14ac:dyDescent="0.35">
      <c r="B5182" s="60" t="s">
        <v>15496</v>
      </c>
      <c r="C5182" s="60" t="s">
        <v>15497</v>
      </c>
      <c r="D5182" s="60" t="s">
        <v>15498</v>
      </c>
    </row>
    <row r="5183" spans="2:4" x14ac:dyDescent="0.35">
      <c r="B5183" s="60" t="s">
        <v>15499</v>
      </c>
      <c r="C5183" s="60" t="s">
        <v>15500</v>
      </c>
      <c r="D5183" s="60" t="s">
        <v>15501</v>
      </c>
    </row>
    <row r="5184" spans="2:4" x14ac:dyDescent="0.35">
      <c r="B5184" s="60" t="s">
        <v>15502</v>
      </c>
      <c r="C5184" s="60" t="s">
        <v>15503</v>
      </c>
      <c r="D5184" s="60" t="s">
        <v>15504</v>
      </c>
    </row>
    <row r="5185" spans="2:4" x14ac:dyDescent="0.35">
      <c r="B5185" s="60" t="s">
        <v>15505</v>
      </c>
      <c r="C5185" s="60" t="s">
        <v>15506</v>
      </c>
      <c r="D5185" s="60" t="s">
        <v>15507</v>
      </c>
    </row>
    <row r="5186" spans="2:4" x14ac:dyDescent="0.35">
      <c r="B5186" s="60" t="s">
        <v>15505</v>
      </c>
      <c r="C5186" s="60" t="s">
        <v>15508</v>
      </c>
      <c r="D5186" s="60" t="s">
        <v>15509</v>
      </c>
    </row>
    <row r="5187" spans="2:4" x14ac:dyDescent="0.35">
      <c r="B5187" s="60" t="s">
        <v>15510</v>
      </c>
      <c r="C5187" s="60" t="s">
        <v>15511</v>
      </c>
      <c r="D5187" s="60" t="s">
        <v>15512</v>
      </c>
    </row>
    <row r="5188" spans="2:4" x14ac:dyDescent="0.35">
      <c r="B5188" s="60" t="s">
        <v>15513</v>
      </c>
      <c r="C5188" s="60" t="s">
        <v>15514</v>
      </c>
      <c r="D5188" s="60" t="s">
        <v>15515</v>
      </c>
    </row>
    <row r="5189" spans="2:4" x14ac:dyDescent="0.35">
      <c r="B5189" s="60" t="s">
        <v>15516</v>
      </c>
      <c r="C5189" s="60" t="s">
        <v>15517</v>
      </c>
      <c r="D5189" s="60" t="s">
        <v>15518</v>
      </c>
    </row>
    <row r="5190" spans="2:4" x14ac:dyDescent="0.35">
      <c r="B5190" s="60" t="s">
        <v>15519</v>
      </c>
      <c r="C5190" s="60" t="s">
        <v>15520</v>
      </c>
      <c r="D5190" s="60" t="s">
        <v>15521</v>
      </c>
    </row>
    <row r="5191" spans="2:4" x14ac:dyDescent="0.35">
      <c r="B5191" s="60" t="s">
        <v>15522</v>
      </c>
      <c r="C5191" s="60" t="s">
        <v>15523</v>
      </c>
      <c r="D5191" s="60" t="s">
        <v>15524</v>
      </c>
    </row>
    <row r="5192" spans="2:4" x14ac:dyDescent="0.35">
      <c r="B5192" s="60" t="s">
        <v>15525</v>
      </c>
      <c r="C5192" s="60" t="s">
        <v>15526</v>
      </c>
      <c r="D5192" s="60" t="s">
        <v>15527</v>
      </c>
    </row>
    <row r="5193" spans="2:4" x14ac:dyDescent="0.35">
      <c r="B5193" s="60" t="s">
        <v>15528</v>
      </c>
      <c r="C5193" s="60" t="s">
        <v>15529</v>
      </c>
      <c r="D5193" s="60" t="s">
        <v>15530</v>
      </c>
    </row>
    <row r="5194" spans="2:4" x14ac:dyDescent="0.35">
      <c r="B5194" s="60" t="s">
        <v>15531</v>
      </c>
      <c r="C5194" s="60" t="s">
        <v>15532</v>
      </c>
      <c r="D5194" s="60" t="s">
        <v>15533</v>
      </c>
    </row>
    <row r="5195" spans="2:4" x14ac:dyDescent="0.35">
      <c r="B5195" s="60" t="s">
        <v>15534</v>
      </c>
      <c r="C5195" s="60" t="s">
        <v>15535</v>
      </c>
      <c r="D5195" s="60" t="s">
        <v>15536</v>
      </c>
    </row>
    <row r="5196" spans="2:4" x14ac:dyDescent="0.35">
      <c r="B5196" s="60" t="s">
        <v>15537</v>
      </c>
      <c r="C5196" s="60" t="s">
        <v>15538</v>
      </c>
      <c r="D5196" s="60" t="s">
        <v>15539</v>
      </c>
    </row>
    <row r="5197" spans="2:4" x14ac:dyDescent="0.35">
      <c r="B5197" s="60" t="s">
        <v>15540</v>
      </c>
      <c r="C5197" s="60" t="s">
        <v>15541</v>
      </c>
      <c r="D5197" s="60" t="s">
        <v>15542</v>
      </c>
    </row>
    <row r="5198" spans="2:4" x14ac:dyDescent="0.35">
      <c r="B5198" s="60" t="s">
        <v>15543</v>
      </c>
      <c r="C5198" s="60" t="s">
        <v>15544</v>
      </c>
      <c r="D5198" s="60" t="s">
        <v>15545</v>
      </c>
    </row>
    <row r="5199" spans="2:4" x14ac:dyDescent="0.35">
      <c r="B5199" s="60" t="s">
        <v>15546</v>
      </c>
      <c r="C5199" s="60" t="s">
        <v>15547</v>
      </c>
      <c r="D5199" s="60" t="s">
        <v>15548</v>
      </c>
    </row>
    <row r="5200" spans="2:4" x14ac:dyDescent="0.35">
      <c r="B5200" s="60" t="s">
        <v>15549</v>
      </c>
      <c r="C5200" s="60" t="s">
        <v>15550</v>
      </c>
      <c r="D5200" s="60" t="s">
        <v>15402</v>
      </c>
    </row>
    <row r="5201" spans="2:4" x14ac:dyDescent="0.35">
      <c r="B5201" s="60" t="s">
        <v>15551</v>
      </c>
      <c r="C5201" s="60" t="s">
        <v>15552</v>
      </c>
      <c r="D5201" s="60" t="s">
        <v>15553</v>
      </c>
    </row>
    <row r="5202" spans="2:4" x14ac:dyDescent="0.35">
      <c r="B5202" s="60" t="s">
        <v>15554</v>
      </c>
      <c r="C5202" s="60" t="s">
        <v>15555</v>
      </c>
      <c r="D5202" s="60" t="s">
        <v>15556</v>
      </c>
    </row>
    <row r="5203" spans="2:4" x14ac:dyDescent="0.35">
      <c r="B5203" s="60" t="s">
        <v>15557</v>
      </c>
      <c r="C5203" s="60" t="s">
        <v>15558</v>
      </c>
      <c r="D5203" s="60" t="s">
        <v>15559</v>
      </c>
    </row>
    <row r="5204" spans="2:4" x14ac:dyDescent="0.35">
      <c r="B5204" s="60" t="s">
        <v>15560</v>
      </c>
      <c r="C5204" s="60" t="s">
        <v>15561</v>
      </c>
      <c r="D5204" s="60" t="s">
        <v>15562</v>
      </c>
    </row>
    <row r="5205" spans="2:4" x14ac:dyDescent="0.35">
      <c r="B5205" s="60" t="s">
        <v>15563</v>
      </c>
      <c r="C5205" s="60" t="s">
        <v>15564</v>
      </c>
      <c r="D5205" s="60" t="s">
        <v>15565</v>
      </c>
    </row>
    <row r="5206" spans="2:4" x14ac:dyDescent="0.35">
      <c r="B5206" s="60" t="s">
        <v>15566</v>
      </c>
      <c r="C5206" s="60" t="s">
        <v>15567</v>
      </c>
      <c r="D5206" s="60" t="s">
        <v>15568</v>
      </c>
    </row>
    <row r="5207" spans="2:4" x14ac:dyDescent="0.35">
      <c r="B5207" s="60" t="s">
        <v>15569</v>
      </c>
      <c r="C5207" s="60" t="s">
        <v>15570</v>
      </c>
      <c r="D5207" s="60" t="s">
        <v>15571</v>
      </c>
    </row>
    <row r="5208" spans="2:4" x14ac:dyDescent="0.35">
      <c r="B5208" s="60" t="s">
        <v>15572</v>
      </c>
      <c r="C5208" s="60" t="s">
        <v>15573</v>
      </c>
      <c r="D5208" s="60" t="s">
        <v>15574</v>
      </c>
    </row>
    <row r="5209" spans="2:4" x14ac:dyDescent="0.35">
      <c r="B5209" s="60" t="s">
        <v>15575</v>
      </c>
      <c r="C5209" s="60" t="s">
        <v>15576</v>
      </c>
      <c r="D5209" s="60" t="s">
        <v>15577</v>
      </c>
    </row>
    <row r="5210" spans="2:4" x14ac:dyDescent="0.35">
      <c r="B5210" s="60" t="s">
        <v>15578</v>
      </c>
      <c r="C5210" s="60" t="s">
        <v>15579</v>
      </c>
      <c r="D5210" s="60" t="s">
        <v>15580</v>
      </c>
    </row>
    <row r="5211" spans="2:4" x14ac:dyDescent="0.35">
      <c r="B5211" s="60" t="s">
        <v>15581</v>
      </c>
      <c r="C5211" s="60" t="s">
        <v>15582</v>
      </c>
      <c r="D5211" s="60" t="s">
        <v>15583</v>
      </c>
    </row>
    <row r="5212" spans="2:4" x14ac:dyDescent="0.35">
      <c r="B5212" s="60" t="s">
        <v>15584</v>
      </c>
      <c r="C5212" s="60" t="s">
        <v>15585</v>
      </c>
      <c r="D5212" s="60" t="s">
        <v>15586</v>
      </c>
    </row>
    <row r="5213" spans="2:4" x14ac:dyDescent="0.35">
      <c r="B5213" s="60" t="s">
        <v>15587</v>
      </c>
      <c r="C5213" s="60" t="s">
        <v>15588</v>
      </c>
      <c r="D5213" s="60" t="s">
        <v>15589</v>
      </c>
    </row>
    <row r="5214" spans="2:4" x14ac:dyDescent="0.35">
      <c r="B5214" s="60" t="s">
        <v>15590</v>
      </c>
      <c r="C5214" s="60" t="s">
        <v>15591</v>
      </c>
      <c r="D5214" s="60" t="s">
        <v>15592</v>
      </c>
    </row>
    <row r="5215" spans="2:4" x14ac:dyDescent="0.35">
      <c r="B5215" s="60" t="s">
        <v>15593</v>
      </c>
      <c r="C5215" s="60" t="s">
        <v>15594</v>
      </c>
      <c r="D5215" s="60" t="s">
        <v>15595</v>
      </c>
    </row>
    <row r="5216" spans="2:4" x14ac:dyDescent="0.35">
      <c r="B5216" s="60" t="s">
        <v>15596</v>
      </c>
      <c r="C5216" s="60" t="s">
        <v>15597</v>
      </c>
      <c r="D5216" s="60" t="s">
        <v>15598</v>
      </c>
    </row>
    <row r="5217" spans="2:4" x14ac:dyDescent="0.35">
      <c r="B5217" s="60" t="s">
        <v>15599</v>
      </c>
      <c r="C5217" s="60" t="s">
        <v>15600</v>
      </c>
      <c r="D5217" s="60" t="s">
        <v>15601</v>
      </c>
    </row>
    <row r="5218" spans="2:4" x14ac:dyDescent="0.35">
      <c r="B5218" s="60" t="s">
        <v>15602</v>
      </c>
      <c r="C5218" s="60" t="s">
        <v>15603</v>
      </c>
      <c r="D5218" s="60" t="s">
        <v>15604</v>
      </c>
    </row>
    <row r="5219" spans="2:4" x14ac:dyDescent="0.35">
      <c r="B5219" s="60" t="s">
        <v>15605</v>
      </c>
      <c r="C5219" s="60" t="s">
        <v>15606</v>
      </c>
      <c r="D5219" s="60" t="s">
        <v>15607</v>
      </c>
    </row>
    <row r="5220" spans="2:4" x14ac:dyDescent="0.35">
      <c r="B5220" s="60" t="s">
        <v>15608</v>
      </c>
      <c r="C5220" s="60" t="s">
        <v>15609</v>
      </c>
      <c r="D5220" s="60" t="s">
        <v>15610</v>
      </c>
    </row>
    <row r="5221" spans="2:4" x14ac:dyDescent="0.35">
      <c r="B5221" s="60" t="s">
        <v>15611</v>
      </c>
      <c r="C5221" s="60" t="s">
        <v>15612</v>
      </c>
      <c r="D5221" s="60" t="s">
        <v>15613</v>
      </c>
    </row>
    <row r="5222" spans="2:4" x14ac:dyDescent="0.35">
      <c r="B5222" s="60" t="s">
        <v>15614</v>
      </c>
      <c r="C5222" s="60" t="s">
        <v>15615</v>
      </c>
      <c r="D5222" s="60" t="s">
        <v>15616</v>
      </c>
    </row>
    <row r="5223" spans="2:4" x14ac:dyDescent="0.35">
      <c r="B5223" s="60" t="s">
        <v>15617</v>
      </c>
      <c r="C5223" s="60" t="s">
        <v>15618</v>
      </c>
      <c r="D5223" s="60" t="s">
        <v>15619</v>
      </c>
    </row>
    <row r="5224" spans="2:4" x14ac:dyDescent="0.35">
      <c r="B5224" s="60" t="s">
        <v>15620</v>
      </c>
      <c r="C5224" s="60" t="s">
        <v>15621</v>
      </c>
      <c r="D5224" s="60" t="s">
        <v>15622</v>
      </c>
    </row>
    <row r="5225" spans="2:4" x14ac:dyDescent="0.35">
      <c r="B5225" s="60" t="s">
        <v>15623</v>
      </c>
      <c r="C5225" s="60" t="s">
        <v>15624</v>
      </c>
      <c r="D5225" s="60" t="s">
        <v>15625</v>
      </c>
    </row>
    <row r="5226" spans="2:4" x14ac:dyDescent="0.35">
      <c r="B5226" s="60" t="s">
        <v>15626</v>
      </c>
      <c r="C5226" s="60" t="s">
        <v>15627</v>
      </c>
      <c r="D5226" s="60" t="s">
        <v>15628</v>
      </c>
    </row>
    <row r="5227" spans="2:4" x14ac:dyDescent="0.35">
      <c r="B5227" s="60" t="s">
        <v>15629</v>
      </c>
      <c r="C5227" s="60" t="s">
        <v>15630</v>
      </c>
      <c r="D5227" s="60" t="s">
        <v>15631</v>
      </c>
    </row>
    <row r="5228" spans="2:4" x14ac:dyDescent="0.35">
      <c r="B5228" s="60" t="s">
        <v>15632</v>
      </c>
      <c r="C5228" s="60" t="s">
        <v>15633</v>
      </c>
      <c r="D5228" s="60" t="s">
        <v>15634</v>
      </c>
    </row>
    <row r="5229" spans="2:4" x14ac:dyDescent="0.35">
      <c r="B5229" s="60" t="s">
        <v>15632</v>
      </c>
      <c r="C5229" s="60" t="s">
        <v>15635</v>
      </c>
      <c r="D5229" s="60" t="s">
        <v>15636</v>
      </c>
    </row>
    <row r="5230" spans="2:4" x14ac:dyDescent="0.35">
      <c r="B5230" s="60" t="s">
        <v>15637</v>
      </c>
      <c r="C5230" s="60" t="s">
        <v>15638</v>
      </c>
      <c r="D5230" s="60" t="s">
        <v>15639</v>
      </c>
    </row>
    <row r="5231" spans="2:4" x14ac:dyDescent="0.35">
      <c r="B5231" s="60" t="s">
        <v>15640</v>
      </c>
      <c r="C5231" s="60" t="s">
        <v>15641</v>
      </c>
      <c r="D5231" s="60" t="s">
        <v>15642</v>
      </c>
    </row>
    <row r="5232" spans="2:4" x14ac:dyDescent="0.35">
      <c r="B5232" s="60" t="s">
        <v>15643</v>
      </c>
      <c r="C5232" s="60" t="s">
        <v>15644</v>
      </c>
      <c r="D5232" s="60" t="s">
        <v>15645</v>
      </c>
    </row>
    <row r="5233" spans="2:4" x14ac:dyDescent="0.35">
      <c r="B5233" s="60" t="s">
        <v>15646</v>
      </c>
      <c r="C5233" s="60" t="s">
        <v>15647</v>
      </c>
      <c r="D5233" s="60" t="s">
        <v>15648</v>
      </c>
    </row>
    <row r="5234" spans="2:4" x14ac:dyDescent="0.35">
      <c r="B5234" s="60" t="s">
        <v>15649</v>
      </c>
      <c r="C5234" s="60" t="s">
        <v>15650</v>
      </c>
      <c r="D5234" s="60" t="s">
        <v>15651</v>
      </c>
    </row>
    <row r="5235" spans="2:4" x14ac:dyDescent="0.35">
      <c r="B5235" s="60" t="s">
        <v>15652</v>
      </c>
      <c r="C5235" s="60" t="s">
        <v>15653</v>
      </c>
      <c r="D5235" s="60" t="s">
        <v>15654</v>
      </c>
    </row>
    <row r="5236" spans="2:4" x14ac:dyDescent="0.35">
      <c r="B5236" s="60" t="s">
        <v>15655</v>
      </c>
      <c r="C5236" s="60" t="s">
        <v>15656</v>
      </c>
      <c r="D5236" s="60" t="s">
        <v>15657</v>
      </c>
    </row>
    <row r="5237" spans="2:4" x14ac:dyDescent="0.35">
      <c r="B5237" s="60" t="s">
        <v>15658</v>
      </c>
      <c r="C5237" s="60" t="s">
        <v>15659</v>
      </c>
      <c r="D5237" s="60" t="s">
        <v>15660</v>
      </c>
    </row>
    <row r="5238" spans="2:4" x14ac:dyDescent="0.35">
      <c r="B5238" s="60" t="s">
        <v>15661</v>
      </c>
      <c r="C5238" s="60" t="s">
        <v>15662</v>
      </c>
      <c r="D5238" s="60" t="s">
        <v>15663</v>
      </c>
    </row>
    <row r="5239" spans="2:4" x14ac:dyDescent="0.35">
      <c r="B5239" s="60" t="s">
        <v>15664</v>
      </c>
      <c r="C5239" s="60" t="s">
        <v>15665</v>
      </c>
      <c r="D5239" s="60" t="s">
        <v>15666</v>
      </c>
    </row>
    <row r="5240" spans="2:4" x14ac:dyDescent="0.35">
      <c r="B5240" s="60" t="s">
        <v>15667</v>
      </c>
      <c r="C5240" s="60" t="s">
        <v>15668</v>
      </c>
      <c r="D5240" s="60" t="s">
        <v>15669</v>
      </c>
    </row>
    <row r="5241" spans="2:4" x14ac:dyDescent="0.35">
      <c r="B5241" s="60" t="s">
        <v>15670</v>
      </c>
      <c r="C5241" s="60" t="s">
        <v>15671</v>
      </c>
      <c r="D5241" s="60" t="s">
        <v>15672</v>
      </c>
    </row>
    <row r="5242" spans="2:4" x14ac:dyDescent="0.35">
      <c r="B5242" s="60" t="s">
        <v>15673</v>
      </c>
      <c r="C5242" s="60" t="s">
        <v>15674</v>
      </c>
      <c r="D5242" s="60" t="s">
        <v>15675</v>
      </c>
    </row>
    <row r="5243" spans="2:4" x14ac:dyDescent="0.35">
      <c r="B5243" s="60" t="s">
        <v>15676</v>
      </c>
      <c r="C5243" s="60" t="s">
        <v>15677</v>
      </c>
      <c r="D5243" s="60" t="s">
        <v>15678</v>
      </c>
    </row>
    <row r="5244" spans="2:4" x14ac:dyDescent="0.35">
      <c r="B5244" s="60" t="s">
        <v>15679</v>
      </c>
      <c r="C5244" s="60" t="s">
        <v>15680</v>
      </c>
      <c r="D5244" s="60" t="s">
        <v>15681</v>
      </c>
    </row>
    <row r="5245" spans="2:4" x14ac:dyDescent="0.35">
      <c r="B5245" s="60" t="s">
        <v>15682</v>
      </c>
      <c r="C5245" s="60" t="s">
        <v>15683</v>
      </c>
      <c r="D5245" s="60" t="s">
        <v>15684</v>
      </c>
    </row>
    <row r="5246" spans="2:4" x14ac:dyDescent="0.35">
      <c r="B5246" s="60" t="s">
        <v>15685</v>
      </c>
      <c r="C5246" s="60" t="s">
        <v>15686</v>
      </c>
      <c r="D5246" s="60" t="s">
        <v>15687</v>
      </c>
    </row>
    <row r="5247" spans="2:4" x14ac:dyDescent="0.35">
      <c r="B5247" s="60" t="s">
        <v>15688</v>
      </c>
      <c r="C5247" s="60" t="s">
        <v>15689</v>
      </c>
      <c r="D5247" s="60" t="s">
        <v>15690</v>
      </c>
    </row>
    <row r="5248" spans="2:4" x14ac:dyDescent="0.35">
      <c r="B5248" s="60" t="s">
        <v>15688</v>
      </c>
      <c r="C5248" s="60" t="s">
        <v>15691</v>
      </c>
      <c r="D5248" s="60" t="s">
        <v>15692</v>
      </c>
    </row>
    <row r="5249" spans="2:4" x14ac:dyDescent="0.35">
      <c r="B5249" s="60" t="s">
        <v>15693</v>
      </c>
      <c r="C5249" s="60" t="s">
        <v>15694</v>
      </c>
      <c r="D5249" s="60" t="s">
        <v>15695</v>
      </c>
    </row>
    <row r="5250" spans="2:4" x14ac:dyDescent="0.35">
      <c r="B5250" s="60" t="s">
        <v>15696</v>
      </c>
      <c r="C5250" s="60" t="s">
        <v>15697</v>
      </c>
      <c r="D5250" s="60" t="s">
        <v>15698</v>
      </c>
    </row>
    <row r="5251" spans="2:4" x14ac:dyDescent="0.35">
      <c r="B5251" s="60" t="s">
        <v>15699</v>
      </c>
      <c r="C5251" s="60" t="s">
        <v>15700</v>
      </c>
      <c r="D5251" s="60" t="s">
        <v>15701</v>
      </c>
    </row>
    <row r="5252" spans="2:4" x14ac:dyDescent="0.35">
      <c r="B5252" s="60" t="s">
        <v>15702</v>
      </c>
      <c r="C5252" s="60" t="s">
        <v>15703</v>
      </c>
      <c r="D5252" s="60" t="s">
        <v>15704</v>
      </c>
    </row>
    <row r="5253" spans="2:4" x14ac:dyDescent="0.35">
      <c r="B5253" s="60" t="s">
        <v>15705</v>
      </c>
      <c r="C5253" s="60" t="s">
        <v>15706</v>
      </c>
      <c r="D5253" s="60" t="s">
        <v>15707</v>
      </c>
    </row>
    <row r="5254" spans="2:4" x14ac:dyDescent="0.35">
      <c r="B5254" s="60" t="s">
        <v>15708</v>
      </c>
      <c r="C5254" s="60" t="s">
        <v>15709</v>
      </c>
      <c r="D5254" s="60" t="s">
        <v>15710</v>
      </c>
    </row>
    <row r="5255" spans="2:4" x14ac:dyDescent="0.35">
      <c r="B5255" s="60" t="s">
        <v>15711</v>
      </c>
      <c r="C5255" s="60" t="s">
        <v>15712</v>
      </c>
      <c r="D5255" s="60" t="s">
        <v>15713</v>
      </c>
    </row>
    <row r="5256" spans="2:4" x14ac:dyDescent="0.35">
      <c r="B5256" s="60" t="s">
        <v>15714</v>
      </c>
      <c r="C5256" s="60" t="s">
        <v>15715</v>
      </c>
      <c r="D5256" s="60" t="s">
        <v>15716</v>
      </c>
    </row>
    <row r="5257" spans="2:4" x14ac:dyDescent="0.35">
      <c r="B5257" s="60" t="s">
        <v>15717</v>
      </c>
      <c r="C5257" s="60" t="s">
        <v>15718</v>
      </c>
      <c r="D5257" s="60" t="s">
        <v>15719</v>
      </c>
    </row>
    <row r="5258" spans="2:4" x14ac:dyDescent="0.35">
      <c r="B5258" s="60" t="s">
        <v>15720</v>
      </c>
      <c r="C5258" s="60" t="s">
        <v>15721</v>
      </c>
      <c r="D5258" s="60" t="s">
        <v>15722</v>
      </c>
    </row>
    <row r="5259" spans="2:4" x14ac:dyDescent="0.35">
      <c r="B5259" s="60" t="s">
        <v>15723</v>
      </c>
      <c r="C5259" s="60" t="s">
        <v>15724</v>
      </c>
      <c r="D5259" s="60" t="s">
        <v>15725</v>
      </c>
    </row>
    <row r="5260" spans="2:4" x14ac:dyDescent="0.35">
      <c r="B5260" s="60" t="s">
        <v>15726</v>
      </c>
      <c r="C5260" s="60" t="s">
        <v>15727</v>
      </c>
      <c r="D5260" s="60" t="s">
        <v>15728</v>
      </c>
    </row>
    <row r="5261" spans="2:4" x14ac:dyDescent="0.35">
      <c r="B5261" s="60" t="s">
        <v>15729</v>
      </c>
      <c r="C5261" s="60" t="s">
        <v>15730</v>
      </c>
      <c r="D5261" s="60" t="s">
        <v>15731</v>
      </c>
    </row>
    <row r="5262" spans="2:4" x14ac:dyDescent="0.35">
      <c r="B5262" s="60" t="s">
        <v>15732</v>
      </c>
      <c r="C5262" s="60" t="s">
        <v>15733</v>
      </c>
      <c r="D5262" s="60" t="s">
        <v>15734</v>
      </c>
    </row>
    <row r="5263" spans="2:4" x14ac:dyDescent="0.35">
      <c r="B5263" s="60" t="s">
        <v>15735</v>
      </c>
      <c r="C5263" s="60" t="s">
        <v>15736</v>
      </c>
      <c r="D5263" s="60" t="s">
        <v>15737</v>
      </c>
    </row>
    <row r="5264" spans="2:4" x14ac:dyDescent="0.35">
      <c r="B5264" s="60" t="s">
        <v>15738</v>
      </c>
      <c r="C5264" s="60" t="s">
        <v>15739</v>
      </c>
      <c r="D5264" s="60" t="s">
        <v>15740</v>
      </c>
    </row>
    <row r="5265" spans="2:4" x14ac:dyDescent="0.35">
      <c r="B5265" s="60" t="s">
        <v>15741</v>
      </c>
      <c r="C5265" s="60" t="s">
        <v>15742</v>
      </c>
      <c r="D5265" s="60" t="s">
        <v>15743</v>
      </c>
    </row>
    <row r="5266" spans="2:4" x14ac:dyDescent="0.35">
      <c r="B5266" s="60" t="s">
        <v>15744</v>
      </c>
      <c r="C5266" s="60" t="s">
        <v>15745</v>
      </c>
      <c r="D5266" s="60" t="s">
        <v>15746</v>
      </c>
    </row>
    <row r="5267" spans="2:4" x14ac:dyDescent="0.35">
      <c r="B5267" s="60" t="s">
        <v>15747</v>
      </c>
      <c r="C5267" s="60" t="s">
        <v>15748</v>
      </c>
      <c r="D5267" s="60" t="s">
        <v>15749</v>
      </c>
    </row>
    <row r="5268" spans="2:4" x14ac:dyDescent="0.35">
      <c r="B5268" s="60" t="s">
        <v>15750</v>
      </c>
      <c r="C5268" s="60" t="s">
        <v>15751</v>
      </c>
      <c r="D5268" s="60" t="s">
        <v>15752</v>
      </c>
    </row>
    <row r="5269" spans="2:4" x14ac:dyDescent="0.35">
      <c r="B5269" s="60" t="s">
        <v>15753</v>
      </c>
      <c r="C5269" s="60" t="s">
        <v>15754</v>
      </c>
      <c r="D5269" s="60" t="s">
        <v>15755</v>
      </c>
    </row>
    <row r="5270" spans="2:4" x14ac:dyDescent="0.35">
      <c r="B5270" s="60" t="s">
        <v>15756</v>
      </c>
      <c r="C5270" s="60" t="s">
        <v>15757</v>
      </c>
      <c r="D5270" s="60" t="s">
        <v>15758</v>
      </c>
    </row>
    <row r="5271" spans="2:4" x14ac:dyDescent="0.35">
      <c r="B5271" s="60" t="s">
        <v>15759</v>
      </c>
      <c r="C5271" s="60" t="s">
        <v>15760</v>
      </c>
      <c r="D5271" s="60" t="s">
        <v>15761</v>
      </c>
    </row>
    <row r="5272" spans="2:4" x14ac:dyDescent="0.35">
      <c r="B5272" s="60" t="s">
        <v>15762</v>
      </c>
      <c r="C5272" s="60" t="s">
        <v>15763</v>
      </c>
      <c r="D5272" s="60" t="s">
        <v>15764</v>
      </c>
    </row>
    <row r="5273" spans="2:4" x14ac:dyDescent="0.35">
      <c r="B5273" s="60" t="s">
        <v>15765</v>
      </c>
      <c r="C5273" s="60" t="s">
        <v>15766</v>
      </c>
      <c r="D5273" s="60" t="s">
        <v>15767</v>
      </c>
    </row>
    <row r="5274" spans="2:4" x14ac:dyDescent="0.35">
      <c r="B5274" s="60" t="s">
        <v>15768</v>
      </c>
      <c r="C5274" s="60" t="s">
        <v>15769</v>
      </c>
      <c r="D5274" s="60" t="s">
        <v>15074</v>
      </c>
    </row>
    <row r="5275" spans="2:4" x14ac:dyDescent="0.35">
      <c r="B5275" s="60" t="s">
        <v>15770</v>
      </c>
      <c r="C5275" s="60" t="s">
        <v>15771</v>
      </c>
      <c r="D5275" s="60" t="s">
        <v>15772</v>
      </c>
    </row>
    <row r="5276" spans="2:4" x14ac:dyDescent="0.35">
      <c r="B5276" s="60" t="s">
        <v>15773</v>
      </c>
      <c r="C5276" s="60" t="s">
        <v>15774</v>
      </c>
      <c r="D5276" s="60" t="s">
        <v>15775</v>
      </c>
    </row>
    <row r="5277" spans="2:4" x14ac:dyDescent="0.35">
      <c r="B5277" s="60" t="s">
        <v>15776</v>
      </c>
      <c r="C5277" s="60" t="s">
        <v>15777</v>
      </c>
      <c r="D5277" s="60" t="s">
        <v>15778</v>
      </c>
    </row>
    <row r="5278" spans="2:4" x14ac:dyDescent="0.35">
      <c r="B5278" s="60" t="s">
        <v>15779</v>
      </c>
      <c r="C5278" s="60" t="s">
        <v>15780</v>
      </c>
      <c r="D5278" s="60" t="s">
        <v>15781</v>
      </c>
    </row>
    <row r="5279" spans="2:4" x14ac:dyDescent="0.35">
      <c r="B5279" s="60" t="s">
        <v>15782</v>
      </c>
      <c r="C5279" s="60" t="s">
        <v>15783</v>
      </c>
      <c r="D5279" s="60" t="s">
        <v>15784</v>
      </c>
    </row>
    <row r="5280" spans="2:4" x14ac:dyDescent="0.35">
      <c r="B5280" s="60" t="s">
        <v>15785</v>
      </c>
      <c r="C5280" s="60" t="s">
        <v>15786</v>
      </c>
      <c r="D5280" s="60" t="s">
        <v>15787</v>
      </c>
    </row>
    <row r="5281" spans="2:4" x14ac:dyDescent="0.35">
      <c r="B5281" s="60" t="s">
        <v>15788</v>
      </c>
      <c r="C5281" s="60" t="s">
        <v>15789</v>
      </c>
      <c r="D5281" s="60" t="s">
        <v>15790</v>
      </c>
    </row>
    <row r="5282" spans="2:4" x14ac:dyDescent="0.35">
      <c r="B5282" s="60" t="s">
        <v>15791</v>
      </c>
      <c r="C5282" s="60" t="s">
        <v>15792</v>
      </c>
      <c r="D5282" s="60" t="s">
        <v>15793</v>
      </c>
    </row>
    <row r="5283" spans="2:4" x14ac:dyDescent="0.35">
      <c r="B5283" s="60" t="s">
        <v>15794</v>
      </c>
      <c r="C5283" s="60" t="s">
        <v>15795</v>
      </c>
      <c r="D5283" s="60" t="s">
        <v>15796</v>
      </c>
    </row>
    <row r="5284" spans="2:4" x14ac:dyDescent="0.35">
      <c r="B5284" s="60" t="s">
        <v>15797</v>
      </c>
      <c r="C5284" s="60" t="s">
        <v>15798</v>
      </c>
      <c r="D5284" s="60" t="s">
        <v>15799</v>
      </c>
    </row>
    <row r="5285" spans="2:4" x14ac:dyDescent="0.35">
      <c r="B5285" s="60" t="s">
        <v>15800</v>
      </c>
      <c r="C5285" s="60" t="s">
        <v>15801</v>
      </c>
      <c r="D5285" s="60" t="s">
        <v>15802</v>
      </c>
    </row>
    <row r="5286" spans="2:4" x14ac:dyDescent="0.35">
      <c r="B5286" s="60" t="s">
        <v>15803</v>
      </c>
      <c r="C5286" s="60" t="s">
        <v>15804</v>
      </c>
      <c r="D5286" s="60" t="s">
        <v>15805</v>
      </c>
    </row>
    <row r="5287" spans="2:4" x14ac:dyDescent="0.35">
      <c r="B5287" s="60" t="s">
        <v>15806</v>
      </c>
      <c r="C5287" s="60" t="s">
        <v>15807</v>
      </c>
      <c r="D5287" s="60" t="s">
        <v>15808</v>
      </c>
    </row>
    <row r="5288" spans="2:4" x14ac:dyDescent="0.35">
      <c r="B5288" s="60" t="s">
        <v>15809</v>
      </c>
      <c r="C5288" s="60" t="s">
        <v>15810</v>
      </c>
      <c r="D5288" s="60" t="s">
        <v>15811</v>
      </c>
    </row>
    <row r="5289" spans="2:4" x14ac:dyDescent="0.35">
      <c r="B5289" s="60" t="s">
        <v>15812</v>
      </c>
      <c r="C5289" s="60" t="s">
        <v>15813</v>
      </c>
      <c r="D5289" s="60" t="s">
        <v>15814</v>
      </c>
    </row>
    <row r="5290" spans="2:4" x14ac:dyDescent="0.35">
      <c r="B5290" s="60" t="s">
        <v>15812</v>
      </c>
      <c r="C5290" s="60" t="s">
        <v>15815</v>
      </c>
      <c r="D5290" s="60" t="s">
        <v>15816</v>
      </c>
    </row>
    <row r="5291" spans="2:4" x14ac:dyDescent="0.35">
      <c r="B5291" s="60" t="s">
        <v>15817</v>
      </c>
      <c r="C5291" s="60" t="s">
        <v>15818</v>
      </c>
      <c r="D5291" s="60" t="s">
        <v>15819</v>
      </c>
    </row>
    <row r="5292" spans="2:4" x14ac:dyDescent="0.35">
      <c r="B5292" s="60" t="s">
        <v>15820</v>
      </c>
      <c r="C5292" s="60" t="s">
        <v>15821</v>
      </c>
      <c r="D5292" s="60" t="s">
        <v>15822</v>
      </c>
    </row>
    <row r="5293" spans="2:4" x14ac:dyDescent="0.35">
      <c r="B5293" s="60" t="s">
        <v>15823</v>
      </c>
      <c r="C5293" s="60" t="s">
        <v>15824</v>
      </c>
      <c r="D5293" s="60" t="s">
        <v>15825</v>
      </c>
    </row>
    <row r="5294" spans="2:4" x14ac:dyDescent="0.35">
      <c r="B5294" s="60" t="s">
        <v>15826</v>
      </c>
      <c r="C5294" s="60" t="s">
        <v>15827</v>
      </c>
      <c r="D5294" s="60" t="s">
        <v>15828</v>
      </c>
    </row>
    <row r="5295" spans="2:4" x14ac:dyDescent="0.35">
      <c r="B5295" s="60" t="s">
        <v>15829</v>
      </c>
      <c r="C5295" s="60" t="s">
        <v>15830</v>
      </c>
      <c r="D5295" s="60" t="s">
        <v>15831</v>
      </c>
    </row>
    <row r="5296" spans="2:4" x14ac:dyDescent="0.35">
      <c r="B5296" s="60" t="s">
        <v>15832</v>
      </c>
      <c r="C5296" s="60" t="s">
        <v>15833</v>
      </c>
      <c r="D5296" s="60" t="s">
        <v>15834</v>
      </c>
    </row>
    <row r="5297" spans="2:4" x14ac:dyDescent="0.35">
      <c r="B5297" s="60" t="s">
        <v>15835</v>
      </c>
      <c r="C5297" s="60" t="s">
        <v>15836</v>
      </c>
      <c r="D5297" s="60" t="s">
        <v>15837</v>
      </c>
    </row>
    <row r="5298" spans="2:4" x14ac:dyDescent="0.35">
      <c r="B5298" s="60" t="s">
        <v>15838</v>
      </c>
      <c r="C5298" s="60" t="s">
        <v>15839</v>
      </c>
      <c r="D5298" s="60" t="s">
        <v>15840</v>
      </c>
    </row>
    <row r="5299" spans="2:4" x14ac:dyDescent="0.35">
      <c r="B5299" s="60" t="s">
        <v>15841</v>
      </c>
      <c r="C5299" s="60" t="s">
        <v>15842</v>
      </c>
      <c r="D5299" s="60" t="s">
        <v>15843</v>
      </c>
    </row>
    <row r="5300" spans="2:4" x14ac:dyDescent="0.35">
      <c r="B5300" s="60" t="s">
        <v>15844</v>
      </c>
      <c r="C5300" s="60" t="s">
        <v>15845</v>
      </c>
      <c r="D5300" s="60" t="s">
        <v>15846</v>
      </c>
    </row>
    <row r="5301" spans="2:4" x14ac:dyDescent="0.35">
      <c r="B5301" s="60" t="s">
        <v>15847</v>
      </c>
      <c r="C5301" s="60" t="s">
        <v>15848</v>
      </c>
      <c r="D5301" s="60" t="s">
        <v>15849</v>
      </c>
    </row>
    <row r="5302" spans="2:4" x14ac:dyDescent="0.35">
      <c r="B5302" s="60" t="s">
        <v>15850</v>
      </c>
      <c r="C5302" s="60" t="s">
        <v>15851</v>
      </c>
      <c r="D5302" s="60" t="s">
        <v>15852</v>
      </c>
    </row>
    <row r="5303" spans="2:4" x14ac:dyDescent="0.35">
      <c r="B5303" s="60" t="s">
        <v>15853</v>
      </c>
      <c r="C5303" s="60" t="s">
        <v>15854</v>
      </c>
      <c r="D5303" s="60" t="s">
        <v>15855</v>
      </c>
    </row>
    <row r="5304" spans="2:4" x14ac:dyDescent="0.35">
      <c r="B5304" s="60" t="s">
        <v>15856</v>
      </c>
      <c r="C5304" s="60" t="s">
        <v>15857</v>
      </c>
      <c r="D5304" s="60" t="s">
        <v>15858</v>
      </c>
    </row>
    <row r="5305" spans="2:4" x14ac:dyDescent="0.35">
      <c r="B5305" s="60" t="s">
        <v>15859</v>
      </c>
      <c r="C5305" s="60" t="s">
        <v>15860</v>
      </c>
      <c r="D5305" s="60" t="s">
        <v>15861</v>
      </c>
    </row>
    <row r="5306" spans="2:4" x14ac:dyDescent="0.35">
      <c r="B5306" s="60" t="s">
        <v>15862</v>
      </c>
      <c r="C5306" s="60" t="s">
        <v>15863</v>
      </c>
      <c r="D5306" s="60" t="s">
        <v>15864</v>
      </c>
    </row>
    <row r="5307" spans="2:4" x14ac:dyDescent="0.35">
      <c r="B5307" s="60" t="s">
        <v>15862</v>
      </c>
      <c r="C5307" s="60" t="s">
        <v>15865</v>
      </c>
      <c r="D5307" s="60" t="s">
        <v>15864</v>
      </c>
    </row>
    <row r="5308" spans="2:4" x14ac:dyDescent="0.35">
      <c r="B5308" s="60" t="s">
        <v>15866</v>
      </c>
      <c r="C5308" s="60" t="s">
        <v>15867</v>
      </c>
      <c r="D5308" s="60" t="s">
        <v>15868</v>
      </c>
    </row>
    <row r="5309" spans="2:4" x14ac:dyDescent="0.35">
      <c r="B5309" s="60" t="s">
        <v>15869</v>
      </c>
      <c r="C5309" s="60" t="s">
        <v>15870</v>
      </c>
      <c r="D5309" s="60" t="s">
        <v>15871</v>
      </c>
    </row>
    <row r="5310" spans="2:4" x14ac:dyDescent="0.35">
      <c r="B5310" s="60" t="s">
        <v>15872</v>
      </c>
      <c r="C5310" s="60" t="s">
        <v>15873</v>
      </c>
      <c r="D5310" s="60" t="s">
        <v>15874</v>
      </c>
    </row>
    <row r="5311" spans="2:4" x14ac:dyDescent="0.35">
      <c r="B5311" s="60" t="s">
        <v>15875</v>
      </c>
      <c r="C5311" s="60" t="s">
        <v>15876</v>
      </c>
      <c r="D5311" s="60" t="s">
        <v>15877</v>
      </c>
    </row>
    <row r="5312" spans="2:4" x14ac:dyDescent="0.35">
      <c r="B5312" s="60" t="s">
        <v>15878</v>
      </c>
      <c r="C5312" s="60" t="s">
        <v>15879</v>
      </c>
      <c r="D5312" s="60" t="s">
        <v>15880</v>
      </c>
    </row>
    <row r="5313" spans="2:4" x14ac:dyDescent="0.35">
      <c r="B5313" s="60" t="s">
        <v>15881</v>
      </c>
      <c r="C5313" s="60" t="s">
        <v>15882</v>
      </c>
      <c r="D5313" s="60" t="s">
        <v>15883</v>
      </c>
    </row>
    <row r="5314" spans="2:4" x14ac:dyDescent="0.35">
      <c r="B5314" s="60" t="s">
        <v>15884</v>
      </c>
      <c r="C5314" s="60" t="s">
        <v>15885</v>
      </c>
      <c r="D5314" s="60" t="s">
        <v>15886</v>
      </c>
    </row>
    <row r="5315" spans="2:4" x14ac:dyDescent="0.35">
      <c r="B5315" s="60" t="s">
        <v>15887</v>
      </c>
      <c r="C5315" s="60" t="s">
        <v>15888</v>
      </c>
      <c r="D5315" s="60" t="s">
        <v>15889</v>
      </c>
    </row>
    <row r="5316" spans="2:4" x14ac:dyDescent="0.35">
      <c r="B5316" s="60" t="s">
        <v>15890</v>
      </c>
      <c r="C5316" s="60" t="s">
        <v>15891</v>
      </c>
      <c r="D5316" s="60" t="s">
        <v>15892</v>
      </c>
    </row>
    <row r="5317" spans="2:4" x14ac:dyDescent="0.35">
      <c r="B5317" s="60" t="s">
        <v>15893</v>
      </c>
      <c r="C5317" s="60" t="s">
        <v>15894</v>
      </c>
      <c r="D5317" s="60" t="s">
        <v>15895</v>
      </c>
    </row>
    <row r="5318" spans="2:4" x14ac:dyDescent="0.35">
      <c r="B5318" s="60" t="s">
        <v>15896</v>
      </c>
      <c r="C5318" s="60" t="s">
        <v>15897</v>
      </c>
      <c r="D5318" s="60" t="s">
        <v>15898</v>
      </c>
    </row>
    <row r="5319" spans="2:4" x14ac:dyDescent="0.35">
      <c r="B5319" s="60" t="s">
        <v>15899</v>
      </c>
      <c r="C5319" s="60" t="s">
        <v>15900</v>
      </c>
      <c r="D5319" s="60" t="s">
        <v>15901</v>
      </c>
    </row>
    <row r="5320" spans="2:4" x14ac:dyDescent="0.35">
      <c r="B5320" s="60" t="s">
        <v>15902</v>
      </c>
      <c r="C5320" s="60" t="s">
        <v>15903</v>
      </c>
      <c r="D5320" s="60" t="s">
        <v>15904</v>
      </c>
    </row>
    <row r="5321" spans="2:4" x14ac:dyDescent="0.35">
      <c r="B5321" s="60" t="s">
        <v>15902</v>
      </c>
      <c r="C5321" s="60" t="s">
        <v>15905</v>
      </c>
      <c r="D5321" s="60" t="s">
        <v>15904</v>
      </c>
    </row>
    <row r="5322" spans="2:4" x14ac:dyDescent="0.35">
      <c r="B5322" s="60" t="s">
        <v>15906</v>
      </c>
      <c r="C5322" s="60" t="s">
        <v>15907</v>
      </c>
      <c r="D5322" s="60" t="s">
        <v>15908</v>
      </c>
    </row>
    <row r="5323" spans="2:4" x14ac:dyDescent="0.35">
      <c r="B5323" s="60" t="s">
        <v>15909</v>
      </c>
      <c r="C5323" s="60" t="s">
        <v>15910</v>
      </c>
      <c r="D5323" s="60" t="s">
        <v>15911</v>
      </c>
    </row>
    <row r="5324" spans="2:4" x14ac:dyDescent="0.35">
      <c r="B5324" s="60" t="s">
        <v>15912</v>
      </c>
      <c r="C5324" s="60" t="s">
        <v>15913</v>
      </c>
      <c r="D5324" s="60" t="s">
        <v>15914</v>
      </c>
    </row>
    <row r="5325" spans="2:4" x14ac:dyDescent="0.35">
      <c r="B5325" s="60" t="s">
        <v>15915</v>
      </c>
      <c r="C5325" s="60" t="s">
        <v>15916</v>
      </c>
      <c r="D5325" s="60" t="s">
        <v>15917</v>
      </c>
    </row>
    <row r="5326" spans="2:4" x14ac:dyDescent="0.35">
      <c r="B5326" s="60" t="s">
        <v>15918</v>
      </c>
      <c r="C5326" s="60" t="s">
        <v>15919</v>
      </c>
      <c r="D5326" s="60" t="s">
        <v>15920</v>
      </c>
    </row>
    <row r="5327" spans="2:4" x14ac:dyDescent="0.35">
      <c r="B5327" s="60" t="s">
        <v>15921</v>
      </c>
      <c r="C5327" s="60" t="s">
        <v>15922</v>
      </c>
      <c r="D5327" s="60" t="s">
        <v>15923</v>
      </c>
    </row>
    <row r="5328" spans="2:4" x14ac:dyDescent="0.35">
      <c r="B5328" s="60" t="s">
        <v>15924</v>
      </c>
      <c r="C5328" s="60" t="s">
        <v>15925</v>
      </c>
      <c r="D5328" s="60" t="s">
        <v>15926</v>
      </c>
    </row>
    <row r="5329" spans="2:4" x14ac:dyDescent="0.35">
      <c r="B5329" s="60" t="s">
        <v>15927</v>
      </c>
      <c r="C5329" s="60" t="s">
        <v>15928</v>
      </c>
      <c r="D5329" s="60" t="s">
        <v>15929</v>
      </c>
    </row>
    <row r="5330" spans="2:4" x14ac:dyDescent="0.35">
      <c r="B5330" s="60" t="s">
        <v>15930</v>
      </c>
      <c r="C5330" s="60" t="s">
        <v>15931</v>
      </c>
      <c r="D5330" s="60" t="s">
        <v>15932</v>
      </c>
    </row>
    <row r="5331" spans="2:4" x14ac:dyDescent="0.35">
      <c r="B5331" s="60" t="s">
        <v>15933</v>
      </c>
      <c r="C5331" s="60" t="s">
        <v>15934</v>
      </c>
      <c r="D5331" s="60" t="s">
        <v>15935</v>
      </c>
    </row>
    <row r="5332" spans="2:4" x14ac:dyDescent="0.35">
      <c r="B5332" s="60" t="s">
        <v>15936</v>
      </c>
      <c r="C5332" s="60" t="s">
        <v>15937</v>
      </c>
      <c r="D5332" s="60" t="s">
        <v>15938</v>
      </c>
    </row>
    <row r="5333" spans="2:4" x14ac:dyDescent="0.35">
      <c r="B5333" s="60" t="s">
        <v>15939</v>
      </c>
      <c r="C5333" s="60" t="s">
        <v>15940</v>
      </c>
      <c r="D5333" s="60" t="s">
        <v>15941</v>
      </c>
    </row>
    <row r="5334" spans="2:4" x14ac:dyDescent="0.35">
      <c r="B5334" s="60" t="s">
        <v>15942</v>
      </c>
      <c r="C5334" s="60" t="s">
        <v>15943</v>
      </c>
      <c r="D5334" s="60" t="s">
        <v>15944</v>
      </c>
    </row>
    <row r="5335" spans="2:4" x14ac:dyDescent="0.35">
      <c r="B5335" s="60" t="s">
        <v>15945</v>
      </c>
      <c r="C5335" s="60" t="s">
        <v>15946</v>
      </c>
      <c r="D5335" s="60" t="s">
        <v>15947</v>
      </c>
    </row>
    <row r="5336" spans="2:4" x14ac:dyDescent="0.35">
      <c r="B5336" s="60" t="s">
        <v>15948</v>
      </c>
      <c r="C5336" s="60" t="s">
        <v>15949</v>
      </c>
      <c r="D5336" s="60" t="s">
        <v>15950</v>
      </c>
    </row>
    <row r="5337" spans="2:4" x14ac:dyDescent="0.35">
      <c r="B5337" s="60" t="s">
        <v>15951</v>
      </c>
      <c r="C5337" s="60" t="s">
        <v>15952</v>
      </c>
      <c r="D5337" s="60" t="s">
        <v>15953</v>
      </c>
    </row>
    <row r="5338" spans="2:4" x14ac:dyDescent="0.35">
      <c r="B5338" s="60" t="s">
        <v>15954</v>
      </c>
      <c r="C5338" s="60" t="s">
        <v>15955</v>
      </c>
      <c r="D5338" s="60" t="s">
        <v>15956</v>
      </c>
    </row>
    <row r="5339" spans="2:4" x14ac:dyDescent="0.35">
      <c r="B5339" s="60" t="s">
        <v>15957</v>
      </c>
      <c r="C5339" s="60" t="s">
        <v>15958</v>
      </c>
      <c r="D5339" s="60" t="s">
        <v>15959</v>
      </c>
    </row>
    <row r="5340" spans="2:4" x14ac:dyDescent="0.35">
      <c r="B5340" s="60" t="s">
        <v>15960</v>
      </c>
      <c r="C5340" s="60" t="s">
        <v>15961</v>
      </c>
      <c r="D5340" s="60" t="s">
        <v>15962</v>
      </c>
    </row>
    <row r="5341" spans="2:4" x14ac:dyDescent="0.35">
      <c r="B5341" s="60" t="s">
        <v>15963</v>
      </c>
      <c r="C5341" s="60" t="s">
        <v>15964</v>
      </c>
      <c r="D5341" s="60" t="s">
        <v>15965</v>
      </c>
    </row>
    <row r="5342" spans="2:4" x14ac:dyDescent="0.35">
      <c r="B5342" s="60" t="s">
        <v>15966</v>
      </c>
      <c r="C5342" s="60" t="s">
        <v>15967</v>
      </c>
      <c r="D5342" s="60" t="s">
        <v>15968</v>
      </c>
    </row>
    <row r="5343" spans="2:4" x14ac:dyDescent="0.35">
      <c r="B5343" s="60" t="s">
        <v>15969</v>
      </c>
      <c r="C5343" s="60" t="s">
        <v>15970</v>
      </c>
      <c r="D5343" s="60" t="s">
        <v>15971</v>
      </c>
    </row>
    <row r="5344" spans="2:4" x14ac:dyDescent="0.35">
      <c r="B5344" s="60" t="s">
        <v>15972</v>
      </c>
      <c r="C5344" s="60" t="s">
        <v>15973</v>
      </c>
      <c r="D5344" s="60" t="s">
        <v>15974</v>
      </c>
    </row>
    <row r="5345" spans="2:4" x14ac:dyDescent="0.35">
      <c r="B5345" s="60" t="s">
        <v>15975</v>
      </c>
      <c r="C5345" s="60" t="s">
        <v>15976</v>
      </c>
      <c r="D5345" s="60" t="s">
        <v>15977</v>
      </c>
    </row>
    <row r="5346" spans="2:4" x14ac:dyDescent="0.35">
      <c r="B5346" s="60" t="s">
        <v>15978</v>
      </c>
      <c r="C5346" s="60" t="s">
        <v>15979</v>
      </c>
      <c r="D5346" s="60" t="s">
        <v>15980</v>
      </c>
    </row>
    <row r="5347" spans="2:4" x14ac:dyDescent="0.35">
      <c r="B5347" s="60" t="s">
        <v>15981</v>
      </c>
      <c r="C5347" s="60" t="s">
        <v>15982</v>
      </c>
      <c r="D5347" s="60" t="s">
        <v>15983</v>
      </c>
    </row>
    <row r="5348" spans="2:4" x14ac:dyDescent="0.35">
      <c r="B5348" s="60" t="s">
        <v>15984</v>
      </c>
      <c r="C5348" s="60" t="s">
        <v>15985</v>
      </c>
      <c r="D5348" s="60" t="s">
        <v>15986</v>
      </c>
    </row>
    <row r="5349" spans="2:4" x14ac:dyDescent="0.35">
      <c r="B5349" s="60" t="s">
        <v>15987</v>
      </c>
      <c r="C5349" s="60" t="s">
        <v>15988</v>
      </c>
      <c r="D5349" s="60" t="s">
        <v>15989</v>
      </c>
    </row>
    <row r="5350" spans="2:4" x14ac:dyDescent="0.35">
      <c r="B5350" s="60" t="s">
        <v>15990</v>
      </c>
      <c r="C5350" s="60" t="s">
        <v>15991</v>
      </c>
      <c r="D5350" s="60" t="s">
        <v>15992</v>
      </c>
    </row>
    <row r="5351" spans="2:4" x14ac:dyDescent="0.35">
      <c r="B5351" s="60" t="s">
        <v>15993</v>
      </c>
      <c r="C5351" s="60" t="s">
        <v>15994</v>
      </c>
      <c r="D5351" s="60" t="s">
        <v>15995</v>
      </c>
    </row>
    <row r="5352" spans="2:4" x14ac:dyDescent="0.35">
      <c r="B5352" s="60" t="s">
        <v>15996</v>
      </c>
      <c r="C5352" s="60" t="s">
        <v>15997</v>
      </c>
      <c r="D5352" s="60" t="s">
        <v>15998</v>
      </c>
    </row>
    <row r="5353" spans="2:4" x14ac:dyDescent="0.35">
      <c r="B5353" s="60" t="s">
        <v>15999</v>
      </c>
      <c r="C5353" s="60" t="s">
        <v>16000</v>
      </c>
      <c r="D5353" s="60" t="s">
        <v>16001</v>
      </c>
    </row>
    <row r="5354" spans="2:4" x14ac:dyDescent="0.35">
      <c r="B5354" s="60" t="s">
        <v>16002</v>
      </c>
      <c r="C5354" s="60" t="s">
        <v>16003</v>
      </c>
      <c r="D5354" s="60" t="s">
        <v>16004</v>
      </c>
    </row>
    <row r="5355" spans="2:4" x14ac:dyDescent="0.35">
      <c r="B5355" s="60" t="s">
        <v>16005</v>
      </c>
      <c r="C5355" s="60" t="s">
        <v>16006</v>
      </c>
      <c r="D5355" s="60" t="s">
        <v>16007</v>
      </c>
    </row>
    <row r="5356" spans="2:4" x14ac:dyDescent="0.35">
      <c r="B5356" s="60" t="s">
        <v>16008</v>
      </c>
      <c r="C5356" s="60" t="s">
        <v>16009</v>
      </c>
      <c r="D5356" s="60" t="s">
        <v>16010</v>
      </c>
    </row>
    <row r="5357" spans="2:4" x14ac:dyDescent="0.35">
      <c r="B5357" s="60" t="s">
        <v>16011</v>
      </c>
      <c r="C5357" s="60" t="s">
        <v>16012</v>
      </c>
      <c r="D5357" s="60" t="s">
        <v>16013</v>
      </c>
    </row>
    <row r="5358" spans="2:4" x14ac:dyDescent="0.35">
      <c r="B5358" s="60" t="s">
        <v>16014</v>
      </c>
      <c r="C5358" s="60" t="s">
        <v>16015</v>
      </c>
      <c r="D5358" s="60" t="s">
        <v>16016</v>
      </c>
    </row>
    <row r="5359" spans="2:4" x14ac:dyDescent="0.35">
      <c r="B5359" s="60" t="s">
        <v>16017</v>
      </c>
      <c r="C5359" s="60" t="s">
        <v>16018</v>
      </c>
      <c r="D5359" s="60" t="s">
        <v>16019</v>
      </c>
    </row>
    <row r="5360" spans="2:4" x14ac:dyDescent="0.35">
      <c r="B5360" s="60" t="s">
        <v>16020</v>
      </c>
      <c r="C5360" s="60" t="s">
        <v>16021</v>
      </c>
      <c r="D5360" s="60" t="s">
        <v>16022</v>
      </c>
    </row>
    <row r="5361" spans="2:4" x14ac:dyDescent="0.35">
      <c r="B5361" s="60" t="s">
        <v>16023</v>
      </c>
      <c r="C5361" s="60" t="s">
        <v>16024</v>
      </c>
      <c r="D5361" s="60" t="s">
        <v>16025</v>
      </c>
    </row>
    <row r="5362" spans="2:4" x14ac:dyDescent="0.35">
      <c r="B5362" s="60" t="s">
        <v>16026</v>
      </c>
      <c r="C5362" s="60" t="s">
        <v>16027</v>
      </c>
      <c r="D5362" s="60" t="s">
        <v>16028</v>
      </c>
    </row>
    <row r="5363" spans="2:4" x14ac:dyDescent="0.35">
      <c r="B5363" s="60" t="s">
        <v>16029</v>
      </c>
      <c r="C5363" s="60" t="s">
        <v>16030</v>
      </c>
      <c r="D5363" s="60" t="s">
        <v>16031</v>
      </c>
    </row>
    <row r="5364" spans="2:4" x14ac:dyDescent="0.35">
      <c r="B5364" s="60" t="s">
        <v>16032</v>
      </c>
      <c r="C5364" s="60" t="s">
        <v>16033</v>
      </c>
      <c r="D5364" s="60" t="s">
        <v>16034</v>
      </c>
    </row>
    <row r="5365" spans="2:4" x14ac:dyDescent="0.35">
      <c r="B5365" s="60" t="s">
        <v>16035</v>
      </c>
      <c r="C5365" s="60" t="s">
        <v>16036</v>
      </c>
      <c r="D5365" s="60" t="s">
        <v>16037</v>
      </c>
    </row>
    <row r="5366" spans="2:4" x14ac:dyDescent="0.35">
      <c r="B5366" s="60" t="s">
        <v>16038</v>
      </c>
      <c r="C5366" s="60" t="s">
        <v>16039</v>
      </c>
      <c r="D5366" s="60" t="s">
        <v>15457</v>
      </c>
    </row>
    <row r="5367" spans="2:4" x14ac:dyDescent="0.35">
      <c r="B5367" s="60" t="s">
        <v>16040</v>
      </c>
      <c r="C5367" s="60" t="s">
        <v>16041</v>
      </c>
      <c r="D5367" s="60" t="s">
        <v>16042</v>
      </c>
    </row>
    <row r="5368" spans="2:4" x14ac:dyDescent="0.35">
      <c r="B5368" s="60" t="s">
        <v>16043</v>
      </c>
      <c r="C5368" s="60" t="s">
        <v>16044</v>
      </c>
      <c r="D5368" s="60" t="s">
        <v>16045</v>
      </c>
    </row>
    <row r="5369" spans="2:4" x14ac:dyDescent="0.35">
      <c r="B5369" s="60" t="s">
        <v>16046</v>
      </c>
      <c r="C5369" s="60" t="s">
        <v>16047</v>
      </c>
      <c r="D5369" s="60" t="s">
        <v>16048</v>
      </c>
    </row>
    <row r="5370" spans="2:4" x14ac:dyDescent="0.35">
      <c r="B5370" s="60" t="s">
        <v>16049</v>
      </c>
      <c r="C5370" s="60" t="s">
        <v>16050</v>
      </c>
      <c r="D5370" s="60" t="s">
        <v>16051</v>
      </c>
    </row>
    <row r="5371" spans="2:4" x14ac:dyDescent="0.35">
      <c r="B5371" s="60" t="s">
        <v>16052</v>
      </c>
      <c r="C5371" s="60" t="s">
        <v>16053</v>
      </c>
      <c r="D5371" s="60" t="s">
        <v>7691</v>
      </c>
    </row>
    <row r="5372" spans="2:4" x14ac:dyDescent="0.35">
      <c r="B5372" s="60" t="s">
        <v>16054</v>
      </c>
      <c r="C5372" s="60" t="s">
        <v>16055</v>
      </c>
      <c r="D5372" s="60" t="s">
        <v>16056</v>
      </c>
    </row>
    <row r="5373" spans="2:4" x14ac:dyDescent="0.35">
      <c r="B5373" s="60" t="s">
        <v>16057</v>
      </c>
      <c r="C5373" s="60" t="s">
        <v>16058</v>
      </c>
      <c r="D5373" s="60" t="s">
        <v>16059</v>
      </c>
    </row>
    <row r="5374" spans="2:4" x14ac:dyDescent="0.35">
      <c r="B5374" s="60" t="s">
        <v>16060</v>
      </c>
      <c r="C5374" s="60" t="s">
        <v>16061</v>
      </c>
      <c r="D5374" s="60" t="s">
        <v>16062</v>
      </c>
    </row>
    <row r="5375" spans="2:4" x14ac:dyDescent="0.35">
      <c r="B5375" s="60" t="s">
        <v>16063</v>
      </c>
      <c r="C5375" s="60" t="s">
        <v>16064</v>
      </c>
      <c r="D5375" s="60" t="s">
        <v>16065</v>
      </c>
    </row>
    <row r="5376" spans="2:4" x14ac:dyDescent="0.35">
      <c r="B5376" s="60" t="s">
        <v>16066</v>
      </c>
      <c r="C5376" s="60" t="s">
        <v>16067</v>
      </c>
      <c r="D5376" s="60" t="s">
        <v>16068</v>
      </c>
    </row>
    <row r="5377" spans="2:4" x14ac:dyDescent="0.35">
      <c r="B5377" s="60" t="s">
        <v>16069</v>
      </c>
      <c r="C5377" s="60" t="s">
        <v>16070</v>
      </c>
      <c r="D5377" s="60" t="s">
        <v>16071</v>
      </c>
    </row>
    <row r="5378" spans="2:4" x14ac:dyDescent="0.35">
      <c r="B5378" s="60" t="s">
        <v>16072</v>
      </c>
      <c r="C5378" s="60" t="s">
        <v>16073</v>
      </c>
      <c r="D5378" s="60" t="s">
        <v>16074</v>
      </c>
    </row>
    <row r="5379" spans="2:4" x14ac:dyDescent="0.35">
      <c r="B5379" s="60" t="s">
        <v>16075</v>
      </c>
      <c r="C5379" s="60" t="s">
        <v>16076</v>
      </c>
      <c r="D5379" s="60" t="s">
        <v>16077</v>
      </c>
    </row>
    <row r="5380" spans="2:4" x14ac:dyDescent="0.35">
      <c r="B5380" s="60" t="s">
        <v>16078</v>
      </c>
      <c r="C5380" s="60" t="s">
        <v>16079</v>
      </c>
      <c r="D5380" s="60" t="s">
        <v>16080</v>
      </c>
    </row>
    <row r="5381" spans="2:4" x14ac:dyDescent="0.35">
      <c r="B5381" s="60" t="s">
        <v>16081</v>
      </c>
      <c r="C5381" s="60" t="s">
        <v>16082</v>
      </c>
      <c r="D5381" s="60" t="s">
        <v>16083</v>
      </c>
    </row>
    <row r="5382" spans="2:4" x14ac:dyDescent="0.35">
      <c r="B5382" s="60" t="s">
        <v>16084</v>
      </c>
      <c r="C5382" s="60" t="s">
        <v>16085</v>
      </c>
      <c r="D5382" s="60" t="s">
        <v>16086</v>
      </c>
    </row>
    <row r="5383" spans="2:4" x14ac:dyDescent="0.35">
      <c r="B5383" s="60" t="s">
        <v>16087</v>
      </c>
      <c r="C5383" s="60" t="s">
        <v>16088</v>
      </c>
      <c r="D5383" s="60" t="s">
        <v>16089</v>
      </c>
    </row>
    <row r="5384" spans="2:4" x14ac:dyDescent="0.35">
      <c r="B5384" s="60" t="s">
        <v>16090</v>
      </c>
      <c r="C5384" s="60" t="s">
        <v>16091</v>
      </c>
      <c r="D5384" s="60" t="s">
        <v>16092</v>
      </c>
    </row>
    <row r="5385" spans="2:4" x14ac:dyDescent="0.35">
      <c r="B5385" s="60" t="s">
        <v>16093</v>
      </c>
      <c r="C5385" s="60" t="s">
        <v>11996</v>
      </c>
      <c r="D5385" s="60" t="s">
        <v>11996</v>
      </c>
    </row>
    <row r="5386" spans="2:4" x14ac:dyDescent="0.35">
      <c r="B5386" s="60" t="s">
        <v>16094</v>
      </c>
      <c r="C5386" s="60" t="s">
        <v>16095</v>
      </c>
      <c r="D5386" s="60" t="s">
        <v>16096</v>
      </c>
    </row>
    <row r="5387" spans="2:4" x14ac:dyDescent="0.35">
      <c r="B5387" s="60" t="s">
        <v>16097</v>
      </c>
      <c r="C5387" s="60" t="s">
        <v>16098</v>
      </c>
      <c r="D5387" s="60" t="s">
        <v>16099</v>
      </c>
    </row>
    <row r="5388" spans="2:4" x14ac:dyDescent="0.35">
      <c r="B5388" s="60" t="s">
        <v>16100</v>
      </c>
      <c r="C5388" s="60" t="s">
        <v>16101</v>
      </c>
      <c r="D5388" s="60" t="s">
        <v>16102</v>
      </c>
    </row>
    <row r="5389" spans="2:4" x14ac:dyDescent="0.35">
      <c r="B5389" s="60" t="s">
        <v>16103</v>
      </c>
      <c r="C5389" s="60" t="s">
        <v>16104</v>
      </c>
      <c r="D5389" s="60" t="s">
        <v>16105</v>
      </c>
    </row>
    <row r="5390" spans="2:4" x14ac:dyDescent="0.35">
      <c r="B5390" s="60" t="s">
        <v>16106</v>
      </c>
      <c r="C5390" s="60" t="s">
        <v>16107</v>
      </c>
      <c r="D5390" s="60" t="s">
        <v>16108</v>
      </c>
    </row>
    <row r="5391" spans="2:4" x14ac:dyDescent="0.35">
      <c r="B5391" s="60" t="s">
        <v>16109</v>
      </c>
      <c r="C5391" s="60" t="s">
        <v>16110</v>
      </c>
      <c r="D5391" s="60" t="s">
        <v>16111</v>
      </c>
    </row>
    <row r="5392" spans="2:4" x14ac:dyDescent="0.35">
      <c r="B5392" s="60" t="s">
        <v>16112</v>
      </c>
      <c r="C5392" s="60" t="s">
        <v>16113</v>
      </c>
      <c r="D5392" s="60" t="s">
        <v>16114</v>
      </c>
    </row>
    <row r="5393" spans="2:4" x14ac:dyDescent="0.35">
      <c r="B5393" s="60" t="s">
        <v>16115</v>
      </c>
      <c r="C5393" s="60" t="s">
        <v>16116</v>
      </c>
      <c r="D5393" s="60" t="s">
        <v>16117</v>
      </c>
    </row>
    <row r="5394" spans="2:4" x14ac:dyDescent="0.35">
      <c r="B5394" s="60" t="s">
        <v>16118</v>
      </c>
      <c r="C5394" s="60" t="s">
        <v>16119</v>
      </c>
      <c r="D5394" s="60" t="s">
        <v>16120</v>
      </c>
    </row>
    <row r="5395" spans="2:4" x14ac:dyDescent="0.35">
      <c r="B5395" s="60" t="s">
        <v>16121</v>
      </c>
      <c r="C5395" s="60" t="s">
        <v>16122</v>
      </c>
      <c r="D5395" s="60" t="s">
        <v>16123</v>
      </c>
    </row>
    <row r="5396" spans="2:4" x14ac:dyDescent="0.35">
      <c r="B5396" s="60" t="s">
        <v>16124</v>
      </c>
      <c r="C5396" s="60" t="s">
        <v>16125</v>
      </c>
      <c r="D5396" s="60" t="s">
        <v>16126</v>
      </c>
    </row>
    <row r="5397" spans="2:4" x14ac:dyDescent="0.35">
      <c r="B5397" s="60" t="s">
        <v>16127</v>
      </c>
      <c r="C5397" s="60" t="s">
        <v>16128</v>
      </c>
      <c r="D5397" s="60" t="s">
        <v>16129</v>
      </c>
    </row>
    <row r="5398" spans="2:4" x14ac:dyDescent="0.35">
      <c r="B5398" s="60" t="s">
        <v>16130</v>
      </c>
      <c r="C5398" s="60" t="s">
        <v>16131</v>
      </c>
      <c r="D5398" s="60" t="s">
        <v>16132</v>
      </c>
    </row>
    <row r="5399" spans="2:4" x14ac:dyDescent="0.35">
      <c r="B5399" s="60" t="s">
        <v>16133</v>
      </c>
      <c r="C5399" s="60" t="s">
        <v>16134</v>
      </c>
      <c r="D5399" s="60" t="s">
        <v>16135</v>
      </c>
    </row>
    <row r="5400" spans="2:4" x14ac:dyDescent="0.35">
      <c r="B5400" s="60" t="s">
        <v>16136</v>
      </c>
      <c r="C5400" s="60" t="s">
        <v>16137</v>
      </c>
      <c r="D5400" s="60" t="s">
        <v>16138</v>
      </c>
    </row>
    <row r="5401" spans="2:4" x14ac:dyDescent="0.35">
      <c r="B5401" s="60" t="s">
        <v>16139</v>
      </c>
      <c r="C5401" s="60" t="s">
        <v>16140</v>
      </c>
      <c r="D5401" s="60" t="s">
        <v>16141</v>
      </c>
    </row>
    <row r="5402" spans="2:4" x14ac:dyDescent="0.35">
      <c r="B5402" s="60" t="s">
        <v>16142</v>
      </c>
      <c r="C5402" s="60" t="s">
        <v>16143</v>
      </c>
      <c r="D5402" s="60" t="s">
        <v>16144</v>
      </c>
    </row>
    <row r="5403" spans="2:4" x14ac:dyDescent="0.35">
      <c r="B5403" s="60" t="s">
        <v>16145</v>
      </c>
      <c r="C5403" s="60" t="s">
        <v>16146</v>
      </c>
      <c r="D5403" s="60" t="s">
        <v>16147</v>
      </c>
    </row>
    <row r="5404" spans="2:4" x14ac:dyDescent="0.35">
      <c r="B5404" s="60" t="s">
        <v>16148</v>
      </c>
      <c r="C5404" s="60" t="s">
        <v>16149</v>
      </c>
      <c r="D5404" s="60" t="s">
        <v>16150</v>
      </c>
    </row>
    <row r="5405" spans="2:4" x14ac:dyDescent="0.35">
      <c r="B5405" s="60" t="s">
        <v>16151</v>
      </c>
      <c r="C5405" s="60" t="s">
        <v>16152</v>
      </c>
      <c r="D5405" s="60" t="s">
        <v>16153</v>
      </c>
    </row>
    <row r="5406" spans="2:4" x14ac:dyDescent="0.35">
      <c r="B5406" s="60" t="s">
        <v>16154</v>
      </c>
      <c r="C5406" s="60" t="s">
        <v>16155</v>
      </c>
      <c r="D5406" s="60" t="s">
        <v>16156</v>
      </c>
    </row>
    <row r="5407" spans="2:4" x14ac:dyDescent="0.35">
      <c r="B5407" s="60" t="s">
        <v>16157</v>
      </c>
      <c r="C5407" s="60" t="s">
        <v>16158</v>
      </c>
      <c r="D5407" s="60" t="s">
        <v>16159</v>
      </c>
    </row>
    <row r="5408" spans="2:4" x14ac:dyDescent="0.35">
      <c r="B5408" s="60" t="s">
        <v>16160</v>
      </c>
      <c r="C5408" s="60" t="s">
        <v>16161</v>
      </c>
      <c r="D5408" s="60" t="s">
        <v>16162</v>
      </c>
    </row>
    <row r="5409" spans="2:4" x14ac:dyDescent="0.35">
      <c r="B5409" s="60" t="s">
        <v>16163</v>
      </c>
      <c r="C5409" s="60" t="s">
        <v>16164</v>
      </c>
      <c r="D5409" s="60" t="s">
        <v>16165</v>
      </c>
    </row>
    <row r="5410" spans="2:4" x14ac:dyDescent="0.35">
      <c r="B5410" s="60" t="s">
        <v>16166</v>
      </c>
      <c r="C5410" s="60" t="s">
        <v>16167</v>
      </c>
      <c r="D5410" s="60" t="s">
        <v>16168</v>
      </c>
    </row>
    <row r="5411" spans="2:4" x14ac:dyDescent="0.35">
      <c r="B5411" s="60" t="s">
        <v>16169</v>
      </c>
      <c r="C5411" s="60" t="s">
        <v>16170</v>
      </c>
      <c r="D5411" s="60" t="s">
        <v>16171</v>
      </c>
    </row>
    <row r="5412" spans="2:4" x14ac:dyDescent="0.35">
      <c r="B5412" s="60" t="s">
        <v>16172</v>
      </c>
      <c r="C5412" s="60" t="s">
        <v>16173</v>
      </c>
      <c r="D5412" s="60" t="s">
        <v>16174</v>
      </c>
    </row>
    <row r="5413" spans="2:4" x14ac:dyDescent="0.35">
      <c r="B5413" s="60" t="s">
        <v>16175</v>
      </c>
      <c r="C5413" s="60" t="s">
        <v>16176</v>
      </c>
      <c r="D5413" s="60" t="s">
        <v>16177</v>
      </c>
    </row>
    <row r="5414" spans="2:4" x14ac:dyDescent="0.35">
      <c r="B5414" s="60" t="s">
        <v>16178</v>
      </c>
      <c r="C5414" s="60" t="s">
        <v>16179</v>
      </c>
      <c r="D5414" s="60" t="s">
        <v>16180</v>
      </c>
    </row>
    <row r="5415" spans="2:4" x14ac:dyDescent="0.35">
      <c r="B5415" s="60" t="s">
        <v>16181</v>
      </c>
      <c r="C5415" s="60" t="s">
        <v>16182</v>
      </c>
      <c r="D5415" s="60" t="s">
        <v>16183</v>
      </c>
    </row>
    <row r="5416" spans="2:4" x14ac:dyDescent="0.35">
      <c r="B5416" s="60" t="s">
        <v>16184</v>
      </c>
      <c r="C5416" s="60" t="s">
        <v>16185</v>
      </c>
      <c r="D5416" s="60" t="s">
        <v>16186</v>
      </c>
    </row>
    <row r="5417" spans="2:4" x14ac:dyDescent="0.35">
      <c r="B5417" s="60" t="s">
        <v>16187</v>
      </c>
      <c r="C5417" s="60" t="s">
        <v>16188</v>
      </c>
      <c r="D5417" s="60" t="s">
        <v>16189</v>
      </c>
    </row>
    <row r="5418" spans="2:4" x14ac:dyDescent="0.35">
      <c r="B5418" s="60" t="s">
        <v>16190</v>
      </c>
      <c r="C5418" s="60" t="s">
        <v>16191</v>
      </c>
      <c r="D5418" s="60" t="s">
        <v>16192</v>
      </c>
    </row>
    <row r="5419" spans="2:4" x14ac:dyDescent="0.35">
      <c r="B5419" s="60" t="s">
        <v>16193</v>
      </c>
      <c r="C5419" s="60" t="s">
        <v>16194</v>
      </c>
      <c r="D5419" s="60" t="s">
        <v>16195</v>
      </c>
    </row>
    <row r="5420" spans="2:4" x14ac:dyDescent="0.35">
      <c r="B5420" s="60" t="s">
        <v>16196</v>
      </c>
      <c r="C5420" s="60" t="s">
        <v>16197</v>
      </c>
      <c r="D5420" s="60" t="s">
        <v>16198</v>
      </c>
    </row>
    <row r="5421" spans="2:4" x14ac:dyDescent="0.35">
      <c r="B5421" s="60" t="s">
        <v>16199</v>
      </c>
      <c r="C5421" s="60" t="s">
        <v>16200</v>
      </c>
      <c r="D5421" s="60" t="s">
        <v>16201</v>
      </c>
    </row>
    <row r="5422" spans="2:4" x14ac:dyDescent="0.35">
      <c r="B5422" s="60" t="s">
        <v>16202</v>
      </c>
      <c r="C5422" s="60" t="s">
        <v>16203</v>
      </c>
      <c r="D5422" s="60" t="s">
        <v>16204</v>
      </c>
    </row>
    <row r="5423" spans="2:4" x14ac:dyDescent="0.35">
      <c r="B5423" s="60" t="s">
        <v>16205</v>
      </c>
      <c r="C5423" s="60" t="s">
        <v>16206</v>
      </c>
      <c r="D5423" s="60" t="s">
        <v>16207</v>
      </c>
    </row>
    <row r="5424" spans="2:4" x14ac:dyDescent="0.35">
      <c r="B5424" s="60" t="s">
        <v>16208</v>
      </c>
      <c r="C5424" s="60" t="s">
        <v>16209</v>
      </c>
      <c r="D5424" s="60" t="s">
        <v>16210</v>
      </c>
    </row>
    <row r="5425" spans="2:4" x14ac:dyDescent="0.35">
      <c r="B5425" s="60" t="s">
        <v>16211</v>
      </c>
      <c r="C5425" s="60" t="s">
        <v>16212</v>
      </c>
      <c r="D5425" s="60" t="s">
        <v>16213</v>
      </c>
    </row>
    <row r="5426" spans="2:4" x14ac:dyDescent="0.35">
      <c r="B5426" s="60" t="s">
        <v>16214</v>
      </c>
      <c r="C5426" s="60" t="s">
        <v>16215</v>
      </c>
      <c r="D5426" s="60" t="s">
        <v>16216</v>
      </c>
    </row>
    <row r="5427" spans="2:4" x14ac:dyDescent="0.35">
      <c r="B5427" s="60" t="s">
        <v>16217</v>
      </c>
      <c r="C5427" s="60" t="s">
        <v>16218</v>
      </c>
      <c r="D5427" s="60" t="s">
        <v>16219</v>
      </c>
    </row>
    <row r="5428" spans="2:4" x14ac:dyDescent="0.35">
      <c r="B5428" s="60" t="s">
        <v>16220</v>
      </c>
      <c r="C5428" s="60" t="s">
        <v>16221</v>
      </c>
      <c r="D5428" s="60" t="s">
        <v>16222</v>
      </c>
    </row>
    <row r="5429" spans="2:4" x14ac:dyDescent="0.35">
      <c r="B5429" s="60" t="s">
        <v>16223</v>
      </c>
      <c r="C5429" s="60" t="s">
        <v>16224</v>
      </c>
      <c r="D5429" s="60" t="s">
        <v>16225</v>
      </c>
    </row>
    <row r="5430" spans="2:4" x14ac:dyDescent="0.35">
      <c r="B5430" s="60" t="s">
        <v>16226</v>
      </c>
      <c r="C5430" s="60" t="s">
        <v>16227</v>
      </c>
      <c r="D5430" s="60" t="s">
        <v>16228</v>
      </c>
    </row>
    <row r="5431" spans="2:4" x14ac:dyDescent="0.35">
      <c r="B5431" s="60" t="s">
        <v>16229</v>
      </c>
      <c r="C5431" s="60" t="s">
        <v>16230</v>
      </c>
      <c r="D5431" s="60" t="s">
        <v>16231</v>
      </c>
    </row>
    <row r="5432" spans="2:4" x14ac:dyDescent="0.35">
      <c r="B5432" s="60" t="s">
        <v>16232</v>
      </c>
      <c r="C5432" s="60" t="s">
        <v>16233</v>
      </c>
      <c r="D5432" s="60" t="s">
        <v>16234</v>
      </c>
    </row>
    <row r="5433" spans="2:4" x14ac:dyDescent="0.35">
      <c r="B5433" s="60" t="s">
        <v>16235</v>
      </c>
      <c r="C5433" s="60" t="s">
        <v>16236</v>
      </c>
      <c r="D5433" s="60" t="s">
        <v>16237</v>
      </c>
    </row>
    <row r="5434" spans="2:4" x14ac:dyDescent="0.35">
      <c r="B5434" s="60" t="s">
        <v>16238</v>
      </c>
      <c r="C5434" s="60" t="s">
        <v>16239</v>
      </c>
      <c r="D5434" s="60" t="s">
        <v>16240</v>
      </c>
    </row>
    <row r="5435" spans="2:4" x14ac:dyDescent="0.35">
      <c r="B5435" s="60" t="s">
        <v>16241</v>
      </c>
      <c r="C5435" s="60" t="s">
        <v>16242</v>
      </c>
      <c r="D5435" s="60" t="s">
        <v>16243</v>
      </c>
    </row>
    <row r="5436" spans="2:4" x14ac:dyDescent="0.35">
      <c r="B5436" s="60" t="s">
        <v>16244</v>
      </c>
      <c r="C5436" s="60" t="s">
        <v>16245</v>
      </c>
      <c r="D5436" s="60" t="s">
        <v>16246</v>
      </c>
    </row>
    <row r="5437" spans="2:4" x14ac:dyDescent="0.35">
      <c r="B5437" s="60" t="s">
        <v>16247</v>
      </c>
      <c r="C5437" s="60" t="s">
        <v>16248</v>
      </c>
      <c r="D5437" s="60" t="s">
        <v>16249</v>
      </c>
    </row>
    <row r="5438" spans="2:4" x14ac:dyDescent="0.35">
      <c r="B5438" s="60" t="s">
        <v>16250</v>
      </c>
      <c r="C5438" s="60" t="s">
        <v>16251</v>
      </c>
      <c r="D5438" s="60" t="s">
        <v>16252</v>
      </c>
    </row>
    <row r="5439" spans="2:4" x14ac:dyDescent="0.35">
      <c r="B5439" s="60" t="s">
        <v>16253</v>
      </c>
      <c r="C5439" s="60" t="s">
        <v>16254</v>
      </c>
      <c r="D5439" s="60" t="s">
        <v>16255</v>
      </c>
    </row>
    <row r="5440" spans="2:4" x14ac:dyDescent="0.35">
      <c r="B5440" s="60" t="s">
        <v>16256</v>
      </c>
      <c r="C5440" s="60" t="s">
        <v>16257</v>
      </c>
      <c r="D5440" s="60" t="s">
        <v>16258</v>
      </c>
    </row>
    <row r="5441" spans="2:4" x14ac:dyDescent="0.35">
      <c r="B5441" s="60" t="s">
        <v>16259</v>
      </c>
      <c r="C5441" s="60" t="s">
        <v>16260</v>
      </c>
      <c r="D5441" s="60" t="s">
        <v>16261</v>
      </c>
    </row>
    <row r="5442" spans="2:4" x14ac:dyDescent="0.35">
      <c r="B5442" s="60" t="s">
        <v>16262</v>
      </c>
      <c r="C5442" s="60" t="s">
        <v>16263</v>
      </c>
      <c r="D5442" s="60" t="s">
        <v>16264</v>
      </c>
    </row>
    <row r="5443" spans="2:4" x14ac:dyDescent="0.35">
      <c r="B5443" s="60" t="s">
        <v>16265</v>
      </c>
      <c r="C5443" s="60" t="s">
        <v>16266</v>
      </c>
      <c r="D5443" s="60" t="s">
        <v>16267</v>
      </c>
    </row>
    <row r="5444" spans="2:4" x14ac:dyDescent="0.35">
      <c r="B5444" s="60" t="s">
        <v>16268</v>
      </c>
      <c r="C5444" s="60" t="s">
        <v>16269</v>
      </c>
      <c r="D5444" s="60" t="s">
        <v>16270</v>
      </c>
    </row>
    <row r="5445" spans="2:4" x14ac:dyDescent="0.35">
      <c r="B5445" s="60" t="s">
        <v>16271</v>
      </c>
      <c r="C5445" s="60" t="s">
        <v>16272</v>
      </c>
      <c r="D5445" s="60" t="s">
        <v>16273</v>
      </c>
    </row>
    <row r="5446" spans="2:4" x14ac:dyDescent="0.35">
      <c r="B5446" s="60" t="s">
        <v>16274</v>
      </c>
      <c r="C5446" s="60" t="s">
        <v>16275</v>
      </c>
      <c r="D5446" s="60" t="s">
        <v>16276</v>
      </c>
    </row>
    <row r="5447" spans="2:4" x14ac:dyDescent="0.35">
      <c r="B5447" s="60" t="s">
        <v>16277</v>
      </c>
      <c r="C5447" s="60" t="s">
        <v>16278</v>
      </c>
      <c r="D5447" s="60" t="s">
        <v>16279</v>
      </c>
    </row>
    <row r="5448" spans="2:4" x14ac:dyDescent="0.35">
      <c r="B5448" s="60" t="s">
        <v>16280</v>
      </c>
      <c r="C5448" s="60" t="s">
        <v>16281</v>
      </c>
      <c r="D5448" s="60" t="s">
        <v>16282</v>
      </c>
    </row>
    <row r="5449" spans="2:4" x14ac:dyDescent="0.35">
      <c r="B5449" s="60" t="s">
        <v>16283</v>
      </c>
      <c r="C5449" s="60" t="s">
        <v>16284</v>
      </c>
      <c r="D5449" s="60" t="s">
        <v>16285</v>
      </c>
    </row>
    <row r="5450" spans="2:4" x14ac:dyDescent="0.35">
      <c r="B5450" s="60" t="s">
        <v>16286</v>
      </c>
      <c r="C5450" s="60" t="s">
        <v>16287</v>
      </c>
      <c r="D5450" s="60" t="s">
        <v>16288</v>
      </c>
    </row>
    <row r="5451" spans="2:4" x14ac:dyDescent="0.35">
      <c r="B5451" s="60" t="s">
        <v>16289</v>
      </c>
      <c r="C5451" s="60" t="s">
        <v>16290</v>
      </c>
      <c r="D5451" s="60" t="s">
        <v>16291</v>
      </c>
    </row>
    <row r="5452" spans="2:4" x14ac:dyDescent="0.35">
      <c r="B5452" s="60" t="s">
        <v>16292</v>
      </c>
      <c r="C5452" s="60" t="s">
        <v>16293</v>
      </c>
      <c r="D5452" s="60" t="s">
        <v>16294</v>
      </c>
    </row>
    <row r="5453" spans="2:4" x14ac:dyDescent="0.35">
      <c r="B5453" s="60" t="s">
        <v>16295</v>
      </c>
      <c r="C5453" s="60" t="s">
        <v>16296</v>
      </c>
      <c r="D5453" s="60" t="s">
        <v>16297</v>
      </c>
    </row>
    <row r="5454" spans="2:4" x14ac:dyDescent="0.35">
      <c r="B5454" s="60" t="s">
        <v>16298</v>
      </c>
      <c r="C5454" s="60" t="s">
        <v>16299</v>
      </c>
      <c r="D5454" s="60" t="s">
        <v>16300</v>
      </c>
    </row>
    <row r="5455" spans="2:4" x14ac:dyDescent="0.35">
      <c r="B5455" s="60" t="s">
        <v>16301</v>
      </c>
      <c r="C5455" s="60" t="s">
        <v>16302</v>
      </c>
      <c r="D5455" s="60" t="s">
        <v>16303</v>
      </c>
    </row>
    <row r="5456" spans="2:4" x14ac:dyDescent="0.35">
      <c r="B5456" s="60" t="s">
        <v>16304</v>
      </c>
      <c r="C5456" s="60" t="s">
        <v>16305</v>
      </c>
      <c r="D5456" s="60" t="s">
        <v>16306</v>
      </c>
    </row>
    <row r="5457" spans="2:4" x14ac:dyDescent="0.35">
      <c r="B5457" s="60" t="s">
        <v>16307</v>
      </c>
      <c r="C5457" s="60" t="s">
        <v>16308</v>
      </c>
      <c r="D5457" s="60" t="s">
        <v>16309</v>
      </c>
    </row>
    <row r="5458" spans="2:4" x14ac:dyDescent="0.35">
      <c r="B5458" s="60" t="s">
        <v>16310</v>
      </c>
      <c r="C5458" s="60" t="s">
        <v>16311</v>
      </c>
      <c r="D5458" s="60" t="s">
        <v>16312</v>
      </c>
    </row>
    <row r="5459" spans="2:4" x14ac:dyDescent="0.35">
      <c r="B5459" s="60" t="s">
        <v>16313</v>
      </c>
      <c r="C5459" s="60" t="s">
        <v>16314</v>
      </c>
      <c r="D5459" s="60" t="s">
        <v>16315</v>
      </c>
    </row>
    <row r="5460" spans="2:4" x14ac:dyDescent="0.35">
      <c r="B5460" s="60" t="s">
        <v>16316</v>
      </c>
      <c r="C5460" s="60" t="s">
        <v>16317</v>
      </c>
      <c r="D5460" s="60" t="s">
        <v>16318</v>
      </c>
    </row>
    <row r="5461" spans="2:4" x14ac:dyDescent="0.35">
      <c r="B5461" s="60" t="s">
        <v>16319</v>
      </c>
      <c r="C5461" s="60" t="s">
        <v>16320</v>
      </c>
      <c r="D5461" s="60" t="s">
        <v>16321</v>
      </c>
    </row>
    <row r="5462" spans="2:4" x14ac:dyDescent="0.35">
      <c r="B5462" s="60" t="s">
        <v>16322</v>
      </c>
      <c r="C5462" s="60" t="s">
        <v>16323</v>
      </c>
      <c r="D5462" s="60" t="s">
        <v>16324</v>
      </c>
    </row>
    <row r="5463" spans="2:4" x14ac:dyDescent="0.35">
      <c r="B5463" s="60" t="s">
        <v>16325</v>
      </c>
      <c r="C5463" s="60" t="s">
        <v>16326</v>
      </c>
      <c r="D5463" s="60" t="s">
        <v>16327</v>
      </c>
    </row>
    <row r="5464" spans="2:4" x14ac:dyDescent="0.35">
      <c r="B5464" s="60" t="s">
        <v>16328</v>
      </c>
      <c r="C5464" s="60" t="s">
        <v>16329</v>
      </c>
      <c r="D5464" s="60" t="s">
        <v>16330</v>
      </c>
    </row>
    <row r="5465" spans="2:4" x14ac:dyDescent="0.35">
      <c r="B5465" s="60" t="s">
        <v>16331</v>
      </c>
      <c r="C5465" s="60" t="s">
        <v>16332</v>
      </c>
      <c r="D5465" s="60" t="s">
        <v>16333</v>
      </c>
    </row>
    <row r="5466" spans="2:4" x14ac:dyDescent="0.35">
      <c r="B5466" s="60" t="s">
        <v>16334</v>
      </c>
      <c r="C5466" s="60" t="s">
        <v>16335</v>
      </c>
      <c r="D5466" s="60" t="s">
        <v>16336</v>
      </c>
    </row>
    <row r="5467" spans="2:4" x14ac:dyDescent="0.35">
      <c r="B5467" s="60" t="s">
        <v>16337</v>
      </c>
      <c r="C5467" s="60" t="s">
        <v>16338</v>
      </c>
      <c r="D5467" s="60" t="s">
        <v>16339</v>
      </c>
    </row>
    <row r="5468" spans="2:4" x14ac:dyDescent="0.35">
      <c r="B5468" s="60" t="s">
        <v>16337</v>
      </c>
      <c r="C5468" s="60" t="s">
        <v>11996</v>
      </c>
      <c r="D5468" s="60" t="s">
        <v>11996</v>
      </c>
    </row>
    <row r="5469" spans="2:4" x14ac:dyDescent="0.35">
      <c r="B5469" s="60" t="s">
        <v>16340</v>
      </c>
      <c r="C5469" s="60" t="s">
        <v>16341</v>
      </c>
      <c r="D5469" s="60" t="s">
        <v>16342</v>
      </c>
    </row>
    <row r="5470" spans="2:4" x14ac:dyDescent="0.35">
      <c r="B5470" s="60" t="s">
        <v>16343</v>
      </c>
      <c r="C5470" s="60" t="s">
        <v>16344</v>
      </c>
      <c r="D5470" s="60" t="s">
        <v>16345</v>
      </c>
    </row>
    <row r="5471" spans="2:4" x14ac:dyDescent="0.35">
      <c r="B5471" s="60" t="s">
        <v>16346</v>
      </c>
      <c r="C5471" s="60" t="s">
        <v>16347</v>
      </c>
      <c r="D5471" s="60" t="s">
        <v>16348</v>
      </c>
    </row>
    <row r="5472" spans="2:4" x14ac:dyDescent="0.35">
      <c r="B5472" s="60" t="s">
        <v>16349</v>
      </c>
      <c r="C5472" s="60" t="s">
        <v>16350</v>
      </c>
      <c r="D5472" s="60" t="s">
        <v>16351</v>
      </c>
    </row>
    <row r="5473" spans="2:4" x14ac:dyDescent="0.35">
      <c r="B5473" s="60" t="s">
        <v>16352</v>
      </c>
      <c r="C5473" s="60" t="s">
        <v>16353</v>
      </c>
      <c r="D5473" s="60" t="s">
        <v>16354</v>
      </c>
    </row>
    <row r="5474" spans="2:4" x14ac:dyDescent="0.35">
      <c r="B5474" s="60" t="s">
        <v>16355</v>
      </c>
      <c r="C5474" s="60" t="s">
        <v>16356</v>
      </c>
      <c r="D5474" s="60" t="s">
        <v>16357</v>
      </c>
    </row>
    <row r="5475" spans="2:4" x14ac:dyDescent="0.35">
      <c r="B5475" s="60" t="s">
        <v>16358</v>
      </c>
      <c r="C5475" s="60" t="s">
        <v>16359</v>
      </c>
      <c r="D5475" s="60" t="s">
        <v>16360</v>
      </c>
    </row>
    <row r="5476" spans="2:4" x14ac:dyDescent="0.35">
      <c r="B5476" s="60" t="s">
        <v>16361</v>
      </c>
      <c r="C5476" s="60" t="s">
        <v>16362</v>
      </c>
      <c r="D5476" s="60" t="s">
        <v>16363</v>
      </c>
    </row>
    <row r="5477" spans="2:4" x14ac:dyDescent="0.35">
      <c r="B5477" s="60" t="s">
        <v>16364</v>
      </c>
      <c r="C5477" s="60" t="s">
        <v>16365</v>
      </c>
      <c r="D5477" s="60" t="s">
        <v>16366</v>
      </c>
    </row>
    <row r="5478" spans="2:4" x14ac:dyDescent="0.35">
      <c r="B5478" s="60" t="s">
        <v>16367</v>
      </c>
      <c r="C5478" s="60" t="s">
        <v>16368</v>
      </c>
      <c r="D5478" s="60" t="s">
        <v>16369</v>
      </c>
    </row>
    <row r="5479" spans="2:4" x14ac:dyDescent="0.35">
      <c r="B5479" s="60" t="s">
        <v>16370</v>
      </c>
      <c r="C5479" s="60" t="s">
        <v>16371</v>
      </c>
      <c r="D5479" s="60" t="s">
        <v>16372</v>
      </c>
    </row>
    <row r="5480" spans="2:4" x14ac:dyDescent="0.35">
      <c r="B5480" s="60" t="s">
        <v>16373</v>
      </c>
      <c r="C5480" s="60" t="s">
        <v>16374</v>
      </c>
      <c r="D5480" s="60" t="s">
        <v>16375</v>
      </c>
    </row>
    <row r="5481" spans="2:4" x14ac:dyDescent="0.35">
      <c r="B5481" s="60" t="s">
        <v>16376</v>
      </c>
      <c r="C5481" s="60" t="s">
        <v>16377</v>
      </c>
      <c r="D5481" s="60" t="s">
        <v>16378</v>
      </c>
    </row>
    <row r="5482" spans="2:4" x14ac:dyDescent="0.35">
      <c r="B5482" s="60" t="s">
        <v>16379</v>
      </c>
      <c r="C5482" s="60" t="s">
        <v>16380</v>
      </c>
      <c r="D5482" s="60" t="s">
        <v>16381</v>
      </c>
    </row>
    <row r="5483" spans="2:4" x14ac:dyDescent="0.35">
      <c r="B5483" s="60" t="s">
        <v>16382</v>
      </c>
      <c r="C5483" s="60" t="s">
        <v>16383</v>
      </c>
      <c r="D5483" s="60" t="s">
        <v>16384</v>
      </c>
    </row>
    <row r="5484" spans="2:4" x14ac:dyDescent="0.35">
      <c r="B5484" s="60" t="s">
        <v>16385</v>
      </c>
      <c r="C5484" s="60" t="s">
        <v>16386</v>
      </c>
      <c r="D5484" s="60" t="s">
        <v>16387</v>
      </c>
    </row>
    <row r="5485" spans="2:4" x14ac:dyDescent="0.35">
      <c r="B5485" s="60" t="s">
        <v>16388</v>
      </c>
      <c r="C5485" s="60" t="s">
        <v>16389</v>
      </c>
      <c r="D5485" s="60" t="s">
        <v>16390</v>
      </c>
    </row>
    <row r="5486" spans="2:4" x14ac:dyDescent="0.35">
      <c r="B5486" s="60" t="s">
        <v>16391</v>
      </c>
      <c r="C5486" s="60" t="s">
        <v>16392</v>
      </c>
      <c r="D5486" s="60" t="s">
        <v>16393</v>
      </c>
    </row>
    <row r="5487" spans="2:4" x14ac:dyDescent="0.35">
      <c r="B5487" s="60" t="s">
        <v>16394</v>
      </c>
      <c r="C5487" s="60" t="s">
        <v>16395</v>
      </c>
      <c r="D5487" s="60" t="s">
        <v>16396</v>
      </c>
    </row>
    <row r="5488" spans="2:4" x14ac:dyDescent="0.35">
      <c r="B5488" s="60" t="s">
        <v>16397</v>
      </c>
      <c r="C5488" s="60" t="s">
        <v>16398</v>
      </c>
      <c r="D5488" s="60" t="s">
        <v>16399</v>
      </c>
    </row>
    <row r="5489" spans="2:4" x14ac:dyDescent="0.35">
      <c r="B5489" s="60" t="s">
        <v>16400</v>
      </c>
      <c r="C5489" s="60" t="s">
        <v>16401</v>
      </c>
      <c r="D5489" s="60" t="s">
        <v>16402</v>
      </c>
    </row>
    <row r="5490" spans="2:4" x14ac:dyDescent="0.35">
      <c r="B5490" s="60" t="s">
        <v>16403</v>
      </c>
      <c r="C5490" s="60" t="s">
        <v>16404</v>
      </c>
      <c r="D5490" s="60" t="s">
        <v>16405</v>
      </c>
    </row>
    <row r="5491" spans="2:4" x14ac:dyDescent="0.35">
      <c r="B5491" s="60" t="s">
        <v>16406</v>
      </c>
      <c r="C5491" s="60" t="s">
        <v>16407</v>
      </c>
      <c r="D5491" s="60" t="s">
        <v>16408</v>
      </c>
    </row>
    <row r="5492" spans="2:4" x14ac:dyDescent="0.35">
      <c r="B5492" s="60" t="s">
        <v>16409</v>
      </c>
      <c r="C5492" s="60" t="s">
        <v>16410</v>
      </c>
      <c r="D5492" s="60" t="s">
        <v>16411</v>
      </c>
    </row>
    <row r="5493" spans="2:4" x14ac:dyDescent="0.35">
      <c r="B5493" s="60" t="s">
        <v>16412</v>
      </c>
      <c r="C5493" s="60" t="s">
        <v>16413</v>
      </c>
      <c r="D5493" s="60" t="s">
        <v>16414</v>
      </c>
    </row>
    <row r="5494" spans="2:4" x14ac:dyDescent="0.35">
      <c r="B5494" s="60" t="s">
        <v>16412</v>
      </c>
      <c r="C5494" s="60" t="s">
        <v>16415</v>
      </c>
      <c r="D5494" s="60" t="s">
        <v>16416</v>
      </c>
    </row>
    <row r="5495" spans="2:4" x14ac:dyDescent="0.35">
      <c r="B5495" s="60" t="s">
        <v>16417</v>
      </c>
      <c r="C5495" s="60" t="s">
        <v>16418</v>
      </c>
      <c r="D5495" s="60" t="s">
        <v>16419</v>
      </c>
    </row>
    <row r="5496" spans="2:4" x14ac:dyDescent="0.35">
      <c r="B5496" s="60" t="s">
        <v>16420</v>
      </c>
      <c r="C5496" s="60" t="s">
        <v>16421</v>
      </c>
      <c r="D5496" s="60" t="s">
        <v>16422</v>
      </c>
    </row>
    <row r="5497" spans="2:4" x14ac:dyDescent="0.35">
      <c r="B5497" s="60" t="s">
        <v>16423</v>
      </c>
      <c r="C5497" s="60" t="s">
        <v>16424</v>
      </c>
      <c r="D5497" s="60" t="s">
        <v>16425</v>
      </c>
    </row>
    <row r="5498" spans="2:4" x14ac:dyDescent="0.35">
      <c r="B5498" s="60" t="s">
        <v>16426</v>
      </c>
      <c r="C5498" s="60" t="s">
        <v>16427</v>
      </c>
      <c r="D5498" s="60" t="s">
        <v>16428</v>
      </c>
    </row>
    <row r="5499" spans="2:4" x14ac:dyDescent="0.35">
      <c r="B5499" s="60" t="s">
        <v>16429</v>
      </c>
      <c r="C5499" s="60" t="s">
        <v>16430</v>
      </c>
      <c r="D5499" s="60" t="s">
        <v>16431</v>
      </c>
    </row>
    <row r="5500" spans="2:4" x14ac:dyDescent="0.35">
      <c r="B5500" s="60" t="s">
        <v>16429</v>
      </c>
      <c r="C5500" s="60" t="s">
        <v>16432</v>
      </c>
      <c r="D5500" s="60" t="s">
        <v>16431</v>
      </c>
    </row>
    <row r="5501" spans="2:4" x14ac:dyDescent="0.35">
      <c r="B5501" s="60" t="s">
        <v>16433</v>
      </c>
      <c r="C5501" s="60" t="s">
        <v>16434</v>
      </c>
      <c r="D5501" s="60" t="s">
        <v>16435</v>
      </c>
    </row>
    <row r="5502" spans="2:4" x14ac:dyDescent="0.35">
      <c r="B5502" s="60" t="s">
        <v>16436</v>
      </c>
      <c r="C5502" s="60" t="s">
        <v>16437</v>
      </c>
      <c r="D5502" s="60" t="s">
        <v>16438</v>
      </c>
    </row>
    <row r="5503" spans="2:4" x14ac:dyDescent="0.35">
      <c r="B5503" s="60" t="s">
        <v>16439</v>
      </c>
      <c r="C5503" s="60" t="s">
        <v>16440</v>
      </c>
      <c r="D5503" s="60" t="s">
        <v>16441</v>
      </c>
    </row>
    <row r="5504" spans="2:4" x14ac:dyDescent="0.35">
      <c r="B5504" s="60" t="s">
        <v>16442</v>
      </c>
      <c r="C5504" s="60" t="s">
        <v>16443</v>
      </c>
      <c r="D5504" s="60" t="s">
        <v>16444</v>
      </c>
    </row>
    <row r="5505" spans="2:4" x14ac:dyDescent="0.35">
      <c r="B5505" s="60" t="s">
        <v>16445</v>
      </c>
      <c r="C5505" s="60" t="s">
        <v>16446</v>
      </c>
      <c r="D5505" s="60" t="s">
        <v>16447</v>
      </c>
    </row>
    <row r="5506" spans="2:4" x14ac:dyDescent="0.35">
      <c r="B5506" s="60" t="s">
        <v>16448</v>
      </c>
      <c r="C5506" s="60" t="s">
        <v>16449</v>
      </c>
      <c r="D5506" s="60" t="s">
        <v>16450</v>
      </c>
    </row>
    <row r="5507" spans="2:4" x14ac:dyDescent="0.35">
      <c r="B5507" s="60" t="s">
        <v>16451</v>
      </c>
      <c r="C5507" s="60" t="s">
        <v>16452</v>
      </c>
      <c r="D5507" s="60" t="s">
        <v>16453</v>
      </c>
    </row>
    <row r="5508" spans="2:4" x14ac:dyDescent="0.35">
      <c r="B5508" s="60" t="s">
        <v>16454</v>
      </c>
      <c r="C5508" s="60" t="s">
        <v>16455</v>
      </c>
      <c r="D5508" s="60" t="s">
        <v>16456</v>
      </c>
    </row>
    <row r="5509" spans="2:4" x14ac:dyDescent="0.35">
      <c r="B5509" s="60" t="s">
        <v>16457</v>
      </c>
      <c r="C5509" s="60" t="s">
        <v>16458</v>
      </c>
      <c r="D5509" s="60" t="s">
        <v>16459</v>
      </c>
    </row>
    <row r="5510" spans="2:4" x14ac:dyDescent="0.35">
      <c r="B5510" s="60" t="s">
        <v>16457</v>
      </c>
      <c r="C5510" s="60" t="s">
        <v>16460</v>
      </c>
      <c r="D5510" s="60" t="s">
        <v>16461</v>
      </c>
    </row>
    <row r="5511" spans="2:4" x14ac:dyDescent="0.35">
      <c r="B5511" s="60" t="s">
        <v>16462</v>
      </c>
      <c r="C5511" s="60" t="s">
        <v>16463</v>
      </c>
      <c r="D5511" s="60" t="s">
        <v>16464</v>
      </c>
    </row>
    <row r="5512" spans="2:4" x14ac:dyDescent="0.35">
      <c r="B5512" s="60" t="s">
        <v>16465</v>
      </c>
      <c r="C5512" s="60" t="s">
        <v>16466</v>
      </c>
      <c r="D5512" s="60" t="s">
        <v>16467</v>
      </c>
    </row>
    <row r="5513" spans="2:4" x14ac:dyDescent="0.35">
      <c r="B5513" s="60" t="s">
        <v>16468</v>
      </c>
      <c r="C5513" s="60" t="s">
        <v>16469</v>
      </c>
      <c r="D5513" s="60" t="s">
        <v>16470</v>
      </c>
    </row>
    <row r="5514" spans="2:4" x14ac:dyDescent="0.35">
      <c r="B5514" s="60" t="s">
        <v>16471</v>
      </c>
      <c r="C5514" s="60" t="s">
        <v>16472</v>
      </c>
      <c r="D5514" s="60" t="s">
        <v>16473</v>
      </c>
    </row>
    <row r="5515" spans="2:4" x14ac:dyDescent="0.35">
      <c r="B5515" s="60" t="s">
        <v>16474</v>
      </c>
      <c r="C5515" s="60" t="s">
        <v>16475</v>
      </c>
      <c r="D5515" s="60" t="s">
        <v>16476</v>
      </c>
    </row>
    <row r="5516" spans="2:4" x14ac:dyDescent="0.35">
      <c r="B5516" s="60" t="s">
        <v>16477</v>
      </c>
      <c r="C5516" s="60" t="s">
        <v>16478</v>
      </c>
      <c r="D5516" s="60" t="s">
        <v>16479</v>
      </c>
    </row>
    <row r="5517" spans="2:4" x14ac:dyDescent="0.35">
      <c r="B5517" s="60" t="s">
        <v>16480</v>
      </c>
      <c r="C5517" s="60" t="s">
        <v>16481</v>
      </c>
      <c r="D5517" s="60" t="s">
        <v>16482</v>
      </c>
    </row>
    <row r="5518" spans="2:4" x14ac:dyDescent="0.35">
      <c r="B5518" s="60" t="s">
        <v>16483</v>
      </c>
      <c r="C5518" s="60" t="s">
        <v>16484</v>
      </c>
      <c r="D5518" s="60" t="s">
        <v>16485</v>
      </c>
    </row>
    <row r="5519" spans="2:4" x14ac:dyDescent="0.35">
      <c r="B5519" s="60" t="s">
        <v>16483</v>
      </c>
      <c r="C5519" s="60" t="s">
        <v>16486</v>
      </c>
      <c r="D5519" s="60" t="s">
        <v>16487</v>
      </c>
    </row>
    <row r="5520" spans="2:4" x14ac:dyDescent="0.35">
      <c r="B5520" s="60" t="s">
        <v>16488</v>
      </c>
      <c r="C5520" s="60" t="s">
        <v>16489</v>
      </c>
      <c r="D5520" s="60" t="s">
        <v>16490</v>
      </c>
    </row>
    <row r="5521" spans="2:4" x14ac:dyDescent="0.35">
      <c r="B5521" s="60" t="s">
        <v>16491</v>
      </c>
      <c r="C5521" s="60" t="s">
        <v>16492</v>
      </c>
      <c r="D5521" s="60" t="s">
        <v>16493</v>
      </c>
    </row>
    <row r="5522" spans="2:4" x14ac:dyDescent="0.35">
      <c r="B5522" s="60" t="s">
        <v>16494</v>
      </c>
      <c r="C5522" s="60" t="s">
        <v>16495</v>
      </c>
      <c r="D5522" s="60" t="s">
        <v>16496</v>
      </c>
    </row>
    <row r="5523" spans="2:4" x14ac:dyDescent="0.35">
      <c r="B5523" s="60" t="s">
        <v>16497</v>
      </c>
      <c r="C5523" s="60" t="s">
        <v>16498</v>
      </c>
      <c r="D5523" s="60" t="s">
        <v>16499</v>
      </c>
    </row>
    <row r="5524" spans="2:4" x14ac:dyDescent="0.35">
      <c r="B5524" s="60" t="s">
        <v>16497</v>
      </c>
      <c r="C5524" s="60" t="s">
        <v>16500</v>
      </c>
      <c r="D5524" s="60" t="s">
        <v>16501</v>
      </c>
    </row>
    <row r="5525" spans="2:4" x14ac:dyDescent="0.35">
      <c r="B5525" s="60" t="s">
        <v>16502</v>
      </c>
      <c r="C5525" s="60" t="s">
        <v>16503</v>
      </c>
      <c r="D5525" s="60" t="s">
        <v>16504</v>
      </c>
    </row>
    <row r="5526" spans="2:4" x14ac:dyDescent="0.35">
      <c r="B5526" s="60" t="s">
        <v>16502</v>
      </c>
      <c r="C5526" s="60" t="s">
        <v>16505</v>
      </c>
      <c r="D5526" s="60" t="s">
        <v>16506</v>
      </c>
    </row>
    <row r="5527" spans="2:4" x14ac:dyDescent="0.35">
      <c r="B5527" s="60" t="s">
        <v>16507</v>
      </c>
      <c r="C5527" s="60" t="s">
        <v>16508</v>
      </c>
      <c r="D5527" s="60" t="s">
        <v>16509</v>
      </c>
    </row>
    <row r="5528" spans="2:4" x14ac:dyDescent="0.35">
      <c r="B5528" s="60" t="s">
        <v>16510</v>
      </c>
      <c r="C5528" s="60" t="s">
        <v>16511</v>
      </c>
      <c r="D5528" s="60" t="s">
        <v>16512</v>
      </c>
    </row>
    <row r="5529" spans="2:4" x14ac:dyDescent="0.35">
      <c r="B5529" s="60" t="s">
        <v>16513</v>
      </c>
      <c r="C5529" s="60" t="s">
        <v>16514</v>
      </c>
      <c r="D5529" s="60" t="s">
        <v>16515</v>
      </c>
    </row>
    <row r="5530" spans="2:4" x14ac:dyDescent="0.35">
      <c r="B5530" s="60" t="s">
        <v>16516</v>
      </c>
      <c r="C5530" s="60" t="s">
        <v>16517</v>
      </c>
      <c r="D5530" s="60" t="s">
        <v>16518</v>
      </c>
    </row>
    <row r="5531" spans="2:4" x14ac:dyDescent="0.35">
      <c r="B5531" s="60" t="s">
        <v>16519</v>
      </c>
      <c r="C5531" s="60" t="s">
        <v>16520</v>
      </c>
      <c r="D5531" s="60" t="s">
        <v>16521</v>
      </c>
    </row>
    <row r="5532" spans="2:4" x14ac:dyDescent="0.35">
      <c r="B5532" s="60" t="s">
        <v>16522</v>
      </c>
      <c r="C5532" s="60" t="s">
        <v>16523</v>
      </c>
      <c r="D5532" s="60" t="s">
        <v>16524</v>
      </c>
    </row>
    <row r="5533" spans="2:4" x14ac:dyDescent="0.35">
      <c r="B5533" s="60" t="s">
        <v>16525</v>
      </c>
      <c r="C5533" s="60" t="s">
        <v>16526</v>
      </c>
      <c r="D5533" s="60" t="s">
        <v>16527</v>
      </c>
    </row>
    <row r="5534" spans="2:4" x14ac:dyDescent="0.35">
      <c r="B5534" s="60" t="s">
        <v>16528</v>
      </c>
      <c r="C5534" s="60" t="s">
        <v>16529</v>
      </c>
      <c r="D5534" s="60" t="s">
        <v>16530</v>
      </c>
    </row>
    <row r="5535" spans="2:4" x14ac:dyDescent="0.35">
      <c r="B5535" s="60" t="s">
        <v>16531</v>
      </c>
      <c r="C5535" s="60" t="s">
        <v>16532</v>
      </c>
      <c r="D5535" s="60" t="s">
        <v>16533</v>
      </c>
    </row>
    <row r="5536" spans="2:4" x14ac:dyDescent="0.35">
      <c r="B5536" s="60" t="s">
        <v>16534</v>
      </c>
      <c r="C5536" s="60" t="s">
        <v>16535</v>
      </c>
      <c r="D5536" s="60" t="s">
        <v>16536</v>
      </c>
    </row>
    <row r="5537" spans="2:4" x14ac:dyDescent="0.35">
      <c r="B5537" s="60" t="s">
        <v>16537</v>
      </c>
      <c r="C5537" s="60" t="s">
        <v>16538</v>
      </c>
      <c r="D5537" s="60" t="s">
        <v>16539</v>
      </c>
    </row>
    <row r="5538" spans="2:4" x14ac:dyDescent="0.35">
      <c r="B5538" s="60" t="s">
        <v>16540</v>
      </c>
      <c r="C5538" s="60" t="s">
        <v>16541</v>
      </c>
      <c r="D5538" s="60" t="s">
        <v>16542</v>
      </c>
    </row>
    <row r="5539" spans="2:4" x14ac:dyDescent="0.35">
      <c r="B5539" s="60" t="s">
        <v>16543</v>
      </c>
      <c r="C5539" s="60" t="s">
        <v>16544</v>
      </c>
      <c r="D5539" s="60" t="s">
        <v>16545</v>
      </c>
    </row>
    <row r="5540" spans="2:4" x14ac:dyDescent="0.35">
      <c r="B5540" s="60" t="s">
        <v>16546</v>
      </c>
      <c r="C5540" s="60" t="s">
        <v>16547</v>
      </c>
      <c r="D5540" s="60" t="s">
        <v>16548</v>
      </c>
    </row>
    <row r="5541" spans="2:4" x14ac:dyDescent="0.35">
      <c r="B5541" s="60" t="s">
        <v>16549</v>
      </c>
      <c r="C5541" s="60" t="s">
        <v>16550</v>
      </c>
      <c r="D5541" s="60" t="s">
        <v>16551</v>
      </c>
    </row>
    <row r="5542" spans="2:4" x14ac:dyDescent="0.35">
      <c r="B5542" s="60" t="s">
        <v>16552</v>
      </c>
      <c r="C5542" s="60" t="s">
        <v>16553</v>
      </c>
      <c r="D5542" s="60" t="s">
        <v>16554</v>
      </c>
    </row>
    <row r="5543" spans="2:4" x14ac:dyDescent="0.35">
      <c r="B5543" s="60" t="s">
        <v>16555</v>
      </c>
      <c r="C5543" s="60" t="s">
        <v>16556</v>
      </c>
      <c r="D5543" s="60" t="s">
        <v>16557</v>
      </c>
    </row>
    <row r="5544" spans="2:4" x14ac:dyDescent="0.35">
      <c r="B5544" s="60" t="s">
        <v>16558</v>
      </c>
      <c r="C5544" s="60" t="s">
        <v>16559</v>
      </c>
      <c r="D5544" s="60" t="s">
        <v>16560</v>
      </c>
    </row>
    <row r="5545" spans="2:4" x14ac:dyDescent="0.35">
      <c r="B5545" s="60" t="s">
        <v>16561</v>
      </c>
      <c r="C5545" s="60" t="s">
        <v>16562</v>
      </c>
      <c r="D5545" s="60" t="s">
        <v>16563</v>
      </c>
    </row>
    <row r="5546" spans="2:4" x14ac:dyDescent="0.35">
      <c r="B5546" s="60" t="s">
        <v>16564</v>
      </c>
      <c r="C5546" s="60" t="s">
        <v>16565</v>
      </c>
      <c r="D5546" s="60" t="s">
        <v>16566</v>
      </c>
    </row>
    <row r="5547" spans="2:4" x14ac:dyDescent="0.35">
      <c r="B5547" s="60" t="s">
        <v>16567</v>
      </c>
      <c r="C5547" s="60" t="s">
        <v>16568</v>
      </c>
      <c r="D5547" s="60" t="s">
        <v>16569</v>
      </c>
    </row>
    <row r="5548" spans="2:4" x14ac:dyDescent="0.35">
      <c r="B5548" s="60" t="s">
        <v>16570</v>
      </c>
      <c r="C5548" s="60" t="s">
        <v>16571</v>
      </c>
      <c r="D5548" s="60" t="s">
        <v>16572</v>
      </c>
    </row>
    <row r="5549" spans="2:4" x14ac:dyDescent="0.35">
      <c r="B5549" s="60" t="s">
        <v>16573</v>
      </c>
      <c r="C5549" s="60" t="s">
        <v>16574</v>
      </c>
      <c r="D5549" s="60" t="s">
        <v>16575</v>
      </c>
    </row>
    <row r="5550" spans="2:4" x14ac:dyDescent="0.35">
      <c r="B5550" s="60" t="s">
        <v>16576</v>
      </c>
      <c r="C5550" s="60" t="s">
        <v>16577</v>
      </c>
      <c r="D5550" s="60" t="s">
        <v>16578</v>
      </c>
    </row>
    <row r="5551" spans="2:4" x14ac:dyDescent="0.35">
      <c r="B5551" s="60" t="s">
        <v>16579</v>
      </c>
      <c r="C5551" s="60" t="s">
        <v>16580</v>
      </c>
      <c r="D5551" s="60" t="s">
        <v>16581</v>
      </c>
    </row>
    <row r="5552" spans="2:4" x14ac:dyDescent="0.35">
      <c r="B5552" s="60" t="s">
        <v>16582</v>
      </c>
      <c r="C5552" s="60" t="s">
        <v>16583</v>
      </c>
      <c r="D5552" s="60" t="s">
        <v>16584</v>
      </c>
    </row>
    <row r="5553" spans="2:4" x14ac:dyDescent="0.35">
      <c r="B5553" s="60" t="s">
        <v>16585</v>
      </c>
      <c r="C5553" s="60" t="s">
        <v>16586</v>
      </c>
      <c r="D5553" s="60" t="s">
        <v>16587</v>
      </c>
    </row>
    <row r="5554" spans="2:4" x14ac:dyDescent="0.35">
      <c r="B5554" s="60" t="s">
        <v>16588</v>
      </c>
      <c r="C5554" s="60" t="s">
        <v>16589</v>
      </c>
      <c r="D5554" s="60" t="s">
        <v>16590</v>
      </c>
    </row>
    <row r="5555" spans="2:4" x14ac:dyDescent="0.35">
      <c r="B5555" s="60" t="s">
        <v>16591</v>
      </c>
      <c r="C5555" s="60" t="s">
        <v>16592</v>
      </c>
      <c r="D5555" s="60" t="s">
        <v>16593</v>
      </c>
    </row>
    <row r="5556" spans="2:4" x14ac:dyDescent="0.35">
      <c r="B5556" s="60" t="s">
        <v>16594</v>
      </c>
      <c r="C5556" s="60" t="s">
        <v>16595</v>
      </c>
      <c r="D5556" s="60" t="s">
        <v>16596</v>
      </c>
    </row>
    <row r="5557" spans="2:4" x14ac:dyDescent="0.35">
      <c r="B5557" s="60" t="s">
        <v>16597</v>
      </c>
      <c r="C5557" s="60" t="s">
        <v>16598</v>
      </c>
      <c r="D5557" s="60" t="s">
        <v>16599</v>
      </c>
    </row>
    <row r="5558" spans="2:4" x14ac:dyDescent="0.35">
      <c r="B5558" s="60" t="s">
        <v>16600</v>
      </c>
      <c r="C5558" s="60" t="s">
        <v>16601</v>
      </c>
      <c r="D5558" s="60" t="s">
        <v>16602</v>
      </c>
    </row>
    <row r="5559" spans="2:4" x14ac:dyDescent="0.35">
      <c r="B5559" s="60" t="s">
        <v>16603</v>
      </c>
      <c r="C5559" s="60" t="s">
        <v>16604</v>
      </c>
      <c r="D5559" s="60" t="s">
        <v>16605</v>
      </c>
    </row>
    <row r="5560" spans="2:4" x14ac:dyDescent="0.35">
      <c r="B5560" s="60" t="s">
        <v>16606</v>
      </c>
      <c r="C5560" s="60" t="s">
        <v>16607</v>
      </c>
      <c r="D5560" s="60" t="s">
        <v>16608</v>
      </c>
    </row>
    <row r="5561" spans="2:4" x14ac:dyDescent="0.35">
      <c r="B5561" s="60" t="s">
        <v>16609</v>
      </c>
      <c r="C5561" s="60" t="s">
        <v>16610</v>
      </c>
      <c r="D5561" s="60" t="s">
        <v>16611</v>
      </c>
    </row>
    <row r="5562" spans="2:4" x14ac:dyDescent="0.35">
      <c r="B5562" s="60" t="s">
        <v>16612</v>
      </c>
      <c r="C5562" s="60" t="s">
        <v>16613</v>
      </c>
      <c r="D5562" s="60" t="s">
        <v>16614</v>
      </c>
    </row>
    <row r="5563" spans="2:4" x14ac:dyDescent="0.35">
      <c r="B5563" s="60" t="s">
        <v>16615</v>
      </c>
      <c r="C5563" s="60" t="s">
        <v>16616</v>
      </c>
      <c r="D5563" s="60" t="s">
        <v>16617</v>
      </c>
    </row>
    <row r="5564" spans="2:4" x14ac:dyDescent="0.35">
      <c r="B5564" s="60" t="s">
        <v>16618</v>
      </c>
      <c r="C5564" s="60" t="s">
        <v>16619</v>
      </c>
      <c r="D5564" s="60" t="s">
        <v>16620</v>
      </c>
    </row>
    <row r="5565" spans="2:4" x14ac:dyDescent="0.35">
      <c r="B5565" s="60" t="s">
        <v>16621</v>
      </c>
      <c r="C5565" s="60" t="s">
        <v>16622</v>
      </c>
      <c r="D5565" s="60" t="s">
        <v>16623</v>
      </c>
    </row>
    <row r="5566" spans="2:4" x14ac:dyDescent="0.35">
      <c r="B5566" s="60" t="s">
        <v>16624</v>
      </c>
      <c r="C5566" s="60" t="s">
        <v>16625</v>
      </c>
      <c r="D5566" s="60" t="s">
        <v>16626</v>
      </c>
    </row>
    <row r="5567" spans="2:4" x14ac:dyDescent="0.35">
      <c r="B5567" s="60" t="s">
        <v>16627</v>
      </c>
      <c r="C5567" s="60" t="s">
        <v>16628</v>
      </c>
      <c r="D5567" s="60" t="s">
        <v>16629</v>
      </c>
    </row>
    <row r="5568" spans="2:4" x14ac:dyDescent="0.35">
      <c r="B5568" s="60" t="s">
        <v>16630</v>
      </c>
      <c r="C5568" s="60" t="s">
        <v>16631</v>
      </c>
      <c r="D5568" s="60" t="s">
        <v>16632</v>
      </c>
    </row>
    <row r="5569" spans="2:4" x14ac:dyDescent="0.35">
      <c r="B5569" s="60" t="s">
        <v>16633</v>
      </c>
      <c r="C5569" s="60" t="s">
        <v>16634</v>
      </c>
      <c r="D5569" s="60" t="s">
        <v>16635</v>
      </c>
    </row>
    <row r="5570" spans="2:4" x14ac:dyDescent="0.35">
      <c r="B5570" s="60" t="s">
        <v>16636</v>
      </c>
      <c r="C5570" s="60" t="s">
        <v>16637</v>
      </c>
      <c r="D5570" s="60" t="s">
        <v>16638</v>
      </c>
    </row>
    <row r="5571" spans="2:4" x14ac:dyDescent="0.35">
      <c r="B5571" s="60" t="s">
        <v>16639</v>
      </c>
      <c r="C5571" s="60" t="s">
        <v>16640</v>
      </c>
      <c r="D5571" s="60" t="s">
        <v>16641</v>
      </c>
    </row>
    <row r="5572" spans="2:4" x14ac:dyDescent="0.35">
      <c r="B5572" s="60" t="s">
        <v>16642</v>
      </c>
      <c r="C5572" s="60" t="s">
        <v>16643</v>
      </c>
      <c r="D5572" s="60" t="s">
        <v>16644</v>
      </c>
    </row>
    <row r="5573" spans="2:4" x14ac:dyDescent="0.35">
      <c r="B5573" s="60" t="s">
        <v>16645</v>
      </c>
      <c r="C5573" s="60" t="s">
        <v>16646</v>
      </c>
      <c r="D5573" s="60" t="s">
        <v>16647</v>
      </c>
    </row>
    <row r="5574" spans="2:4" x14ac:dyDescent="0.35">
      <c r="B5574" s="60" t="s">
        <v>16648</v>
      </c>
      <c r="C5574" s="60" t="s">
        <v>16649</v>
      </c>
      <c r="D5574" s="60" t="s">
        <v>16650</v>
      </c>
    </row>
    <row r="5575" spans="2:4" x14ac:dyDescent="0.35">
      <c r="B5575" s="60" t="s">
        <v>16651</v>
      </c>
      <c r="C5575" s="60" t="s">
        <v>16652</v>
      </c>
      <c r="D5575" s="60" t="s">
        <v>16653</v>
      </c>
    </row>
    <row r="5576" spans="2:4" x14ac:dyDescent="0.35">
      <c r="B5576" s="60" t="s">
        <v>16654</v>
      </c>
      <c r="C5576" s="60" t="s">
        <v>16655</v>
      </c>
      <c r="D5576" s="60" t="s">
        <v>16656</v>
      </c>
    </row>
    <row r="5577" spans="2:4" x14ac:dyDescent="0.35">
      <c r="B5577" s="60" t="s">
        <v>16657</v>
      </c>
      <c r="C5577" s="60" t="s">
        <v>16658</v>
      </c>
      <c r="D5577" s="60" t="s">
        <v>16659</v>
      </c>
    </row>
    <row r="5578" spans="2:4" x14ac:dyDescent="0.35">
      <c r="B5578" s="60" t="s">
        <v>16660</v>
      </c>
      <c r="C5578" s="60" t="s">
        <v>16661</v>
      </c>
      <c r="D5578" s="60" t="s">
        <v>16662</v>
      </c>
    </row>
    <row r="5579" spans="2:4" x14ac:dyDescent="0.35">
      <c r="B5579" s="60" t="s">
        <v>16663</v>
      </c>
      <c r="C5579" s="60" t="s">
        <v>16664</v>
      </c>
      <c r="D5579" s="60" t="s">
        <v>16665</v>
      </c>
    </row>
    <row r="5580" spans="2:4" x14ac:dyDescent="0.35">
      <c r="B5580" s="60" t="s">
        <v>16666</v>
      </c>
      <c r="C5580" s="60" t="s">
        <v>16667</v>
      </c>
      <c r="D5580" s="60" t="s">
        <v>16668</v>
      </c>
    </row>
    <row r="5581" spans="2:4" x14ac:dyDescent="0.35">
      <c r="B5581" s="60" t="s">
        <v>16669</v>
      </c>
      <c r="C5581" s="60" t="s">
        <v>16670</v>
      </c>
      <c r="D5581" s="60" t="s">
        <v>16671</v>
      </c>
    </row>
    <row r="5582" spans="2:4" x14ac:dyDescent="0.35">
      <c r="B5582" s="60" t="s">
        <v>16672</v>
      </c>
      <c r="C5582" s="60" t="s">
        <v>16673</v>
      </c>
      <c r="D5582" s="60" t="s">
        <v>16674</v>
      </c>
    </row>
    <row r="5583" spans="2:4" x14ac:dyDescent="0.35">
      <c r="B5583" s="60" t="s">
        <v>16675</v>
      </c>
      <c r="C5583" s="60" t="s">
        <v>16676</v>
      </c>
      <c r="D5583" s="60" t="s">
        <v>16677</v>
      </c>
    </row>
    <row r="5584" spans="2:4" x14ac:dyDescent="0.35">
      <c r="B5584" s="60" t="s">
        <v>16678</v>
      </c>
      <c r="C5584" s="60" t="s">
        <v>16679</v>
      </c>
      <c r="D5584" s="60" t="s">
        <v>16680</v>
      </c>
    </row>
    <row r="5585" spans="2:4" x14ac:dyDescent="0.35">
      <c r="B5585" s="60" t="s">
        <v>16681</v>
      </c>
      <c r="C5585" s="60" t="s">
        <v>16682</v>
      </c>
      <c r="D5585" s="60" t="s">
        <v>16683</v>
      </c>
    </row>
    <row r="5586" spans="2:4" x14ac:dyDescent="0.35">
      <c r="B5586" s="60" t="s">
        <v>16684</v>
      </c>
      <c r="C5586" s="60" t="s">
        <v>16685</v>
      </c>
      <c r="D5586" s="60" t="s">
        <v>16490</v>
      </c>
    </row>
    <row r="5587" spans="2:4" x14ac:dyDescent="0.35">
      <c r="B5587" s="60" t="s">
        <v>16686</v>
      </c>
      <c r="C5587" s="60" t="s">
        <v>16687</v>
      </c>
      <c r="D5587" s="60" t="s">
        <v>16688</v>
      </c>
    </row>
    <row r="5588" spans="2:4" x14ac:dyDescent="0.35">
      <c r="B5588" s="60" t="s">
        <v>16689</v>
      </c>
      <c r="C5588" s="60" t="s">
        <v>16690</v>
      </c>
      <c r="D5588" s="60" t="s">
        <v>16691</v>
      </c>
    </row>
    <row r="5589" spans="2:4" x14ac:dyDescent="0.35">
      <c r="B5589" s="60" t="s">
        <v>16692</v>
      </c>
      <c r="C5589" s="60" t="s">
        <v>16693</v>
      </c>
      <c r="D5589" s="60" t="s">
        <v>16694</v>
      </c>
    </row>
    <row r="5590" spans="2:4" x14ac:dyDescent="0.35">
      <c r="B5590" s="60" t="s">
        <v>16695</v>
      </c>
      <c r="C5590" s="60" t="s">
        <v>16696</v>
      </c>
      <c r="D5590" s="60" t="s">
        <v>16697</v>
      </c>
    </row>
    <row r="5591" spans="2:4" x14ac:dyDescent="0.35">
      <c r="B5591" s="60" t="s">
        <v>16698</v>
      </c>
      <c r="C5591" s="60" t="s">
        <v>16699</v>
      </c>
      <c r="D5591" s="60" t="s">
        <v>16700</v>
      </c>
    </row>
    <row r="5592" spans="2:4" x14ac:dyDescent="0.35">
      <c r="B5592" s="60" t="s">
        <v>16701</v>
      </c>
      <c r="C5592" s="60" t="s">
        <v>16702</v>
      </c>
      <c r="D5592" s="60" t="s">
        <v>16703</v>
      </c>
    </row>
    <row r="5593" spans="2:4" x14ac:dyDescent="0.35">
      <c r="B5593" s="60" t="s">
        <v>16704</v>
      </c>
      <c r="C5593" s="60" t="s">
        <v>16705</v>
      </c>
      <c r="D5593" s="60" t="s">
        <v>16706</v>
      </c>
    </row>
    <row r="5594" spans="2:4" x14ac:dyDescent="0.35">
      <c r="B5594" s="60" t="s">
        <v>16707</v>
      </c>
      <c r="C5594" s="60" t="s">
        <v>16708</v>
      </c>
      <c r="D5594" s="60" t="s">
        <v>16709</v>
      </c>
    </row>
    <row r="5595" spans="2:4" x14ac:dyDescent="0.35">
      <c r="B5595" s="60" t="s">
        <v>16710</v>
      </c>
      <c r="C5595" s="60" t="s">
        <v>16711</v>
      </c>
      <c r="D5595" s="60" t="s">
        <v>16712</v>
      </c>
    </row>
    <row r="5596" spans="2:4" x14ac:dyDescent="0.35">
      <c r="B5596" s="60" t="s">
        <v>16713</v>
      </c>
      <c r="C5596" s="60" t="s">
        <v>16714</v>
      </c>
      <c r="D5596" s="60" t="s">
        <v>16715</v>
      </c>
    </row>
    <row r="5597" spans="2:4" x14ac:dyDescent="0.35">
      <c r="B5597" s="60" t="s">
        <v>16716</v>
      </c>
      <c r="C5597" s="60" t="s">
        <v>16717</v>
      </c>
      <c r="D5597" s="60" t="s">
        <v>16718</v>
      </c>
    </row>
    <row r="5598" spans="2:4" x14ac:dyDescent="0.35">
      <c r="B5598" s="60" t="s">
        <v>16719</v>
      </c>
      <c r="C5598" s="60" t="s">
        <v>16720</v>
      </c>
      <c r="D5598" s="60" t="s">
        <v>16721</v>
      </c>
    </row>
    <row r="5599" spans="2:4" x14ac:dyDescent="0.35">
      <c r="B5599" s="60" t="s">
        <v>16722</v>
      </c>
      <c r="C5599" s="60" t="s">
        <v>16723</v>
      </c>
      <c r="D5599" s="60" t="s">
        <v>16724</v>
      </c>
    </row>
    <row r="5600" spans="2:4" x14ac:dyDescent="0.35">
      <c r="B5600" s="60" t="s">
        <v>16725</v>
      </c>
      <c r="C5600" s="60" t="s">
        <v>16726</v>
      </c>
      <c r="D5600" s="60" t="s">
        <v>16727</v>
      </c>
    </row>
    <row r="5601" spans="2:4" x14ac:dyDescent="0.35">
      <c r="B5601" s="60" t="s">
        <v>16725</v>
      </c>
      <c r="C5601" s="60" t="s">
        <v>16728</v>
      </c>
      <c r="D5601" s="60" t="s">
        <v>16729</v>
      </c>
    </row>
    <row r="5602" spans="2:4" x14ac:dyDescent="0.35">
      <c r="B5602" s="60" t="s">
        <v>16730</v>
      </c>
      <c r="C5602" s="60" t="s">
        <v>16731</v>
      </c>
      <c r="D5602" s="60" t="s">
        <v>16732</v>
      </c>
    </row>
    <row r="5603" spans="2:4" x14ac:dyDescent="0.35">
      <c r="B5603" s="60" t="s">
        <v>16733</v>
      </c>
      <c r="C5603" s="60" t="s">
        <v>16734</v>
      </c>
      <c r="D5603" s="60" t="s">
        <v>714</v>
      </c>
    </row>
    <row r="5604" spans="2:4" x14ac:dyDescent="0.35">
      <c r="B5604" s="60" t="s">
        <v>16735</v>
      </c>
      <c r="C5604" s="60" t="s">
        <v>16736</v>
      </c>
      <c r="D5604" s="60" t="s">
        <v>16737</v>
      </c>
    </row>
    <row r="5605" spans="2:4" x14ac:dyDescent="0.35">
      <c r="B5605" s="60" t="s">
        <v>16738</v>
      </c>
      <c r="C5605" s="60" t="s">
        <v>16739</v>
      </c>
      <c r="D5605" s="60" t="s">
        <v>16740</v>
      </c>
    </row>
    <row r="5606" spans="2:4" x14ac:dyDescent="0.35">
      <c r="B5606" s="60" t="s">
        <v>16741</v>
      </c>
      <c r="C5606" s="60" t="s">
        <v>16742</v>
      </c>
      <c r="D5606" s="60" t="s">
        <v>16743</v>
      </c>
    </row>
    <row r="5607" spans="2:4" x14ac:dyDescent="0.35">
      <c r="B5607" s="60" t="s">
        <v>16744</v>
      </c>
      <c r="C5607" s="60" t="s">
        <v>16745</v>
      </c>
      <c r="D5607" s="60" t="s">
        <v>16746</v>
      </c>
    </row>
    <row r="5608" spans="2:4" x14ac:dyDescent="0.35">
      <c r="B5608" s="60" t="s">
        <v>16747</v>
      </c>
      <c r="C5608" s="60" t="s">
        <v>16748</v>
      </c>
      <c r="D5608" s="60" t="s">
        <v>16749</v>
      </c>
    </row>
    <row r="5609" spans="2:4" x14ac:dyDescent="0.35">
      <c r="B5609" s="60" t="s">
        <v>16750</v>
      </c>
      <c r="C5609" s="60" t="s">
        <v>16751</v>
      </c>
      <c r="D5609" s="60" t="s">
        <v>16752</v>
      </c>
    </row>
    <row r="5610" spans="2:4" x14ac:dyDescent="0.35">
      <c r="B5610" s="60" t="s">
        <v>16753</v>
      </c>
      <c r="C5610" s="60" t="s">
        <v>16754</v>
      </c>
      <c r="D5610" s="60" t="s">
        <v>16755</v>
      </c>
    </row>
    <row r="5611" spans="2:4" x14ac:dyDescent="0.35">
      <c r="B5611" s="60" t="s">
        <v>16756</v>
      </c>
      <c r="C5611" s="60" t="s">
        <v>16757</v>
      </c>
      <c r="D5611" s="60" t="s">
        <v>16758</v>
      </c>
    </row>
    <row r="5612" spans="2:4" x14ac:dyDescent="0.35">
      <c r="B5612" s="60" t="s">
        <v>16759</v>
      </c>
      <c r="C5612" s="60" t="s">
        <v>16760</v>
      </c>
      <c r="D5612" s="60" t="s">
        <v>16761</v>
      </c>
    </row>
    <row r="5613" spans="2:4" x14ac:dyDescent="0.35">
      <c r="B5613" s="60" t="s">
        <v>16762</v>
      </c>
      <c r="C5613" s="60" t="s">
        <v>16763</v>
      </c>
      <c r="D5613" s="60" t="s">
        <v>16764</v>
      </c>
    </row>
    <row r="5614" spans="2:4" x14ac:dyDescent="0.35">
      <c r="B5614" s="60" t="s">
        <v>16765</v>
      </c>
      <c r="C5614" s="60" t="s">
        <v>16766</v>
      </c>
      <c r="D5614" s="60" t="s">
        <v>16767</v>
      </c>
    </row>
    <row r="5615" spans="2:4" x14ac:dyDescent="0.35">
      <c r="B5615" s="60" t="s">
        <v>16768</v>
      </c>
      <c r="C5615" s="60" t="s">
        <v>16769</v>
      </c>
      <c r="D5615" s="60" t="s">
        <v>16770</v>
      </c>
    </row>
    <row r="5616" spans="2:4" x14ac:dyDescent="0.35">
      <c r="B5616" s="60" t="s">
        <v>16771</v>
      </c>
      <c r="C5616" s="60" t="s">
        <v>16772</v>
      </c>
      <c r="D5616" s="60" t="s">
        <v>16773</v>
      </c>
    </row>
    <row r="5617" spans="2:4" x14ac:dyDescent="0.35">
      <c r="B5617" s="60" t="s">
        <v>16774</v>
      </c>
      <c r="C5617" s="60" t="s">
        <v>16775</v>
      </c>
      <c r="D5617" s="60" t="s">
        <v>16776</v>
      </c>
    </row>
    <row r="5618" spans="2:4" x14ac:dyDescent="0.35">
      <c r="B5618" s="60" t="s">
        <v>16777</v>
      </c>
      <c r="C5618" s="60" t="s">
        <v>16778</v>
      </c>
      <c r="D5618" s="60" t="s">
        <v>16779</v>
      </c>
    </row>
    <row r="5619" spans="2:4" x14ac:dyDescent="0.35">
      <c r="B5619" s="60" t="s">
        <v>16780</v>
      </c>
      <c r="C5619" s="60" t="s">
        <v>16781</v>
      </c>
      <c r="D5619" s="60" t="s">
        <v>16782</v>
      </c>
    </row>
    <row r="5620" spans="2:4" x14ac:dyDescent="0.35">
      <c r="B5620" s="60" t="s">
        <v>16783</v>
      </c>
      <c r="C5620" s="60" t="s">
        <v>16784</v>
      </c>
      <c r="D5620" s="60" t="s">
        <v>16785</v>
      </c>
    </row>
    <row r="5621" spans="2:4" x14ac:dyDescent="0.35">
      <c r="B5621" s="60" t="s">
        <v>16786</v>
      </c>
      <c r="C5621" s="60" t="s">
        <v>16787</v>
      </c>
      <c r="D5621" s="60" t="s">
        <v>16788</v>
      </c>
    </row>
    <row r="5622" spans="2:4" x14ac:dyDescent="0.35">
      <c r="B5622" s="60" t="s">
        <v>16789</v>
      </c>
      <c r="C5622" s="60" t="s">
        <v>16790</v>
      </c>
      <c r="D5622" s="60" t="s">
        <v>16791</v>
      </c>
    </row>
    <row r="5623" spans="2:4" x14ac:dyDescent="0.35">
      <c r="B5623" s="60" t="s">
        <v>16792</v>
      </c>
      <c r="C5623" s="60" t="s">
        <v>16793</v>
      </c>
      <c r="D5623" s="60" t="s">
        <v>16794</v>
      </c>
    </row>
    <row r="5624" spans="2:4" x14ac:dyDescent="0.35">
      <c r="B5624" s="60" t="s">
        <v>16795</v>
      </c>
      <c r="C5624" s="60" t="s">
        <v>16796</v>
      </c>
      <c r="D5624" s="60" t="s">
        <v>16797</v>
      </c>
    </row>
    <row r="5625" spans="2:4" x14ac:dyDescent="0.35">
      <c r="B5625" s="60" t="s">
        <v>16798</v>
      </c>
      <c r="C5625" s="60" t="s">
        <v>16799</v>
      </c>
      <c r="D5625" s="60" t="s">
        <v>16800</v>
      </c>
    </row>
    <row r="5626" spans="2:4" x14ac:dyDescent="0.35">
      <c r="B5626" s="60" t="s">
        <v>16801</v>
      </c>
      <c r="C5626" s="60" t="s">
        <v>16802</v>
      </c>
      <c r="D5626" s="60" t="s">
        <v>16803</v>
      </c>
    </row>
    <row r="5627" spans="2:4" x14ac:dyDescent="0.35">
      <c r="B5627" s="60" t="s">
        <v>16804</v>
      </c>
      <c r="C5627" s="60" t="s">
        <v>16805</v>
      </c>
      <c r="D5627" s="60" t="s">
        <v>16806</v>
      </c>
    </row>
    <row r="5628" spans="2:4" x14ac:dyDescent="0.35">
      <c r="B5628" s="60" t="s">
        <v>16807</v>
      </c>
      <c r="C5628" s="60" t="s">
        <v>16808</v>
      </c>
      <c r="D5628" s="60" t="s">
        <v>16809</v>
      </c>
    </row>
    <row r="5629" spans="2:4" x14ac:dyDescent="0.35">
      <c r="B5629" s="60" t="s">
        <v>16810</v>
      </c>
      <c r="C5629" s="60" t="s">
        <v>16811</v>
      </c>
      <c r="D5629" s="60" t="s">
        <v>16812</v>
      </c>
    </row>
    <row r="5630" spans="2:4" x14ac:dyDescent="0.35">
      <c r="B5630" s="60" t="s">
        <v>16813</v>
      </c>
      <c r="C5630" s="60" t="s">
        <v>16814</v>
      </c>
      <c r="D5630" s="60" t="s">
        <v>16815</v>
      </c>
    </row>
    <row r="5631" spans="2:4" x14ac:dyDescent="0.35">
      <c r="B5631" s="60" t="s">
        <v>16816</v>
      </c>
      <c r="C5631" s="60" t="s">
        <v>16817</v>
      </c>
      <c r="D5631" s="60" t="s">
        <v>16818</v>
      </c>
    </row>
    <row r="5632" spans="2:4" x14ac:dyDescent="0.35">
      <c r="B5632" s="60" t="s">
        <v>16819</v>
      </c>
      <c r="C5632" s="60" t="s">
        <v>16820</v>
      </c>
      <c r="D5632" s="60" t="s">
        <v>16821</v>
      </c>
    </row>
    <row r="5633" spans="2:4" x14ac:dyDescent="0.35">
      <c r="B5633" s="60" t="s">
        <v>16822</v>
      </c>
      <c r="C5633" s="60" t="s">
        <v>16823</v>
      </c>
      <c r="D5633" s="60" t="s">
        <v>16824</v>
      </c>
    </row>
    <row r="5634" spans="2:4" x14ac:dyDescent="0.35">
      <c r="B5634" s="60" t="s">
        <v>16825</v>
      </c>
      <c r="C5634" s="60" t="s">
        <v>16826</v>
      </c>
      <c r="D5634" s="60" t="s">
        <v>16827</v>
      </c>
    </row>
    <row r="5635" spans="2:4" x14ac:dyDescent="0.35">
      <c r="B5635" s="60" t="s">
        <v>16828</v>
      </c>
      <c r="C5635" s="60" t="s">
        <v>16829</v>
      </c>
      <c r="D5635" s="60" t="s">
        <v>16830</v>
      </c>
    </row>
    <row r="5636" spans="2:4" x14ac:dyDescent="0.35">
      <c r="B5636" s="60" t="s">
        <v>16831</v>
      </c>
      <c r="C5636" s="60" t="s">
        <v>16832</v>
      </c>
      <c r="D5636" s="60" t="s">
        <v>16833</v>
      </c>
    </row>
    <row r="5637" spans="2:4" x14ac:dyDescent="0.35">
      <c r="B5637" s="60" t="s">
        <v>16834</v>
      </c>
      <c r="C5637" s="60" t="s">
        <v>16835</v>
      </c>
      <c r="D5637" s="60" t="s">
        <v>16836</v>
      </c>
    </row>
    <row r="5638" spans="2:4" x14ac:dyDescent="0.35">
      <c r="B5638" s="60" t="s">
        <v>16837</v>
      </c>
      <c r="C5638" s="60" t="s">
        <v>16838</v>
      </c>
      <c r="D5638" s="60" t="s">
        <v>16839</v>
      </c>
    </row>
    <row r="5639" spans="2:4" x14ac:dyDescent="0.35">
      <c r="B5639" s="60" t="s">
        <v>16840</v>
      </c>
      <c r="C5639" s="60" t="s">
        <v>16841</v>
      </c>
      <c r="D5639" s="60" t="s">
        <v>16842</v>
      </c>
    </row>
    <row r="5640" spans="2:4" x14ac:dyDescent="0.35">
      <c r="B5640" s="60" t="s">
        <v>16843</v>
      </c>
      <c r="C5640" s="60" t="s">
        <v>16844</v>
      </c>
      <c r="D5640" s="60" t="s">
        <v>16845</v>
      </c>
    </row>
    <row r="5641" spans="2:4" x14ac:dyDescent="0.35">
      <c r="B5641" s="60" t="s">
        <v>16846</v>
      </c>
      <c r="C5641" s="60" t="s">
        <v>16847</v>
      </c>
      <c r="D5641" s="60" t="s">
        <v>16848</v>
      </c>
    </row>
    <row r="5642" spans="2:4" x14ac:dyDescent="0.35">
      <c r="B5642" s="60" t="s">
        <v>16849</v>
      </c>
      <c r="C5642" s="60" t="s">
        <v>16850</v>
      </c>
      <c r="D5642" s="60" t="s">
        <v>16851</v>
      </c>
    </row>
    <row r="5643" spans="2:4" x14ac:dyDescent="0.35">
      <c r="B5643" s="60" t="s">
        <v>16852</v>
      </c>
      <c r="C5643" s="60" t="s">
        <v>16853</v>
      </c>
      <c r="D5643" s="60" t="s">
        <v>16854</v>
      </c>
    </row>
    <row r="5644" spans="2:4" x14ac:dyDescent="0.35">
      <c r="B5644" s="60" t="s">
        <v>16855</v>
      </c>
      <c r="C5644" s="60" t="s">
        <v>16856</v>
      </c>
      <c r="D5644" s="60" t="s">
        <v>16857</v>
      </c>
    </row>
    <row r="5645" spans="2:4" x14ac:dyDescent="0.35">
      <c r="B5645" s="60" t="s">
        <v>16858</v>
      </c>
      <c r="C5645" s="60" t="s">
        <v>16859</v>
      </c>
      <c r="D5645" s="60" t="s">
        <v>16860</v>
      </c>
    </row>
    <row r="5646" spans="2:4" x14ac:dyDescent="0.35">
      <c r="B5646" s="60" t="s">
        <v>16861</v>
      </c>
      <c r="C5646" s="60" t="s">
        <v>16862</v>
      </c>
      <c r="D5646" s="60" t="s">
        <v>16863</v>
      </c>
    </row>
    <row r="5647" spans="2:4" x14ac:dyDescent="0.35">
      <c r="B5647" s="60" t="s">
        <v>16864</v>
      </c>
      <c r="C5647" s="60" t="s">
        <v>16865</v>
      </c>
      <c r="D5647" s="60" t="s">
        <v>16866</v>
      </c>
    </row>
    <row r="5648" spans="2:4" x14ac:dyDescent="0.35">
      <c r="B5648" s="60" t="s">
        <v>16867</v>
      </c>
      <c r="C5648" s="60" t="s">
        <v>16868</v>
      </c>
      <c r="D5648" s="60" t="s">
        <v>16869</v>
      </c>
    </row>
    <row r="5649" spans="2:4" x14ac:dyDescent="0.35">
      <c r="B5649" s="60" t="s">
        <v>16870</v>
      </c>
      <c r="C5649" s="60" t="s">
        <v>16871</v>
      </c>
      <c r="D5649" s="60" t="s">
        <v>16872</v>
      </c>
    </row>
    <row r="5650" spans="2:4" x14ac:dyDescent="0.35">
      <c r="B5650" s="60" t="s">
        <v>16873</v>
      </c>
      <c r="C5650" s="60" t="s">
        <v>16874</v>
      </c>
      <c r="D5650" s="60" t="s">
        <v>16875</v>
      </c>
    </row>
    <row r="5651" spans="2:4" x14ac:dyDescent="0.35">
      <c r="B5651" s="60" t="s">
        <v>16876</v>
      </c>
      <c r="C5651" s="60" t="s">
        <v>16877</v>
      </c>
      <c r="D5651" s="60" t="s">
        <v>16878</v>
      </c>
    </row>
    <row r="5652" spans="2:4" x14ac:dyDescent="0.35">
      <c r="B5652" s="60" t="s">
        <v>16879</v>
      </c>
      <c r="C5652" s="60" t="s">
        <v>16880</v>
      </c>
      <c r="D5652" s="60" t="s">
        <v>16881</v>
      </c>
    </row>
    <row r="5653" spans="2:4" x14ac:dyDescent="0.35">
      <c r="B5653" s="60" t="s">
        <v>16882</v>
      </c>
      <c r="C5653" s="60" t="s">
        <v>16883</v>
      </c>
      <c r="D5653" s="60" t="s">
        <v>16884</v>
      </c>
    </row>
    <row r="5654" spans="2:4" x14ac:dyDescent="0.35">
      <c r="B5654" s="60" t="s">
        <v>16885</v>
      </c>
      <c r="C5654" s="60" t="s">
        <v>16886</v>
      </c>
      <c r="D5654" s="60" t="s">
        <v>16887</v>
      </c>
    </row>
    <row r="5655" spans="2:4" x14ac:dyDescent="0.35">
      <c r="B5655" s="60" t="s">
        <v>16888</v>
      </c>
      <c r="C5655" s="60" t="s">
        <v>16889</v>
      </c>
      <c r="D5655" s="60" t="s">
        <v>16890</v>
      </c>
    </row>
    <row r="5656" spans="2:4" x14ac:dyDescent="0.35">
      <c r="B5656" s="60" t="s">
        <v>16891</v>
      </c>
      <c r="C5656" s="60" t="s">
        <v>16892</v>
      </c>
      <c r="D5656" s="60" t="s">
        <v>16893</v>
      </c>
    </row>
    <row r="5657" spans="2:4" x14ac:dyDescent="0.35">
      <c r="B5657" s="60" t="s">
        <v>16894</v>
      </c>
      <c r="C5657" s="60" t="s">
        <v>16895</v>
      </c>
      <c r="D5657" s="60" t="s">
        <v>16896</v>
      </c>
    </row>
    <row r="5658" spans="2:4" x14ac:dyDescent="0.35">
      <c r="B5658" s="60" t="s">
        <v>16897</v>
      </c>
      <c r="C5658" s="60" t="s">
        <v>16898</v>
      </c>
      <c r="D5658" s="60" t="s">
        <v>16899</v>
      </c>
    </row>
    <row r="5659" spans="2:4" x14ac:dyDescent="0.35">
      <c r="B5659" s="60" t="s">
        <v>16900</v>
      </c>
      <c r="C5659" s="60" t="s">
        <v>16901</v>
      </c>
      <c r="D5659" s="60" t="s">
        <v>16902</v>
      </c>
    </row>
    <row r="5660" spans="2:4" x14ac:dyDescent="0.35">
      <c r="B5660" s="60" t="s">
        <v>16903</v>
      </c>
      <c r="C5660" s="60" t="s">
        <v>16904</v>
      </c>
      <c r="D5660" s="60" t="s">
        <v>16905</v>
      </c>
    </row>
    <row r="5661" spans="2:4" x14ac:dyDescent="0.35">
      <c r="B5661" s="60" t="s">
        <v>16906</v>
      </c>
      <c r="C5661" s="60" t="s">
        <v>16907</v>
      </c>
      <c r="D5661" s="60" t="s">
        <v>16908</v>
      </c>
    </row>
    <row r="5662" spans="2:4" x14ac:dyDescent="0.35">
      <c r="B5662" s="60" t="s">
        <v>16909</v>
      </c>
      <c r="C5662" s="60" t="s">
        <v>16910</v>
      </c>
      <c r="D5662" s="60" t="s">
        <v>16911</v>
      </c>
    </row>
    <row r="5663" spans="2:4" x14ac:dyDescent="0.35">
      <c r="B5663" s="60" t="s">
        <v>16912</v>
      </c>
      <c r="C5663" s="60" t="s">
        <v>16913</v>
      </c>
      <c r="D5663" s="60" t="s">
        <v>16914</v>
      </c>
    </row>
    <row r="5664" spans="2:4" x14ac:dyDescent="0.35">
      <c r="B5664" s="60" t="s">
        <v>16915</v>
      </c>
      <c r="C5664" s="60" t="s">
        <v>16916</v>
      </c>
      <c r="D5664" s="60" t="s">
        <v>16917</v>
      </c>
    </row>
    <row r="5665" spans="2:4" x14ac:dyDescent="0.35">
      <c r="B5665" s="60" t="s">
        <v>16918</v>
      </c>
      <c r="C5665" s="60" t="s">
        <v>16919</v>
      </c>
      <c r="D5665" s="60" t="s">
        <v>16920</v>
      </c>
    </row>
    <row r="5666" spans="2:4" x14ac:dyDescent="0.35">
      <c r="B5666" s="60" t="s">
        <v>16921</v>
      </c>
      <c r="C5666" s="60" t="s">
        <v>16922</v>
      </c>
      <c r="D5666" s="60" t="s">
        <v>16923</v>
      </c>
    </row>
    <row r="5667" spans="2:4" x14ac:dyDescent="0.35">
      <c r="B5667" s="60" t="s">
        <v>16924</v>
      </c>
      <c r="C5667" s="60" t="s">
        <v>16925</v>
      </c>
      <c r="D5667" s="60" t="s">
        <v>16926</v>
      </c>
    </row>
    <row r="5668" spans="2:4" x14ac:dyDescent="0.35">
      <c r="B5668" s="60" t="s">
        <v>16927</v>
      </c>
      <c r="C5668" s="60" t="s">
        <v>16928</v>
      </c>
      <c r="D5668" s="60" t="s">
        <v>16929</v>
      </c>
    </row>
    <row r="5669" spans="2:4" x14ac:dyDescent="0.35">
      <c r="B5669" s="60" t="s">
        <v>16930</v>
      </c>
      <c r="C5669" s="60" t="s">
        <v>16931</v>
      </c>
      <c r="D5669" s="60" t="s">
        <v>16932</v>
      </c>
    </row>
    <row r="5670" spans="2:4" x14ac:dyDescent="0.35">
      <c r="B5670" s="60" t="s">
        <v>16933</v>
      </c>
      <c r="C5670" s="60" t="s">
        <v>16934</v>
      </c>
      <c r="D5670" s="60" t="s">
        <v>16935</v>
      </c>
    </row>
    <row r="5671" spans="2:4" x14ac:dyDescent="0.35">
      <c r="B5671" s="60" t="s">
        <v>16936</v>
      </c>
      <c r="C5671" s="60" t="s">
        <v>16937</v>
      </c>
      <c r="D5671" s="60" t="s">
        <v>16938</v>
      </c>
    </row>
    <row r="5672" spans="2:4" x14ac:dyDescent="0.35">
      <c r="B5672" s="60" t="s">
        <v>16939</v>
      </c>
      <c r="C5672" s="60" t="s">
        <v>16940</v>
      </c>
      <c r="D5672" s="60" t="s">
        <v>16941</v>
      </c>
    </row>
    <row r="5673" spans="2:4" x14ac:dyDescent="0.35">
      <c r="B5673" s="60" t="s">
        <v>16942</v>
      </c>
      <c r="C5673" s="60" t="s">
        <v>16943</v>
      </c>
      <c r="D5673" s="60" t="s">
        <v>16944</v>
      </c>
    </row>
    <row r="5674" spans="2:4" x14ac:dyDescent="0.35">
      <c r="B5674" s="60" t="s">
        <v>16945</v>
      </c>
      <c r="C5674" s="60" t="s">
        <v>16946</v>
      </c>
      <c r="D5674" s="60" t="s">
        <v>16947</v>
      </c>
    </row>
    <row r="5675" spans="2:4" x14ac:dyDescent="0.35">
      <c r="B5675" s="60" t="s">
        <v>16948</v>
      </c>
      <c r="C5675" s="60" t="s">
        <v>16949</v>
      </c>
      <c r="D5675" s="60" t="s">
        <v>16950</v>
      </c>
    </row>
    <row r="5676" spans="2:4" x14ac:dyDescent="0.35">
      <c r="B5676" s="60" t="s">
        <v>16951</v>
      </c>
      <c r="C5676" s="60" t="s">
        <v>16952</v>
      </c>
      <c r="D5676" s="60" t="s">
        <v>16953</v>
      </c>
    </row>
    <row r="5677" spans="2:4" x14ac:dyDescent="0.35">
      <c r="B5677" s="60" t="s">
        <v>16951</v>
      </c>
      <c r="C5677" s="60" t="s">
        <v>16954</v>
      </c>
      <c r="D5677" s="60" t="s">
        <v>16953</v>
      </c>
    </row>
    <row r="5678" spans="2:4" x14ac:dyDescent="0.35">
      <c r="B5678" s="60" t="s">
        <v>16955</v>
      </c>
      <c r="C5678" s="60" t="s">
        <v>16956</v>
      </c>
      <c r="D5678" s="60" t="s">
        <v>16957</v>
      </c>
    </row>
    <row r="5679" spans="2:4" x14ac:dyDescent="0.35">
      <c r="B5679" s="60" t="s">
        <v>16958</v>
      </c>
      <c r="C5679" s="60" t="s">
        <v>16959</v>
      </c>
      <c r="D5679" s="60" t="s">
        <v>16960</v>
      </c>
    </row>
    <row r="5680" spans="2:4" x14ac:dyDescent="0.35">
      <c r="B5680" s="60" t="s">
        <v>16961</v>
      </c>
      <c r="C5680" s="60" t="s">
        <v>16962</v>
      </c>
      <c r="D5680" s="60" t="s">
        <v>16963</v>
      </c>
    </row>
    <row r="5681" spans="2:4" x14ac:dyDescent="0.35">
      <c r="B5681" s="60" t="s">
        <v>16964</v>
      </c>
      <c r="C5681" s="60" t="s">
        <v>16965</v>
      </c>
      <c r="D5681" s="60" t="s">
        <v>16966</v>
      </c>
    </row>
    <row r="5682" spans="2:4" x14ac:dyDescent="0.35">
      <c r="B5682" s="60" t="s">
        <v>16967</v>
      </c>
      <c r="C5682" s="60" t="s">
        <v>16968</v>
      </c>
      <c r="D5682" s="60" t="s">
        <v>16969</v>
      </c>
    </row>
    <row r="5683" spans="2:4" x14ac:dyDescent="0.35">
      <c r="B5683" s="60" t="s">
        <v>16970</v>
      </c>
      <c r="C5683" s="60" t="s">
        <v>16971</v>
      </c>
      <c r="D5683" s="60" t="s">
        <v>16972</v>
      </c>
    </row>
    <row r="5684" spans="2:4" x14ac:dyDescent="0.35">
      <c r="B5684" s="60" t="s">
        <v>16973</v>
      </c>
      <c r="C5684" s="60" t="s">
        <v>16974</v>
      </c>
      <c r="D5684" s="60" t="s">
        <v>16975</v>
      </c>
    </row>
    <row r="5685" spans="2:4" x14ac:dyDescent="0.35">
      <c r="B5685" s="60" t="s">
        <v>16976</v>
      </c>
      <c r="C5685" s="60" t="s">
        <v>16977</v>
      </c>
      <c r="D5685" s="60" t="s">
        <v>16978</v>
      </c>
    </row>
    <row r="5686" spans="2:4" x14ac:dyDescent="0.35">
      <c r="B5686" s="60" t="s">
        <v>16979</v>
      </c>
      <c r="C5686" s="60" t="s">
        <v>16980</v>
      </c>
      <c r="D5686" s="60" t="s">
        <v>16981</v>
      </c>
    </row>
    <row r="5687" spans="2:4" x14ac:dyDescent="0.35">
      <c r="B5687" s="60" t="s">
        <v>16982</v>
      </c>
      <c r="C5687" s="60" t="s">
        <v>16983</v>
      </c>
      <c r="D5687" s="60" t="s">
        <v>16984</v>
      </c>
    </row>
    <row r="5688" spans="2:4" x14ac:dyDescent="0.35">
      <c r="B5688" s="60" t="s">
        <v>16985</v>
      </c>
      <c r="C5688" s="60" t="s">
        <v>16986</v>
      </c>
      <c r="D5688" s="60" t="s">
        <v>16987</v>
      </c>
    </row>
    <row r="5689" spans="2:4" x14ac:dyDescent="0.35">
      <c r="B5689" s="60" t="s">
        <v>16988</v>
      </c>
      <c r="C5689" s="60" t="s">
        <v>16989</v>
      </c>
      <c r="D5689" s="60" t="s">
        <v>16990</v>
      </c>
    </row>
    <row r="5690" spans="2:4" x14ac:dyDescent="0.35">
      <c r="B5690" s="60" t="s">
        <v>16991</v>
      </c>
      <c r="C5690" s="60" t="s">
        <v>16992</v>
      </c>
      <c r="D5690" s="60" t="s">
        <v>16993</v>
      </c>
    </row>
    <row r="5691" spans="2:4" x14ac:dyDescent="0.35">
      <c r="B5691" s="60" t="s">
        <v>16994</v>
      </c>
      <c r="C5691" s="60" t="s">
        <v>16995</v>
      </c>
      <c r="D5691" s="60" t="s">
        <v>16996</v>
      </c>
    </row>
    <row r="5692" spans="2:4" x14ac:dyDescent="0.35">
      <c r="B5692" s="60" t="s">
        <v>16997</v>
      </c>
      <c r="C5692" s="60" t="s">
        <v>16998</v>
      </c>
      <c r="D5692" s="60" t="s">
        <v>16999</v>
      </c>
    </row>
    <row r="5693" spans="2:4" x14ac:dyDescent="0.35">
      <c r="B5693" s="60" t="s">
        <v>17000</v>
      </c>
      <c r="C5693" s="60" t="s">
        <v>17001</v>
      </c>
      <c r="D5693" s="60" t="s">
        <v>17002</v>
      </c>
    </row>
    <row r="5694" spans="2:4" x14ac:dyDescent="0.35">
      <c r="B5694" s="60" t="s">
        <v>17003</v>
      </c>
      <c r="C5694" s="60" t="s">
        <v>17004</v>
      </c>
      <c r="D5694" s="60" t="s">
        <v>17005</v>
      </c>
    </row>
    <row r="5695" spans="2:4" x14ac:dyDescent="0.35">
      <c r="B5695" s="60" t="s">
        <v>17006</v>
      </c>
      <c r="C5695" s="60" t="s">
        <v>17007</v>
      </c>
      <c r="D5695" s="60" t="s">
        <v>17008</v>
      </c>
    </row>
    <row r="5696" spans="2:4" x14ac:dyDescent="0.35">
      <c r="B5696" s="60" t="s">
        <v>17009</v>
      </c>
      <c r="C5696" s="60" t="s">
        <v>17010</v>
      </c>
      <c r="D5696" s="60" t="s">
        <v>17011</v>
      </c>
    </row>
    <row r="5697" spans="2:4" x14ac:dyDescent="0.35">
      <c r="B5697" s="60" t="s">
        <v>17012</v>
      </c>
      <c r="C5697" s="60" t="s">
        <v>17013</v>
      </c>
      <c r="D5697" s="60" t="s">
        <v>17014</v>
      </c>
    </row>
    <row r="5698" spans="2:4" x14ac:dyDescent="0.35">
      <c r="B5698" s="60" t="s">
        <v>17015</v>
      </c>
      <c r="C5698" s="60" t="s">
        <v>17016</v>
      </c>
      <c r="D5698" s="60" t="s">
        <v>17017</v>
      </c>
    </row>
    <row r="5699" spans="2:4" x14ac:dyDescent="0.35">
      <c r="B5699" s="60" t="s">
        <v>17018</v>
      </c>
      <c r="C5699" s="60" t="s">
        <v>17019</v>
      </c>
      <c r="D5699" s="60" t="s">
        <v>17020</v>
      </c>
    </row>
    <row r="5700" spans="2:4" x14ac:dyDescent="0.35">
      <c r="B5700" s="60" t="s">
        <v>17021</v>
      </c>
      <c r="C5700" s="60" t="s">
        <v>17022</v>
      </c>
      <c r="D5700" s="60" t="s">
        <v>17023</v>
      </c>
    </row>
    <row r="5701" spans="2:4" x14ac:dyDescent="0.35">
      <c r="B5701" s="60" t="s">
        <v>17024</v>
      </c>
      <c r="C5701" s="60" t="s">
        <v>17025</v>
      </c>
      <c r="D5701" s="60" t="s">
        <v>17026</v>
      </c>
    </row>
    <row r="5702" spans="2:4" x14ac:dyDescent="0.35">
      <c r="B5702" s="60" t="s">
        <v>17027</v>
      </c>
      <c r="C5702" s="60" t="s">
        <v>17028</v>
      </c>
      <c r="D5702" s="60" t="s">
        <v>17029</v>
      </c>
    </row>
    <row r="5703" spans="2:4" x14ac:dyDescent="0.35">
      <c r="B5703" s="60" t="s">
        <v>17030</v>
      </c>
      <c r="C5703" s="60" t="s">
        <v>17031</v>
      </c>
      <c r="D5703" s="60" t="s">
        <v>17032</v>
      </c>
    </row>
    <row r="5704" spans="2:4" x14ac:dyDescent="0.35">
      <c r="B5704" s="60" t="s">
        <v>17033</v>
      </c>
      <c r="C5704" s="60" t="s">
        <v>17034</v>
      </c>
      <c r="D5704" s="60" t="s">
        <v>17035</v>
      </c>
    </row>
    <row r="5705" spans="2:4" x14ac:dyDescent="0.35">
      <c r="B5705" s="60" t="s">
        <v>17036</v>
      </c>
      <c r="C5705" s="60" t="s">
        <v>17037</v>
      </c>
      <c r="D5705" s="60" t="s">
        <v>17038</v>
      </c>
    </row>
    <row r="5706" spans="2:4" x14ac:dyDescent="0.35">
      <c r="B5706" s="60" t="s">
        <v>17039</v>
      </c>
      <c r="C5706" s="60" t="s">
        <v>17040</v>
      </c>
      <c r="D5706" s="60" t="s">
        <v>17041</v>
      </c>
    </row>
    <row r="5707" spans="2:4" x14ac:dyDescent="0.35">
      <c r="B5707" s="60" t="s">
        <v>17042</v>
      </c>
      <c r="C5707" s="60" t="s">
        <v>17043</v>
      </c>
      <c r="D5707" s="60" t="s">
        <v>17044</v>
      </c>
    </row>
    <row r="5708" spans="2:4" x14ac:dyDescent="0.35">
      <c r="B5708" s="60" t="s">
        <v>17045</v>
      </c>
      <c r="C5708" s="60" t="s">
        <v>17046</v>
      </c>
      <c r="D5708" s="60" t="s">
        <v>17047</v>
      </c>
    </row>
    <row r="5709" spans="2:4" x14ac:dyDescent="0.35">
      <c r="B5709" s="60" t="s">
        <v>17048</v>
      </c>
      <c r="C5709" s="60" t="s">
        <v>17049</v>
      </c>
      <c r="D5709" s="60" t="s">
        <v>17050</v>
      </c>
    </row>
    <row r="5710" spans="2:4" x14ac:dyDescent="0.35">
      <c r="B5710" s="60" t="s">
        <v>17051</v>
      </c>
      <c r="C5710" s="60" t="s">
        <v>17052</v>
      </c>
      <c r="D5710" s="60" t="s">
        <v>17053</v>
      </c>
    </row>
    <row r="5711" spans="2:4" x14ac:dyDescent="0.35">
      <c r="B5711" s="60" t="s">
        <v>17054</v>
      </c>
      <c r="C5711" s="60" t="s">
        <v>17055</v>
      </c>
      <c r="D5711" s="60" t="s">
        <v>17056</v>
      </c>
    </row>
    <row r="5712" spans="2:4" x14ac:dyDescent="0.35">
      <c r="B5712" s="60" t="s">
        <v>17057</v>
      </c>
      <c r="C5712" s="60" t="s">
        <v>17058</v>
      </c>
      <c r="D5712" s="60" t="s">
        <v>17059</v>
      </c>
    </row>
    <row r="5713" spans="2:4" x14ac:dyDescent="0.35">
      <c r="B5713" s="60" t="s">
        <v>17060</v>
      </c>
      <c r="C5713" s="60" t="s">
        <v>17061</v>
      </c>
      <c r="D5713" s="60" t="s">
        <v>17062</v>
      </c>
    </row>
    <row r="5714" spans="2:4" x14ac:dyDescent="0.35">
      <c r="B5714" s="60" t="s">
        <v>17063</v>
      </c>
      <c r="C5714" s="60" t="s">
        <v>17064</v>
      </c>
      <c r="D5714" s="60" t="s">
        <v>17065</v>
      </c>
    </row>
    <row r="5715" spans="2:4" x14ac:dyDescent="0.35">
      <c r="B5715" s="60" t="s">
        <v>17066</v>
      </c>
      <c r="C5715" s="60" t="s">
        <v>17067</v>
      </c>
      <c r="D5715" s="60" t="s">
        <v>17068</v>
      </c>
    </row>
    <row r="5716" spans="2:4" x14ac:dyDescent="0.35">
      <c r="B5716" s="60" t="s">
        <v>17069</v>
      </c>
      <c r="C5716" s="60" t="s">
        <v>17070</v>
      </c>
      <c r="D5716" s="60" t="s">
        <v>17071</v>
      </c>
    </row>
    <row r="5717" spans="2:4" x14ac:dyDescent="0.35">
      <c r="B5717" s="60" t="s">
        <v>17072</v>
      </c>
      <c r="C5717" s="60" t="s">
        <v>17073</v>
      </c>
      <c r="D5717" s="60" t="s">
        <v>17074</v>
      </c>
    </row>
    <row r="5718" spans="2:4" x14ac:dyDescent="0.35">
      <c r="B5718" s="60" t="s">
        <v>17075</v>
      </c>
      <c r="C5718" s="60" t="s">
        <v>17076</v>
      </c>
      <c r="D5718" s="60" t="s">
        <v>17077</v>
      </c>
    </row>
    <row r="5719" spans="2:4" x14ac:dyDescent="0.35">
      <c r="B5719" s="60" t="s">
        <v>17078</v>
      </c>
      <c r="C5719" s="60" t="s">
        <v>17079</v>
      </c>
      <c r="D5719" s="60" t="s">
        <v>17080</v>
      </c>
    </row>
    <row r="5720" spans="2:4" x14ac:dyDescent="0.35">
      <c r="B5720" s="60" t="s">
        <v>17081</v>
      </c>
      <c r="C5720" s="60" t="s">
        <v>17082</v>
      </c>
      <c r="D5720" s="60" t="s">
        <v>17083</v>
      </c>
    </row>
    <row r="5721" spans="2:4" x14ac:dyDescent="0.35">
      <c r="B5721" s="60" t="s">
        <v>17084</v>
      </c>
      <c r="C5721" s="60" t="s">
        <v>17085</v>
      </c>
      <c r="D5721" s="60" t="s">
        <v>17086</v>
      </c>
    </row>
    <row r="5722" spans="2:4" x14ac:dyDescent="0.35">
      <c r="B5722" s="60" t="s">
        <v>17087</v>
      </c>
      <c r="C5722" s="60" t="s">
        <v>17088</v>
      </c>
      <c r="D5722" s="60" t="s">
        <v>17089</v>
      </c>
    </row>
    <row r="5723" spans="2:4" x14ac:dyDescent="0.35">
      <c r="B5723" s="60" t="s">
        <v>17090</v>
      </c>
      <c r="C5723" s="60" t="s">
        <v>17091</v>
      </c>
      <c r="D5723" s="60" t="s">
        <v>17092</v>
      </c>
    </row>
    <row r="5724" spans="2:4" x14ac:dyDescent="0.35">
      <c r="B5724" s="60" t="s">
        <v>17093</v>
      </c>
      <c r="C5724" s="60" t="s">
        <v>17094</v>
      </c>
      <c r="D5724" s="60" t="s">
        <v>17095</v>
      </c>
    </row>
    <row r="5725" spans="2:4" x14ac:dyDescent="0.35">
      <c r="B5725" s="60" t="s">
        <v>17096</v>
      </c>
      <c r="C5725" s="60" t="s">
        <v>17097</v>
      </c>
      <c r="D5725" s="60" t="s">
        <v>17098</v>
      </c>
    </row>
    <row r="5726" spans="2:4" x14ac:dyDescent="0.35">
      <c r="B5726" s="60" t="s">
        <v>17099</v>
      </c>
      <c r="C5726" s="60" t="s">
        <v>17100</v>
      </c>
      <c r="D5726" s="60" t="s">
        <v>17101</v>
      </c>
    </row>
    <row r="5727" spans="2:4" x14ac:dyDescent="0.35">
      <c r="B5727" s="60" t="s">
        <v>17102</v>
      </c>
      <c r="C5727" s="60" t="s">
        <v>17103</v>
      </c>
      <c r="D5727" s="60" t="s">
        <v>17104</v>
      </c>
    </row>
    <row r="5728" spans="2:4" x14ac:dyDescent="0.35">
      <c r="B5728" s="60" t="s">
        <v>17105</v>
      </c>
      <c r="C5728" s="60" t="s">
        <v>17106</v>
      </c>
      <c r="D5728" s="60" t="s">
        <v>17107</v>
      </c>
    </row>
    <row r="5729" spans="2:4" x14ac:dyDescent="0.35">
      <c r="B5729" s="60" t="s">
        <v>17105</v>
      </c>
      <c r="C5729" s="60" t="s">
        <v>17108</v>
      </c>
      <c r="D5729" s="60" t="s">
        <v>17109</v>
      </c>
    </row>
    <row r="5730" spans="2:4" x14ac:dyDescent="0.35">
      <c r="B5730" s="60" t="s">
        <v>17110</v>
      </c>
      <c r="C5730" s="60" t="s">
        <v>17111</v>
      </c>
      <c r="D5730" s="60" t="s">
        <v>17112</v>
      </c>
    </row>
    <row r="5731" spans="2:4" x14ac:dyDescent="0.35">
      <c r="B5731" s="60" t="s">
        <v>17113</v>
      </c>
      <c r="C5731" s="60" t="s">
        <v>17114</v>
      </c>
      <c r="D5731" s="60" t="s">
        <v>17115</v>
      </c>
    </row>
    <row r="5732" spans="2:4" x14ac:dyDescent="0.35">
      <c r="B5732" s="60" t="s">
        <v>17116</v>
      </c>
      <c r="C5732" s="60" t="s">
        <v>17117</v>
      </c>
      <c r="D5732" s="60" t="s">
        <v>17118</v>
      </c>
    </row>
    <row r="5733" spans="2:4" x14ac:dyDescent="0.35">
      <c r="B5733" s="60" t="s">
        <v>17119</v>
      </c>
      <c r="C5733" s="60" t="s">
        <v>17120</v>
      </c>
      <c r="D5733" s="60" t="s">
        <v>17121</v>
      </c>
    </row>
    <row r="5734" spans="2:4" x14ac:dyDescent="0.35">
      <c r="B5734" s="60" t="s">
        <v>17122</v>
      </c>
      <c r="C5734" s="60" t="s">
        <v>17123</v>
      </c>
      <c r="D5734" s="60" t="s">
        <v>17124</v>
      </c>
    </row>
    <row r="5735" spans="2:4" x14ac:dyDescent="0.35">
      <c r="B5735" s="60" t="s">
        <v>17125</v>
      </c>
      <c r="C5735" s="60" t="s">
        <v>17126</v>
      </c>
      <c r="D5735" s="60" t="s">
        <v>17127</v>
      </c>
    </row>
    <row r="5736" spans="2:4" x14ac:dyDescent="0.35">
      <c r="B5736" s="60" t="s">
        <v>17128</v>
      </c>
      <c r="C5736" s="60" t="s">
        <v>17129</v>
      </c>
      <c r="D5736" s="60" t="s">
        <v>17130</v>
      </c>
    </row>
    <row r="5737" spans="2:4" x14ac:dyDescent="0.35">
      <c r="B5737" s="60" t="s">
        <v>17131</v>
      </c>
      <c r="C5737" s="60" t="s">
        <v>17132</v>
      </c>
      <c r="D5737" s="60" t="s">
        <v>17133</v>
      </c>
    </row>
    <row r="5738" spans="2:4" x14ac:dyDescent="0.35">
      <c r="B5738" s="60" t="s">
        <v>17134</v>
      </c>
      <c r="C5738" s="60" t="s">
        <v>17135</v>
      </c>
      <c r="D5738" s="60" t="s">
        <v>17136</v>
      </c>
    </row>
    <row r="5739" spans="2:4" x14ac:dyDescent="0.35">
      <c r="B5739" s="60" t="s">
        <v>17137</v>
      </c>
      <c r="C5739" s="60" t="s">
        <v>17138</v>
      </c>
      <c r="D5739" s="60" t="s">
        <v>17139</v>
      </c>
    </row>
    <row r="5740" spans="2:4" x14ac:dyDescent="0.35">
      <c r="B5740" s="60" t="s">
        <v>17140</v>
      </c>
      <c r="C5740" s="60" t="s">
        <v>17141</v>
      </c>
      <c r="D5740" s="60" t="s">
        <v>17142</v>
      </c>
    </row>
    <row r="5741" spans="2:4" x14ac:dyDescent="0.35">
      <c r="B5741" s="60" t="s">
        <v>17143</v>
      </c>
      <c r="C5741" s="60" t="s">
        <v>17144</v>
      </c>
      <c r="D5741" s="60" t="s">
        <v>17145</v>
      </c>
    </row>
    <row r="5742" spans="2:4" x14ac:dyDescent="0.35">
      <c r="B5742" s="60" t="s">
        <v>17146</v>
      </c>
      <c r="C5742" s="60" t="s">
        <v>17147</v>
      </c>
      <c r="D5742" s="60" t="s">
        <v>17148</v>
      </c>
    </row>
    <row r="5743" spans="2:4" x14ac:dyDescent="0.35">
      <c r="B5743" s="60" t="s">
        <v>17149</v>
      </c>
      <c r="C5743" s="60" t="s">
        <v>17150</v>
      </c>
      <c r="D5743" s="60" t="s">
        <v>17151</v>
      </c>
    </row>
    <row r="5744" spans="2:4" x14ac:dyDescent="0.35">
      <c r="B5744" s="60" t="s">
        <v>17152</v>
      </c>
      <c r="C5744" s="60" t="s">
        <v>17153</v>
      </c>
      <c r="D5744" s="60" t="s">
        <v>17154</v>
      </c>
    </row>
    <row r="5745" spans="2:4" x14ac:dyDescent="0.35">
      <c r="B5745" s="60" t="s">
        <v>17155</v>
      </c>
      <c r="C5745" s="60" t="s">
        <v>17156</v>
      </c>
      <c r="D5745" s="60" t="s">
        <v>17157</v>
      </c>
    </row>
    <row r="5746" spans="2:4" x14ac:dyDescent="0.35">
      <c r="B5746" s="60" t="s">
        <v>17158</v>
      </c>
      <c r="C5746" s="60" t="s">
        <v>17159</v>
      </c>
      <c r="D5746" s="60" t="s">
        <v>17160</v>
      </c>
    </row>
    <row r="5747" spans="2:4" x14ac:dyDescent="0.35">
      <c r="B5747" s="60" t="s">
        <v>17161</v>
      </c>
      <c r="C5747" s="60" t="s">
        <v>17162</v>
      </c>
      <c r="D5747" s="60" t="s">
        <v>17163</v>
      </c>
    </row>
    <row r="5748" spans="2:4" x14ac:dyDescent="0.35">
      <c r="B5748" s="60" t="s">
        <v>17161</v>
      </c>
      <c r="C5748" s="60" t="s">
        <v>17164</v>
      </c>
      <c r="D5748" s="60" t="s">
        <v>17165</v>
      </c>
    </row>
    <row r="5749" spans="2:4" x14ac:dyDescent="0.35">
      <c r="B5749" s="60" t="s">
        <v>17161</v>
      </c>
      <c r="C5749" s="60" t="s">
        <v>17166</v>
      </c>
      <c r="D5749" s="60" t="s">
        <v>17167</v>
      </c>
    </row>
    <row r="5750" spans="2:4" x14ac:dyDescent="0.35">
      <c r="B5750" s="60" t="s">
        <v>17168</v>
      </c>
      <c r="C5750" s="60" t="s">
        <v>17169</v>
      </c>
      <c r="D5750" s="60" t="s">
        <v>17170</v>
      </c>
    </row>
    <row r="5751" spans="2:4" x14ac:dyDescent="0.35">
      <c r="B5751" s="60" t="s">
        <v>17171</v>
      </c>
      <c r="C5751" s="60" t="s">
        <v>17172</v>
      </c>
      <c r="D5751" s="60" t="s">
        <v>17173</v>
      </c>
    </row>
    <row r="5752" spans="2:4" x14ac:dyDescent="0.35">
      <c r="B5752" s="60" t="s">
        <v>17174</v>
      </c>
      <c r="C5752" s="60" t="s">
        <v>17175</v>
      </c>
      <c r="D5752" s="60" t="s">
        <v>17176</v>
      </c>
    </row>
    <row r="5753" spans="2:4" x14ac:dyDescent="0.35">
      <c r="B5753" s="60" t="s">
        <v>17177</v>
      </c>
      <c r="C5753" s="60" t="s">
        <v>17178</v>
      </c>
      <c r="D5753" s="60" t="s">
        <v>17179</v>
      </c>
    </row>
    <row r="5754" spans="2:4" x14ac:dyDescent="0.35">
      <c r="B5754" s="60" t="s">
        <v>17180</v>
      </c>
      <c r="C5754" s="60" t="s">
        <v>17181</v>
      </c>
      <c r="D5754" s="60" t="s">
        <v>17182</v>
      </c>
    </row>
    <row r="5755" spans="2:4" x14ac:dyDescent="0.35">
      <c r="B5755" s="60" t="s">
        <v>17183</v>
      </c>
      <c r="C5755" s="60" t="s">
        <v>17184</v>
      </c>
      <c r="D5755" s="60" t="s">
        <v>17185</v>
      </c>
    </row>
    <row r="5756" spans="2:4" x14ac:dyDescent="0.35">
      <c r="B5756" s="60" t="s">
        <v>17186</v>
      </c>
      <c r="C5756" s="60" t="s">
        <v>17187</v>
      </c>
      <c r="D5756" s="60" t="s">
        <v>17188</v>
      </c>
    </row>
    <row r="5757" spans="2:4" x14ac:dyDescent="0.35">
      <c r="B5757" s="60" t="s">
        <v>17189</v>
      </c>
      <c r="C5757" s="60" t="s">
        <v>17190</v>
      </c>
      <c r="D5757" s="60" t="s">
        <v>17191</v>
      </c>
    </row>
    <row r="5758" spans="2:4" x14ac:dyDescent="0.35">
      <c r="B5758" s="60" t="s">
        <v>17189</v>
      </c>
      <c r="C5758" s="60" t="s">
        <v>17192</v>
      </c>
      <c r="D5758" s="60" t="s">
        <v>17193</v>
      </c>
    </row>
    <row r="5759" spans="2:4" x14ac:dyDescent="0.35">
      <c r="B5759" s="60" t="s">
        <v>17194</v>
      </c>
      <c r="C5759" s="60" t="s">
        <v>17195</v>
      </c>
      <c r="D5759" s="60" t="s">
        <v>17196</v>
      </c>
    </row>
    <row r="5760" spans="2:4" x14ac:dyDescent="0.35">
      <c r="B5760" s="60" t="s">
        <v>17197</v>
      </c>
      <c r="C5760" s="60" t="s">
        <v>17198</v>
      </c>
      <c r="D5760" s="60" t="s">
        <v>17199</v>
      </c>
    </row>
    <row r="5761" spans="2:4" x14ac:dyDescent="0.35">
      <c r="B5761" s="60" t="s">
        <v>17200</v>
      </c>
      <c r="C5761" s="60" t="s">
        <v>17201</v>
      </c>
      <c r="D5761" s="60" t="s">
        <v>17202</v>
      </c>
    </row>
    <row r="5762" spans="2:4" x14ac:dyDescent="0.35">
      <c r="B5762" s="60" t="s">
        <v>17203</v>
      </c>
      <c r="C5762" s="60" t="s">
        <v>17204</v>
      </c>
      <c r="D5762" s="60" t="s">
        <v>17205</v>
      </c>
    </row>
    <row r="5763" spans="2:4" x14ac:dyDescent="0.35">
      <c r="B5763" s="60" t="s">
        <v>17206</v>
      </c>
      <c r="C5763" s="60" t="s">
        <v>17207</v>
      </c>
      <c r="D5763" s="60" t="s">
        <v>17208</v>
      </c>
    </row>
    <row r="5764" spans="2:4" x14ac:dyDescent="0.35">
      <c r="B5764" s="60" t="s">
        <v>17209</v>
      </c>
      <c r="C5764" s="60" t="s">
        <v>17210</v>
      </c>
      <c r="D5764" s="60" t="s">
        <v>17211</v>
      </c>
    </row>
    <row r="5765" spans="2:4" x14ac:dyDescent="0.35">
      <c r="B5765" s="60" t="s">
        <v>17212</v>
      </c>
      <c r="C5765" s="60" t="s">
        <v>17213</v>
      </c>
      <c r="D5765" s="60" t="s">
        <v>17214</v>
      </c>
    </row>
    <row r="5766" spans="2:4" x14ac:dyDescent="0.35">
      <c r="B5766" s="60" t="s">
        <v>17212</v>
      </c>
      <c r="C5766" s="60" t="s">
        <v>17215</v>
      </c>
      <c r="D5766" s="60" t="s">
        <v>17216</v>
      </c>
    </row>
    <row r="5767" spans="2:4" x14ac:dyDescent="0.35">
      <c r="B5767" s="60" t="s">
        <v>17217</v>
      </c>
      <c r="C5767" s="60" t="s">
        <v>17218</v>
      </c>
      <c r="D5767" s="60" t="s">
        <v>17219</v>
      </c>
    </row>
    <row r="5768" spans="2:4" x14ac:dyDescent="0.35">
      <c r="B5768" s="60" t="s">
        <v>17220</v>
      </c>
      <c r="C5768" s="60" t="s">
        <v>17221</v>
      </c>
      <c r="D5768" s="60" t="s">
        <v>17222</v>
      </c>
    </row>
    <row r="5769" spans="2:4" x14ac:dyDescent="0.35">
      <c r="B5769" s="60" t="s">
        <v>17223</v>
      </c>
      <c r="C5769" s="60" t="s">
        <v>17224</v>
      </c>
      <c r="D5769" s="60" t="s">
        <v>17225</v>
      </c>
    </row>
    <row r="5770" spans="2:4" x14ac:dyDescent="0.35">
      <c r="B5770" s="60" t="s">
        <v>17226</v>
      </c>
      <c r="C5770" s="60" t="s">
        <v>17227</v>
      </c>
      <c r="D5770" s="60" t="s">
        <v>17228</v>
      </c>
    </row>
    <row r="5771" spans="2:4" x14ac:dyDescent="0.35">
      <c r="B5771" s="60" t="s">
        <v>17229</v>
      </c>
      <c r="C5771" s="60" t="s">
        <v>17230</v>
      </c>
      <c r="D5771" s="60" t="s">
        <v>17231</v>
      </c>
    </row>
    <row r="5772" spans="2:4" x14ac:dyDescent="0.35">
      <c r="B5772" s="60" t="s">
        <v>17232</v>
      </c>
      <c r="C5772" s="60" t="s">
        <v>17233</v>
      </c>
      <c r="D5772" s="60" t="s">
        <v>17234</v>
      </c>
    </row>
    <row r="5773" spans="2:4" x14ac:dyDescent="0.35">
      <c r="B5773" s="60" t="s">
        <v>17235</v>
      </c>
      <c r="C5773" s="60" t="s">
        <v>17236</v>
      </c>
      <c r="D5773" s="60" t="s">
        <v>17237</v>
      </c>
    </row>
    <row r="5774" spans="2:4" x14ac:dyDescent="0.35">
      <c r="B5774" s="60" t="s">
        <v>17235</v>
      </c>
      <c r="C5774" s="60" t="s">
        <v>17238</v>
      </c>
      <c r="D5774" s="60" t="s">
        <v>17239</v>
      </c>
    </row>
    <row r="5775" spans="2:4" x14ac:dyDescent="0.35">
      <c r="B5775" s="60" t="s">
        <v>17240</v>
      </c>
      <c r="C5775" s="60" t="s">
        <v>17241</v>
      </c>
      <c r="D5775" s="60" t="s">
        <v>17242</v>
      </c>
    </row>
    <row r="5776" spans="2:4" x14ac:dyDescent="0.35">
      <c r="B5776" s="60" t="s">
        <v>17243</v>
      </c>
      <c r="C5776" s="60" t="s">
        <v>17244</v>
      </c>
      <c r="D5776" s="60" t="s">
        <v>17245</v>
      </c>
    </row>
    <row r="5777" spans="2:4" x14ac:dyDescent="0.35">
      <c r="B5777" s="60" t="s">
        <v>17246</v>
      </c>
      <c r="C5777" s="60" t="s">
        <v>17247</v>
      </c>
      <c r="D5777" s="60" t="s">
        <v>17248</v>
      </c>
    </row>
    <row r="5778" spans="2:4" x14ac:dyDescent="0.35">
      <c r="B5778" s="60" t="s">
        <v>17249</v>
      </c>
      <c r="C5778" s="60" t="s">
        <v>17250</v>
      </c>
      <c r="D5778" s="60" t="s">
        <v>17251</v>
      </c>
    </row>
    <row r="5779" spans="2:4" x14ac:dyDescent="0.35">
      <c r="B5779" s="60" t="s">
        <v>17252</v>
      </c>
      <c r="C5779" s="60" t="s">
        <v>17253</v>
      </c>
      <c r="D5779" s="60" t="s">
        <v>17254</v>
      </c>
    </row>
    <row r="5780" spans="2:4" x14ac:dyDescent="0.35">
      <c r="B5780" s="60" t="s">
        <v>17255</v>
      </c>
      <c r="C5780" s="60" t="s">
        <v>17256</v>
      </c>
      <c r="D5780" s="60" t="s">
        <v>17257</v>
      </c>
    </row>
    <row r="5781" spans="2:4" x14ac:dyDescent="0.35">
      <c r="B5781" s="60" t="s">
        <v>17258</v>
      </c>
      <c r="C5781" s="60" t="s">
        <v>17259</v>
      </c>
      <c r="D5781" s="60" t="s">
        <v>17260</v>
      </c>
    </row>
    <row r="5782" spans="2:4" x14ac:dyDescent="0.35">
      <c r="B5782" s="60" t="s">
        <v>17261</v>
      </c>
      <c r="C5782" s="60" t="s">
        <v>17262</v>
      </c>
      <c r="D5782" s="60" t="s">
        <v>17263</v>
      </c>
    </row>
    <row r="5783" spans="2:4" x14ac:dyDescent="0.35">
      <c r="B5783" s="60" t="s">
        <v>17264</v>
      </c>
      <c r="C5783" s="60" t="s">
        <v>17265</v>
      </c>
      <c r="D5783" s="60" t="s">
        <v>17266</v>
      </c>
    </row>
    <row r="5784" spans="2:4" x14ac:dyDescent="0.35">
      <c r="B5784" s="60" t="s">
        <v>17267</v>
      </c>
      <c r="C5784" s="60" t="s">
        <v>17268</v>
      </c>
      <c r="D5784" s="60" t="s">
        <v>17269</v>
      </c>
    </row>
    <row r="5785" spans="2:4" x14ac:dyDescent="0.35">
      <c r="B5785" s="60" t="s">
        <v>17270</v>
      </c>
      <c r="C5785" s="60" t="s">
        <v>17271</v>
      </c>
      <c r="D5785" s="60" t="s">
        <v>17272</v>
      </c>
    </row>
    <row r="5786" spans="2:4" x14ac:dyDescent="0.35">
      <c r="B5786" s="60" t="s">
        <v>17273</v>
      </c>
      <c r="C5786" s="60" t="s">
        <v>17274</v>
      </c>
      <c r="D5786" s="60" t="s">
        <v>17275</v>
      </c>
    </row>
    <row r="5787" spans="2:4" x14ac:dyDescent="0.35">
      <c r="B5787" s="60" t="s">
        <v>17276</v>
      </c>
      <c r="C5787" s="60" t="s">
        <v>17277</v>
      </c>
      <c r="D5787" s="60" t="s">
        <v>17278</v>
      </c>
    </row>
    <row r="5788" spans="2:4" x14ac:dyDescent="0.35">
      <c r="B5788" s="60" t="s">
        <v>17279</v>
      </c>
      <c r="C5788" s="60" t="s">
        <v>17280</v>
      </c>
      <c r="D5788" s="60" t="s">
        <v>17281</v>
      </c>
    </row>
    <row r="5789" spans="2:4" x14ac:dyDescent="0.35">
      <c r="B5789" s="60" t="s">
        <v>17282</v>
      </c>
      <c r="C5789" s="60" t="s">
        <v>17283</v>
      </c>
      <c r="D5789" s="60" t="s">
        <v>17284</v>
      </c>
    </row>
    <row r="5790" spans="2:4" x14ac:dyDescent="0.35">
      <c r="B5790" s="60" t="s">
        <v>17285</v>
      </c>
      <c r="C5790" s="60" t="s">
        <v>17286</v>
      </c>
      <c r="D5790" s="60" t="s">
        <v>17287</v>
      </c>
    </row>
    <row r="5791" spans="2:4" x14ac:dyDescent="0.35">
      <c r="B5791" s="60" t="s">
        <v>17288</v>
      </c>
      <c r="C5791" s="60" t="s">
        <v>17289</v>
      </c>
      <c r="D5791" s="60" t="s">
        <v>17290</v>
      </c>
    </row>
    <row r="5792" spans="2:4" x14ac:dyDescent="0.35">
      <c r="B5792" s="60" t="s">
        <v>17291</v>
      </c>
      <c r="C5792" s="60" t="s">
        <v>17292</v>
      </c>
      <c r="D5792" s="60" t="s">
        <v>17293</v>
      </c>
    </row>
    <row r="5793" spans="2:4" x14ac:dyDescent="0.35">
      <c r="B5793" s="60" t="s">
        <v>17294</v>
      </c>
      <c r="C5793" s="60" t="s">
        <v>17295</v>
      </c>
      <c r="D5793" s="60" t="s">
        <v>17296</v>
      </c>
    </row>
    <row r="5794" spans="2:4" x14ac:dyDescent="0.35">
      <c r="B5794" s="60" t="s">
        <v>17297</v>
      </c>
      <c r="C5794" s="60" t="s">
        <v>17298</v>
      </c>
      <c r="D5794" s="60" t="s">
        <v>17299</v>
      </c>
    </row>
    <row r="5795" spans="2:4" x14ac:dyDescent="0.35">
      <c r="B5795" s="60" t="s">
        <v>17300</v>
      </c>
      <c r="C5795" s="60" t="s">
        <v>17301</v>
      </c>
      <c r="D5795" s="60" t="s">
        <v>17302</v>
      </c>
    </row>
    <row r="5796" spans="2:4" x14ac:dyDescent="0.35">
      <c r="B5796" s="60" t="s">
        <v>17303</v>
      </c>
      <c r="C5796" s="60" t="s">
        <v>17304</v>
      </c>
      <c r="D5796" s="60" t="s">
        <v>17305</v>
      </c>
    </row>
    <row r="5797" spans="2:4" x14ac:dyDescent="0.35">
      <c r="B5797" s="60" t="s">
        <v>17306</v>
      </c>
      <c r="C5797" s="60" t="s">
        <v>17307</v>
      </c>
      <c r="D5797" s="60" t="s">
        <v>17308</v>
      </c>
    </row>
    <row r="5798" spans="2:4" x14ac:dyDescent="0.35">
      <c r="B5798" s="60" t="s">
        <v>17306</v>
      </c>
      <c r="C5798" s="60" t="s">
        <v>17309</v>
      </c>
      <c r="D5798" s="60" t="s">
        <v>17310</v>
      </c>
    </row>
    <row r="5799" spans="2:4" x14ac:dyDescent="0.35">
      <c r="B5799" s="60" t="s">
        <v>17311</v>
      </c>
      <c r="C5799" s="60" t="s">
        <v>17312</v>
      </c>
      <c r="D5799" s="60" t="s">
        <v>17313</v>
      </c>
    </row>
    <row r="5800" spans="2:4" x14ac:dyDescent="0.35">
      <c r="B5800" s="60" t="s">
        <v>17314</v>
      </c>
      <c r="C5800" s="60" t="s">
        <v>17315</v>
      </c>
      <c r="D5800" s="60" t="s">
        <v>17316</v>
      </c>
    </row>
    <row r="5801" spans="2:4" x14ac:dyDescent="0.35">
      <c r="B5801" s="60" t="s">
        <v>17317</v>
      </c>
      <c r="C5801" s="60" t="s">
        <v>17318</v>
      </c>
      <c r="D5801" s="60" t="s">
        <v>17319</v>
      </c>
    </row>
    <row r="5802" spans="2:4" x14ac:dyDescent="0.35">
      <c r="B5802" s="60" t="s">
        <v>17320</v>
      </c>
      <c r="C5802" s="60" t="s">
        <v>17321</v>
      </c>
      <c r="D5802" s="60" t="s">
        <v>17322</v>
      </c>
    </row>
    <row r="5803" spans="2:4" x14ac:dyDescent="0.35">
      <c r="B5803" s="60" t="s">
        <v>17323</v>
      </c>
      <c r="C5803" s="60" t="s">
        <v>17324</v>
      </c>
      <c r="D5803" s="60" t="s">
        <v>17325</v>
      </c>
    </row>
    <row r="5804" spans="2:4" x14ac:dyDescent="0.35">
      <c r="B5804" s="60" t="s">
        <v>17326</v>
      </c>
      <c r="C5804" s="60" t="s">
        <v>17327</v>
      </c>
      <c r="D5804" s="60" t="s">
        <v>17328</v>
      </c>
    </row>
    <row r="5805" spans="2:4" x14ac:dyDescent="0.35">
      <c r="B5805" s="60" t="s">
        <v>17329</v>
      </c>
      <c r="C5805" s="60" t="s">
        <v>17330</v>
      </c>
      <c r="D5805" s="60" t="s">
        <v>17331</v>
      </c>
    </row>
    <row r="5806" spans="2:4" x14ac:dyDescent="0.35">
      <c r="B5806" s="60" t="s">
        <v>17332</v>
      </c>
      <c r="C5806" s="60" t="s">
        <v>17333</v>
      </c>
      <c r="D5806" s="60" t="s">
        <v>17334</v>
      </c>
    </row>
    <row r="5807" spans="2:4" x14ac:dyDescent="0.35">
      <c r="B5807" s="60" t="s">
        <v>17335</v>
      </c>
      <c r="C5807" s="60" t="s">
        <v>17336</v>
      </c>
      <c r="D5807" s="60" t="s">
        <v>17337</v>
      </c>
    </row>
    <row r="5808" spans="2:4" x14ac:dyDescent="0.35">
      <c r="B5808" s="60" t="s">
        <v>17338</v>
      </c>
      <c r="C5808" s="60" t="s">
        <v>17339</v>
      </c>
      <c r="D5808" s="60" t="s">
        <v>17340</v>
      </c>
    </row>
    <row r="5809" spans="2:4" x14ac:dyDescent="0.35">
      <c r="B5809" s="60" t="s">
        <v>17341</v>
      </c>
      <c r="C5809" s="60" t="s">
        <v>17342</v>
      </c>
      <c r="D5809" s="60" t="s">
        <v>17343</v>
      </c>
    </row>
    <row r="5810" spans="2:4" x14ac:dyDescent="0.35">
      <c r="B5810" s="60" t="s">
        <v>17344</v>
      </c>
      <c r="C5810" s="60" t="s">
        <v>17345</v>
      </c>
      <c r="D5810" s="60" t="s">
        <v>17346</v>
      </c>
    </row>
    <row r="5811" spans="2:4" x14ac:dyDescent="0.35">
      <c r="B5811" s="60" t="s">
        <v>17347</v>
      </c>
      <c r="C5811" s="60" t="s">
        <v>17348</v>
      </c>
      <c r="D5811" s="60" t="s">
        <v>17349</v>
      </c>
    </row>
    <row r="5812" spans="2:4" x14ac:dyDescent="0.35">
      <c r="B5812" s="60" t="s">
        <v>17350</v>
      </c>
      <c r="C5812" s="60" t="s">
        <v>17351</v>
      </c>
      <c r="D5812" s="60" t="s">
        <v>17352</v>
      </c>
    </row>
    <row r="5813" spans="2:4" x14ac:dyDescent="0.35">
      <c r="B5813" s="60" t="s">
        <v>17353</v>
      </c>
      <c r="C5813" s="60" t="s">
        <v>17354</v>
      </c>
      <c r="D5813" s="60" t="s">
        <v>17355</v>
      </c>
    </row>
    <row r="5814" spans="2:4" x14ac:dyDescent="0.35">
      <c r="B5814" s="60" t="s">
        <v>17356</v>
      </c>
      <c r="C5814" s="60" t="s">
        <v>17357</v>
      </c>
      <c r="D5814" s="60" t="s">
        <v>17358</v>
      </c>
    </row>
    <row r="5815" spans="2:4" x14ac:dyDescent="0.35">
      <c r="B5815" s="60" t="s">
        <v>17359</v>
      </c>
      <c r="C5815" s="60" t="s">
        <v>17360</v>
      </c>
      <c r="D5815" s="60" t="s">
        <v>17361</v>
      </c>
    </row>
    <row r="5816" spans="2:4" x14ac:dyDescent="0.35">
      <c r="B5816" s="60" t="s">
        <v>17362</v>
      </c>
      <c r="C5816" s="60" t="s">
        <v>17363</v>
      </c>
      <c r="D5816" s="60" t="s">
        <v>17364</v>
      </c>
    </row>
    <row r="5817" spans="2:4" x14ac:dyDescent="0.35">
      <c r="B5817" s="60" t="s">
        <v>17362</v>
      </c>
      <c r="C5817" s="60" t="s">
        <v>17365</v>
      </c>
      <c r="D5817" s="60" t="s">
        <v>17366</v>
      </c>
    </row>
    <row r="5818" spans="2:4" x14ac:dyDescent="0.35">
      <c r="B5818" s="60" t="s">
        <v>17367</v>
      </c>
      <c r="C5818" s="60" t="s">
        <v>17368</v>
      </c>
      <c r="D5818" s="60" t="s">
        <v>17369</v>
      </c>
    </row>
    <row r="5819" spans="2:4" x14ac:dyDescent="0.35">
      <c r="B5819" s="60" t="s">
        <v>17370</v>
      </c>
      <c r="C5819" s="60" t="s">
        <v>17371</v>
      </c>
      <c r="D5819" s="60" t="s">
        <v>17372</v>
      </c>
    </row>
    <row r="5820" spans="2:4" x14ac:dyDescent="0.35">
      <c r="B5820" s="60" t="s">
        <v>17373</v>
      </c>
      <c r="C5820" s="60" t="s">
        <v>17374</v>
      </c>
      <c r="D5820" s="60" t="s">
        <v>17375</v>
      </c>
    </row>
    <row r="5821" spans="2:4" x14ac:dyDescent="0.35">
      <c r="B5821" s="60" t="s">
        <v>17376</v>
      </c>
      <c r="C5821" s="60" t="s">
        <v>17377</v>
      </c>
      <c r="D5821" s="60" t="s">
        <v>17378</v>
      </c>
    </row>
    <row r="5822" spans="2:4" x14ac:dyDescent="0.35">
      <c r="B5822" s="60" t="s">
        <v>17379</v>
      </c>
      <c r="C5822" s="60" t="s">
        <v>17380</v>
      </c>
      <c r="D5822" s="60" t="s">
        <v>17381</v>
      </c>
    </row>
    <row r="5823" spans="2:4" x14ac:dyDescent="0.35">
      <c r="B5823" s="60" t="s">
        <v>17382</v>
      </c>
      <c r="C5823" s="60" t="s">
        <v>17383</v>
      </c>
      <c r="D5823" s="60" t="s">
        <v>17384</v>
      </c>
    </row>
    <row r="5824" spans="2:4" x14ac:dyDescent="0.35">
      <c r="B5824" s="60" t="s">
        <v>17385</v>
      </c>
      <c r="C5824" s="60" t="s">
        <v>17386</v>
      </c>
      <c r="D5824" s="60" t="s">
        <v>17387</v>
      </c>
    </row>
    <row r="5825" spans="2:4" x14ac:dyDescent="0.35">
      <c r="B5825" s="60" t="s">
        <v>17388</v>
      </c>
      <c r="C5825" s="60" t="s">
        <v>17389</v>
      </c>
      <c r="D5825" s="60" t="s">
        <v>17390</v>
      </c>
    </row>
    <row r="5826" spans="2:4" x14ac:dyDescent="0.35">
      <c r="B5826" s="60" t="s">
        <v>17391</v>
      </c>
      <c r="C5826" s="60" t="s">
        <v>17392</v>
      </c>
      <c r="D5826" s="60" t="s">
        <v>17393</v>
      </c>
    </row>
    <row r="5827" spans="2:4" x14ac:dyDescent="0.35">
      <c r="B5827" s="60" t="s">
        <v>17394</v>
      </c>
      <c r="C5827" s="60" t="s">
        <v>17395</v>
      </c>
      <c r="D5827" s="60" t="s">
        <v>17396</v>
      </c>
    </row>
    <row r="5828" spans="2:4" x14ac:dyDescent="0.35">
      <c r="B5828" s="60" t="s">
        <v>17397</v>
      </c>
      <c r="C5828" s="60" t="s">
        <v>17398</v>
      </c>
      <c r="D5828" s="60" t="s">
        <v>17399</v>
      </c>
    </row>
    <row r="5829" spans="2:4" x14ac:dyDescent="0.35">
      <c r="B5829" s="60" t="s">
        <v>17400</v>
      </c>
      <c r="C5829" s="60" t="s">
        <v>17401</v>
      </c>
      <c r="D5829" s="60" t="s">
        <v>17402</v>
      </c>
    </row>
    <row r="5830" spans="2:4" x14ac:dyDescent="0.35">
      <c r="B5830" s="60" t="s">
        <v>17403</v>
      </c>
      <c r="C5830" s="60" t="s">
        <v>17404</v>
      </c>
      <c r="D5830" s="60" t="s">
        <v>17405</v>
      </c>
    </row>
    <row r="5831" spans="2:4" x14ac:dyDescent="0.35">
      <c r="B5831" s="60" t="s">
        <v>17406</v>
      </c>
      <c r="C5831" s="60" t="s">
        <v>17407</v>
      </c>
      <c r="D5831" s="60" t="s">
        <v>17408</v>
      </c>
    </row>
    <row r="5832" spans="2:4" x14ac:dyDescent="0.35">
      <c r="B5832" s="60" t="s">
        <v>17409</v>
      </c>
      <c r="C5832" s="60" t="s">
        <v>17410</v>
      </c>
      <c r="D5832" s="60" t="s">
        <v>17411</v>
      </c>
    </row>
    <row r="5833" spans="2:4" x14ac:dyDescent="0.35">
      <c r="B5833" s="60" t="s">
        <v>17412</v>
      </c>
      <c r="C5833" s="60" t="s">
        <v>17413</v>
      </c>
      <c r="D5833" s="60" t="s">
        <v>17414</v>
      </c>
    </row>
    <row r="5834" spans="2:4" x14ac:dyDescent="0.35">
      <c r="B5834" s="60" t="s">
        <v>17415</v>
      </c>
      <c r="C5834" s="60" t="s">
        <v>17416</v>
      </c>
      <c r="D5834" s="60" t="s">
        <v>17417</v>
      </c>
    </row>
    <row r="5835" spans="2:4" x14ac:dyDescent="0.35">
      <c r="B5835" s="60" t="s">
        <v>17418</v>
      </c>
      <c r="C5835" s="60" t="s">
        <v>17419</v>
      </c>
      <c r="D5835" s="60" t="s">
        <v>17420</v>
      </c>
    </row>
    <row r="5836" spans="2:4" x14ac:dyDescent="0.35">
      <c r="B5836" s="60" t="s">
        <v>17421</v>
      </c>
      <c r="C5836" s="60" t="s">
        <v>17422</v>
      </c>
      <c r="D5836" s="60" t="s">
        <v>17423</v>
      </c>
    </row>
    <row r="5837" spans="2:4" x14ac:dyDescent="0.35">
      <c r="B5837" s="60" t="s">
        <v>17424</v>
      </c>
      <c r="C5837" s="60" t="s">
        <v>17425</v>
      </c>
      <c r="D5837" s="60" t="s">
        <v>17426</v>
      </c>
    </row>
    <row r="5838" spans="2:4" x14ac:dyDescent="0.35">
      <c r="B5838" s="60" t="s">
        <v>17427</v>
      </c>
      <c r="C5838" s="60" t="s">
        <v>17428</v>
      </c>
      <c r="D5838" s="60" t="s">
        <v>17429</v>
      </c>
    </row>
    <row r="5839" spans="2:4" x14ac:dyDescent="0.35">
      <c r="B5839" s="60" t="s">
        <v>17430</v>
      </c>
      <c r="C5839" s="60" t="s">
        <v>17431</v>
      </c>
      <c r="D5839" s="60" t="s">
        <v>17432</v>
      </c>
    </row>
    <row r="5840" spans="2:4" x14ac:dyDescent="0.35">
      <c r="B5840" s="60" t="s">
        <v>17433</v>
      </c>
      <c r="C5840" s="60" t="s">
        <v>17434</v>
      </c>
      <c r="D5840" s="60" t="s">
        <v>17435</v>
      </c>
    </row>
    <row r="5841" spans="2:4" x14ac:dyDescent="0.35">
      <c r="B5841" s="60" t="s">
        <v>17436</v>
      </c>
      <c r="C5841" s="60" t="s">
        <v>17437</v>
      </c>
      <c r="D5841" s="60" t="s">
        <v>17438</v>
      </c>
    </row>
    <row r="5842" spans="2:4" x14ac:dyDescent="0.35">
      <c r="B5842" s="60" t="s">
        <v>17439</v>
      </c>
      <c r="C5842" s="60" t="s">
        <v>17440</v>
      </c>
      <c r="D5842" s="60" t="s">
        <v>17441</v>
      </c>
    </row>
    <row r="5843" spans="2:4" x14ac:dyDescent="0.35">
      <c r="B5843" s="60" t="s">
        <v>17442</v>
      </c>
      <c r="C5843" s="60" t="s">
        <v>17443</v>
      </c>
      <c r="D5843" s="60" t="s">
        <v>17444</v>
      </c>
    </row>
    <row r="5844" spans="2:4" x14ac:dyDescent="0.35">
      <c r="B5844" s="60" t="s">
        <v>17445</v>
      </c>
      <c r="C5844" s="60" t="s">
        <v>17446</v>
      </c>
      <c r="D5844" s="60" t="s">
        <v>17447</v>
      </c>
    </row>
    <row r="5845" spans="2:4" x14ac:dyDescent="0.35">
      <c r="B5845" s="60" t="s">
        <v>17445</v>
      </c>
      <c r="C5845" s="60" t="s">
        <v>17448</v>
      </c>
      <c r="D5845" s="60" t="s">
        <v>17449</v>
      </c>
    </row>
    <row r="5846" spans="2:4" x14ac:dyDescent="0.35">
      <c r="B5846" s="60" t="s">
        <v>17450</v>
      </c>
      <c r="C5846" s="60" t="s">
        <v>17451</v>
      </c>
      <c r="D5846" s="60" t="s">
        <v>17452</v>
      </c>
    </row>
    <row r="5847" spans="2:4" x14ac:dyDescent="0.35">
      <c r="B5847" s="60" t="s">
        <v>17453</v>
      </c>
      <c r="C5847" s="60" t="s">
        <v>17454</v>
      </c>
      <c r="D5847" s="60" t="s">
        <v>17455</v>
      </c>
    </row>
    <row r="5848" spans="2:4" x14ac:dyDescent="0.35">
      <c r="B5848" s="60" t="s">
        <v>17456</v>
      </c>
      <c r="C5848" s="60" t="s">
        <v>17457</v>
      </c>
      <c r="D5848" s="60" t="s">
        <v>17458</v>
      </c>
    </row>
    <row r="5849" spans="2:4" x14ac:dyDescent="0.35">
      <c r="B5849" s="60" t="s">
        <v>17459</v>
      </c>
      <c r="C5849" s="60" t="s">
        <v>17460</v>
      </c>
      <c r="D5849" s="60" t="s">
        <v>17461</v>
      </c>
    </row>
    <row r="5850" spans="2:4" x14ac:dyDescent="0.35">
      <c r="B5850" s="60" t="s">
        <v>17462</v>
      </c>
      <c r="C5850" s="60" t="s">
        <v>17463</v>
      </c>
      <c r="D5850" s="60" t="s">
        <v>17464</v>
      </c>
    </row>
    <row r="5851" spans="2:4" x14ac:dyDescent="0.35">
      <c r="B5851" s="60" t="s">
        <v>17465</v>
      </c>
      <c r="C5851" s="60" t="s">
        <v>17466</v>
      </c>
      <c r="D5851" s="60" t="s">
        <v>17467</v>
      </c>
    </row>
    <row r="5852" spans="2:4" x14ac:dyDescent="0.35">
      <c r="B5852" s="60" t="s">
        <v>17468</v>
      </c>
      <c r="C5852" s="60" t="s">
        <v>17469</v>
      </c>
      <c r="D5852" s="60" t="s">
        <v>17470</v>
      </c>
    </row>
    <row r="5853" spans="2:4" x14ac:dyDescent="0.35">
      <c r="B5853" s="60" t="s">
        <v>17471</v>
      </c>
      <c r="C5853" s="60" t="s">
        <v>17472</v>
      </c>
      <c r="D5853" s="60" t="s">
        <v>17473</v>
      </c>
    </row>
    <row r="5854" spans="2:4" x14ac:dyDescent="0.35">
      <c r="B5854" s="60" t="s">
        <v>17474</v>
      </c>
      <c r="C5854" s="60" t="s">
        <v>17475</v>
      </c>
      <c r="D5854" s="60" t="s">
        <v>17476</v>
      </c>
    </row>
    <row r="5855" spans="2:4" x14ac:dyDescent="0.35">
      <c r="B5855" s="60" t="s">
        <v>17477</v>
      </c>
      <c r="C5855" s="60" t="s">
        <v>17478</v>
      </c>
      <c r="D5855" s="60" t="s">
        <v>17479</v>
      </c>
    </row>
    <row r="5856" spans="2:4" x14ac:dyDescent="0.35">
      <c r="B5856" s="60" t="s">
        <v>17480</v>
      </c>
      <c r="C5856" s="60" t="s">
        <v>17481</v>
      </c>
      <c r="D5856" s="60" t="s">
        <v>17482</v>
      </c>
    </row>
    <row r="5857" spans="2:4" x14ac:dyDescent="0.35">
      <c r="B5857" s="60" t="s">
        <v>17483</v>
      </c>
      <c r="C5857" s="60" t="s">
        <v>17484</v>
      </c>
      <c r="D5857" s="60" t="s">
        <v>17485</v>
      </c>
    </row>
    <row r="5858" spans="2:4" x14ac:dyDescent="0.35">
      <c r="B5858" s="60" t="s">
        <v>17486</v>
      </c>
      <c r="C5858" s="60" t="s">
        <v>17487</v>
      </c>
      <c r="D5858" s="60" t="s">
        <v>17488</v>
      </c>
    </row>
    <row r="5859" spans="2:4" x14ac:dyDescent="0.35">
      <c r="B5859" s="60" t="s">
        <v>17489</v>
      </c>
      <c r="C5859" s="60" t="s">
        <v>17490</v>
      </c>
      <c r="D5859" s="60" t="s">
        <v>17491</v>
      </c>
    </row>
    <row r="5860" spans="2:4" x14ac:dyDescent="0.35">
      <c r="B5860" s="60" t="s">
        <v>17492</v>
      </c>
      <c r="C5860" s="60" t="s">
        <v>17493</v>
      </c>
      <c r="D5860" s="60" t="s">
        <v>17494</v>
      </c>
    </row>
    <row r="5861" spans="2:4" x14ac:dyDescent="0.35">
      <c r="B5861" s="60" t="s">
        <v>17495</v>
      </c>
      <c r="C5861" s="60" t="s">
        <v>17496</v>
      </c>
      <c r="D5861" s="60" t="s">
        <v>17497</v>
      </c>
    </row>
    <row r="5862" spans="2:4" x14ac:dyDescent="0.35">
      <c r="B5862" s="60" t="s">
        <v>17498</v>
      </c>
      <c r="C5862" s="60" t="s">
        <v>17499</v>
      </c>
      <c r="D5862" s="60" t="s">
        <v>17500</v>
      </c>
    </row>
    <row r="5863" spans="2:4" x14ac:dyDescent="0.35">
      <c r="B5863" s="60" t="s">
        <v>17501</v>
      </c>
      <c r="C5863" s="60" t="s">
        <v>17502</v>
      </c>
      <c r="D5863" s="60" t="s">
        <v>17503</v>
      </c>
    </row>
    <row r="5864" spans="2:4" x14ac:dyDescent="0.35">
      <c r="B5864" s="60" t="s">
        <v>17504</v>
      </c>
      <c r="C5864" s="60" t="s">
        <v>17505</v>
      </c>
      <c r="D5864" s="60" t="s">
        <v>17506</v>
      </c>
    </row>
    <row r="5865" spans="2:4" x14ac:dyDescent="0.35">
      <c r="B5865" s="60" t="s">
        <v>17507</v>
      </c>
      <c r="C5865" s="60" t="s">
        <v>17508</v>
      </c>
      <c r="D5865" s="60" t="s">
        <v>17509</v>
      </c>
    </row>
    <row r="5866" spans="2:4" x14ac:dyDescent="0.35">
      <c r="B5866" s="60" t="s">
        <v>17510</v>
      </c>
      <c r="C5866" s="60" t="s">
        <v>17511</v>
      </c>
      <c r="D5866" s="60" t="s">
        <v>17512</v>
      </c>
    </row>
    <row r="5867" spans="2:4" x14ac:dyDescent="0.35">
      <c r="B5867" s="60" t="s">
        <v>17513</v>
      </c>
      <c r="C5867" s="60" t="s">
        <v>17514</v>
      </c>
      <c r="D5867" s="60" t="s">
        <v>17515</v>
      </c>
    </row>
    <row r="5868" spans="2:4" x14ac:dyDescent="0.35">
      <c r="B5868" s="60" t="s">
        <v>17516</v>
      </c>
      <c r="C5868" s="60" t="s">
        <v>17517</v>
      </c>
      <c r="D5868" s="60" t="s">
        <v>17518</v>
      </c>
    </row>
    <row r="5869" spans="2:4" x14ac:dyDescent="0.35">
      <c r="B5869" s="60" t="s">
        <v>17519</v>
      </c>
      <c r="C5869" s="60" t="s">
        <v>17520</v>
      </c>
      <c r="D5869" s="60" t="s">
        <v>17521</v>
      </c>
    </row>
    <row r="5870" spans="2:4" x14ac:dyDescent="0.35">
      <c r="B5870" s="60" t="s">
        <v>17522</v>
      </c>
      <c r="C5870" s="60" t="s">
        <v>17523</v>
      </c>
      <c r="D5870" s="60" t="s">
        <v>17524</v>
      </c>
    </row>
    <row r="5871" spans="2:4" x14ac:dyDescent="0.35">
      <c r="B5871" s="60" t="s">
        <v>17525</v>
      </c>
      <c r="C5871" s="60" t="s">
        <v>17526</v>
      </c>
      <c r="D5871" s="60" t="s">
        <v>17527</v>
      </c>
    </row>
    <row r="5872" spans="2:4" x14ac:dyDescent="0.35">
      <c r="B5872" s="60" t="s">
        <v>17528</v>
      </c>
      <c r="C5872" s="60" t="s">
        <v>17529</v>
      </c>
      <c r="D5872" s="60" t="s">
        <v>17530</v>
      </c>
    </row>
    <row r="5873" spans="2:4" x14ac:dyDescent="0.35">
      <c r="B5873" s="60" t="s">
        <v>17531</v>
      </c>
      <c r="C5873" s="60" t="s">
        <v>17532</v>
      </c>
      <c r="D5873" s="60" t="s">
        <v>17533</v>
      </c>
    </row>
    <row r="5874" spans="2:4" x14ac:dyDescent="0.35">
      <c r="B5874" s="60" t="s">
        <v>17534</v>
      </c>
      <c r="C5874" s="60" t="s">
        <v>17535</v>
      </c>
      <c r="D5874" s="60" t="s">
        <v>17536</v>
      </c>
    </row>
    <row r="5875" spans="2:4" x14ac:dyDescent="0.35">
      <c r="B5875" s="60" t="s">
        <v>17537</v>
      </c>
      <c r="C5875" s="60" t="s">
        <v>17538</v>
      </c>
      <c r="D5875" s="60" t="s">
        <v>17539</v>
      </c>
    </row>
    <row r="5876" spans="2:4" x14ac:dyDescent="0.35">
      <c r="B5876" s="60" t="s">
        <v>17540</v>
      </c>
      <c r="C5876" s="60" t="s">
        <v>17541</v>
      </c>
      <c r="D5876" s="60" t="s">
        <v>17542</v>
      </c>
    </row>
    <row r="5877" spans="2:4" x14ac:dyDescent="0.35">
      <c r="B5877" s="60" t="s">
        <v>17540</v>
      </c>
      <c r="C5877" s="60" t="s">
        <v>17543</v>
      </c>
      <c r="D5877" s="60" t="s">
        <v>17544</v>
      </c>
    </row>
    <row r="5878" spans="2:4" x14ac:dyDescent="0.35">
      <c r="B5878" s="60" t="s">
        <v>17545</v>
      </c>
      <c r="C5878" s="60" t="s">
        <v>17546</v>
      </c>
      <c r="D5878" s="60" t="s">
        <v>17547</v>
      </c>
    </row>
    <row r="5879" spans="2:4" x14ac:dyDescent="0.35">
      <c r="B5879" s="60" t="s">
        <v>17548</v>
      </c>
      <c r="C5879" s="60" t="s">
        <v>17549</v>
      </c>
      <c r="D5879" s="60" t="s">
        <v>17550</v>
      </c>
    </row>
    <row r="5880" spans="2:4" x14ac:dyDescent="0.35">
      <c r="B5880" s="60" t="s">
        <v>17551</v>
      </c>
      <c r="C5880" s="60" t="s">
        <v>17552</v>
      </c>
      <c r="D5880" s="60" t="s">
        <v>17553</v>
      </c>
    </row>
    <row r="5881" spans="2:4" x14ac:dyDescent="0.35">
      <c r="B5881" s="60" t="s">
        <v>17554</v>
      </c>
      <c r="C5881" s="60" t="s">
        <v>17555</v>
      </c>
      <c r="D5881" s="60" t="s">
        <v>17556</v>
      </c>
    </row>
    <row r="5882" spans="2:4" x14ac:dyDescent="0.35">
      <c r="B5882" s="60" t="s">
        <v>17557</v>
      </c>
      <c r="C5882" s="60" t="s">
        <v>17558</v>
      </c>
      <c r="D5882" s="60" t="s">
        <v>17559</v>
      </c>
    </row>
    <row r="5883" spans="2:4" x14ac:dyDescent="0.35">
      <c r="B5883" s="60" t="s">
        <v>17560</v>
      </c>
      <c r="C5883" s="60" t="s">
        <v>17561</v>
      </c>
      <c r="D5883" s="60" t="s">
        <v>17562</v>
      </c>
    </row>
    <row r="5884" spans="2:4" x14ac:dyDescent="0.35">
      <c r="B5884" s="60" t="s">
        <v>17563</v>
      </c>
      <c r="C5884" s="60" t="s">
        <v>17564</v>
      </c>
      <c r="D5884" s="60" t="s">
        <v>17565</v>
      </c>
    </row>
    <row r="5885" spans="2:4" x14ac:dyDescent="0.35">
      <c r="B5885" s="60" t="s">
        <v>17566</v>
      </c>
      <c r="C5885" s="60" t="s">
        <v>17567</v>
      </c>
      <c r="D5885" s="60" t="s">
        <v>17568</v>
      </c>
    </row>
    <row r="5886" spans="2:4" x14ac:dyDescent="0.35">
      <c r="B5886" s="60" t="s">
        <v>17569</v>
      </c>
      <c r="C5886" s="60" t="s">
        <v>17570</v>
      </c>
      <c r="D5886" s="60" t="s">
        <v>17571</v>
      </c>
    </row>
    <row r="5887" spans="2:4" x14ac:dyDescent="0.35">
      <c r="B5887" s="60" t="s">
        <v>17572</v>
      </c>
      <c r="C5887" s="60" t="s">
        <v>17573</v>
      </c>
      <c r="D5887" s="60" t="s">
        <v>17574</v>
      </c>
    </row>
    <row r="5888" spans="2:4" x14ac:dyDescent="0.35">
      <c r="B5888" s="60" t="s">
        <v>17575</v>
      </c>
      <c r="C5888" s="60" t="s">
        <v>17576</v>
      </c>
      <c r="D5888" s="60" t="s">
        <v>17577</v>
      </c>
    </row>
    <row r="5889" spans="2:4" x14ac:dyDescent="0.35">
      <c r="B5889" s="60" t="s">
        <v>17575</v>
      </c>
      <c r="C5889" s="60" t="s">
        <v>17578</v>
      </c>
      <c r="D5889" s="60" t="s">
        <v>17579</v>
      </c>
    </row>
    <row r="5890" spans="2:4" x14ac:dyDescent="0.35">
      <c r="B5890" s="60" t="s">
        <v>17580</v>
      </c>
      <c r="C5890" s="60" t="s">
        <v>17581</v>
      </c>
      <c r="D5890" s="60" t="s">
        <v>5964</v>
      </c>
    </row>
    <row r="5891" spans="2:4" x14ac:dyDescent="0.35">
      <c r="B5891" s="60" t="s">
        <v>17582</v>
      </c>
      <c r="C5891" s="60" t="s">
        <v>17583</v>
      </c>
      <c r="D5891" s="60" t="s">
        <v>17584</v>
      </c>
    </row>
    <row r="5892" spans="2:4" x14ac:dyDescent="0.35">
      <c r="B5892" s="60" t="s">
        <v>17585</v>
      </c>
      <c r="C5892" s="60" t="s">
        <v>3196</v>
      </c>
      <c r="D5892" s="60" t="s">
        <v>17586</v>
      </c>
    </row>
    <row r="5893" spans="2:4" x14ac:dyDescent="0.35">
      <c r="B5893" s="60" t="s">
        <v>17587</v>
      </c>
      <c r="C5893" s="60" t="s">
        <v>17588</v>
      </c>
      <c r="D5893" s="60" t="s">
        <v>17589</v>
      </c>
    </row>
    <row r="5894" spans="2:4" x14ac:dyDescent="0.35">
      <c r="B5894" s="60" t="s">
        <v>17590</v>
      </c>
      <c r="C5894" s="60" t="s">
        <v>17591</v>
      </c>
      <c r="D5894" s="60" t="s">
        <v>17592</v>
      </c>
    </row>
    <row r="5895" spans="2:4" x14ac:dyDescent="0.35">
      <c r="B5895" s="60" t="s">
        <v>17593</v>
      </c>
      <c r="C5895" s="60" t="s">
        <v>17594</v>
      </c>
      <c r="D5895" s="60" t="s">
        <v>17595</v>
      </c>
    </row>
    <row r="5896" spans="2:4" x14ac:dyDescent="0.35">
      <c r="B5896" s="60" t="s">
        <v>17596</v>
      </c>
      <c r="C5896" s="60" t="s">
        <v>17597</v>
      </c>
      <c r="D5896" s="60" t="s">
        <v>17598</v>
      </c>
    </row>
    <row r="5897" spans="2:4" x14ac:dyDescent="0.35">
      <c r="B5897" s="60" t="s">
        <v>17596</v>
      </c>
      <c r="C5897" s="60" t="s">
        <v>17599</v>
      </c>
      <c r="D5897" s="60" t="s">
        <v>17600</v>
      </c>
    </row>
    <row r="5898" spans="2:4" x14ac:dyDescent="0.35">
      <c r="B5898" s="60" t="s">
        <v>17601</v>
      </c>
      <c r="C5898" s="60" t="s">
        <v>17602</v>
      </c>
      <c r="D5898" s="60" t="s">
        <v>17603</v>
      </c>
    </row>
    <row r="5899" spans="2:4" x14ac:dyDescent="0.35">
      <c r="B5899" s="60" t="s">
        <v>17604</v>
      </c>
      <c r="C5899" s="60" t="s">
        <v>17605</v>
      </c>
      <c r="D5899" s="60" t="s">
        <v>17606</v>
      </c>
    </row>
    <row r="5900" spans="2:4" x14ac:dyDescent="0.35">
      <c r="B5900" s="60" t="s">
        <v>17607</v>
      </c>
      <c r="C5900" s="60" t="s">
        <v>17608</v>
      </c>
      <c r="D5900" s="60" t="s">
        <v>17609</v>
      </c>
    </row>
    <row r="5901" spans="2:4" x14ac:dyDescent="0.35">
      <c r="B5901" s="60" t="s">
        <v>17610</v>
      </c>
      <c r="C5901" s="60" t="s">
        <v>17611</v>
      </c>
      <c r="D5901" s="60" t="s">
        <v>17612</v>
      </c>
    </row>
    <row r="5902" spans="2:4" x14ac:dyDescent="0.35">
      <c r="B5902" s="60" t="s">
        <v>17613</v>
      </c>
      <c r="C5902" s="60" t="s">
        <v>17614</v>
      </c>
      <c r="D5902" s="60" t="s">
        <v>17615</v>
      </c>
    </row>
    <row r="5903" spans="2:4" x14ac:dyDescent="0.35">
      <c r="B5903" s="60" t="s">
        <v>17613</v>
      </c>
      <c r="C5903" s="60" t="s">
        <v>17616</v>
      </c>
      <c r="D5903" s="60" t="s">
        <v>17617</v>
      </c>
    </row>
    <row r="5904" spans="2:4" x14ac:dyDescent="0.35">
      <c r="B5904" s="60" t="s">
        <v>17618</v>
      </c>
      <c r="C5904" s="60" t="s">
        <v>17619</v>
      </c>
      <c r="D5904" s="60" t="s">
        <v>17620</v>
      </c>
    </row>
    <row r="5905" spans="2:4" x14ac:dyDescent="0.35">
      <c r="B5905" s="60" t="s">
        <v>17621</v>
      </c>
      <c r="C5905" s="60" t="s">
        <v>17622</v>
      </c>
      <c r="D5905" s="60" t="s">
        <v>17623</v>
      </c>
    </row>
    <row r="5906" spans="2:4" x14ac:dyDescent="0.35">
      <c r="B5906" s="60" t="s">
        <v>17624</v>
      </c>
      <c r="C5906" s="60" t="s">
        <v>17625</v>
      </c>
      <c r="D5906" s="60" t="s">
        <v>17626</v>
      </c>
    </row>
    <row r="5907" spans="2:4" x14ac:dyDescent="0.35">
      <c r="B5907" s="60" t="s">
        <v>17627</v>
      </c>
      <c r="C5907" s="60" t="s">
        <v>17628</v>
      </c>
      <c r="D5907" s="60" t="s">
        <v>17629</v>
      </c>
    </row>
    <row r="5908" spans="2:4" x14ac:dyDescent="0.35">
      <c r="B5908" s="60" t="s">
        <v>17630</v>
      </c>
      <c r="C5908" s="60" t="s">
        <v>17631</v>
      </c>
      <c r="D5908" s="60" t="s">
        <v>17632</v>
      </c>
    </row>
    <row r="5909" spans="2:4" x14ac:dyDescent="0.35">
      <c r="B5909" s="60" t="s">
        <v>17633</v>
      </c>
      <c r="C5909" s="60" t="s">
        <v>17634</v>
      </c>
      <c r="D5909" s="60" t="s">
        <v>17635</v>
      </c>
    </row>
    <row r="5910" spans="2:4" x14ac:dyDescent="0.35">
      <c r="B5910" s="60" t="s">
        <v>17636</v>
      </c>
      <c r="C5910" s="60" t="s">
        <v>17637</v>
      </c>
      <c r="D5910" s="60" t="s">
        <v>17638</v>
      </c>
    </row>
    <row r="5911" spans="2:4" x14ac:dyDescent="0.35">
      <c r="B5911" s="60" t="s">
        <v>17639</v>
      </c>
      <c r="C5911" s="60" t="s">
        <v>17640</v>
      </c>
      <c r="D5911" s="60" t="s">
        <v>17641</v>
      </c>
    </row>
    <row r="5912" spans="2:4" x14ac:dyDescent="0.35">
      <c r="B5912" s="60" t="s">
        <v>17642</v>
      </c>
      <c r="C5912" s="60" t="s">
        <v>17643</v>
      </c>
      <c r="D5912" s="60" t="s">
        <v>17644</v>
      </c>
    </row>
    <row r="5913" spans="2:4" x14ac:dyDescent="0.35">
      <c r="B5913" s="60" t="s">
        <v>17645</v>
      </c>
      <c r="C5913" s="60" t="s">
        <v>17646</v>
      </c>
      <c r="D5913" s="60" t="s">
        <v>17647</v>
      </c>
    </row>
    <row r="5914" spans="2:4" x14ac:dyDescent="0.35">
      <c r="B5914" s="60" t="s">
        <v>17648</v>
      </c>
      <c r="C5914" s="60" t="s">
        <v>17649</v>
      </c>
      <c r="D5914" s="60" t="s">
        <v>17650</v>
      </c>
    </row>
    <row r="5915" spans="2:4" x14ac:dyDescent="0.35">
      <c r="B5915" s="60" t="s">
        <v>17651</v>
      </c>
      <c r="C5915" s="60" t="s">
        <v>17652</v>
      </c>
      <c r="D5915" s="60" t="s">
        <v>17653</v>
      </c>
    </row>
    <row r="5916" spans="2:4" x14ac:dyDescent="0.35">
      <c r="B5916" s="60" t="s">
        <v>17654</v>
      </c>
      <c r="C5916" s="60" t="s">
        <v>17655</v>
      </c>
      <c r="D5916" s="60" t="s">
        <v>17656</v>
      </c>
    </row>
    <row r="5917" spans="2:4" x14ac:dyDescent="0.35">
      <c r="B5917" s="60" t="s">
        <v>17657</v>
      </c>
      <c r="C5917" s="60" t="s">
        <v>17658</v>
      </c>
      <c r="D5917" s="60" t="s">
        <v>14951</v>
      </c>
    </row>
    <row r="5918" spans="2:4" x14ac:dyDescent="0.35">
      <c r="B5918" s="60" t="s">
        <v>17659</v>
      </c>
      <c r="C5918" s="60" t="s">
        <v>17660</v>
      </c>
      <c r="D5918" s="60" t="s">
        <v>17661</v>
      </c>
    </row>
    <row r="5919" spans="2:4" x14ac:dyDescent="0.35">
      <c r="B5919" s="60" t="s">
        <v>17662</v>
      </c>
      <c r="C5919" s="60" t="s">
        <v>17663</v>
      </c>
      <c r="D5919" s="60" t="s">
        <v>17664</v>
      </c>
    </row>
    <row r="5920" spans="2:4" x14ac:dyDescent="0.35">
      <c r="B5920" s="60" t="s">
        <v>17665</v>
      </c>
      <c r="C5920" s="60" t="s">
        <v>17666</v>
      </c>
      <c r="D5920" s="60" t="s">
        <v>17667</v>
      </c>
    </row>
    <row r="5921" spans="2:4" x14ac:dyDescent="0.35">
      <c r="B5921" s="60" t="s">
        <v>17668</v>
      </c>
      <c r="C5921" s="60" t="s">
        <v>17669</v>
      </c>
      <c r="D5921" s="60" t="s">
        <v>17670</v>
      </c>
    </row>
    <row r="5922" spans="2:4" x14ac:dyDescent="0.35">
      <c r="B5922" s="60" t="s">
        <v>17668</v>
      </c>
      <c r="C5922" s="60" t="s">
        <v>17671</v>
      </c>
      <c r="D5922" s="60" t="s">
        <v>17672</v>
      </c>
    </row>
    <row r="5923" spans="2:4" x14ac:dyDescent="0.35">
      <c r="B5923" s="60" t="s">
        <v>17673</v>
      </c>
      <c r="C5923" s="60" t="s">
        <v>17674</v>
      </c>
      <c r="D5923" s="60" t="s">
        <v>17675</v>
      </c>
    </row>
    <row r="5924" spans="2:4" x14ac:dyDescent="0.35">
      <c r="B5924" s="60" t="s">
        <v>17676</v>
      </c>
      <c r="C5924" s="60" t="s">
        <v>17677</v>
      </c>
      <c r="D5924" s="60" t="s">
        <v>17678</v>
      </c>
    </row>
    <row r="5925" spans="2:4" x14ac:dyDescent="0.35">
      <c r="B5925" s="60" t="s">
        <v>17679</v>
      </c>
      <c r="C5925" s="60" t="s">
        <v>17680</v>
      </c>
      <c r="D5925" s="60" t="s">
        <v>17681</v>
      </c>
    </row>
    <row r="5926" spans="2:4" x14ac:dyDescent="0.35">
      <c r="B5926" s="60" t="s">
        <v>17682</v>
      </c>
      <c r="C5926" s="60" t="s">
        <v>17683</v>
      </c>
      <c r="D5926" s="60" t="s">
        <v>17684</v>
      </c>
    </row>
    <row r="5927" spans="2:4" x14ac:dyDescent="0.35">
      <c r="B5927" s="60" t="s">
        <v>17685</v>
      </c>
      <c r="C5927" s="60" t="s">
        <v>17686</v>
      </c>
      <c r="D5927" s="60" t="s">
        <v>17687</v>
      </c>
    </row>
    <row r="5928" spans="2:4" x14ac:dyDescent="0.35">
      <c r="B5928" s="60" t="s">
        <v>17688</v>
      </c>
      <c r="C5928" s="60" t="s">
        <v>17689</v>
      </c>
      <c r="D5928" s="60" t="s">
        <v>17690</v>
      </c>
    </row>
    <row r="5929" spans="2:4" x14ac:dyDescent="0.35">
      <c r="B5929" s="60" t="s">
        <v>17691</v>
      </c>
      <c r="C5929" s="60" t="s">
        <v>17692</v>
      </c>
      <c r="D5929" s="60" t="s">
        <v>17693</v>
      </c>
    </row>
    <row r="5930" spans="2:4" x14ac:dyDescent="0.35">
      <c r="B5930" s="60" t="s">
        <v>17694</v>
      </c>
      <c r="C5930" s="60" t="s">
        <v>17695</v>
      </c>
      <c r="D5930" s="60" t="s">
        <v>17696</v>
      </c>
    </row>
    <row r="5931" spans="2:4" x14ac:dyDescent="0.35">
      <c r="B5931" s="60" t="s">
        <v>17697</v>
      </c>
      <c r="C5931" s="60" t="s">
        <v>17698</v>
      </c>
      <c r="D5931" s="60" t="s">
        <v>17699</v>
      </c>
    </row>
    <row r="5932" spans="2:4" x14ac:dyDescent="0.35">
      <c r="B5932" s="60" t="s">
        <v>17700</v>
      </c>
      <c r="C5932" s="60" t="s">
        <v>17701</v>
      </c>
      <c r="D5932" s="60" t="s">
        <v>17702</v>
      </c>
    </row>
    <row r="5933" spans="2:4" x14ac:dyDescent="0.35">
      <c r="B5933" s="60" t="s">
        <v>17703</v>
      </c>
      <c r="C5933" s="60" t="s">
        <v>17704</v>
      </c>
      <c r="D5933" s="60" t="s">
        <v>17705</v>
      </c>
    </row>
    <row r="5934" spans="2:4" x14ac:dyDescent="0.35">
      <c r="B5934" s="60" t="s">
        <v>17706</v>
      </c>
      <c r="C5934" s="60" t="s">
        <v>17707</v>
      </c>
      <c r="D5934" s="60" t="s">
        <v>17708</v>
      </c>
    </row>
    <row r="5935" spans="2:4" x14ac:dyDescent="0.35">
      <c r="B5935" s="60" t="s">
        <v>17709</v>
      </c>
      <c r="C5935" s="60" t="s">
        <v>17710</v>
      </c>
      <c r="D5935" s="60" t="s">
        <v>17711</v>
      </c>
    </row>
    <row r="5936" spans="2:4" x14ac:dyDescent="0.35">
      <c r="B5936" s="60" t="s">
        <v>17712</v>
      </c>
      <c r="C5936" s="60" t="s">
        <v>17713</v>
      </c>
      <c r="D5936" s="60" t="s">
        <v>17714</v>
      </c>
    </row>
    <row r="5937" spans="2:4" x14ac:dyDescent="0.35">
      <c r="B5937" s="60" t="s">
        <v>17715</v>
      </c>
      <c r="C5937" s="60" t="s">
        <v>17716</v>
      </c>
      <c r="D5937" s="60" t="s">
        <v>17717</v>
      </c>
    </row>
    <row r="5938" spans="2:4" x14ac:dyDescent="0.35">
      <c r="B5938" s="60" t="s">
        <v>17718</v>
      </c>
      <c r="C5938" s="60" t="s">
        <v>17719</v>
      </c>
      <c r="D5938" s="60" t="s">
        <v>17720</v>
      </c>
    </row>
    <row r="5939" spans="2:4" x14ac:dyDescent="0.35">
      <c r="B5939" s="60" t="s">
        <v>17718</v>
      </c>
      <c r="C5939" s="60" t="s">
        <v>17721</v>
      </c>
      <c r="D5939" s="60" t="s">
        <v>17722</v>
      </c>
    </row>
    <row r="5940" spans="2:4" x14ac:dyDescent="0.35">
      <c r="B5940" s="60" t="s">
        <v>17723</v>
      </c>
      <c r="C5940" s="60" t="s">
        <v>17724</v>
      </c>
      <c r="D5940" s="60" t="s">
        <v>17725</v>
      </c>
    </row>
    <row r="5941" spans="2:4" x14ac:dyDescent="0.35">
      <c r="B5941" s="60" t="s">
        <v>17726</v>
      </c>
      <c r="C5941" s="60" t="s">
        <v>17727</v>
      </c>
      <c r="D5941" s="60" t="s">
        <v>17728</v>
      </c>
    </row>
    <row r="5942" spans="2:4" x14ac:dyDescent="0.35">
      <c r="B5942" s="60" t="s">
        <v>17729</v>
      </c>
      <c r="C5942" s="60" t="s">
        <v>17730</v>
      </c>
      <c r="D5942" s="60" t="s">
        <v>17731</v>
      </c>
    </row>
    <row r="5943" spans="2:4" x14ac:dyDescent="0.35">
      <c r="B5943" s="60" t="s">
        <v>17732</v>
      </c>
      <c r="C5943" s="60" t="s">
        <v>17733</v>
      </c>
      <c r="D5943" s="60" t="s">
        <v>17734</v>
      </c>
    </row>
    <row r="5944" spans="2:4" x14ac:dyDescent="0.35">
      <c r="B5944" s="60" t="s">
        <v>17735</v>
      </c>
      <c r="C5944" s="60" t="s">
        <v>17736</v>
      </c>
      <c r="D5944" s="60" t="s">
        <v>17737</v>
      </c>
    </row>
    <row r="5945" spans="2:4" x14ac:dyDescent="0.35">
      <c r="B5945" s="60" t="s">
        <v>17738</v>
      </c>
      <c r="C5945" s="60" t="s">
        <v>17739</v>
      </c>
      <c r="D5945" s="60" t="s">
        <v>17740</v>
      </c>
    </row>
    <row r="5946" spans="2:4" x14ac:dyDescent="0.35">
      <c r="B5946" s="60" t="s">
        <v>17741</v>
      </c>
      <c r="C5946" s="60" t="s">
        <v>17742</v>
      </c>
      <c r="D5946" s="60" t="s">
        <v>17743</v>
      </c>
    </row>
    <row r="5947" spans="2:4" x14ac:dyDescent="0.35">
      <c r="B5947" s="60" t="s">
        <v>17744</v>
      </c>
      <c r="C5947" s="60" t="s">
        <v>17745</v>
      </c>
      <c r="D5947" s="60" t="s">
        <v>17746</v>
      </c>
    </row>
    <row r="5948" spans="2:4" x14ac:dyDescent="0.35">
      <c r="B5948" s="60" t="s">
        <v>17747</v>
      </c>
      <c r="C5948" s="60" t="s">
        <v>17748</v>
      </c>
      <c r="D5948" s="60" t="s">
        <v>17749</v>
      </c>
    </row>
    <row r="5949" spans="2:4" x14ac:dyDescent="0.35">
      <c r="B5949" s="60" t="s">
        <v>17750</v>
      </c>
      <c r="C5949" s="60" t="s">
        <v>17751</v>
      </c>
      <c r="D5949" s="60" t="s">
        <v>17752</v>
      </c>
    </row>
    <row r="5950" spans="2:4" x14ac:dyDescent="0.35">
      <c r="B5950" s="60" t="s">
        <v>17753</v>
      </c>
      <c r="C5950" s="60" t="s">
        <v>17754</v>
      </c>
      <c r="D5950" s="60" t="s">
        <v>17755</v>
      </c>
    </row>
    <row r="5951" spans="2:4" x14ac:dyDescent="0.35">
      <c r="B5951" s="60" t="s">
        <v>17756</v>
      </c>
      <c r="C5951" s="60" t="s">
        <v>17757</v>
      </c>
      <c r="D5951" s="60" t="s">
        <v>17758</v>
      </c>
    </row>
    <row r="5952" spans="2:4" x14ac:dyDescent="0.35">
      <c r="B5952" s="60" t="s">
        <v>17759</v>
      </c>
      <c r="C5952" s="60" t="s">
        <v>17760</v>
      </c>
      <c r="D5952" s="60" t="s">
        <v>17761</v>
      </c>
    </row>
    <row r="5953" spans="2:4" x14ac:dyDescent="0.35">
      <c r="B5953" s="60" t="s">
        <v>17762</v>
      </c>
      <c r="C5953" s="60" t="s">
        <v>17763</v>
      </c>
      <c r="D5953" s="60" t="s">
        <v>17764</v>
      </c>
    </row>
    <row r="5954" spans="2:4" x14ac:dyDescent="0.35">
      <c r="B5954" s="60" t="s">
        <v>17765</v>
      </c>
      <c r="C5954" s="60" t="s">
        <v>17766</v>
      </c>
      <c r="D5954" s="60" t="s">
        <v>17767</v>
      </c>
    </row>
    <row r="5955" spans="2:4" x14ac:dyDescent="0.35">
      <c r="B5955" s="60" t="s">
        <v>17768</v>
      </c>
      <c r="C5955" s="60" t="s">
        <v>17769</v>
      </c>
      <c r="D5955" s="60" t="s">
        <v>17770</v>
      </c>
    </row>
    <row r="5956" spans="2:4" x14ac:dyDescent="0.35">
      <c r="B5956" s="60" t="s">
        <v>17771</v>
      </c>
      <c r="C5956" s="60" t="s">
        <v>17772</v>
      </c>
      <c r="D5956" s="60" t="s">
        <v>17773</v>
      </c>
    </row>
    <row r="5957" spans="2:4" x14ac:dyDescent="0.35">
      <c r="B5957" s="60" t="s">
        <v>17774</v>
      </c>
      <c r="C5957" s="60" t="s">
        <v>17775</v>
      </c>
      <c r="D5957" s="60" t="s">
        <v>17776</v>
      </c>
    </row>
    <row r="5958" spans="2:4" x14ac:dyDescent="0.35">
      <c r="B5958" s="60" t="s">
        <v>17777</v>
      </c>
      <c r="C5958" s="60" t="s">
        <v>17778</v>
      </c>
      <c r="D5958" s="60" t="s">
        <v>17779</v>
      </c>
    </row>
    <row r="5959" spans="2:4" x14ac:dyDescent="0.35">
      <c r="B5959" s="60" t="s">
        <v>17780</v>
      </c>
      <c r="C5959" s="60" t="s">
        <v>17781</v>
      </c>
      <c r="D5959" s="60" t="s">
        <v>17782</v>
      </c>
    </row>
    <row r="5960" spans="2:4" x14ac:dyDescent="0.35">
      <c r="B5960" s="60" t="s">
        <v>17783</v>
      </c>
      <c r="C5960" s="60" t="s">
        <v>17784</v>
      </c>
      <c r="D5960" s="60" t="s">
        <v>17785</v>
      </c>
    </row>
    <row r="5961" spans="2:4" x14ac:dyDescent="0.35">
      <c r="B5961" s="60" t="s">
        <v>17786</v>
      </c>
      <c r="C5961" s="60" t="s">
        <v>17787</v>
      </c>
      <c r="D5961" s="60" t="s">
        <v>17788</v>
      </c>
    </row>
    <row r="5962" spans="2:4" x14ac:dyDescent="0.35">
      <c r="B5962" s="60" t="s">
        <v>17789</v>
      </c>
      <c r="C5962" s="60" t="s">
        <v>17790</v>
      </c>
      <c r="D5962" s="60" t="s">
        <v>17791</v>
      </c>
    </row>
    <row r="5963" spans="2:4" x14ac:dyDescent="0.35">
      <c r="B5963" s="60" t="s">
        <v>17792</v>
      </c>
      <c r="C5963" s="60" t="s">
        <v>17793</v>
      </c>
      <c r="D5963" s="60" t="s">
        <v>17794</v>
      </c>
    </row>
    <row r="5964" spans="2:4" x14ac:dyDescent="0.35">
      <c r="B5964" s="60" t="s">
        <v>17795</v>
      </c>
      <c r="C5964" s="60" t="s">
        <v>17796</v>
      </c>
      <c r="D5964" s="60" t="s">
        <v>17797</v>
      </c>
    </row>
    <row r="5965" spans="2:4" x14ac:dyDescent="0.35">
      <c r="B5965" s="60" t="s">
        <v>17798</v>
      </c>
      <c r="C5965" s="60" t="s">
        <v>17799</v>
      </c>
      <c r="D5965" s="60" t="s">
        <v>17800</v>
      </c>
    </row>
    <row r="5966" spans="2:4" x14ac:dyDescent="0.35">
      <c r="B5966" s="60" t="s">
        <v>17801</v>
      </c>
      <c r="C5966" s="60" t="s">
        <v>17802</v>
      </c>
      <c r="D5966" s="60" t="s">
        <v>17803</v>
      </c>
    </row>
    <row r="5967" spans="2:4" x14ac:dyDescent="0.35">
      <c r="B5967" s="60" t="s">
        <v>17804</v>
      </c>
      <c r="C5967" s="60" t="s">
        <v>17805</v>
      </c>
      <c r="D5967" s="60" t="s">
        <v>17806</v>
      </c>
    </row>
    <row r="5968" spans="2:4" x14ac:dyDescent="0.35">
      <c r="B5968" s="60" t="s">
        <v>17807</v>
      </c>
      <c r="C5968" s="60" t="s">
        <v>17808</v>
      </c>
      <c r="D5968" s="60" t="s">
        <v>17809</v>
      </c>
    </row>
    <row r="5969" spans="2:4" x14ac:dyDescent="0.35">
      <c r="B5969" s="60" t="s">
        <v>17810</v>
      </c>
      <c r="C5969" s="60" t="s">
        <v>17811</v>
      </c>
      <c r="D5969" s="60" t="s">
        <v>17812</v>
      </c>
    </row>
    <row r="5970" spans="2:4" x14ac:dyDescent="0.35">
      <c r="B5970" s="60" t="s">
        <v>17813</v>
      </c>
      <c r="C5970" s="60" t="s">
        <v>17814</v>
      </c>
      <c r="D5970" s="60" t="s">
        <v>17815</v>
      </c>
    </row>
    <row r="5971" spans="2:4" x14ac:dyDescent="0.35">
      <c r="B5971" s="60" t="s">
        <v>17816</v>
      </c>
      <c r="C5971" s="60" t="s">
        <v>17817</v>
      </c>
      <c r="D5971" s="60" t="s">
        <v>17818</v>
      </c>
    </row>
    <row r="5972" spans="2:4" x14ac:dyDescent="0.35">
      <c r="B5972" s="60" t="s">
        <v>17819</v>
      </c>
      <c r="C5972" s="60" t="s">
        <v>17820</v>
      </c>
      <c r="D5972" s="60" t="s">
        <v>17821</v>
      </c>
    </row>
    <row r="5973" spans="2:4" x14ac:dyDescent="0.35">
      <c r="B5973" s="60" t="s">
        <v>17822</v>
      </c>
      <c r="C5973" s="60" t="s">
        <v>17823</v>
      </c>
      <c r="D5973" s="60" t="s">
        <v>17824</v>
      </c>
    </row>
    <row r="5974" spans="2:4" x14ac:dyDescent="0.35">
      <c r="B5974" s="60" t="s">
        <v>17825</v>
      </c>
      <c r="C5974" s="60" t="s">
        <v>17826</v>
      </c>
      <c r="D5974" s="60" t="s">
        <v>17827</v>
      </c>
    </row>
    <row r="5975" spans="2:4" x14ac:dyDescent="0.35">
      <c r="B5975" s="60" t="s">
        <v>17828</v>
      </c>
      <c r="C5975" s="60" t="s">
        <v>17829</v>
      </c>
      <c r="D5975" s="60" t="s">
        <v>17830</v>
      </c>
    </row>
    <row r="5976" spans="2:4" x14ac:dyDescent="0.35">
      <c r="B5976" s="60" t="s">
        <v>17831</v>
      </c>
      <c r="C5976" s="60" t="s">
        <v>17832</v>
      </c>
      <c r="D5976" s="60" t="s">
        <v>17833</v>
      </c>
    </row>
    <row r="5977" spans="2:4" x14ac:dyDescent="0.35">
      <c r="B5977" s="60" t="s">
        <v>17834</v>
      </c>
      <c r="C5977" s="60" t="s">
        <v>17835</v>
      </c>
      <c r="D5977" s="60" t="s">
        <v>17836</v>
      </c>
    </row>
    <row r="5978" spans="2:4" x14ac:dyDescent="0.35">
      <c r="B5978" s="60" t="s">
        <v>17837</v>
      </c>
      <c r="C5978" s="60" t="s">
        <v>17838</v>
      </c>
      <c r="D5978" s="60" t="s">
        <v>17839</v>
      </c>
    </row>
    <row r="5979" spans="2:4" x14ac:dyDescent="0.35">
      <c r="B5979" s="60" t="s">
        <v>17840</v>
      </c>
      <c r="C5979" s="60" t="s">
        <v>17841</v>
      </c>
      <c r="D5979" s="60" t="s">
        <v>17842</v>
      </c>
    </row>
    <row r="5980" spans="2:4" x14ac:dyDescent="0.35">
      <c r="B5980" s="60" t="s">
        <v>17843</v>
      </c>
      <c r="C5980" s="60" t="s">
        <v>17844</v>
      </c>
      <c r="D5980" s="60" t="s">
        <v>17845</v>
      </c>
    </row>
    <row r="5981" spans="2:4" x14ac:dyDescent="0.35">
      <c r="B5981" s="60" t="s">
        <v>17846</v>
      </c>
      <c r="C5981" s="60" t="s">
        <v>17847</v>
      </c>
      <c r="D5981" s="60" t="s">
        <v>17848</v>
      </c>
    </row>
    <row r="5982" spans="2:4" x14ac:dyDescent="0.35">
      <c r="B5982" s="60" t="s">
        <v>17849</v>
      </c>
      <c r="C5982" s="60" t="s">
        <v>17850</v>
      </c>
      <c r="D5982" s="60" t="s">
        <v>17851</v>
      </c>
    </row>
    <row r="5983" spans="2:4" x14ac:dyDescent="0.35">
      <c r="B5983" s="60" t="s">
        <v>17852</v>
      </c>
      <c r="C5983" s="60" t="s">
        <v>17853</v>
      </c>
      <c r="D5983" s="60" t="s">
        <v>17854</v>
      </c>
    </row>
    <row r="5984" spans="2:4" x14ac:dyDescent="0.35">
      <c r="B5984" s="60" t="s">
        <v>17855</v>
      </c>
      <c r="C5984" s="60" t="s">
        <v>17856</v>
      </c>
      <c r="D5984" s="60" t="s">
        <v>17857</v>
      </c>
    </row>
    <row r="5985" spans="2:4" x14ac:dyDescent="0.35">
      <c r="B5985" s="60" t="s">
        <v>17858</v>
      </c>
      <c r="C5985" s="60" t="s">
        <v>17859</v>
      </c>
      <c r="D5985" s="60" t="s">
        <v>17860</v>
      </c>
    </row>
    <row r="5986" spans="2:4" x14ac:dyDescent="0.35">
      <c r="B5986" s="60" t="s">
        <v>17861</v>
      </c>
      <c r="C5986" s="60" t="s">
        <v>17862</v>
      </c>
      <c r="D5986" s="60" t="s">
        <v>17863</v>
      </c>
    </row>
    <row r="5987" spans="2:4" x14ac:dyDescent="0.35">
      <c r="B5987" s="60" t="s">
        <v>17864</v>
      </c>
      <c r="C5987" s="60" t="s">
        <v>17865</v>
      </c>
      <c r="D5987" s="60" t="s">
        <v>17866</v>
      </c>
    </row>
    <row r="5988" spans="2:4" x14ac:dyDescent="0.35">
      <c r="B5988" s="60" t="s">
        <v>17867</v>
      </c>
      <c r="C5988" s="60" t="s">
        <v>17868</v>
      </c>
      <c r="D5988" s="60" t="s">
        <v>17869</v>
      </c>
    </row>
    <row r="5989" spans="2:4" x14ac:dyDescent="0.35">
      <c r="B5989" s="60" t="s">
        <v>17870</v>
      </c>
      <c r="C5989" s="60" t="s">
        <v>17871</v>
      </c>
      <c r="D5989" s="60" t="s">
        <v>17872</v>
      </c>
    </row>
    <row r="5990" spans="2:4" x14ac:dyDescent="0.35">
      <c r="B5990" s="60" t="s">
        <v>17873</v>
      </c>
      <c r="C5990" s="60" t="s">
        <v>17874</v>
      </c>
      <c r="D5990" s="60" t="s">
        <v>17875</v>
      </c>
    </row>
    <row r="5991" spans="2:4" x14ac:dyDescent="0.35">
      <c r="B5991" s="60" t="s">
        <v>17876</v>
      </c>
      <c r="C5991" s="60" t="s">
        <v>17877</v>
      </c>
      <c r="D5991" s="60" t="s">
        <v>17878</v>
      </c>
    </row>
    <row r="5992" spans="2:4" x14ac:dyDescent="0.35">
      <c r="B5992" s="60" t="s">
        <v>17879</v>
      </c>
      <c r="C5992" s="60" t="s">
        <v>17880</v>
      </c>
      <c r="D5992" s="60" t="s">
        <v>17881</v>
      </c>
    </row>
    <row r="5993" spans="2:4" x14ac:dyDescent="0.35">
      <c r="B5993" s="60" t="s">
        <v>17882</v>
      </c>
      <c r="C5993" s="60" t="s">
        <v>17883</v>
      </c>
      <c r="D5993" s="60" t="s">
        <v>17884</v>
      </c>
    </row>
    <row r="5994" spans="2:4" x14ac:dyDescent="0.35">
      <c r="B5994" s="60" t="s">
        <v>17885</v>
      </c>
      <c r="C5994" s="60" t="s">
        <v>17886</v>
      </c>
      <c r="D5994" s="60" t="s">
        <v>17887</v>
      </c>
    </row>
    <row r="5995" spans="2:4" x14ac:dyDescent="0.35">
      <c r="B5995" s="60" t="s">
        <v>17888</v>
      </c>
      <c r="C5995" s="60" t="s">
        <v>17889</v>
      </c>
      <c r="D5995" s="60" t="s">
        <v>17890</v>
      </c>
    </row>
    <row r="5996" spans="2:4" x14ac:dyDescent="0.35">
      <c r="B5996" s="60" t="s">
        <v>17891</v>
      </c>
      <c r="C5996" s="60" t="s">
        <v>17892</v>
      </c>
      <c r="D5996" s="60" t="s">
        <v>17893</v>
      </c>
    </row>
    <row r="5997" spans="2:4" x14ac:dyDescent="0.35">
      <c r="B5997" s="60" t="s">
        <v>17894</v>
      </c>
      <c r="C5997" s="60" t="s">
        <v>17895</v>
      </c>
      <c r="D5997" s="60" t="s">
        <v>17896</v>
      </c>
    </row>
    <row r="5998" spans="2:4" x14ac:dyDescent="0.35">
      <c r="B5998" s="60" t="s">
        <v>17897</v>
      </c>
      <c r="C5998" s="60" t="s">
        <v>17898</v>
      </c>
      <c r="D5998" s="60" t="s">
        <v>17899</v>
      </c>
    </row>
    <row r="5999" spans="2:4" x14ac:dyDescent="0.35">
      <c r="B5999" s="60" t="s">
        <v>17900</v>
      </c>
      <c r="C5999" s="60" t="s">
        <v>17901</v>
      </c>
      <c r="D5999" s="60" t="s">
        <v>17902</v>
      </c>
    </row>
    <row r="6000" spans="2:4" x14ac:dyDescent="0.35">
      <c r="B6000" s="60" t="s">
        <v>17903</v>
      </c>
      <c r="C6000" s="60" t="s">
        <v>17904</v>
      </c>
      <c r="D6000" s="60" t="s">
        <v>17905</v>
      </c>
    </row>
    <row r="6001" spans="2:4" x14ac:dyDescent="0.35">
      <c r="B6001" s="60" t="s">
        <v>17906</v>
      </c>
      <c r="C6001" s="60" t="s">
        <v>17907</v>
      </c>
      <c r="D6001" s="60" t="s">
        <v>17908</v>
      </c>
    </row>
    <row r="6002" spans="2:4" x14ac:dyDescent="0.35">
      <c r="B6002" s="60" t="s">
        <v>17909</v>
      </c>
      <c r="C6002" s="60" t="s">
        <v>17910</v>
      </c>
      <c r="D6002" s="60" t="s">
        <v>17911</v>
      </c>
    </row>
    <row r="6003" spans="2:4" x14ac:dyDescent="0.35">
      <c r="B6003" s="60" t="s">
        <v>17912</v>
      </c>
      <c r="C6003" s="60" t="s">
        <v>17913</v>
      </c>
      <c r="D6003" s="60" t="s">
        <v>17914</v>
      </c>
    </row>
    <row r="6004" spans="2:4" x14ac:dyDescent="0.35">
      <c r="B6004" s="60" t="s">
        <v>17915</v>
      </c>
      <c r="C6004" s="60" t="s">
        <v>17916</v>
      </c>
      <c r="D6004" s="60" t="s">
        <v>17917</v>
      </c>
    </row>
    <row r="6005" spans="2:4" x14ac:dyDescent="0.35">
      <c r="B6005" s="60" t="s">
        <v>17918</v>
      </c>
      <c r="C6005" s="60" t="s">
        <v>17919</v>
      </c>
      <c r="D6005" s="60" t="s">
        <v>17920</v>
      </c>
    </row>
    <row r="6006" spans="2:4" x14ac:dyDescent="0.35">
      <c r="B6006" s="60" t="s">
        <v>17921</v>
      </c>
      <c r="C6006" s="60" t="s">
        <v>17922</v>
      </c>
      <c r="D6006" s="60" t="s">
        <v>17923</v>
      </c>
    </row>
    <row r="6007" spans="2:4" x14ac:dyDescent="0.35">
      <c r="B6007" s="60" t="s">
        <v>17924</v>
      </c>
      <c r="C6007" s="60" t="s">
        <v>17925</v>
      </c>
      <c r="D6007" s="60" t="s">
        <v>17926</v>
      </c>
    </row>
    <row r="6008" spans="2:4" x14ac:dyDescent="0.35">
      <c r="B6008" s="60" t="s">
        <v>17927</v>
      </c>
      <c r="C6008" s="60" t="s">
        <v>17928</v>
      </c>
      <c r="D6008" s="60" t="s">
        <v>17929</v>
      </c>
    </row>
    <row r="6009" spans="2:4" x14ac:dyDescent="0.35">
      <c r="B6009" s="60" t="s">
        <v>17930</v>
      </c>
      <c r="C6009" s="60" t="s">
        <v>17931</v>
      </c>
      <c r="D6009" s="60" t="s">
        <v>17932</v>
      </c>
    </row>
    <row r="6010" spans="2:4" x14ac:dyDescent="0.35">
      <c r="B6010" s="60" t="s">
        <v>17933</v>
      </c>
      <c r="C6010" s="60" t="s">
        <v>17934</v>
      </c>
      <c r="D6010" s="60" t="s">
        <v>17935</v>
      </c>
    </row>
    <row r="6011" spans="2:4" x14ac:dyDescent="0.35">
      <c r="B6011" s="60" t="s">
        <v>17936</v>
      </c>
      <c r="C6011" s="60" t="s">
        <v>17937</v>
      </c>
      <c r="D6011" s="60" t="s">
        <v>17938</v>
      </c>
    </row>
    <row r="6012" spans="2:4" x14ac:dyDescent="0.35">
      <c r="B6012" s="60" t="s">
        <v>17939</v>
      </c>
      <c r="C6012" s="60" t="s">
        <v>17940</v>
      </c>
      <c r="D6012" s="60" t="s">
        <v>17941</v>
      </c>
    </row>
    <row r="6013" spans="2:4" x14ac:dyDescent="0.35">
      <c r="B6013" s="60" t="s">
        <v>17942</v>
      </c>
      <c r="C6013" s="60" t="s">
        <v>17943</v>
      </c>
      <c r="D6013" s="60" t="s">
        <v>17944</v>
      </c>
    </row>
    <row r="6014" spans="2:4" x14ac:dyDescent="0.35">
      <c r="B6014" s="60" t="s">
        <v>17945</v>
      </c>
      <c r="C6014" s="60" t="s">
        <v>17946</v>
      </c>
      <c r="D6014" s="60" t="s">
        <v>17947</v>
      </c>
    </row>
    <row r="6015" spans="2:4" x14ac:dyDescent="0.35">
      <c r="B6015" s="60" t="s">
        <v>17945</v>
      </c>
      <c r="C6015" s="60" t="s">
        <v>17948</v>
      </c>
      <c r="D6015" s="60" t="s">
        <v>17949</v>
      </c>
    </row>
    <row r="6016" spans="2:4" x14ac:dyDescent="0.35">
      <c r="B6016" s="60" t="s">
        <v>17950</v>
      </c>
      <c r="C6016" s="60" t="s">
        <v>17951</v>
      </c>
      <c r="D6016" s="60" t="s">
        <v>17952</v>
      </c>
    </row>
    <row r="6017" spans="2:4" x14ac:dyDescent="0.35">
      <c r="B6017" s="60" t="s">
        <v>17953</v>
      </c>
      <c r="C6017" s="60" t="s">
        <v>17954</v>
      </c>
      <c r="D6017" s="60" t="s">
        <v>17955</v>
      </c>
    </row>
    <row r="6018" spans="2:4" x14ac:dyDescent="0.35">
      <c r="B6018" s="60" t="s">
        <v>17956</v>
      </c>
      <c r="C6018" s="60" t="s">
        <v>17957</v>
      </c>
      <c r="D6018" s="60" t="s">
        <v>17958</v>
      </c>
    </row>
    <row r="6019" spans="2:4" x14ac:dyDescent="0.35">
      <c r="B6019" s="60" t="s">
        <v>17959</v>
      </c>
      <c r="C6019" s="60" t="s">
        <v>17960</v>
      </c>
      <c r="D6019" s="60" t="s">
        <v>17961</v>
      </c>
    </row>
    <row r="6020" spans="2:4" x14ac:dyDescent="0.35">
      <c r="B6020" s="60" t="s">
        <v>17962</v>
      </c>
      <c r="C6020" s="60" t="s">
        <v>17963</v>
      </c>
      <c r="D6020" s="60" t="s">
        <v>17964</v>
      </c>
    </row>
    <row r="6021" spans="2:4" x14ac:dyDescent="0.35">
      <c r="B6021" s="60" t="s">
        <v>17965</v>
      </c>
      <c r="C6021" s="60" t="s">
        <v>17966</v>
      </c>
      <c r="D6021" s="60" t="s">
        <v>17967</v>
      </c>
    </row>
    <row r="6022" spans="2:4" x14ac:dyDescent="0.35">
      <c r="B6022" s="60" t="s">
        <v>17968</v>
      </c>
      <c r="C6022" s="60" t="s">
        <v>17969</v>
      </c>
      <c r="D6022" s="60" t="s">
        <v>17970</v>
      </c>
    </row>
    <row r="6023" spans="2:4" x14ac:dyDescent="0.35">
      <c r="B6023" s="60" t="s">
        <v>17971</v>
      </c>
      <c r="C6023" s="60" t="s">
        <v>17972</v>
      </c>
      <c r="D6023" s="60" t="s">
        <v>17973</v>
      </c>
    </row>
    <row r="6024" spans="2:4" x14ac:dyDescent="0.35">
      <c r="B6024" s="60" t="s">
        <v>17974</v>
      </c>
      <c r="C6024" s="60" t="s">
        <v>17975</v>
      </c>
      <c r="D6024" s="60" t="s">
        <v>17976</v>
      </c>
    </row>
    <row r="6025" spans="2:4" x14ac:dyDescent="0.35">
      <c r="B6025" s="60" t="s">
        <v>17977</v>
      </c>
      <c r="C6025" s="60" t="s">
        <v>17978</v>
      </c>
      <c r="D6025" s="60" t="s">
        <v>17979</v>
      </c>
    </row>
    <row r="6026" spans="2:4" x14ac:dyDescent="0.35">
      <c r="B6026" s="60" t="s">
        <v>17977</v>
      </c>
      <c r="C6026" s="60" t="s">
        <v>17980</v>
      </c>
      <c r="D6026" s="60" t="s">
        <v>17981</v>
      </c>
    </row>
    <row r="6027" spans="2:4" x14ac:dyDescent="0.35">
      <c r="B6027" s="60" t="s">
        <v>17982</v>
      </c>
      <c r="C6027" s="60" t="s">
        <v>17983</v>
      </c>
      <c r="D6027" s="60" t="s">
        <v>17984</v>
      </c>
    </row>
    <row r="6028" spans="2:4" x14ac:dyDescent="0.35">
      <c r="B6028" s="60" t="s">
        <v>17982</v>
      </c>
      <c r="C6028" s="60" t="s">
        <v>17985</v>
      </c>
      <c r="D6028" s="60" t="s">
        <v>17986</v>
      </c>
    </row>
    <row r="6029" spans="2:4" x14ac:dyDescent="0.35">
      <c r="B6029" s="60" t="s">
        <v>17987</v>
      </c>
      <c r="C6029" s="60" t="s">
        <v>17988</v>
      </c>
      <c r="D6029" s="60" t="s">
        <v>17989</v>
      </c>
    </row>
    <row r="6030" spans="2:4" x14ac:dyDescent="0.35">
      <c r="B6030" s="60" t="s">
        <v>17990</v>
      </c>
      <c r="C6030" s="60" t="s">
        <v>17991</v>
      </c>
      <c r="D6030" s="60" t="s">
        <v>17992</v>
      </c>
    </row>
    <row r="6031" spans="2:4" x14ac:dyDescent="0.35">
      <c r="B6031" s="60" t="s">
        <v>17993</v>
      </c>
      <c r="C6031" s="60" t="s">
        <v>17994</v>
      </c>
      <c r="D6031" s="60" t="s">
        <v>17995</v>
      </c>
    </row>
    <row r="6032" spans="2:4" x14ac:dyDescent="0.35">
      <c r="B6032" s="60" t="s">
        <v>17996</v>
      </c>
      <c r="C6032" s="60" t="s">
        <v>17997</v>
      </c>
      <c r="D6032" s="60" t="s">
        <v>17998</v>
      </c>
    </row>
    <row r="6033" spans="2:4" x14ac:dyDescent="0.35">
      <c r="B6033" s="60" t="s">
        <v>17999</v>
      </c>
      <c r="C6033" s="60" t="s">
        <v>18000</v>
      </c>
      <c r="D6033" s="60" t="s">
        <v>18001</v>
      </c>
    </row>
    <row r="6034" spans="2:4" x14ac:dyDescent="0.35">
      <c r="B6034" s="60" t="s">
        <v>18002</v>
      </c>
      <c r="C6034" s="60" t="s">
        <v>18003</v>
      </c>
      <c r="D6034" s="60" t="s">
        <v>18004</v>
      </c>
    </row>
    <row r="6035" spans="2:4" x14ac:dyDescent="0.35">
      <c r="B6035" s="60" t="s">
        <v>18005</v>
      </c>
      <c r="C6035" s="60" t="s">
        <v>18006</v>
      </c>
      <c r="D6035" s="60" t="s">
        <v>18007</v>
      </c>
    </row>
    <row r="6036" spans="2:4" x14ac:dyDescent="0.35">
      <c r="B6036" s="60" t="s">
        <v>18008</v>
      </c>
      <c r="C6036" s="60" t="s">
        <v>18009</v>
      </c>
      <c r="D6036" s="60" t="s">
        <v>18010</v>
      </c>
    </row>
    <row r="6037" spans="2:4" x14ac:dyDescent="0.35">
      <c r="B6037" s="60" t="s">
        <v>18011</v>
      </c>
      <c r="C6037" s="60" t="s">
        <v>18012</v>
      </c>
      <c r="D6037" s="60" t="s">
        <v>18013</v>
      </c>
    </row>
    <row r="6038" spans="2:4" x14ac:dyDescent="0.35">
      <c r="B6038" s="60" t="s">
        <v>18014</v>
      </c>
      <c r="C6038" s="60" t="s">
        <v>18015</v>
      </c>
      <c r="D6038" s="60" t="s">
        <v>18016</v>
      </c>
    </row>
    <row r="6039" spans="2:4" x14ac:dyDescent="0.35">
      <c r="B6039" s="60" t="s">
        <v>18017</v>
      </c>
      <c r="C6039" s="60" t="s">
        <v>18018</v>
      </c>
      <c r="D6039" s="60" t="s">
        <v>18019</v>
      </c>
    </row>
    <row r="6040" spans="2:4" x14ac:dyDescent="0.35">
      <c r="B6040" s="60" t="s">
        <v>18020</v>
      </c>
      <c r="C6040" s="60" t="s">
        <v>18021</v>
      </c>
      <c r="D6040" s="60" t="s">
        <v>18022</v>
      </c>
    </row>
    <row r="6041" spans="2:4" x14ac:dyDescent="0.35">
      <c r="B6041" s="60" t="s">
        <v>18023</v>
      </c>
      <c r="C6041" s="60" t="s">
        <v>18024</v>
      </c>
      <c r="D6041" s="60" t="s">
        <v>18025</v>
      </c>
    </row>
    <row r="6042" spans="2:4" x14ac:dyDescent="0.35">
      <c r="B6042" s="60" t="s">
        <v>18026</v>
      </c>
      <c r="C6042" s="60" t="s">
        <v>18027</v>
      </c>
      <c r="D6042" s="60" t="s">
        <v>18028</v>
      </c>
    </row>
    <row r="6043" spans="2:4" x14ac:dyDescent="0.35">
      <c r="B6043" s="60" t="s">
        <v>18029</v>
      </c>
      <c r="C6043" s="60" t="s">
        <v>18030</v>
      </c>
      <c r="D6043" s="60" t="s">
        <v>18031</v>
      </c>
    </row>
    <row r="6044" spans="2:4" x14ac:dyDescent="0.35">
      <c r="B6044" s="60" t="s">
        <v>18032</v>
      </c>
      <c r="C6044" s="60" t="s">
        <v>18033</v>
      </c>
      <c r="D6044" s="60" t="s">
        <v>18034</v>
      </c>
    </row>
    <row r="6045" spans="2:4" x14ac:dyDescent="0.35">
      <c r="B6045" s="60" t="s">
        <v>18035</v>
      </c>
      <c r="C6045" s="60" t="s">
        <v>18036</v>
      </c>
      <c r="D6045" s="60" t="s">
        <v>18037</v>
      </c>
    </row>
    <row r="6046" spans="2:4" x14ac:dyDescent="0.35">
      <c r="B6046" s="60" t="s">
        <v>18038</v>
      </c>
      <c r="C6046" s="60" t="s">
        <v>18039</v>
      </c>
      <c r="D6046" s="60" t="s">
        <v>18040</v>
      </c>
    </row>
    <row r="6047" spans="2:4" x14ac:dyDescent="0.35">
      <c r="B6047" s="60" t="s">
        <v>18041</v>
      </c>
      <c r="C6047" s="60" t="s">
        <v>18042</v>
      </c>
      <c r="D6047" s="60" t="s">
        <v>17976</v>
      </c>
    </row>
    <row r="6048" spans="2:4" x14ac:dyDescent="0.35">
      <c r="B6048" s="60" t="s">
        <v>18043</v>
      </c>
      <c r="C6048" s="60" t="s">
        <v>18044</v>
      </c>
      <c r="D6048" s="60" t="s">
        <v>18045</v>
      </c>
    </row>
    <row r="6049" spans="2:4" x14ac:dyDescent="0.35">
      <c r="B6049" s="60" t="s">
        <v>18046</v>
      </c>
      <c r="C6049" s="60" t="s">
        <v>18047</v>
      </c>
      <c r="D6049" s="60" t="s">
        <v>18048</v>
      </c>
    </row>
    <row r="6050" spans="2:4" x14ac:dyDescent="0.35">
      <c r="B6050" s="60" t="s">
        <v>18049</v>
      </c>
      <c r="C6050" s="60" t="s">
        <v>18050</v>
      </c>
      <c r="D6050" s="60" t="s">
        <v>714</v>
      </c>
    </row>
    <row r="6051" spans="2:4" x14ac:dyDescent="0.35">
      <c r="B6051" s="60" t="s">
        <v>18051</v>
      </c>
      <c r="C6051" s="60" t="s">
        <v>18052</v>
      </c>
      <c r="D6051" s="60" t="s">
        <v>18053</v>
      </c>
    </row>
    <row r="6052" spans="2:4" x14ac:dyDescent="0.35">
      <c r="B6052" s="60" t="s">
        <v>18054</v>
      </c>
      <c r="C6052" s="60" t="s">
        <v>18055</v>
      </c>
      <c r="D6052" s="60" t="s">
        <v>18056</v>
      </c>
    </row>
    <row r="6053" spans="2:4" x14ac:dyDescent="0.35">
      <c r="B6053" s="60" t="s">
        <v>18057</v>
      </c>
      <c r="C6053" s="60" t="s">
        <v>18058</v>
      </c>
      <c r="D6053" s="60" t="s">
        <v>18059</v>
      </c>
    </row>
    <row r="6054" spans="2:4" x14ac:dyDescent="0.35">
      <c r="B6054" s="60" t="s">
        <v>18060</v>
      </c>
      <c r="C6054" s="60" t="s">
        <v>18061</v>
      </c>
      <c r="D6054" s="60" t="s">
        <v>18062</v>
      </c>
    </row>
    <row r="6055" spans="2:4" x14ac:dyDescent="0.35">
      <c r="B6055" s="60" t="s">
        <v>18063</v>
      </c>
      <c r="C6055" s="60" t="s">
        <v>18064</v>
      </c>
      <c r="D6055" s="60" t="s">
        <v>18065</v>
      </c>
    </row>
    <row r="6056" spans="2:4" x14ac:dyDescent="0.35">
      <c r="B6056" s="60" t="s">
        <v>18066</v>
      </c>
      <c r="C6056" s="60" t="s">
        <v>18067</v>
      </c>
      <c r="D6056" s="60" t="s">
        <v>18068</v>
      </c>
    </row>
    <row r="6057" spans="2:4" x14ac:dyDescent="0.35">
      <c r="B6057" s="60" t="s">
        <v>18069</v>
      </c>
      <c r="C6057" s="60" t="s">
        <v>18070</v>
      </c>
      <c r="D6057" s="60" t="s">
        <v>18071</v>
      </c>
    </row>
    <row r="6058" spans="2:4" x14ac:dyDescent="0.35">
      <c r="B6058" s="60" t="s">
        <v>18072</v>
      </c>
      <c r="C6058" s="60" t="s">
        <v>18073</v>
      </c>
      <c r="D6058" s="60" t="s">
        <v>18074</v>
      </c>
    </row>
    <row r="6059" spans="2:4" x14ac:dyDescent="0.35">
      <c r="B6059" s="60" t="s">
        <v>18072</v>
      </c>
      <c r="C6059" s="60" t="s">
        <v>18075</v>
      </c>
      <c r="D6059" s="60" t="s">
        <v>18076</v>
      </c>
    </row>
    <row r="6060" spans="2:4" x14ac:dyDescent="0.35">
      <c r="B6060" s="60" t="s">
        <v>18077</v>
      </c>
      <c r="C6060" s="60" t="s">
        <v>18078</v>
      </c>
      <c r="D6060" s="60" t="s">
        <v>18079</v>
      </c>
    </row>
    <row r="6061" spans="2:4" x14ac:dyDescent="0.35">
      <c r="B6061" s="60" t="s">
        <v>18080</v>
      </c>
      <c r="C6061" s="60" t="s">
        <v>18081</v>
      </c>
      <c r="D6061" s="60" t="s">
        <v>18082</v>
      </c>
    </row>
    <row r="6062" spans="2:4" x14ac:dyDescent="0.35">
      <c r="B6062" s="60" t="s">
        <v>18083</v>
      </c>
      <c r="C6062" s="60" t="s">
        <v>18084</v>
      </c>
      <c r="D6062" s="60" t="s">
        <v>18085</v>
      </c>
    </row>
    <row r="6063" spans="2:4" x14ac:dyDescent="0.35">
      <c r="B6063" s="60" t="s">
        <v>18086</v>
      </c>
      <c r="C6063" s="60" t="s">
        <v>18087</v>
      </c>
      <c r="D6063" s="60" t="s">
        <v>18088</v>
      </c>
    </row>
    <row r="6064" spans="2:4" x14ac:dyDescent="0.35">
      <c r="B6064" s="60" t="s">
        <v>18089</v>
      </c>
      <c r="C6064" s="60" t="s">
        <v>18090</v>
      </c>
      <c r="D6064" s="60" t="s">
        <v>18091</v>
      </c>
    </row>
    <row r="6065" spans="2:4" x14ac:dyDescent="0.35">
      <c r="B6065" s="60" t="s">
        <v>18092</v>
      </c>
      <c r="C6065" s="60" t="s">
        <v>18093</v>
      </c>
      <c r="D6065" s="60" t="s">
        <v>18094</v>
      </c>
    </row>
    <row r="6066" spans="2:4" x14ac:dyDescent="0.35">
      <c r="B6066" s="60" t="s">
        <v>18095</v>
      </c>
      <c r="C6066" s="60" t="s">
        <v>18096</v>
      </c>
      <c r="D6066" s="60" t="s">
        <v>18097</v>
      </c>
    </row>
    <row r="6067" spans="2:4" x14ac:dyDescent="0.35">
      <c r="B6067" s="60" t="s">
        <v>18098</v>
      </c>
      <c r="C6067" s="60" t="s">
        <v>18099</v>
      </c>
      <c r="D6067" s="60" t="s">
        <v>18100</v>
      </c>
    </row>
    <row r="6068" spans="2:4" x14ac:dyDescent="0.35">
      <c r="B6068" s="60" t="s">
        <v>18101</v>
      </c>
      <c r="C6068" s="60" t="s">
        <v>18102</v>
      </c>
      <c r="D6068" s="60" t="s">
        <v>18103</v>
      </c>
    </row>
    <row r="6069" spans="2:4" x14ac:dyDescent="0.35">
      <c r="B6069" s="60" t="s">
        <v>18101</v>
      </c>
      <c r="C6069" s="60" t="s">
        <v>18104</v>
      </c>
      <c r="D6069" s="60" t="s">
        <v>18105</v>
      </c>
    </row>
    <row r="6070" spans="2:4" x14ac:dyDescent="0.35">
      <c r="B6070" s="60" t="s">
        <v>18106</v>
      </c>
      <c r="C6070" s="60" t="s">
        <v>18107</v>
      </c>
      <c r="D6070" s="60" t="s">
        <v>18108</v>
      </c>
    </row>
    <row r="6071" spans="2:4" x14ac:dyDescent="0.35">
      <c r="B6071" s="60" t="s">
        <v>18109</v>
      </c>
      <c r="C6071" s="60" t="s">
        <v>18110</v>
      </c>
      <c r="D6071" s="60" t="s">
        <v>18111</v>
      </c>
    </row>
    <row r="6072" spans="2:4" x14ac:dyDescent="0.35">
      <c r="B6072" s="60" t="s">
        <v>18112</v>
      </c>
      <c r="C6072" s="60" t="s">
        <v>18113</v>
      </c>
      <c r="D6072" s="60" t="s">
        <v>18114</v>
      </c>
    </row>
    <row r="6073" spans="2:4" x14ac:dyDescent="0.35">
      <c r="B6073" s="60" t="s">
        <v>18115</v>
      </c>
      <c r="C6073" s="60" t="s">
        <v>18116</v>
      </c>
      <c r="D6073" s="60" t="s">
        <v>18117</v>
      </c>
    </row>
    <row r="6074" spans="2:4" x14ac:dyDescent="0.35">
      <c r="B6074" s="60" t="s">
        <v>18115</v>
      </c>
      <c r="C6074" s="60" t="s">
        <v>18118</v>
      </c>
      <c r="D6074" s="60" t="s">
        <v>18119</v>
      </c>
    </row>
    <row r="6075" spans="2:4" x14ac:dyDescent="0.35">
      <c r="B6075" s="60" t="s">
        <v>18120</v>
      </c>
      <c r="C6075" s="60" t="s">
        <v>18121</v>
      </c>
      <c r="D6075" s="60" t="s">
        <v>18122</v>
      </c>
    </row>
    <row r="6076" spans="2:4" x14ac:dyDescent="0.35">
      <c r="B6076" s="60" t="s">
        <v>18123</v>
      </c>
      <c r="C6076" s="60" t="s">
        <v>18124</v>
      </c>
      <c r="D6076" s="60" t="s">
        <v>18125</v>
      </c>
    </row>
    <row r="6077" spans="2:4" x14ac:dyDescent="0.35">
      <c r="B6077" s="60" t="s">
        <v>18126</v>
      </c>
      <c r="C6077" s="60" t="s">
        <v>18127</v>
      </c>
      <c r="D6077" s="60" t="s">
        <v>18128</v>
      </c>
    </row>
    <row r="6078" spans="2:4" x14ac:dyDescent="0.35">
      <c r="B6078" s="60" t="s">
        <v>18129</v>
      </c>
      <c r="C6078" s="60" t="s">
        <v>18130</v>
      </c>
      <c r="D6078" s="60" t="s">
        <v>18131</v>
      </c>
    </row>
    <row r="6079" spans="2:4" x14ac:dyDescent="0.35">
      <c r="B6079" s="60" t="s">
        <v>18132</v>
      </c>
      <c r="C6079" s="60" t="s">
        <v>18133</v>
      </c>
      <c r="D6079" s="60" t="s">
        <v>18134</v>
      </c>
    </row>
    <row r="6080" spans="2:4" x14ac:dyDescent="0.35">
      <c r="B6080" s="60" t="s">
        <v>18135</v>
      </c>
      <c r="C6080" s="60" t="s">
        <v>18136</v>
      </c>
      <c r="D6080" s="60" t="s">
        <v>18137</v>
      </c>
    </row>
    <row r="6081" spans="2:4" x14ac:dyDescent="0.35">
      <c r="B6081" s="60" t="s">
        <v>18138</v>
      </c>
      <c r="C6081" s="60" t="s">
        <v>18139</v>
      </c>
      <c r="D6081" s="60" t="s">
        <v>18140</v>
      </c>
    </row>
    <row r="6082" spans="2:4" x14ac:dyDescent="0.35">
      <c r="B6082" s="60" t="s">
        <v>18141</v>
      </c>
      <c r="C6082" s="60" t="s">
        <v>18142</v>
      </c>
      <c r="D6082" s="60" t="s">
        <v>18143</v>
      </c>
    </row>
    <row r="6083" spans="2:4" x14ac:dyDescent="0.35">
      <c r="B6083" s="60" t="s">
        <v>18144</v>
      </c>
      <c r="C6083" s="60" t="s">
        <v>18145</v>
      </c>
      <c r="D6083" s="60" t="s">
        <v>18146</v>
      </c>
    </row>
    <row r="6084" spans="2:4" x14ac:dyDescent="0.35">
      <c r="B6084" s="60" t="s">
        <v>18147</v>
      </c>
      <c r="C6084" s="60" t="s">
        <v>18148</v>
      </c>
      <c r="D6084" s="60" t="s">
        <v>18149</v>
      </c>
    </row>
    <row r="6085" spans="2:4" x14ac:dyDescent="0.35">
      <c r="B6085" s="60" t="s">
        <v>18150</v>
      </c>
      <c r="C6085" s="60" t="s">
        <v>18151</v>
      </c>
      <c r="D6085" s="60" t="s">
        <v>18152</v>
      </c>
    </row>
    <row r="6086" spans="2:4" x14ac:dyDescent="0.35">
      <c r="B6086" s="60" t="s">
        <v>18153</v>
      </c>
      <c r="C6086" s="60" t="s">
        <v>18154</v>
      </c>
      <c r="D6086" s="60" t="s">
        <v>18155</v>
      </c>
    </row>
    <row r="6087" spans="2:4" x14ac:dyDescent="0.35">
      <c r="B6087" s="60" t="s">
        <v>18156</v>
      </c>
      <c r="C6087" s="60" t="s">
        <v>18157</v>
      </c>
      <c r="D6087" s="60" t="s">
        <v>18158</v>
      </c>
    </row>
    <row r="6088" spans="2:4" x14ac:dyDescent="0.35">
      <c r="B6088" s="60" t="s">
        <v>18159</v>
      </c>
      <c r="C6088" s="60" t="s">
        <v>18160</v>
      </c>
      <c r="D6088" s="60" t="s">
        <v>18161</v>
      </c>
    </row>
    <row r="6089" spans="2:4" x14ac:dyDescent="0.35">
      <c r="B6089" s="60" t="s">
        <v>15</v>
      </c>
      <c r="C6089" s="60" t="s">
        <v>18162</v>
      </c>
      <c r="D6089" s="60" t="s">
        <v>18163</v>
      </c>
    </row>
    <row r="6090" spans="2:4" x14ac:dyDescent="0.35">
      <c r="B6090" s="60" t="s">
        <v>18164</v>
      </c>
      <c r="C6090" s="60" t="s">
        <v>18165</v>
      </c>
      <c r="D6090" s="60" t="s">
        <v>17228</v>
      </c>
    </row>
    <row r="6091" spans="2:4" x14ac:dyDescent="0.35">
      <c r="B6091" s="60" t="s">
        <v>18166</v>
      </c>
      <c r="C6091" s="60" t="s">
        <v>18167</v>
      </c>
      <c r="D6091" s="60" t="s">
        <v>18168</v>
      </c>
    </row>
    <row r="6092" spans="2:4" x14ac:dyDescent="0.35">
      <c r="B6092" s="60" t="s">
        <v>18169</v>
      </c>
      <c r="C6092" s="60" t="s">
        <v>18170</v>
      </c>
      <c r="D6092" s="60" t="s">
        <v>18171</v>
      </c>
    </row>
    <row r="6093" spans="2:4" x14ac:dyDescent="0.35">
      <c r="B6093" s="60" t="s">
        <v>18172</v>
      </c>
      <c r="C6093" s="60" t="s">
        <v>18173</v>
      </c>
      <c r="D6093" s="60" t="s">
        <v>18174</v>
      </c>
    </row>
    <row r="6094" spans="2:4" x14ac:dyDescent="0.35">
      <c r="B6094" s="60" t="s">
        <v>18175</v>
      </c>
      <c r="C6094" s="60" t="s">
        <v>18176</v>
      </c>
      <c r="D6094" s="60" t="s">
        <v>18177</v>
      </c>
    </row>
    <row r="6095" spans="2:4" x14ac:dyDescent="0.35">
      <c r="B6095" s="60" t="s">
        <v>18178</v>
      </c>
      <c r="C6095" s="60" t="s">
        <v>18179</v>
      </c>
      <c r="D6095" s="60" t="s">
        <v>18180</v>
      </c>
    </row>
    <row r="6096" spans="2:4" x14ac:dyDescent="0.35">
      <c r="B6096" s="60" t="s">
        <v>18181</v>
      </c>
      <c r="C6096" s="60" t="s">
        <v>18182</v>
      </c>
      <c r="D6096" s="60" t="s">
        <v>18183</v>
      </c>
    </row>
    <row r="6097" spans="2:4" x14ac:dyDescent="0.35">
      <c r="B6097" s="60" t="s">
        <v>18184</v>
      </c>
      <c r="C6097" s="60" t="s">
        <v>18185</v>
      </c>
      <c r="D6097" s="60" t="s">
        <v>18186</v>
      </c>
    </row>
    <row r="6098" spans="2:4" x14ac:dyDescent="0.35">
      <c r="B6098" s="60" t="s">
        <v>18187</v>
      </c>
      <c r="C6098" s="60" t="s">
        <v>18188</v>
      </c>
      <c r="D6098" s="60" t="s">
        <v>18189</v>
      </c>
    </row>
    <row r="6099" spans="2:4" x14ac:dyDescent="0.35">
      <c r="B6099" s="60" t="s">
        <v>18190</v>
      </c>
      <c r="C6099" s="60" t="s">
        <v>18191</v>
      </c>
      <c r="D6099" s="60" t="s">
        <v>18192</v>
      </c>
    </row>
    <row r="6100" spans="2:4" x14ac:dyDescent="0.35">
      <c r="B6100" s="60" t="s">
        <v>18193</v>
      </c>
      <c r="C6100" s="60" t="s">
        <v>18194</v>
      </c>
      <c r="D6100" s="60" t="s">
        <v>18195</v>
      </c>
    </row>
    <row r="6101" spans="2:4" x14ac:dyDescent="0.35">
      <c r="B6101" s="60" t="s">
        <v>18196</v>
      </c>
      <c r="C6101" s="60" t="s">
        <v>18197</v>
      </c>
      <c r="D6101" s="60" t="s">
        <v>18198</v>
      </c>
    </row>
    <row r="6102" spans="2:4" x14ac:dyDescent="0.35">
      <c r="B6102" s="60" t="s">
        <v>18199</v>
      </c>
      <c r="C6102" s="60" t="s">
        <v>18200</v>
      </c>
      <c r="D6102" s="60" t="s">
        <v>18201</v>
      </c>
    </row>
    <row r="6103" spans="2:4" x14ac:dyDescent="0.35">
      <c r="B6103" s="60" t="s">
        <v>18202</v>
      </c>
      <c r="C6103" s="60" t="s">
        <v>18203</v>
      </c>
      <c r="D6103" s="60" t="s">
        <v>18204</v>
      </c>
    </row>
    <row r="6104" spans="2:4" x14ac:dyDescent="0.35">
      <c r="B6104" s="60" t="s">
        <v>18205</v>
      </c>
      <c r="C6104" s="60" t="s">
        <v>18206</v>
      </c>
      <c r="D6104" s="60" t="s">
        <v>18207</v>
      </c>
    </row>
    <row r="6105" spans="2:4" x14ac:dyDescent="0.35">
      <c r="B6105" s="60" t="s">
        <v>18208</v>
      </c>
      <c r="C6105" s="60" t="s">
        <v>18209</v>
      </c>
      <c r="D6105" s="60" t="s">
        <v>18210</v>
      </c>
    </row>
    <row r="6106" spans="2:4" x14ac:dyDescent="0.35">
      <c r="B6106" s="60" t="s">
        <v>18211</v>
      </c>
      <c r="C6106" s="60" t="s">
        <v>18212</v>
      </c>
      <c r="D6106" s="60" t="s">
        <v>18213</v>
      </c>
    </row>
    <row r="6107" spans="2:4" x14ac:dyDescent="0.35">
      <c r="B6107" s="60" t="s">
        <v>18214</v>
      </c>
      <c r="C6107" s="60" t="s">
        <v>18215</v>
      </c>
      <c r="D6107" s="60" t="s">
        <v>18216</v>
      </c>
    </row>
    <row r="6108" spans="2:4" x14ac:dyDescent="0.35">
      <c r="B6108" s="60" t="s">
        <v>18217</v>
      </c>
      <c r="C6108" s="60" t="s">
        <v>18218</v>
      </c>
      <c r="D6108" s="60" t="s">
        <v>18219</v>
      </c>
    </row>
    <row r="6109" spans="2:4" x14ac:dyDescent="0.35">
      <c r="B6109" s="60" t="s">
        <v>18220</v>
      </c>
      <c r="C6109" s="60" t="s">
        <v>18221</v>
      </c>
      <c r="D6109" s="60" t="s">
        <v>18222</v>
      </c>
    </row>
    <row r="6110" spans="2:4" x14ac:dyDescent="0.35">
      <c r="B6110" s="60" t="s">
        <v>18223</v>
      </c>
      <c r="C6110" s="60" t="s">
        <v>18224</v>
      </c>
      <c r="D6110" s="60" t="s">
        <v>18225</v>
      </c>
    </row>
    <row r="6111" spans="2:4" x14ac:dyDescent="0.35">
      <c r="B6111" s="60" t="s">
        <v>18223</v>
      </c>
      <c r="C6111" s="60" t="s">
        <v>18226</v>
      </c>
      <c r="D6111" s="60" t="s">
        <v>18227</v>
      </c>
    </row>
    <row r="6112" spans="2:4" x14ac:dyDescent="0.35">
      <c r="B6112" s="60" t="s">
        <v>18228</v>
      </c>
      <c r="C6112" s="60" t="s">
        <v>18229</v>
      </c>
      <c r="D6112" s="60" t="s">
        <v>18230</v>
      </c>
    </row>
    <row r="6113" spans="2:4" x14ac:dyDescent="0.35">
      <c r="B6113" s="60" t="s">
        <v>18231</v>
      </c>
      <c r="C6113" s="60" t="s">
        <v>18232</v>
      </c>
      <c r="D6113" s="60" t="s">
        <v>18233</v>
      </c>
    </row>
    <row r="6114" spans="2:4" x14ac:dyDescent="0.35">
      <c r="B6114" s="60" t="s">
        <v>18234</v>
      </c>
      <c r="C6114" s="60" t="s">
        <v>18235</v>
      </c>
      <c r="D6114" s="60" t="s">
        <v>18236</v>
      </c>
    </row>
    <row r="6115" spans="2:4" x14ac:dyDescent="0.35">
      <c r="B6115" s="60" t="s">
        <v>18237</v>
      </c>
      <c r="C6115" s="60" t="s">
        <v>18238</v>
      </c>
      <c r="D6115" s="60" t="s">
        <v>18239</v>
      </c>
    </row>
    <row r="6116" spans="2:4" x14ac:dyDescent="0.35">
      <c r="B6116" s="60" t="s">
        <v>18240</v>
      </c>
      <c r="C6116" s="60" t="s">
        <v>18241</v>
      </c>
      <c r="D6116" s="60" t="s">
        <v>18242</v>
      </c>
    </row>
    <row r="6117" spans="2:4" x14ac:dyDescent="0.35">
      <c r="B6117" s="60" t="s">
        <v>18243</v>
      </c>
      <c r="C6117" s="60" t="s">
        <v>18244</v>
      </c>
      <c r="D6117" s="60" t="s">
        <v>18245</v>
      </c>
    </row>
    <row r="6118" spans="2:4" x14ac:dyDescent="0.35">
      <c r="B6118" s="60" t="s">
        <v>18246</v>
      </c>
      <c r="C6118" s="60" t="s">
        <v>18247</v>
      </c>
      <c r="D6118" s="60" t="s">
        <v>18248</v>
      </c>
    </row>
    <row r="6119" spans="2:4" x14ac:dyDescent="0.35">
      <c r="B6119" s="60" t="s">
        <v>18249</v>
      </c>
      <c r="C6119" s="60" t="s">
        <v>18250</v>
      </c>
      <c r="D6119" s="60" t="s">
        <v>18251</v>
      </c>
    </row>
    <row r="6120" spans="2:4" x14ac:dyDescent="0.35">
      <c r="B6120" s="60" t="s">
        <v>18252</v>
      </c>
      <c r="C6120" s="60" t="s">
        <v>18253</v>
      </c>
      <c r="D6120" s="60" t="s">
        <v>18254</v>
      </c>
    </row>
    <row r="6121" spans="2:4" x14ac:dyDescent="0.35">
      <c r="B6121" s="60" t="s">
        <v>18255</v>
      </c>
      <c r="C6121" s="60" t="s">
        <v>18256</v>
      </c>
      <c r="D6121" s="60" t="s">
        <v>18257</v>
      </c>
    </row>
    <row r="6122" spans="2:4" x14ac:dyDescent="0.35">
      <c r="B6122" s="60" t="s">
        <v>18258</v>
      </c>
      <c r="C6122" s="60" t="s">
        <v>18259</v>
      </c>
      <c r="D6122" s="60" t="s">
        <v>18260</v>
      </c>
    </row>
    <row r="6123" spans="2:4" x14ac:dyDescent="0.35">
      <c r="B6123" s="60" t="s">
        <v>18261</v>
      </c>
      <c r="C6123" s="60" t="s">
        <v>18262</v>
      </c>
      <c r="D6123" s="60" t="s">
        <v>18263</v>
      </c>
    </row>
    <row r="6124" spans="2:4" x14ac:dyDescent="0.35">
      <c r="B6124" s="60" t="s">
        <v>18264</v>
      </c>
      <c r="C6124" s="60" t="s">
        <v>18265</v>
      </c>
      <c r="D6124" s="60" t="s">
        <v>18266</v>
      </c>
    </row>
    <row r="6125" spans="2:4" x14ac:dyDescent="0.35">
      <c r="B6125" s="60" t="s">
        <v>18267</v>
      </c>
      <c r="C6125" s="60" t="s">
        <v>18268</v>
      </c>
      <c r="D6125" s="60" t="s">
        <v>18269</v>
      </c>
    </row>
    <row r="6126" spans="2:4" x14ac:dyDescent="0.35">
      <c r="B6126" s="60" t="s">
        <v>18270</v>
      </c>
      <c r="C6126" s="60" t="s">
        <v>18271</v>
      </c>
      <c r="D6126" s="60" t="s">
        <v>18272</v>
      </c>
    </row>
    <row r="6127" spans="2:4" x14ac:dyDescent="0.35">
      <c r="B6127" s="60" t="s">
        <v>18273</v>
      </c>
      <c r="C6127" s="60" t="s">
        <v>18274</v>
      </c>
      <c r="D6127" s="60" t="s">
        <v>18275</v>
      </c>
    </row>
    <row r="6128" spans="2:4" x14ac:dyDescent="0.35">
      <c r="B6128" s="60" t="s">
        <v>18276</v>
      </c>
      <c r="C6128" s="60" t="s">
        <v>18277</v>
      </c>
      <c r="D6128" s="60" t="s">
        <v>18278</v>
      </c>
    </row>
    <row r="6129" spans="2:4" x14ac:dyDescent="0.35">
      <c r="B6129" s="60" t="s">
        <v>18279</v>
      </c>
      <c r="C6129" s="60" t="s">
        <v>18280</v>
      </c>
      <c r="D6129" s="60" t="s">
        <v>18281</v>
      </c>
    </row>
    <row r="6130" spans="2:4" x14ac:dyDescent="0.35">
      <c r="B6130" s="60" t="s">
        <v>18282</v>
      </c>
      <c r="C6130" s="60" t="s">
        <v>18283</v>
      </c>
      <c r="D6130" s="60" t="s">
        <v>18284</v>
      </c>
    </row>
    <row r="6131" spans="2:4" x14ac:dyDescent="0.35">
      <c r="B6131" s="60" t="s">
        <v>18285</v>
      </c>
      <c r="C6131" s="60" t="s">
        <v>18286</v>
      </c>
      <c r="D6131" s="60" t="s">
        <v>18287</v>
      </c>
    </row>
    <row r="6132" spans="2:4" x14ac:dyDescent="0.35">
      <c r="B6132" s="60" t="s">
        <v>18288</v>
      </c>
      <c r="C6132" s="60" t="s">
        <v>18289</v>
      </c>
      <c r="D6132" s="60" t="s">
        <v>18290</v>
      </c>
    </row>
    <row r="6133" spans="2:4" x14ac:dyDescent="0.35">
      <c r="B6133" s="60" t="s">
        <v>18291</v>
      </c>
      <c r="C6133" s="60" t="s">
        <v>18292</v>
      </c>
      <c r="D6133" s="60" t="s">
        <v>18293</v>
      </c>
    </row>
    <row r="6134" spans="2:4" x14ac:dyDescent="0.35">
      <c r="B6134" s="60" t="s">
        <v>18294</v>
      </c>
      <c r="C6134" s="60" t="s">
        <v>18295</v>
      </c>
      <c r="D6134" s="60" t="s">
        <v>18296</v>
      </c>
    </row>
    <row r="6135" spans="2:4" x14ac:dyDescent="0.35">
      <c r="B6135" s="60" t="s">
        <v>18297</v>
      </c>
      <c r="C6135" s="60" t="s">
        <v>18298</v>
      </c>
      <c r="D6135" s="60" t="s">
        <v>18299</v>
      </c>
    </row>
    <row r="6136" spans="2:4" x14ac:dyDescent="0.35">
      <c r="B6136" s="60" t="s">
        <v>18300</v>
      </c>
      <c r="C6136" s="60" t="s">
        <v>18301</v>
      </c>
      <c r="D6136" s="60" t="s">
        <v>18302</v>
      </c>
    </row>
    <row r="6137" spans="2:4" x14ac:dyDescent="0.35">
      <c r="B6137" s="60" t="s">
        <v>18303</v>
      </c>
      <c r="C6137" s="60" t="s">
        <v>18304</v>
      </c>
      <c r="D6137" s="60" t="s">
        <v>18305</v>
      </c>
    </row>
    <row r="6138" spans="2:4" x14ac:dyDescent="0.35">
      <c r="B6138" s="60" t="s">
        <v>18306</v>
      </c>
      <c r="C6138" s="60" t="s">
        <v>18307</v>
      </c>
      <c r="D6138" s="60" t="s">
        <v>18308</v>
      </c>
    </row>
    <row r="6139" spans="2:4" x14ac:dyDescent="0.35">
      <c r="B6139" s="60" t="s">
        <v>18309</v>
      </c>
      <c r="C6139" s="60" t="s">
        <v>18310</v>
      </c>
      <c r="D6139" s="60" t="s">
        <v>18311</v>
      </c>
    </row>
    <row r="6140" spans="2:4" x14ac:dyDescent="0.35">
      <c r="B6140" s="60" t="s">
        <v>18312</v>
      </c>
      <c r="C6140" s="60" t="s">
        <v>18313</v>
      </c>
      <c r="D6140" s="60" t="s">
        <v>18314</v>
      </c>
    </row>
    <row r="6141" spans="2:4" x14ac:dyDescent="0.35">
      <c r="B6141" s="60" t="s">
        <v>18315</v>
      </c>
      <c r="C6141" s="60" t="s">
        <v>18316</v>
      </c>
      <c r="D6141" s="60" t="s">
        <v>18317</v>
      </c>
    </row>
    <row r="6142" spans="2:4" x14ac:dyDescent="0.35">
      <c r="B6142" s="60" t="s">
        <v>18318</v>
      </c>
      <c r="C6142" s="60" t="s">
        <v>18319</v>
      </c>
      <c r="D6142" s="60" t="s">
        <v>18320</v>
      </c>
    </row>
    <row r="6143" spans="2:4" x14ac:dyDescent="0.35">
      <c r="B6143" s="60" t="s">
        <v>18321</v>
      </c>
      <c r="C6143" s="60" t="s">
        <v>18322</v>
      </c>
      <c r="D6143" s="60" t="s">
        <v>18323</v>
      </c>
    </row>
    <row r="6144" spans="2:4" x14ac:dyDescent="0.35">
      <c r="B6144" s="60" t="s">
        <v>18324</v>
      </c>
      <c r="C6144" s="60" t="s">
        <v>18325</v>
      </c>
      <c r="D6144" s="60" t="s">
        <v>18326</v>
      </c>
    </row>
    <row r="6145" spans="2:4" x14ac:dyDescent="0.35">
      <c r="B6145" s="60" t="s">
        <v>18327</v>
      </c>
      <c r="C6145" s="60" t="s">
        <v>18328</v>
      </c>
      <c r="D6145" s="60" t="s">
        <v>18329</v>
      </c>
    </row>
    <row r="6146" spans="2:4" x14ac:dyDescent="0.35">
      <c r="B6146" s="60" t="s">
        <v>18330</v>
      </c>
      <c r="C6146" s="60" t="s">
        <v>18331</v>
      </c>
      <c r="D6146" s="60" t="s">
        <v>17038</v>
      </c>
    </row>
    <row r="6147" spans="2:4" x14ac:dyDescent="0.35">
      <c r="B6147" s="60" t="s">
        <v>18332</v>
      </c>
      <c r="C6147" s="60" t="s">
        <v>18333</v>
      </c>
      <c r="D6147" s="60" t="s">
        <v>18334</v>
      </c>
    </row>
    <row r="6148" spans="2:4" x14ac:dyDescent="0.35">
      <c r="B6148" s="60" t="s">
        <v>18332</v>
      </c>
      <c r="C6148" s="60" t="s">
        <v>18335</v>
      </c>
      <c r="D6148" s="60" t="s">
        <v>18336</v>
      </c>
    </row>
    <row r="6149" spans="2:4" x14ac:dyDescent="0.35">
      <c r="B6149" s="60" t="s">
        <v>18337</v>
      </c>
      <c r="C6149" s="60" t="s">
        <v>18338</v>
      </c>
      <c r="D6149" s="60" t="s">
        <v>18339</v>
      </c>
    </row>
    <row r="6150" spans="2:4" x14ac:dyDescent="0.35">
      <c r="B6150" s="60" t="s">
        <v>18340</v>
      </c>
      <c r="C6150" s="60" t="s">
        <v>18341</v>
      </c>
      <c r="D6150" s="60" t="s">
        <v>18342</v>
      </c>
    </row>
    <row r="6151" spans="2:4" x14ac:dyDescent="0.35">
      <c r="B6151" s="60" t="s">
        <v>18343</v>
      </c>
      <c r="C6151" s="60" t="s">
        <v>18344</v>
      </c>
      <c r="D6151" s="60" t="s">
        <v>18345</v>
      </c>
    </row>
    <row r="6152" spans="2:4" x14ac:dyDescent="0.35">
      <c r="B6152" s="60" t="s">
        <v>18343</v>
      </c>
      <c r="C6152" s="60" t="s">
        <v>18346</v>
      </c>
      <c r="D6152" s="60" t="s">
        <v>18347</v>
      </c>
    </row>
    <row r="6153" spans="2:4" x14ac:dyDescent="0.35">
      <c r="B6153" s="60" t="s">
        <v>18348</v>
      </c>
      <c r="C6153" s="60" t="s">
        <v>18349</v>
      </c>
      <c r="D6153" s="60" t="s">
        <v>18350</v>
      </c>
    </row>
    <row r="6154" spans="2:4" x14ac:dyDescent="0.35">
      <c r="B6154" s="60" t="s">
        <v>18351</v>
      </c>
      <c r="C6154" s="60" t="s">
        <v>18352</v>
      </c>
      <c r="D6154" s="60" t="s">
        <v>18353</v>
      </c>
    </row>
    <row r="6155" spans="2:4" x14ac:dyDescent="0.35">
      <c r="B6155" s="60" t="s">
        <v>18354</v>
      </c>
      <c r="C6155" s="60" t="s">
        <v>18355</v>
      </c>
      <c r="D6155" s="60" t="s">
        <v>18356</v>
      </c>
    </row>
    <row r="6156" spans="2:4" x14ac:dyDescent="0.35">
      <c r="B6156" s="60" t="s">
        <v>18357</v>
      </c>
      <c r="C6156" s="60" t="s">
        <v>18358</v>
      </c>
      <c r="D6156" s="60" t="s">
        <v>18359</v>
      </c>
    </row>
    <row r="6157" spans="2:4" x14ac:dyDescent="0.35">
      <c r="B6157" s="60" t="s">
        <v>18360</v>
      </c>
      <c r="C6157" s="60" t="s">
        <v>18361</v>
      </c>
      <c r="D6157" s="60" t="s">
        <v>18362</v>
      </c>
    </row>
    <row r="6158" spans="2:4" x14ac:dyDescent="0.35">
      <c r="B6158" s="60" t="s">
        <v>18363</v>
      </c>
      <c r="C6158" s="60" t="s">
        <v>18364</v>
      </c>
      <c r="D6158" s="60" t="s">
        <v>18365</v>
      </c>
    </row>
    <row r="6159" spans="2:4" x14ac:dyDescent="0.35">
      <c r="B6159" s="60" t="s">
        <v>18363</v>
      </c>
      <c r="C6159" s="60" t="s">
        <v>18366</v>
      </c>
      <c r="D6159" s="60" t="s">
        <v>18367</v>
      </c>
    </row>
    <row r="6160" spans="2:4" x14ac:dyDescent="0.35">
      <c r="B6160" s="60" t="s">
        <v>18368</v>
      </c>
      <c r="C6160" s="60" t="s">
        <v>18369</v>
      </c>
      <c r="D6160" s="60" t="s">
        <v>18370</v>
      </c>
    </row>
    <row r="6161" spans="2:4" x14ac:dyDescent="0.35">
      <c r="B6161" s="60" t="s">
        <v>18371</v>
      </c>
      <c r="C6161" s="60" t="s">
        <v>18372</v>
      </c>
      <c r="D6161" s="60" t="s">
        <v>18373</v>
      </c>
    </row>
    <row r="6162" spans="2:4" x14ac:dyDescent="0.35">
      <c r="B6162" s="60" t="s">
        <v>18374</v>
      </c>
      <c r="C6162" s="60" t="s">
        <v>18375</v>
      </c>
      <c r="D6162" s="60" t="s">
        <v>18376</v>
      </c>
    </row>
    <row r="6163" spans="2:4" x14ac:dyDescent="0.35">
      <c r="B6163" s="60" t="s">
        <v>18377</v>
      </c>
      <c r="C6163" s="60" t="s">
        <v>18378</v>
      </c>
      <c r="D6163" s="60" t="s">
        <v>18379</v>
      </c>
    </row>
    <row r="6164" spans="2:4" x14ac:dyDescent="0.35">
      <c r="B6164" s="60" t="s">
        <v>18380</v>
      </c>
      <c r="C6164" s="60" t="s">
        <v>18381</v>
      </c>
      <c r="D6164" s="60" t="s">
        <v>18382</v>
      </c>
    </row>
    <row r="6165" spans="2:4" x14ac:dyDescent="0.35">
      <c r="B6165" s="60" t="s">
        <v>18383</v>
      </c>
      <c r="C6165" s="60" t="s">
        <v>18384</v>
      </c>
      <c r="D6165" s="60" t="s">
        <v>18385</v>
      </c>
    </row>
    <row r="6166" spans="2:4" x14ac:dyDescent="0.35">
      <c r="B6166" s="60" t="s">
        <v>18386</v>
      </c>
      <c r="C6166" s="60" t="s">
        <v>18387</v>
      </c>
      <c r="D6166" s="60" t="s">
        <v>18388</v>
      </c>
    </row>
    <row r="6167" spans="2:4" x14ac:dyDescent="0.35">
      <c r="B6167" s="60" t="s">
        <v>18389</v>
      </c>
      <c r="C6167" s="60" t="s">
        <v>18390</v>
      </c>
      <c r="D6167" s="60" t="s">
        <v>18391</v>
      </c>
    </row>
    <row r="6168" spans="2:4" x14ac:dyDescent="0.35">
      <c r="B6168" s="60" t="s">
        <v>18392</v>
      </c>
      <c r="C6168" s="60" t="s">
        <v>18393</v>
      </c>
      <c r="D6168" s="60" t="s">
        <v>18394</v>
      </c>
    </row>
    <row r="6169" spans="2:4" x14ac:dyDescent="0.35">
      <c r="B6169" s="60" t="s">
        <v>18395</v>
      </c>
      <c r="C6169" s="60" t="s">
        <v>18396</v>
      </c>
      <c r="D6169" s="60" t="s">
        <v>18397</v>
      </c>
    </row>
    <row r="6170" spans="2:4" x14ac:dyDescent="0.35">
      <c r="B6170" s="60" t="s">
        <v>18398</v>
      </c>
      <c r="C6170" s="60" t="s">
        <v>18399</v>
      </c>
      <c r="D6170" s="60" t="s">
        <v>18400</v>
      </c>
    </row>
    <row r="6171" spans="2:4" x14ac:dyDescent="0.35">
      <c r="B6171" s="60" t="s">
        <v>18401</v>
      </c>
      <c r="C6171" s="60" t="s">
        <v>18402</v>
      </c>
      <c r="D6171" s="60" t="s">
        <v>18403</v>
      </c>
    </row>
    <row r="6172" spans="2:4" x14ac:dyDescent="0.35">
      <c r="B6172" s="60" t="s">
        <v>18404</v>
      </c>
      <c r="C6172" s="60" t="s">
        <v>18405</v>
      </c>
      <c r="D6172" s="60" t="s">
        <v>18406</v>
      </c>
    </row>
    <row r="6173" spans="2:4" x14ac:dyDescent="0.35">
      <c r="B6173" s="60" t="s">
        <v>18407</v>
      </c>
      <c r="C6173" s="60" t="s">
        <v>18408</v>
      </c>
      <c r="D6173" s="60" t="s">
        <v>18409</v>
      </c>
    </row>
    <row r="6174" spans="2:4" x14ac:dyDescent="0.35">
      <c r="B6174" s="60" t="s">
        <v>18410</v>
      </c>
      <c r="C6174" s="60" t="s">
        <v>18411</v>
      </c>
      <c r="D6174" s="60" t="s">
        <v>18412</v>
      </c>
    </row>
    <row r="6175" spans="2:4" x14ac:dyDescent="0.35">
      <c r="B6175" s="60" t="s">
        <v>18413</v>
      </c>
      <c r="C6175" s="60" t="s">
        <v>18414</v>
      </c>
      <c r="D6175" s="60" t="s">
        <v>18415</v>
      </c>
    </row>
    <row r="6176" spans="2:4" x14ac:dyDescent="0.35">
      <c r="B6176" s="60" t="s">
        <v>18416</v>
      </c>
      <c r="C6176" s="60" t="s">
        <v>18417</v>
      </c>
      <c r="D6176" s="60" t="s">
        <v>18418</v>
      </c>
    </row>
    <row r="6177" spans="2:4" x14ac:dyDescent="0.35">
      <c r="B6177" s="60" t="s">
        <v>18419</v>
      </c>
      <c r="C6177" s="60" t="s">
        <v>18420</v>
      </c>
      <c r="D6177" s="60" t="s">
        <v>18421</v>
      </c>
    </row>
    <row r="6178" spans="2:4" x14ac:dyDescent="0.35">
      <c r="B6178" s="60" t="s">
        <v>18419</v>
      </c>
      <c r="C6178" s="60" t="s">
        <v>18422</v>
      </c>
      <c r="D6178" s="60" t="s">
        <v>18423</v>
      </c>
    </row>
    <row r="6179" spans="2:4" x14ac:dyDescent="0.35">
      <c r="B6179" s="60" t="s">
        <v>18424</v>
      </c>
      <c r="C6179" s="60" t="s">
        <v>18425</v>
      </c>
      <c r="D6179" s="60" t="s">
        <v>18426</v>
      </c>
    </row>
    <row r="6180" spans="2:4" x14ac:dyDescent="0.35">
      <c r="B6180" s="60" t="s">
        <v>18427</v>
      </c>
      <c r="C6180" s="60" t="s">
        <v>18428</v>
      </c>
      <c r="D6180" s="60" t="s">
        <v>18429</v>
      </c>
    </row>
    <row r="6181" spans="2:4" x14ac:dyDescent="0.35">
      <c r="B6181" s="60" t="s">
        <v>18430</v>
      </c>
      <c r="C6181" s="60" t="s">
        <v>18431</v>
      </c>
      <c r="D6181" s="60" t="s">
        <v>18432</v>
      </c>
    </row>
    <row r="6182" spans="2:4" x14ac:dyDescent="0.35">
      <c r="B6182" s="60" t="s">
        <v>18433</v>
      </c>
      <c r="C6182" s="60" t="s">
        <v>18434</v>
      </c>
      <c r="D6182" s="60" t="s">
        <v>18435</v>
      </c>
    </row>
    <row r="6183" spans="2:4" x14ac:dyDescent="0.35">
      <c r="B6183" s="60" t="s">
        <v>18436</v>
      </c>
      <c r="C6183" s="60" t="s">
        <v>18437</v>
      </c>
      <c r="D6183" s="60" t="s">
        <v>18438</v>
      </c>
    </row>
    <row r="6184" spans="2:4" x14ac:dyDescent="0.35">
      <c r="B6184" s="60" t="s">
        <v>18439</v>
      </c>
      <c r="C6184" s="60" t="s">
        <v>18440</v>
      </c>
      <c r="D6184" s="60" t="s">
        <v>18441</v>
      </c>
    </row>
    <row r="6185" spans="2:4" x14ac:dyDescent="0.35">
      <c r="B6185" s="60" t="s">
        <v>18442</v>
      </c>
      <c r="C6185" s="60" t="s">
        <v>18443</v>
      </c>
      <c r="D6185" s="60" t="s">
        <v>18444</v>
      </c>
    </row>
    <row r="6186" spans="2:4" x14ac:dyDescent="0.35">
      <c r="B6186" s="60" t="s">
        <v>18445</v>
      </c>
      <c r="C6186" s="60" t="s">
        <v>18446</v>
      </c>
      <c r="D6186" s="60" t="s">
        <v>18447</v>
      </c>
    </row>
    <row r="6187" spans="2:4" x14ac:dyDescent="0.35">
      <c r="B6187" s="60" t="s">
        <v>18448</v>
      </c>
      <c r="C6187" s="60" t="s">
        <v>18449</v>
      </c>
      <c r="D6187" s="60" t="s">
        <v>18450</v>
      </c>
    </row>
    <row r="6188" spans="2:4" x14ac:dyDescent="0.35">
      <c r="B6188" s="60" t="s">
        <v>18451</v>
      </c>
      <c r="C6188" s="60" t="s">
        <v>18452</v>
      </c>
      <c r="D6188" s="60" t="s">
        <v>18453</v>
      </c>
    </row>
    <row r="6189" spans="2:4" x14ac:dyDescent="0.35">
      <c r="B6189" s="60" t="s">
        <v>18454</v>
      </c>
      <c r="C6189" s="60" t="s">
        <v>14950</v>
      </c>
      <c r="D6189" s="60" t="s">
        <v>18455</v>
      </c>
    </row>
    <row r="6190" spans="2:4" x14ac:dyDescent="0.35">
      <c r="B6190" s="60" t="s">
        <v>18456</v>
      </c>
      <c r="C6190" s="60" t="s">
        <v>18457</v>
      </c>
      <c r="D6190" s="60" t="s">
        <v>18458</v>
      </c>
    </row>
    <row r="6191" spans="2:4" x14ac:dyDescent="0.35">
      <c r="B6191" s="60" t="s">
        <v>18459</v>
      </c>
      <c r="C6191" s="60" t="s">
        <v>18460</v>
      </c>
      <c r="D6191" s="60" t="s">
        <v>18461</v>
      </c>
    </row>
    <row r="6192" spans="2:4" x14ac:dyDescent="0.35">
      <c r="B6192" s="60" t="s">
        <v>18462</v>
      </c>
      <c r="C6192" s="60" t="s">
        <v>18463</v>
      </c>
      <c r="D6192" s="60" t="s">
        <v>18464</v>
      </c>
    </row>
    <row r="6193" spans="2:4" x14ac:dyDescent="0.35">
      <c r="B6193" s="60" t="s">
        <v>18465</v>
      </c>
      <c r="C6193" s="60" t="s">
        <v>18466</v>
      </c>
      <c r="D6193" s="60" t="s">
        <v>18467</v>
      </c>
    </row>
    <row r="6194" spans="2:4" x14ac:dyDescent="0.35">
      <c r="B6194" s="60" t="s">
        <v>18468</v>
      </c>
      <c r="C6194" s="60" t="s">
        <v>18469</v>
      </c>
      <c r="D6194" s="60" t="s">
        <v>18470</v>
      </c>
    </row>
    <row r="6195" spans="2:4" x14ac:dyDescent="0.35">
      <c r="B6195" s="60" t="s">
        <v>18471</v>
      </c>
      <c r="C6195" s="60" t="s">
        <v>18472</v>
      </c>
      <c r="D6195" s="60" t="s">
        <v>18473</v>
      </c>
    </row>
    <row r="6196" spans="2:4" x14ac:dyDescent="0.35">
      <c r="B6196" s="60" t="s">
        <v>18474</v>
      </c>
      <c r="C6196" s="60" t="s">
        <v>18475</v>
      </c>
      <c r="D6196" s="60" t="s">
        <v>18476</v>
      </c>
    </row>
    <row r="6197" spans="2:4" x14ac:dyDescent="0.35">
      <c r="B6197" s="60" t="s">
        <v>18477</v>
      </c>
      <c r="C6197" s="60" t="s">
        <v>18478</v>
      </c>
      <c r="D6197" s="60" t="s">
        <v>18479</v>
      </c>
    </row>
    <row r="6198" spans="2:4" x14ac:dyDescent="0.35">
      <c r="B6198" s="60" t="s">
        <v>18480</v>
      </c>
      <c r="C6198" s="60" t="s">
        <v>18481</v>
      </c>
      <c r="D6198" s="60" t="s">
        <v>18482</v>
      </c>
    </row>
    <row r="6199" spans="2:4" x14ac:dyDescent="0.35">
      <c r="B6199" s="60" t="s">
        <v>18483</v>
      </c>
      <c r="C6199" s="60" t="s">
        <v>18484</v>
      </c>
      <c r="D6199" s="60" t="s">
        <v>18485</v>
      </c>
    </row>
    <row r="6200" spans="2:4" x14ac:dyDescent="0.35">
      <c r="B6200" s="60" t="s">
        <v>18486</v>
      </c>
      <c r="C6200" s="60" t="s">
        <v>18487</v>
      </c>
      <c r="D6200" s="60" t="s">
        <v>18488</v>
      </c>
    </row>
    <row r="6201" spans="2:4" x14ac:dyDescent="0.35">
      <c r="B6201" s="60" t="s">
        <v>18489</v>
      </c>
      <c r="C6201" s="60" t="s">
        <v>18490</v>
      </c>
      <c r="D6201" s="60" t="s">
        <v>18491</v>
      </c>
    </row>
    <row r="6202" spans="2:4" x14ac:dyDescent="0.35">
      <c r="B6202" s="60" t="s">
        <v>18492</v>
      </c>
      <c r="C6202" s="60" t="s">
        <v>18493</v>
      </c>
      <c r="D6202" s="60" t="s">
        <v>18494</v>
      </c>
    </row>
    <row r="6203" spans="2:4" x14ac:dyDescent="0.35">
      <c r="B6203" s="60" t="s">
        <v>18495</v>
      </c>
      <c r="C6203" s="60" t="s">
        <v>18496</v>
      </c>
      <c r="D6203" s="60" t="s">
        <v>18497</v>
      </c>
    </row>
    <row r="6204" spans="2:4" x14ac:dyDescent="0.35">
      <c r="B6204" s="60" t="s">
        <v>18498</v>
      </c>
      <c r="C6204" s="60" t="s">
        <v>18499</v>
      </c>
      <c r="D6204" s="60" t="s">
        <v>18500</v>
      </c>
    </row>
    <row r="6205" spans="2:4" x14ac:dyDescent="0.35">
      <c r="B6205" s="60" t="s">
        <v>18501</v>
      </c>
      <c r="C6205" s="60" t="s">
        <v>18502</v>
      </c>
      <c r="D6205" s="60" t="s">
        <v>18503</v>
      </c>
    </row>
    <row r="6206" spans="2:4" x14ac:dyDescent="0.35">
      <c r="B6206" s="60" t="s">
        <v>18504</v>
      </c>
      <c r="C6206" s="60" t="s">
        <v>18505</v>
      </c>
      <c r="D6206" s="60" t="s">
        <v>9083</v>
      </c>
    </row>
    <row r="6207" spans="2:4" x14ac:dyDescent="0.35">
      <c r="B6207" s="60" t="s">
        <v>18506</v>
      </c>
      <c r="C6207" s="60" t="s">
        <v>18507</v>
      </c>
      <c r="D6207" s="60" t="s">
        <v>18508</v>
      </c>
    </row>
    <row r="6208" spans="2:4" x14ac:dyDescent="0.35">
      <c r="B6208" s="60" t="s">
        <v>18509</v>
      </c>
      <c r="C6208" s="60" t="s">
        <v>18510</v>
      </c>
      <c r="D6208" s="60" t="s">
        <v>18511</v>
      </c>
    </row>
    <row r="6209" spans="2:4" x14ac:dyDescent="0.35">
      <c r="B6209" s="60" t="s">
        <v>18512</v>
      </c>
      <c r="C6209" s="60" t="s">
        <v>18513</v>
      </c>
      <c r="D6209" s="60" t="s">
        <v>18514</v>
      </c>
    </row>
    <row r="6210" spans="2:4" x14ac:dyDescent="0.35">
      <c r="B6210" s="60" t="s">
        <v>18515</v>
      </c>
      <c r="C6210" s="60" t="s">
        <v>18516</v>
      </c>
      <c r="D6210" s="60" t="s">
        <v>18517</v>
      </c>
    </row>
    <row r="6211" spans="2:4" x14ac:dyDescent="0.35">
      <c r="B6211" s="60" t="s">
        <v>18518</v>
      </c>
      <c r="C6211" s="60" t="s">
        <v>18519</v>
      </c>
      <c r="D6211" s="60" t="s">
        <v>18520</v>
      </c>
    </row>
    <row r="6212" spans="2:4" x14ac:dyDescent="0.35">
      <c r="B6212" s="60" t="s">
        <v>18521</v>
      </c>
      <c r="C6212" s="60" t="s">
        <v>18522</v>
      </c>
      <c r="D6212" s="60" t="s">
        <v>18523</v>
      </c>
    </row>
    <row r="6213" spans="2:4" x14ac:dyDescent="0.35">
      <c r="B6213" s="60" t="s">
        <v>18524</v>
      </c>
      <c r="C6213" s="60" t="s">
        <v>18525</v>
      </c>
      <c r="D6213" s="60" t="s">
        <v>18526</v>
      </c>
    </row>
    <row r="6214" spans="2:4" x14ac:dyDescent="0.35">
      <c r="B6214" s="60" t="s">
        <v>18527</v>
      </c>
      <c r="C6214" s="60" t="s">
        <v>18528</v>
      </c>
      <c r="D6214" s="60" t="s">
        <v>18529</v>
      </c>
    </row>
    <row r="6215" spans="2:4" x14ac:dyDescent="0.35">
      <c r="B6215" s="60" t="s">
        <v>18530</v>
      </c>
      <c r="C6215" s="60" t="s">
        <v>18531</v>
      </c>
      <c r="D6215" s="60" t="s">
        <v>18532</v>
      </c>
    </row>
    <row r="6216" spans="2:4" x14ac:dyDescent="0.35">
      <c r="B6216" s="60" t="s">
        <v>18533</v>
      </c>
      <c r="C6216" s="60" t="s">
        <v>18534</v>
      </c>
      <c r="D6216" s="60" t="s">
        <v>18535</v>
      </c>
    </row>
    <row r="6217" spans="2:4" x14ac:dyDescent="0.35">
      <c r="B6217" s="60" t="s">
        <v>18536</v>
      </c>
      <c r="C6217" s="60" t="s">
        <v>18537</v>
      </c>
      <c r="D6217" s="60" t="s">
        <v>18538</v>
      </c>
    </row>
    <row r="6218" spans="2:4" x14ac:dyDescent="0.35">
      <c r="B6218" s="60" t="s">
        <v>18539</v>
      </c>
      <c r="C6218" s="60" t="s">
        <v>18540</v>
      </c>
      <c r="D6218" s="60" t="s">
        <v>18541</v>
      </c>
    </row>
    <row r="6219" spans="2:4" x14ac:dyDescent="0.35">
      <c r="B6219" s="60" t="s">
        <v>18542</v>
      </c>
      <c r="C6219" s="60" t="s">
        <v>18543</v>
      </c>
      <c r="D6219" s="60" t="s">
        <v>18544</v>
      </c>
    </row>
    <row r="6220" spans="2:4" x14ac:dyDescent="0.35">
      <c r="B6220" s="60" t="s">
        <v>18545</v>
      </c>
      <c r="C6220" s="60" t="s">
        <v>18546</v>
      </c>
      <c r="D6220" s="60" t="s">
        <v>18547</v>
      </c>
    </row>
    <row r="6221" spans="2:4" x14ac:dyDescent="0.35">
      <c r="B6221" s="60" t="s">
        <v>18548</v>
      </c>
      <c r="C6221" s="60" t="s">
        <v>18549</v>
      </c>
      <c r="D6221" s="60" t="s">
        <v>18550</v>
      </c>
    </row>
    <row r="6222" spans="2:4" x14ac:dyDescent="0.35">
      <c r="B6222" s="60" t="s">
        <v>18551</v>
      </c>
      <c r="C6222" s="60" t="s">
        <v>18552</v>
      </c>
      <c r="D6222" s="60" t="s">
        <v>18553</v>
      </c>
    </row>
    <row r="6223" spans="2:4" x14ac:dyDescent="0.35">
      <c r="B6223" s="60" t="s">
        <v>18551</v>
      </c>
      <c r="C6223" s="60" t="s">
        <v>18554</v>
      </c>
      <c r="D6223" s="60" t="s">
        <v>18555</v>
      </c>
    </row>
    <row r="6224" spans="2:4" x14ac:dyDescent="0.35">
      <c r="B6224" s="60" t="s">
        <v>18556</v>
      </c>
      <c r="C6224" s="60" t="s">
        <v>18557</v>
      </c>
      <c r="D6224" s="60" t="s">
        <v>18558</v>
      </c>
    </row>
    <row r="6225" spans="2:4" x14ac:dyDescent="0.35">
      <c r="B6225" s="60" t="s">
        <v>18559</v>
      </c>
      <c r="C6225" s="60" t="s">
        <v>18560</v>
      </c>
      <c r="D6225" s="60" t="s">
        <v>18561</v>
      </c>
    </row>
    <row r="6226" spans="2:4" x14ac:dyDescent="0.35">
      <c r="B6226" s="60" t="s">
        <v>18562</v>
      </c>
      <c r="C6226" s="60" t="s">
        <v>18563</v>
      </c>
      <c r="D6226" s="60" t="s">
        <v>18564</v>
      </c>
    </row>
    <row r="6227" spans="2:4" x14ac:dyDescent="0.35">
      <c r="B6227" s="60" t="s">
        <v>18565</v>
      </c>
      <c r="C6227" s="60" t="s">
        <v>18566</v>
      </c>
      <c r="D6227" s="60" t="s">
        <v>18567</v>
      </c>
    </row>
    <row r="6228" spans="2:4" x14ac:dyDescent="0.35">
      <c r="B6228" s="60" t="s">
        <v>18568</v>
      </c>
      <c r="C6228" s="60" t="s">
        <v>18569</v>
      </c>
      <c r="D6228" s="60" t="s">
        <v>18570</v>
      </c>
    </row>
    <row r="6229" spans="2:4" x14ac:dyDescent="0.35">
      <c r="B6229" s="60" t="s">
        <v>18571</v>
      </c>
      <c r="C6229" s="60" t="s">
        <v>18572</v>
      </c>
      <c r="D6229" s="60" t="s">
        <v>18573</v>
      </c>
    </row>
    <row r="6230" spans="2:4" x14ac:dyDescent="0.35">
      <c r="B6230" s="60" t="s">
        <v>18574</v>
      </c>
      <c r="C6230" s="60" t="s">
        <v>18575</v>
      </c>
      <c r="D6230" s="60" t="s">
        <v>18576</v>
      </c>
    </row>
    <row r="6231" spans="2:4" x14ac:dyDescent="0.35">
      <c r="B6231" s="60" t="s">
        <v>18577</v>
      </c>
      <c r="C6231" s="60" t="s">
        <v>18578</v>
      </c>
      <c r="D6231" s="60" t="s">
        <v>18579</v>
      </c>
    </row>
    <row r="6232" spans="2:4" x14ac:dyDescent="0.35">
      <c r="B6232" s="60" t="s">
        <v>18580</v>
      </c>
      <c r="C6232" s="60" t="s">
        <v>18581</v>
      </c>
      <c r="D6232" s="60" t="s">
        <v>18582</v>
      </c>
    </row>
    <row r="6233" spans="2:4" x14ac:dyDescent="0.35">
      <c r="B6233" s="60" t="s">
        <v>18583</v>
      </c>
      <c r="C6233" s="60" t="s">
        <v>18584</v>
      </c>
      <c r="D6233" s="60" t="s">
        <v>18585</v>
      </c>
    </row>
    <row r="6234" spans="2:4" x14ac:dyDescent="0.35">
      <c r="B6234" s="60" t="s">
        <v>18586</v>
      </c>
      <c r="C6234" s="60" t="s">
        <v>18587</v>
      </c>
      <c r="D6234" s="60" t="s">
        <v>18588</v>
      </c>
    </row>
    <row r="6235" spans="2:4" x14ac:dyDescent="0.35">
      <c r="B6235" s="60" t="s">
        <v>18589</v>
      </c>
      <c r="C6235" s="60" t="s">
        <v>18590</v>
      </c>
      <c r="D6235" s="60" t="s">
        <v>18591</v>
      </c>
    </row>
    <row r="6236" spans="2:4" x14ac:dyDescent="0.35">
      <c r="B6236" s="60" t="s">
        <v>18592</v>
      </c>
      <c r="C6236" s="60" t="s">
        <v>18593</v>
      </c>
      <c r="D6236" s="60" t="s">
        <v>18594</v>
      </c>
    </row>
    <row r="6237" spans="2:4" x14ac:dyDescent="0.35">
      <c r="B6237" s="60" t="s">
        <v>18595</v>
      </c>
      <c r="C6237" s="60" t="s">
        <v>18596</v>
      </c>
      <c r="D6237" s="60" t="s">
        <v>18597</v>
      </c>
    </row>
    <row r="6238" spans="2:4" x14ac:dyDescent="0.35">
      <c r="B6238" s="60" t="s">
        <v>18598</v>
      </c>
      <c r="C6238" s="60" t="s">
        <v>18599</v>
      </c>
      <c r="D6238" s="60" t="s">
        <v>18600</v>
      </c>
    </row>
    <row r="6239" spans="2:4" x14ac:dyDescent="0.35">
      <c r="B6239" s="60" t="s">
        <v>18601</v>
      </c>
      <c r="C6239" s="60" t="s">
        <v>18602</v>
      </c>
      <c r="D6239" s="60" t="s">
        <v>18603</v>
      </c>
    </row>
    <row r="6240" spans="2:4" x14ac:dyDescent="0.35">
      <c r="B6240" s="60" t="s">
        <v>18604</v>
      </c>
      <c r="C6240" s="60" t="s">
        <v>18605</v>
      </c>
      <c r="D6240" s="60" t="s">
        <v>18606</v>
      </c>
    </row>
    <row r="6241" spans="2:4" x14ac:dyDescent="0.35">
      <c r="B6241" s="60" t="s">
        <v>18607</v>
      </c>
      <c r="C6241" s="60" t="s">
        <v>18608</v>
      </c>
      <c r="D6241" s="60" t="s">
        <v>18609</v>
      </c>
    </row>
    <row r="6242" spans="2:4" x14ac:dyDescent="0.35">
      <c r="B6242" s="60" t="s">
        <v>18610</v>
      </c>
      <c r="C6242" s="60" t="s">
        <v>18611</v>
      </c>
      <c r="D6242" s="60" t="s">
        <v>18612</v>
      </c>
    </row>
    <row r="6243" spans="2:4" x14ac:dyDescent="0.35">
      <c r="B6243" s="60" t="s">
        <v>18613</v>
      </c>
      <c r="C6243" s="60" t="s">
        <v>18614</v>
      </c>
      <c r="D6243" s="60" t="s">
        <v>18615</v>
      </c>
    </row>
    <row r="6244" spans="2:4" x14ac:dyDescent="0.35">
      <c r="B6244" s="60" t="s">
        <v>18616</v>
      </c>
      <c r="C6244" s="60" t="s">
        <v>18617</v>
      </c>
      <c r="D6244" s="60" t="s">
        <v>18618</v>
      </c>
    </row>
    <row r="6245" spans="2:4" x14ac:dyDescent="0.35">
      <c r="B6245" s="60" t="s">
        <v>18619</v>
      </c>
      <c r="C6245" s="60" t="s">
        <v>18620</v>
      </c>
      <c r="D6245" s="60" t="s">
        <v>18621</v>
      </c>
    </row>
    <row r="6246" spans="2:4" x14ac:dyDescent="0.35">
      <c r="B6246" s="60" t="s">
        <v>18622</v>
      </c>
      <c r="C6246" s="60" t="s">
        <v>18623</v>
      </c>
      <c r="D6246" s="60" t="s">
        <v>18624</v>
      </c>
    </row>
    <row r="6247" spans="2:4" x14ac:dyDescent="0.35">
      <c r="B6247" s="60" t="s">
        <v>18625</v>
      </c>
      <c r="C6247" s="60" t="s">
        <v>18626</v>
      </c>
      <c r="D6247" s="60" t="s">
        <v>18627</v>
      </c>
    </row>
    <row r="6248" spans="2:4" x14ac:dyDescent="0.35">
      <c r="B6248" s="60" t="s">
        <v>18628</v>
      </c>
      <c r="C6248" s="60" t="s">
        <v>18629</v>
      </c>
      <c r="D6248" s="60" t="s">
        <v>18630</v>
      </c>
    </row>
    <row r="6249" spans="2:4" x14ac:dyDescent="0.35">
      <c r="B6249" s="60" t="s">
        <v>18631</v>
      </c>
      <c r="C6249" s="60" t="s">
        <v>18632</v>
      </c>
      <c r="D6249" s="60" t="s">
        <v>18633</v>
      </c>
    </row>
    <row r="6250" spans="2:4" x14ac:dyDescent="0.35">
      <c r="B6250" s="60" t="s">
        <v>18634</v>
      </c>
      <c r="C6250" s="60" t="s">
        <v>18635</v>
      </c>
      <c r="D6250" s="60" t="s">
        <v>18636</v>
      </c>
    </row>
    <row r="6251" spans="2:4" x14ac:dyDescent="0.35">
      <c r="B6251" s="60" t="s">
        <v>18637</v>
      </c>
      <c r="C6251" s="60" t="s">
        <v>18638</v>
      </c>
      <c r="D6251" s="60" t="s">
        <v>18639</v>
      </c>
    </row>
    <row r="6252" spans="2:4" x14ac:dyDescent="0.35">
      <c r="B6252" s="60" t="s">
        <v>18640</v>
      </c>
      <c r="C6252" s="60" t="s">
        <v>18641</v>
      </c>
      <c r="D6252" s="60" t="s">
        <v>18642</v>
      </c>
    </row>
    <row r="6253" spans="2:4" x14ac:dyDescent="0.35">
      <c r="B6253" s="60" t="s">
        <v>18643</v>
      </c>
      <c r="C6253" s="60" t="s">
        <v>18644</v>
      </c>
      <c r="D6253" s="60" t="s">
        <v>18645</v>
      </c>
    </row>
    <row r="6254" spans="2:4" x14ac:dyDescent="0.35">
      <c r="B6254" s="60" t="s">
        <v>18646</v>
      </c>
      <c r="C6254" s="60" t="s">
        <v>18647</v>
      </c>
      <c r="D6254" s="60" t="s">
        <v>18648</v>
      </c>
    </row>
    <row r="6255" spans="2:4" x14ac:dyDescent="0.35">
      <c r="B6255" s="60" t="s">
        <v>18649</v>
      </c>
      <c r="C6255" s="60" t="s">
        <v>18650</v>
      </c>
      <c r="D6255" s="60" t="s">
        <v>18651</v>
      </c>
    </row>
    <row r="6256" spans="2:4" x14ac:dyDescent="0.35">
      <c r="B6256" s="60" t="s">
        <v>18652</v>
      </c>
      <c r="C6256" s="60" t="s">
        <v>18653</v>
      </c>
      <c r="D6256" s="60" t="s">
        <v>18654</v>
      </c>
    </row>
    <row r="6257" spans="2:4" x14ac:dyDescent="0.35">
      <c r="B6257" s="60" t="s">
        <v>18655</v>
      </c>
      <c r="C6257" s="60" t="s">
        <v>18656</v>
      </c>
      <c r="D6257" s="60" t="s">
        <v>18657</v>
      </c>
    </row>
    <row r="6258" spans="2:4" x14ac:dyDescent="0.35">
      <c r="B6258" s="60" t="s">
        <v>18658</v>
      </c>
      <c r="C6258" s="60" t="s">
        <v>18659</v>
      </c>
      <c r="D6258" s="60" t="s">
        <v>18660</v>
      </c>
    </row>
    <row r="6259" spans="2:4" x14ac:dyDescent="0.35">
      <c r="B6259" s="60" t="s">
        <v>18661</v>
      </c>
      <c r="C6259" s="60" t="s">
        <v>18662</v>
      </c>
      <c r="D6259" s="60" t="s">
        <v>18663</v>
      </c>
    </row>
    <row r="6260" spans="2:4" x14ac:dyDescent="0.35">
      <c r="B6260" s="60" t="s">
        <v>18664</v>
      </c>
      <c r="C6260" s="60" t="s">
        <v>18665</v>
      </c>
      <c r="D6260" s="60" t="s">
        <v>18666</v>
      </c>
    </row>
    <row r="6261" spans="2:4" x14ac:dyDescent="0.35">
      <c r="B6261" s="60" t="s">
        <v>18667</v>
      </c>
      <c r="C6261" s="60" t="s">
        <v>18668</v>
      </c>
      <c r="D6261" s="60" t="s">
        <v>18669</v>
      </c>
    </row>
    <row r="6262" spans="2:4" x14ac:dyDescent="0.35">
      <c r="B6262" s="60" t="s">
        <v>18670</v>
      </c>
      <c r="C6262" s="60" t="s">
        <v>18671</v>
      </c>
      <c r="D6262" s="60" t="s">
        <v>18672</v>
      </c>
    </row>
    <row r="6263" spans="2:4" x14ac:dyDescent="0.35">
      <c r="B6263" s="60" t="s">
        <v>18673</v>
      </c>
      <c r="C6263" s="60" t="s">
        <v>18674</v>
      </c>
      <c r="D6263" s="60" t="s">
        <v>18675</v>
      </c>
    </row>
    <row r="6264" spans="2:4" x14ac:dyDescent="0.35">
      <c r="B6264" s="60" t="s">
        <v>18676</v>
      </c>
      <c r="C6264" s="60" t="s">
        <v>18677</v>
      </c>
      <c r="D6264" s="60" t="s">
        <v>18678</v>
      </c>
    </row>
    <row r="6265" spans="2:4" x14ac:dyDescent="0.35">
      <c r="B6265" s="60" t="s">
        <v>18679</v>
      </c>
      <c r="C6265" s="60" t="s">
        <v>18680</v>
      </c>
      <c r="D6265" s="60" t="s">
        <v>18681</v>
      </c>
    </row>
    <row r="6266" spans="2:4" x14ac:dyDescent="0.35">
      <c r="B6266" s="60" t="s">
        <v>18682</v>
      </c>
      <c r="C6266" s="60" t="s">
        <v>18683</v>
      </c>
      <c r="D6266" s="60" t="s">
        <v>18684</v>
      </c>
    </row>
    <row r="6267" spans="2:4" x14ac:dyDescent="0.35">
      <c r="B6267" s="60" t="s">
        <v>18685</v>
      </c>
      <c r="C6267" s="60" t="s">
        <v>18686</v>
      </c>
      <c r="D6267" s="60" t="s">
        <v>18687</v>
      </c>
    </row>
    <row r="6268" spans="2:4" x14ac:dyDescent="0.35">
      <c r="B6268" s="60" t="s">
        <v>18688</v>
      </c>
      <c r="C6268" s="60" t="s">
        <v>18689</v>
      </c>
      <c r="D6268" s="60" t="s">
        <v>18690</v>
      </c>
    </row>
    <row r="6269" spans="2:4" x14ac:dyDescent="0.35">
      <c r="B6269" s="60" t="s">
        <v>18691</v>
      </c>
      <c r="C6269" s="60" t="s">
        <v>18692</v>
      </c>
      <c r="D6269" s="60" t="s">
        <v>18693</v>
      </c>
    </row>
    <row r="6270" spans="2:4" x14ac:dyDescent="0.35">
      <c r="B6270" s="60" t="s">
        <v>18694</v>
      </c>
      <c r="C6270" s="60" t="s">
        <v>18695</v>
      </c>
      <c r="D6270" s="60" t="s">
        <v>18696</v>
      </c>
    </row>
    <row r="6271" spans="2:4" x14ac:dyDescent="0.35">
      <c r="B6271" s="60" t="s">
        <v>18697</v>
      </c>
      <c r="C6271" s="60" t="s">
        <v>18698</v>
      </c>
      <c r="D6271" s="60" t="s">
        <v>18699</v>
      </c>
    </row>
    <row r="6272" spans="2:4" x14ac:dyDescent="0.35">
      <c r="B6272" s="60" t="s">
        <v>18700</v>
      </c>
      <c r="C6272" s="60" t="s">
        <v>18701</v>
      </c>
      <c r="D6272" s="60" t="s">
        <v>18702</v>
      </c>
    </row>
    <row r="6273" spans="2:4" x14ac:dyDescent="0.35">
      <c r="B6273" s="60" t="s">
        <v>18703</v>
      </c>
      <c r="C6273" s="60" t="s">
        <v>18704</v>
      </c>
      <c r="D6273" s="60" t="s">
        <v>18705</v>
      </c>
    </row>
    <row r="6274" spans="2:4" x14ac:dyDescent="0.35">
      <c r="B6274" s="60" t="s">
        <v>18706</v>
      </c>
      <c r="C6274" s="60" t="s">
        <v>18707</v>
      </c>
      <c r="D6274" s="60" t="s">
        <v>18708</v>
      </c>
    </row>
    <row r="6275" spans="2:4" x14ac:dyDescent="0.35">
      <c r="B6275" s="60" t="s">
        <v>18709</v>
      </c>
      <c r="C6275" s="60" t="s">
        <v>18710</v>
      </c>
      <c r="D6275" s="60" t="s">
        <v>18711</v>
      </c>
    </row>
    <row r="6276" spans="2:4" x14ac:dyDescent="0.35">
      <c r="B6276" s="60" t="s">
        <v>18712</v>
      </c>
      <c r="C6276" s="60" t="s">
        <v>18713</v>
      </c>
      <c r="D6276" s="60" t="s">
        <v>18714</v>
      </c>
    </row>
    <row r="6277" spans="2:4" x14ac:dyDescent="0.35">
      <c r="B6277" s="60" t="s">
        <v>18715</v>
      </c>
      <c r="C6277" s="60" t="s">
        <v>18716</v>
      </c>
      <c r="D6277" s="60" t="s">
        <v>18717</v>
      </c>
    </row>
    <row r="6278" spans="2:4" x14ac:dyDescent="0.35">
      <c r="B6278" s="60" t="s">
        <v>18718</v>
      </c>
      <c r="C6278" s="60" t="s">
        <v>18719</v>
      </c>
      <c r="D6278" s="60" t="s">
        <v>18720</v>
      </c>
    </row>
    <row r="6279" spans="2:4" x14ac:dyDescent="0.35">
      <c r="B6279" s="60" t="s">
        <v>18721</v>
      </c>
      <c r="C6279" s="60" t="s">
        <v>18722</v>
      </c>
      <c r="D6279" s="60" t="s">
        <v>18723</v>
      </c>
    </row>
    <row r="6280" spans="2:4" x14ac:dyDescent="0.35">
      <c r="B6280" s="60" t="s">
        <v>18724</v>
      </c>
      <c r="C6280" s="60" t="s">
        <v>18725</v>
      </c>
      <c r="D6280" s="60" t="s">
        <v>18726</v>
      </c>
    </row>
    <row r="6281" spans="2:4" x14ac:dyDescent="0.35">
      <c r="B6281" s="60" t="s">
        <v>18727</v>
      </c>
      <c r="C6281" s="60" t="s">
        <v>18728</v>
      </c>
      <c r="D6281" s="60" t="s">
        <v>18729</v>
      </c>
    </row>
    <row r="6282" spans="2:4" x14ac:dyDescent="0.35">
      <c r="B6282" s="60" t="s">
        <v>18730</v>
      </c>
      <c r="C6282" s="60" t="s">
        <v>18731</v>
      </c>
      <c r="D6282" s="60" t="s">
        <v>18732</v>
      </c>
    </row>
    <row r="6283" spans="2:4" x14ac:dyDescent="0.35">
      <c r="B6283" s="60" t="s">
        <v>18733</v>
      </c>
      <c r="C6283" s="60" t="s">
        <v>18734</v>
      </c>
      <c r="D6283" s="60" t="s">
        <v>18735</v>
      </c>
    </row>
    <row r="6284" spans="2:4" x14ac:dyDescent="0.35">
      <c r="B6284" s="60" t="s">
        <v>18736</v>
      </c>
      <c r="C6284" s="60" t="s">
        <v>18737</v>
      </c>
      <c r="D6284" s="60" t="s">
        <v>18738</v>
      </c>
    </row>
    <row r="6285" spans="2:4" x14ac:dyDescent="0.35">
      <c r="B6285" s="60" t="s">
        <v>18736</v>
      </c>
      <c r="C6285" s="60" t="s">
        <v>18739</v>
      </c>
      <c r="D6285" s="60" t="s">
        <v>18740</v>
      </c>
    </row>
    <row r="6286" spans="2:4" x14ac:dyDescent="0.35">
      <c r="B6286" s="60" t="s">
        <v>18741</v>
      </c>
      <c r="C6286" s="60" t="s">
        <v>18742</v>
      </c>
      <c r="D6286" s="60" t="s">
        <v>18743</v>
      </c>
    </row>
    <row r="6287" spans="2:4" x14ac:dyDescent="0.35">
      <c r="B6287" s="60" t="s">
        <v>18744</v>
      </c>
      <c r="C6287" s="60" t="s">
        <v>18745</v>
      </c>
      <c r="D6287" s="60" t="s">
        <v>18746</v>
      </c>
    </row>
    <row r="6288" spans="2:4" x14ac:dyDescent="0.35">
      <c r="B6288" s="60" t="s">
        <v>18747</v>
      </c>
      <c r="C6288" s="60" t="s">
        <v>18748</v>
      </c>
      <c r="D6288" s="60" t="s">
        <v>18749</v>
      </c>
    </row>
    <row r="6289" spans="2:4" x14ac:dyDescent="0.35">
      <c r="B6289" s="60" t="s">
        <v>18750</v>
      </c>
      <c r="C6289" s="60" t="s">
        <v>18751</v>
      </c>
      <c r="D6289" s="60" t="s">
        <v>18752</v>
      </c>
    </row>
    <row r="6290" spans="2:4" x14ac:dyDescent="0.35">
      <c r="B6290" s="60" t="s">
        <v>18753</v>
      </c>
      <c r="C6290" s="60" t="s">
        <v>18754</v>
      </c>
      <c r="D6290" s="60" t="s">
        <v>18755</v>
      </c>
    </row>
    <row r="6291" spans="2:4" x14ac:dyDescent="0.35">
      <c r="B6291" s="60" t="s">
        <v>18756</v>
      </c>
      <c r="C6291" s="60" t="s">
        <v>18757</v>
      </c>
      <c r="D6291" s="60" t="s">
        <v>18758</v>
      </c>
    </row>
    <row r="6292" spans="2:4" x14ac:dyDescent="0.35">
      <c r="B6292" s="60" t="s">
        <v>18759</v>
      </c>
      <c r="C6292" s="60" t="s">
        <v>18760</v>
      </c>
      <c r="D6292" s="60" t="s">
        <v>18761</v>
      </c>
    </row>
    <row r="6293" spans="2:4" x14ac:dyDescent="0.35">
      <c r="B6293" s="60" t="s">
        <v>18762</v>
      </c>
      <c r="C6293" s="60" t="s">
        <v>18763</v>
      </c>
      <c r="D6293" s="60" t="s">
        <v>18764</v>
      </c>
    </row>
    <row r="6294" spans="2:4" x14ac:dyDescent="0.35">
      <c r="B6294" s="60" t="s">
        <v>18765</v>
      </c>
      <c r="C6294" s="60" t="s">
        <v>18766</v>
      </c>
      <c r="D6294" s="60" t="s">
        <v>18767</v>
      </c>
    </row>
    <row r="6295" spans="2:4" x14ac:dyDescent="0.35">
      <c r="B6295" s="60" t="s">
        <v>18768</v>
      </c>
      <c r="C6295" s="60" t="s">
        <v>18769</v>
      </c>
      <c r="D6295" s="60" t="s">
        <v>18770</v>
      </c>
    </row>
    <row r="6296" spans="2:4" x14ac:dyDescent="0.35">
      <c r="B6296" s="60" t="s">
        <v>18771</v>
      </c>
      <c r="C6296" s="60" t="s">
        <v>18772</v>
      </c>
      <c r="D6296" s="60" t="s">
        <v>18773</v>
      </c>
    </row>
    <row r="6297" spans="2:4" x14ac:dyDescent="0.35">
      <c r="B6297" s="60" t="s">
        <v>18774</v>
      </c>
      <c r="C6297" s="60" t="s">
        <v>18775</v>
      </c>
      <c r="D6297" s="60" t="s">
        <v>18776</v>
      </c>
    </row>
    <row r="6298" spans="2:4" x14ac:dyDescent="0.35">
      <c r="B6298" s="60" t="s">
        <v>18777</v>
      </c>
      <c r="C6298" s="60" t="s">
        <v>18778</v>
      </c>
      <c r="D6298" s="60" t="s">
        <v>18779</v>
      </c>
    </row>
    <row r="6299" spans="2:4" x14ac:dyDescent="0.35">
      <c r="B6299" s="60" t="s">
        <v>18780</v>
      </c>
      <c r="C6299" s="60" t="s">
        <v>18781</v>
      </c>
      <c r="D6299" s="60" t="s">
        <v>18782</v>
      </c>
    </row>
    <row r="6300" spans="2:4" x14ac:dyDescent="0.35">
      <c r="B6300" s="60" t="s">
        <v>18783</v>
      </c>
      <c r="C6300" s="60" t="s">
        <v>18784</v>
      </c>
      <c r="D6300" s="60" t="s">
        <v>18785</v>
      </c>
    </row>
    <row r="6301" spans="2:4" x14ac:dyDescent="0.35">
      <c r="B6301" s="60" t="s">
        <v>18786</v>
      </c>
      <c r="C6301" s="60" t="s">
        <v>18787</v>
      </c>
      <c r="D6301" s="60" t="s">
        <v>18788</v>
      </c>
    </row>
    <row r="6302" spans="2:4" x14ac:dyDescent="0.35">
      <c r="B6302" s="60" t="s">
        <v>18789</v>
      </c>
      <c r="C6302" s="60" t="s">
        <v>18790</v>
      </c>
      <c r="D6302" s="60" t="s">
        <v>18791</v>
      </c>
    </row>
    <row r="6303" spans="2:4" x14ac:dyDescent="0.35">
      <c r="B6303" s="60" t="s">
        <v>18792</v>
      </c>
      <c r="C6303" s="60" t="s">
        <v>18793</v>
      </c>
      <c r="D6303" s="60" t="s">
        <v>18794</v>
      </c>
    </row>
    <row r="6304" spans="2:4" x14ac:dyDescent="0.35">
      <c r="B6304" s="60" t="s">
        <v>18795</v>
      </c>
      <c r="C6304" s="60" t="s">
        <v>18796</v>
      </c>
      <c r="D6304" s="60" t="s">
        <v>18797</v>
      </c>
    </row>
    <row r="6305" spans="2:4" x14ac:dyDescent="0.35">
      <c r="B6305" s="60" t="s">
        <v>18798</v>
      </c>
      <c r="C6305" s="60" t="s">
        <v>18799</v>
      </c>
      <c r="D6305" s="60" t="s">
        <v>18800</v>
      </c>
    </row>
    <row r="6306" spans="2:4" x14ac:dyDescent="0.35">
      <c r="B6306" s="60" t="s">
        <v>18801</v>
      </c>
      <c r="C6306" s="60" t="s">
        <v>18802</v>
      </c>
      <c r="D6306" s="60" t="s">
        <v>18803</v>
      </c>
    </row>
    <row r="6307" spans="2:4" x14ac:dyDescent="0.35">
      <c r="B6307" s="60" t="s">
        <v>18804</v>
      </c>
      <c r="C6307" s="60" t="s">
        <v>18805</v>
      </c>
      <c r="D6307" s="60" t="s">
        <v>18806</v>
      </c>
    </row>
    <row r="6308" spans="2:4" x14ac:dyDescent="0.35">
      <c r="B6308" s="60" t="s">
        <v>18807</v>
      </c>
      <c r="C6308" s="60" t="s">
        <v>18808</v>
      </c>
      <c r="D6308" s="60" t="s">
        <v>18809</v>
      </c>
    </row>
    <row r="6309" spans="2:4" x14ac:dyDescent="0.35">
      <c r="B6309" s="60" t="s">
        <v>18810</v>
      </c>
      <c r="C6309" s="60" t="s">
        <v>18811</v>
      </c>
      <c r="D6309" s="60" t="s">
        <v>18812</v>
      </c>
    </row>
    <row r="6310" spans="2:4" x14ac:dyDescent="0.35">
      <c r="B6310" s="60" t="s">
        <v>18813</v>
      </c>
      <c r="C6310" s="60" t="s">
        <v>18814</v>
      </c>
      <c r="D6310" s="60" t="s">
        <v>18815</v>
      </c>
    </row>
    <row r="6311" spans="2:4" x14ac:dyDescent="0.35">
      <c r="B6311" s="60" t="s">
        <v>18816</v>
      </c>
      <c r="C6311" s="60" t="s">
        <v>18817</v>
      </c>
      <c r="D6311" s="60" t="s">
        <v>18818</v>
      </c>
    </row>
    <row r="6312" spans="2:4" x14ac:dyDescent="0.35">
      <c r="B6312" s="60" t="s">
        <v>18819</v>
      </c>
      <c r="C6312" s="60" t="s">
        <v>18820</v>
      </c>
      <c r="D6312" s="60" t="s">
        <v>18821</v>
      </c>
    </row>
    <row r="6313" spans="2:4" x14ac:dyDescent="0.35">
      <c r="B6313" s="60" t="s">
        <v>18822</v>
      </c>
      <c r="C6313" s="60" t="s">
        <v>18823</v>
      </c>
      <c r="D6313" s="60" t="s">
        <v>18824</v>
      </c>
    </row>
    <row r="6314" spans="2:4" x14ac:dyDescent="0.35">
      <c r="B6314" s="60" t="s">
        <v>18825</v>
      </c>
      <c r="C6314" s="60" t="s">
        <v>18826</v>
      </c>
      <c r="D6314" s="60" t="s">
        <v>18827</v>
      </c>
    </row>
    <row r="6315" spans="2:4" x14ac:dyDescent="0.35">
      <c r="B6315" s="60" t="s">
        <v>18828</v>
      </c>
      <c r="C6315" s="60" t="s">
        <v>18829</v>
      </c>
      <c r="D6315" s="60" t="s">
        <v>18830</v>
      </c>
    </row>
    <row r="6316" spans="2:4" x14ac:dyDescent="0.35">
      <c r="B6316" s="60" t="s">
        <v>18831</v>
      </c>
      <c r="C6316" s="60" t="s">
        <v>18832</v>
      </c>
      <c r="D6316" s="60" t="s">
        <v>18833</v>
      </c>
    </row>
    <row r="6317" spans="2:4" x14ac:dyDescent="0.35">
      <c r="B6317" s="60" t="s">
        <v>18834</v>
      </c>
      <c r="C6317" s="60" t="s">
        <v>18835</v>
      </c>
      <c r="D6317" s="60" t="s">
        <v>18836</v>
      </c>
    </row>
    <row r="6318" spans="2:4" x14ac:dyDescent="0.35">
      <c r="B6318" s="60" t="s">
        <v>18837</v>
      </c>
      <c r="C6318" s="60" t="s">
        <v>18838</v>
      </c>
      <c r="D6318" s="60" t="s">
        <v>18839</v>
      </c>
    </row>
    <row r="6319" spans="2:4" x14ac:dyDescent="0.35">
      <c r="B6319" s="60" t="s">
        <v>18837</v>
      </c>
      <c r="C6319" s="60" t="s">
        <v>18840</v>
      </c>
      <c r="D6319" s="60" t="s">
        <v>18841</v>
      </c>
    </row>
    <row r="6320" spans="2:4" x14ac:dyDescent="0.35">
      <c r="B6320" s="60" t="s">
        <v>18842</v>
      </c>
      <c r="C6320" s="60" t="s">
        <v>18843</v>
      </c>
      <c r="D6320" s="60" t="s">
        <v>18844</v>
      </c>
    </row>
    <row r="6321" spans="2:4" x14ac:dyDescent="0.35">
      <c r="B6321" s="60" t="s">
        <v>18845</v>
      </c>
      <c r="C6321" s="60" t="s">
        <v>18846</v>
      </c>
      <c r="D6321" s="60" t="s">
        <v>18847</v>
      </c>
    </row>
    <row r="6322" spans="2:4" x14ac:dyDescent="0.35">
      <c r="B6322" s="60" t="s">
        <v>18848</v>
      </c>
      <c r="C6322" s="60" t="s">
        <v>18849</v>
      </c>
      <c r="D6322" s="60" t="s">
        <v>18850</v>
      </c>
    </row>
    <row r="6323" spans="2:4" x14ac:dyDescent="0.35">
      <c r="B6323" s="60" t="s">
        <v>18851</v>
      </c>
      <c r="C6323" s="60" t="s">
        <v>18852</v>
      </c>
      <c r="D6323" s="60" t="s">
        <v>18853</v>
      </c>
    </row>
    <row r="6324" spans="2:4" x14ac:dyDescent="0.35">
      <c r="B6324" s="60" t="s">
        <v>18851</v>
      </c>
      <c r="C6324" s="60" t="s">
        <v>18854</v>
      </c>
      <c r="D6324" s="60" t="s">
        <v>18855</v>
      </c>
    </row>
    <row r="6325" spans="2:4" x14ac:dyDescent="0.35">
      <c r="B6325" s="60" t="s">
        <v>18856</v>
      </c>
      <c r="C6325" s="60" t="s">
        <v>18857</v>
      </c>
      <c r="D6325" s="60" t="s">
        <v>18858</v>
      </c>
    </row>
    <row r="6326" spans="2:4" x14ac:dyDescent="0.35">
      <c r="B6326" s="60" t="s">
        <v>18859</v>
      </c>
      <c r="C6326" s="60" t="s">
        <v>18860</v>
      </c>
      <c r="D6326" s="60" t="s">
        <v>18861</v>
      </c>
    </row>
    <row r="6327" spans="2:4" x14ac:dyDescent="0.35">
      <c r="B6327" s="60" t="s">
        <v>18862</v>
      </c>
      <c r="C6327" s="60" t="s">
        <v>18863</v>
      </c>
      <c r="D6327" s="60" t="s">
        <v>18864</v>
      </c>
    </row>
    <row r="6328" spans="2:4" x14ac:dyDescent="0.35">
      <c r="B6328" s="60" t="s">
        <v>18865</v>
      </c>
      <c r="C6328" s="60" t="s">
        <v>18866</v>
      </c>
      <c r="D6328" s="60" t="s">
        <v>18867</v>
      </c>
    </row>
    <row r="6329" spans="2:4" x14ac:dyDescent="0.35">
      <c r="B6329" s="60" t="s">
        <v>18868</v>
      </c>
      <c r="C6329" s="60" t="s">
        <v>18869</v>
      </c>
      <c r="D6329" s="60" t="s">
        <v>18870</v>
      </c>
    </row>
    <row r="6330" spans="2:4" x14ac:dyDescent="0.35">
      <c r="B6330" s="60" t="s">
        <v>18871</v>
      </c>
      <c r="C6330" s="60" t="s">
        <v>18872</v>
      </c>
      <c r="D6330" s="60" t="s">
        <v>18873</v>
      </c>
    </row>
    <row r="6331" spans="2:4" x14ac:dyDescent="0.35">
      <c r="B6331" s="60" t="s">
        <v>18874</v>
      </c>
      <c r="C6331" s="60" t="s">
        <v>18875</v>
      </c>
      <c r="D6331" s="60" t="s">
        <v>18876</v>
      </c>
    </row>
    <row r="6332" spans="2:4" x14ac:dyDescent="0.35">
      <c r="B6332" s="60" t="s">
        <v>18877</v>
      </c>
      <c r="C6332" s="60" t="s">
        <v>18878</v>
      </c>
      <c r="D6332" s="60" t="s">
        <v>18879</v>
      </c>
    </row>
    <row r="6333" spans="2:4" x14ac:dyDescent="0.35">
      <c r="B6333" s="60" t="s">
        <v>18880</v>
      </c>
      <c r="C6333" s="60" t="s">
        <v>18881</v>
      </c>
      <c r="D6333" s="60" t="s">
        <v>18882</v>
      </c>
    </row>
    <row r="6334" spans="2:4" x14ac:dyDescent="0.35">
      <c r="B6334" s="60" t="s">
        <v>18883</v>
      </c>
      <c r="C6334" s="60" t="s">
        <v>18884</v>
      </c>
      <c r="D6334" s="60" t="s">
        <v>18885</v>
      </c>
    </row>
    <row r="6335" spans="2:4" x14ac:dyDescent="0.35">
      <c r="B6335" s="60" t="s">
        <v>18886</v>
      </c>
      <c r="C6335" s="60" t="s">
        <v>18887</v>
      </c>
      <c r="D6335" s="60" t="s">
        <v>18888</v>
      </c>
    </row>
    <row r="6336" spans="2:4" x14ac:dyDescent="0.35">
      <c r="B6336" s="60" t="s">
        <v>18889</v>
      </c>
      <c r="C6336" s="60" t="s">
        <v>18890</v>
      </c>
      <c r="D6336" s="60" t="s">
        <v>18891</v>
      </c>
    </row>
    <row r="6337" spans="2:4" x14ac:dyDescent="0.35">
      <c r="B6337" s="60" t="s">
        <v>18892</v>
      </c>
      <c r="C6337" s="60" t="s">
        <v>18893</v>
      </c>
      <c r="D6337" s="60" t="s">
        <v>18894</v>
      </c>
    </row>
    <row r="6338" spans="2:4" x14ac:dyDescent="0.35">
      <c r="B6338" s="60" t="s">
        <v>18892</v>
      </c>
      <c r="C6338" s="60" t="s">
        <v>18895</v>
      </c>
      <c r="D6338" s="60" t="s">
        <v>18896</v>
      </c>
    </row>
    <row r="6339" spans="2:4" x14ac:dyDescent="0.35">
      <c r="B6339" s="60" t="s">
        <v>18897</v>
      </c>
      <c r="C6339" s="60" t="s">
        <v>18898</v>
      </c>
      <c r="D6339" s="60" t="s">
        <v>18899</v>
      </c>
    </row>
    <row r="6340" spans="2:4" x14ac:dyDescent="0.35">
      <c r="B6340" s="60" t="s">
        <v>18900</v>
      </c>
      <c r="C6340" s="60" t="s">
        <v>18901</v>
      </c>
      <c r="D6340" s="60" t="s">
        <v>18902</v>
      </c>
    </row>
    <row r="6341" spans="2:4" x14ac:dyDescent="0.35">
      <c r="B6341" s="60" t="s">
        <v>18903</v>
      </c>
      <c r="C6341" s="60" t="s">
        <v>18904</v>
      </c>
      <c r="D6341" s="60" t="s">
        <v>18905</v>
      </c>
    </row>
    <row r="6342" spans="2:4" x14ac:dyDescent="0.35">
      <c r="B6342" s="60" t="s">
        <v>18906</v>
      </c>
      <c r="C6342" s="60" t="s">
        <v>18907</v>
      </c>
      <c r="D6342" s="60" t="s">
        <v>18908</v>
      </c>
    </row>
    <row r="6343" spans="2:4" x14ac:dyDescent="0.35">
      <c r="B6343" s="60" t="s">
        <v>18909</v>
      </c>
      <c r="C6343" s="60" t="s">
        <v>18910</v>
      </c>
      <c r="D6343" s="60" t="s">
        <v>18911</v>
      </c>
    </row>
    <row r="6344" spans="2:4" x14ac:dyDescent="0.35">
      <c r="B6344" s="60" t="s">
        <v>18912</v>
      </c>
      <c r="C6344" s="60" t="s">
        <v>18913</v>
      </c>
      <c r="D6344" s="60" t="s">
        <v>18914</v>
      </c>
    </row>
    <row r="6345" spans="2:4" x14ac:dyDescent="0.35">
      <c r="B6345" s="60" t="s">
        <v>18915</v>
      </c>
      <c r="C6345" s="60" t="s">
        <v>18916</v>
      </c>
      <c r="D6345" s="60" t="s">
        <v>18917</v>
      </c>
    </row>
    <row r="6346" spans="2:4" x14ac:dyDescent="0.35">
      <c r="B6346" s="60" t="s">
        <v>18918</v>
      </c>
      <c r="C6346" s="60" t="s">
        <v>18919</v>
      </c>
      <c r="D6346" s="60" t="s">
        <v>18920</v>
      </c>
    </row>
    <row r="6347" spans="2:4" x14ac:dyDescent="0.35">
      <c r="B6347" s="60" t="s">
        <v>18921</v>
      </c>
      <c r="C6347" s="60" t="s">
        <v>18922</v>
      </c>
      <c r="D6347" s="60" t="s">
        <v>18923</v>
      </c>
    </row>
    <row r="6348" spans="2:4" x14ac:dyDescent="0.35">
      <c r="B6348" s="60" t="s">
        <v>18924</v>
      </c>
      <c r="C6348" s="60" t="s">
        <v>18925</v>
      </c>
      <c r="D6348" s="60" t="s">
        <v>18926</v>
      </c>
    </row>
    <row r="6349" spans="2:4" x14ac:dyDescent="0.35">
      <c r="B6349" s="60" t="s">
        <v>18924</v>
      </c>
      <c r="C6349" s="60" t="s">
        <v>18927</v>
      </c>
      <c r="D6349" s="60" t="s">
        <v>18928</v>
      </c>
    </row>
    <row r="6350" spans="2:4" x14ac:dyDescent="0.35">
      <c r="B6350" s="60" t="s">
        <v>18929</v>
      </c>
      <c r="C6350" s="60" t="s">
        <v>18930</v>
      </c>
      <c r="D6350" s="60" t="s">
        <v>18931</v>
      </c>
    </row>
    <row r="6351" spans="2:4" x14ac:dyDescent="0.35">
      <c r="B6351" s="60" t="s">
        <v>18932</v>
      </c>
      <c r="C6351" s="60" t="s">
        <v>18933</v>
      </c>
      <c r="D6351" s="60" t="s">
        <v>18934</v>
      </c>
    </row>
    <row r="6352" spans="2:4" x14ac:dyDescent="0.35">
      <c r="B6352" s="60" t="s">
        <v>18935</v>
      </c>
      <c r="C6352" s="60" t="s">
        <v>18936</v>
      </c>
      <c r="D6352" s="60" t="s">
        <v>18937</v>
      </c>
    </row>
    <row r="6353" spans="2:4" x14ac:dyDescent="0.35">
      <c r="B6353" s="60" t="s">
        <v>18938</v>
      </c>
      <c r="C6353" s="60" t="s">
        <v>18939</v>
      </c>
      <c r="D6353" s="60" t="s">
        <v>18940</v>
      </c>
    </row>
    <row r="6354" spans="2:4" x14ac:dyDescent="0.35">
      <c r="B6354" s="60" t="s">
        <v>18941</v>
      </c>
      <c r="C6354" s="60" t="s">
        <v>18942</v>
      </c>
      <c r="D6354" s="60" t="s">
        <v>18943</v>
      </c>
    </row>
    <row r="6355" spans="2:4" x14ac:dyDescent="0.35">
      <c r="B6355" s="60" t="s">
        <v>18944</v>
      </c>
      <c r="C6355" s="60" t="s">
        <v>18945</v>
      </c>
      <c r="D6355" s="60" t="s">
        <v>18946</v>
      </c>
    </row>
    <row r="6356" spans="2:4" x14ac:dyDescent="0.35">
      <c r="B6356" s="60" t="s">
        <v>18947</v>
      </c>
      <c r="C6356" s="60" t="s">
        <v>18948</v>
      </c>
      <c r="D6356" s="60" t="s">
        <v>18949</v>
      </c>
    </row>
    <row r="6357" spans="2:4" x14ac:dyDescent="0.35">
      <c r="B6357" s="60" t="s">
        <v>18950</v>
      </c>
      <c r="C6357" s="60" t="s">
        <v>18951</v>
      </c>
      <c r="D6357" s="60" t="s">
        <v>18952</v>
      </c>
    </row>
    <row r="6358" spans="2:4" x14ac:dyDescent="0.35">
      <c r="B6358" s="60" t="s">
        <v>18953</v>
      </c>
      <c r="C6358" s="60" t="s">
        <v>18954</v>
      </c>
      <c r="D6358" s="60" t="s">
        <v>18955</v>
      </c>
    </row>
    <row r="6359" spans="2:4" x14ac:dyDescent="0.35">
      <c r="B6359" s="60" t="s">
        <v>18956</v>
      </c>
      <c r="C6359" s="60" t="s">
        <v>18957</v>
      </c>
      <c r="D6359" s="60" t="s">
        <v>18958</v>
      </c>
    </row>
    <row r="6360" spans="2:4" x14ac:dyDescent="0.35">
      <c r="B6360" s="60" t="s">
        <v>18959</v>
      </c>
      <c r="C6360" s="60" t="s">
        <v>18960</v>
      </c>
      <c r="D6360" s="60" t="s">
        <v>18961</v>
      </c>
    </row>
    <row r="6361" spans="2:4" x14ac:dyDescent="0.35">
      <c r="B6361" s="60" t="s">
        <v>18962</v>
      </c>
      <c r="C6361" s="60" t="s">
        <v>18963</v>
      </c>
      <c r="D6361" s="60" t="s">
        <v>18964</v>
      </c>
    </row>
    <row r="6362" spans="2:4" x14ac:dyDescent="0.35">
      <c r="B6362" s="60" t="s">
        <v>18965</v>
      </c>
      <c r="C6362" s="60" t="s">
        <v>18966</v>
      </c>
      <c r="D6362" s="60" t="s">
        <v>18967</v>
      </c>
    </row>
    <row r="6363" spans="2:4" x14ac:dyDescent="0.35">
      <c r="B6363" s="60" t="s">
        <v>18968</v>
      </c>
      <c r="C6363" s="60" t="s">
        <v>18969</v>
      </c>
      <c r="D6363" s="60" t="s">
        <v>18970</v>
      </c>
    </row>
    <row r="6364" spans="2:4" x14ac:dyDescent="0.35">
      <c r="B6364" s="60" t="s">
        <v>18968</v>
      </c>
      <c r="C6364" s="60" t="s">
        <v>18971</v>
      </c>
      <c r="D6364" s="60" t="s">
        <v>18972</v>
      </c>
    </row>
    <row r="6365" spans="2:4" x14ac:dyDescent="0.35">
      <c r="B6365" s="60" t="s">
        <v>18973</v>
      </c>
      <c r="C6365" s="60" t="s">
        <v>18974</v>
      </c>
      <c r="D6365" s="60" t="s">
        <v>18975</v>
      </c>
    </row>
    <row r="6366" spans="2:4" x14ac:dyDescent="0.35">
      <c r="B6366" s="60" t="s">
        <v>18976</v>
      </c>
      <c r="C6366" s="60" t="s">
        <v>18977</v>
      </c>
      <c r="D6366" s="60" t="s">
        <v>18978</v>
      </c>
    </row>
    <row r="6367" spans="2:4" x14ac:dyDescent="0.35">
      <c r="B6367" s="60" t="s">
        <v>18979</v>
      </c>
      <c r="C6367" s="60" t="s">
        <v>18980</v>
      </c>
      <c r="D6367" s="60" t="s">
        <v>18981</v>
      </c>
    </row>
    <row r="6368" spans="2:4" x14ac:dyDescent="0.35">
      <c r="B6368" s="60" t="s">
        <v>18982</v>
      </c>
      <c r="C6368" s="60" t="s">
        <v>18983</v>
      </c>
      <c r="D6368" s="60" t="s">
        <v>18984</v>
      </c>
    </row>
    <row r="6369" spans="2:4" x14ac:dyDescent="0.35">
      <c r="B6369" s="60" t="s">
        <v>18985</v>
      </c>
      <c r="C6369" s="60" t="s">
        <v>18986</v>
      </c>
      <c r="D6369" s="60" t="s">
        <v>18987</v>
      </c>
    </row>
    <row r="6370" spans="2:4" x14ac:dyDescent="0.35">
      <c r="B6370" s="60" t="s">
        <v>18988</v>
      </c>
      <c r="C6370" s="60" t="s">
        <v>18989</v>
      </c>
      <c r="D6370" s="60" t="s">
        <v>18990</v>
      </c>
    </row>
    <row r="6371" spans="2:4" x14ac:dyDescent="0.35">
      <c r="B6371" s="60" t="s">
        <v>18991</v>
      </c>
      <c r="C6371" s="60" t="s">
        <v>18992</v>
      </c>
      <c r="D6371" s="60" t="s">
        <v>18993</v>
      </c>
    </row>
    <row r="6372" spans="2:4" x14ac:dyDescent="0.35">
      <c r="B6372" s="60" t="s">
        <v>18994</v>
      </c>
      <c r="C6372" s="60" t="s">
        <v>18995</v>
      </c>
      <c r="D6372" s="60" t="s">
        <v>18996</v>
      </c>
    </row>
    <row r="6373" spans="2:4" x14ac:dyDescent="0.35">
      <c r="B6373" s="60" t="s">
        <v>18994</v>
      </c>
      <c r="C6373" s="60" t="s">
        <v>18997</v>
      </c>
      <c r="D6373" s="60" t="s">
        <v>18998</v>
      </c>
    </row>
    <row r="6374" spans="2:4" x14ac:dyDescent="0.35">
      <c r="B6374" s="60" t="s">
        <v>18999</v>
      </c>
      <c r="C6374" s="60" t="s">
        <v>19000</v>
      </c>
      <c r="D6374" s="60" t="s">
        <v>19001</v>
      </c>
    </row>
    <row r="6375" spans="2:4" x14ac:dyDescent="0.35">
      <c r="B6375" s="60" t="s">
        <v>19002</v>
      </c>
      <c r="C6375" s="60" t="s">
        <v>19003</v>
      </c>
      <c r="D6375" s="60" t="s">
        <v>19004</v>
      </c>
    </row>
    <row r="6376" spans="2:4" x14ac:dyDescent="0.35">
      <c r="B6376" s="60" t="s">
        <v>19005</v>
      </c>
      <c r="C6376" s="60" t="s">
        <v>19006</v>
      </c>
      <c r="D6376" s="60" t="s">
        <v>19007</v>
      </c>
    </row>
    <row r="6377" spans="2:4" x14ac:dyDescent="0.35">
      <c r="B6377" s="60" t="s">
        <v>19008</v>
      </c>
      <c r="C6377" s="60" t="s">
        <v>19009</v>
      </c>
      <c r="D6377" s="60" t="s">
        <v>19010</v>
      </c>
    </row>
    <row r="6378" spans="2:4" x14ac:dyDescent="0.35">
      <c r="B6378" s="60" t="s">
        <v>19011</v>
      </c>
      <c r="C6378" s="60" t="s">
        <v>19012</v>
      </c>
      <c r="D6378" s="60" t="s">
        <v>11225</v>
      </c>
    </row>
    <row r="6379" spans="2:4" x14ac:dyDescent="0.35">
      <c r="B6379" s="60" t="s">
        <v>19013</v>
      </c>
      <c r="C6379" s="60" t="s">
        <v>19014</v>
      </c>
      <c r="D6379" s="60" t="s">
        <v>19015</v>
      </c>
    </row>
    <row r="6380" spans="2:4" x14ac:dyDescent="0.35">
      <c r="B6380" s="60" t="s">
        <v>19016</v>
      </c>
      <c r="C6380" s="60" t="s">
        <v>19017</v>
      </c>
      <c r="D6380" s="60" t="s">
        <v>19018</v>
      </c>
    </row>
    <row r="6381" spans="2:4" x14ac:dyDescent="0.35">
      <c r="B6381" s="60" t="s">
        <v>19019</v>
      </c>
      <c r="C6381" s="60" t="s">
        <v>19020</v>
      </c>
      <c r="D6381" s="60" t="s">
        <v>19021</v>
      </c>
    </row>
    <row r="6382" spans="2:4" x14ac:dyDescent="0.35">
      <c r="B6382" s="60" t="s">
        <v>19022</v>
      </c>
      <c r="C6382" s="60" t="s">
        <v>19023</v>
      </c>
      <c r="D6382" s="60" t="s">
        <v>19024</v>
      </c>
    </row>
    <row r="6383" spans="2:4" x14ac:dyDescent="0.35">
      <c r="B6383" s="60" t="s">
        <v>19025</v>
      </c>
      <c r="C6383" s="60" t="s">
        <v>19026</v>
      </c>
      <c r="D6383" s="60" t="s">
        <v>19027</v>
      </c>
    </row>
    <row r="6384" spans="2:4" x14ac:dyDescent="0.35">
      <c r="B6384" s="60" t="s">
        <v>19028</v>
      </c>
      <c r="C6384" s="60" t="s">
        <v>19029</v>
      </c>
      <c r="D6384" s="60" t="s">
        <v>19030</v>
      </c>
    </row>
    <row r="6385" spans="2:4" x14ac:dyDescent="0.35">
      <c r="B6385" s="60" t="s">
        <v>19031</v>
      </c>
      <c r="C6385" s="60" t="s">
        <v>19032</v>
      </c>
      <c r="D6385" s="60" t="s">
        <v>19033</v>
      </c>
    </row>
    <row r="6386" spans="2:4" x14ac:dyDescent="0.35">
      <c r="B6386" s="60" t="s">
        <v>19034</v>
      </c>
      <c r="C6386" s="60" t="s">
        <v>19035</v>
      </c>
      <c r="D6386" s="60" t="s">
        <v>19036</v>
      </c>
    </row>
    <row r="6387" spans="2:4" x14ac:dyDescent="0.35">
      <c r="B6387" s="60" t="s">
        <v>19037</v>
      </c>
      <c r="C6387" s="60" t="s">
        <v>19038</v>
      </c>
      <c r="D6387" s="60" t="s">
        <v>19039</v>
      </c>
    </row>
    <row r="6388" spans="2:4" x14ac:dyDescent="0.35">
      <c r="B6388" s="60" t="s">
        <v>19040</v>
      </c>
      <c r="C6388" s="60" t="s">
        <v>19041</v>
      </c>
      <c r="D6388" s="60" t="s">
        <v>19042</v>
      </c>
    </row>
    <row r="6389" spans="2:4" x14ac:dyDescent="0.35">
      <c r="B6389" s="60" t="s">
        <v>19043</v>
      </c>
      <c r="C6389" s="60" t="s">
        <v>19044</v>
      </c>
      <c r="D6389" s="60" t="s">
        <v>19045</v>
      </c>
    </row>
    <row r="6390" spans="2:4" x14ac:dyDescent="0.35">
      <c r="B6390" s="60" t="s">
        <v>19046</v>
      </c>
      <c r="C6390" s="60" t="s">
        <v>19047</v>
      </c>
      <c r="D6390" s="60" t="s">
        <v>19048</v>
      </c>
    </row>
    <row r="6391" spans="2:4" x14ac:dyDescent="0.35">
      <c r="B6391" s="60" t="s">
        <v>19049</v>
      </c>
      <c r="C6391" s="60" t="s">
        <v>19050</v>
      </c>
      <c r="D6391" s="60" t="s">
        <v>19051</v>
      </c>
    </row>
    <row r="6392" spans="2:4" x14ac:dyDescent="0.35">
      <c r="B6392" s="60" t="s">
        <v>19052</v>
      </c>
      <c r="C6392" s="60" t="s">
        <v>19053</v>
      </c>
      <c r="D6392" s="60" t="s">
        <v>19054</v>
      </c>
    </row>
    <row r="6393" spans="2:4" x14ac:dyDescent="0.35">
      <c r="B6393" s="60" t="s">
        <v>19055</v>
      </c>
      <c r="C6393" s="60" t="s">
        <v>19056</v>
      </c>
      <c r="D6393" s="60" t="s">
        <v>19057</v>
      </c>
    </row>
    <row r="6394" spans="2:4" x14ac:dyDescent="0.35">
      <c r="B6394" s="60" t="s">
        <v>19058</v>
      </c>
      <c r="C6394" s="60" t="s">
        <v>19059</v>
      </c>
      <c r="D6394" s="60" t="s">
        <v>19060</v>
      </c>
    </row>
    <row r="6395" spans="2:4" x14ac:dyDescent="0.35">
      <c r="B6395" s="60" t="s">
        <v>19061</v>
      </c>
      <c r="C6395" s="60" t="s">
        <v>19062</v>
      </c>
      <c r="D6395" s="60" t="s">
        <v>19063</v>
      </c>
    </row>
    <row r="6396" spans="2:4" x14ac:dyDescent="0.35">
      <c r="B6396" s="60" t="s">
        <v>19064</v>
      </c>
      <c r="C6396" s="60" t="s">
        <v>19065</v>
      </c>
      <c r="D6396" s="60" t="s">
        <v>19066</v>
      </c>
    </row>
    <row r="6397" spans="2:4" x14ac:dyDescent="0.35">
      <c r="B6397" s="60" t="s">
        <v>19067</v>
      </c>
      <c r="C6397" s="60" t="s">
        <v>19068</v>
      </c>
      <c r="D6397" s="60" t="s">
        <v>19069</v>
      </c>
    </row>
    <row r="6398" spans="2:4" x14ac:dyDescent="0.35">
      <c r="B6398" s="60" t="s">
        <v>19070</v>
      </c>
      <c r="C6398" s="60" t="s">
        <v>19071</v>
      </c>
      <c r="D6398" s="60" t="s">
        <v>19072</v>
      </c>
    </row>
    <row r="6399" spans="2:4" x14ac:dyDescent="0.35">
      <c r="B6399" s="60" t="s">
        <v>19073</v>
      </c>
      <c r="C6399" s="60" t="s">
        <v>19074</v>
      </c>
      <c r="D6399" s="60" t="s">
        <v>19075</v>
      </c>
    </row>
    <row r="6400" spans="2:4" x14ac:dyDescent="0.35">
      <c r="B6400" s="60" t="s">
        <v>19076</v>
      </c>
      <c r="C6400" s="60" t="s">
        <v>19077</v>
      </c>
      <c r="D6400" s="60" t="s">
        <v>19078</v>
      </c>
    </row>
    <row r="6401" spans="2:4" x14ac:dyDescent="0.35">
      <c r="B6401" s="60" t="s">
        <v>19079</v>
      </c>
      <c r="C6401" s="60" t="s">
        <v>19080</v>
      </c>
      <c r="D6401" s="60" t="s">
        <v>19081</v>
      </c>
    </row>
    <row r="6402" spans="2:4" x14ac:dyDescent="0.35">
      <c r="B6402" s="60" t="s">
        <v>19082</v>
      </c>
      <c r="C6402" s="60" t="s">
        <v>19083</v>
      </c>
      <c r="D6402" s="60" t="s">
        <v>19084</v>
      </c>
    </row>
    <row r="6403" spans="2:4" x14ac:dyDescent="0.35">
      <c r="B6403" s="60" t="s">
        <v>19085</v>
      </c>
      <c r="C6403" s="60" t="s">
        <v>19086</v>
      </c>
      <c r="D6403" s="60" t="s">
        <v>19087</v>
      </c>
    </row>
    <row r="6404" spans="2:4" x14ac:dyDescent="0.35">
      <c r="B6404" s="60" t="s">
        <v>19088</v>
      </c>
      <c r="C6404" s="60" t="s">
        <v>19089</v>
      </c>
      <c r="D6404" s="60" t="s">
        <v>19090</v>
      </c>
    </row>
    <row r="6405" spans="2:4" x14ac:dyDescent="0.35">
      <c r="B6405" s="60" t="s">
        <v>19091</v>
      </c>
      <c r="C6405" s="60" t="s">
        <v>19092</v>
      </c>
      <c r="D6405" s="60" t="s">
        <v>19093</v>
      </c>
    </row>
    <row r="6406" spans="2:4" x14ac:dyDescent="0.35">
      <c r="B6406" s="60" t="s">
        <v>19094</v>
      </c>
      <c r="C6406" s="60" t="s">
        <v>19095</v>
      </c>
      <c r="D6406" s="60" t="s">
        <v>19096</v>
      </c>
    </row>
    <row r="6407" spans="2:4" x14ac:dyDescent="0.35">
      <c r="B6407" s="60" t="s">
        <v>19097</v>
      </c>
      <c r="C6407" s="60" t="s">
        <v>19098</v>
      </c>
      <c r="D6407" s="60" t="s">
        <v>19099</v>
      </c>
    </row>
    <row r="6408" spans="2:4" x14ac:dyDescent="0.35">
      <c r="B6408" s="60" t="s">
        <v>19100</v>
      </c>
      <c r="C6408" s="60" t="s">
        <v>19101</v>
      </c>
      <c r="D6408" s="60" t="s">
        <v>19102</v>
      </c>
    </row>
    <row r="6409" spans="2:4" x14ac:dyDescent="0.35">
      <c r="B6409" s="60" t="s">
        <v>19100</v>
      </c>
      <c r="C6409" s="60" t="s">
        <v>19103</v>
      </c>
      <c r="D6409" s="60" t="s">
        <v>19104</v>
      </c>
    </row>
    <row r="6410" spans="2:4" x14ac:dyDescent="0.35">
      <c r="B6410" s="60" t="s">
        <v>19105</v>
      </c>
      <c r="C6410" s="60" t="s">
        <v>19106</v>
      </c>
      <c r="D6410" s="60" t="s">
        <v>19107</v>
      </c>
    </row>
    <row r="6411" spans="2:4" x14ac:dyDescent="0.35">
      <c r="B6411" s="60" t="s">
        <v>19108</v>
      </c>
      <c r="C6411" s="60" t="s">
        <v>19109</v>
      </c>
      <c r="D6411" s="60" t="s">
        <v>19110</v>
      </c>
    </row>
    <row r="6412" spans="2:4" x14ac:dyDescent="0.35">
      <c r="B6412" s="60" t="s">
        <v>19111</v>
      </c>
      <c r="C6412" s="60" t="s">
        <v>19112</v>
      </c>
      <c r="D6412" s="60" t="s">
        <v>19113</v>
      </c>
    </row>
    <row r="6413" spans="2:4" x14ac:dyDescent="0.35">
      <c r="B6413" s="60" t="s">
        <v>19114</v>
      </c>
      <c r="C6413" s="60" t="s">
        <v>19115</v>
      </c>
      <c r="D6413" s="60" t="s">
        <v>19116</v>
      </c>
    </row>
    <row r="6414" spans="2:4" x14ac:dyDescent="0.35">
      <c r="B6414" s="60" t="s">
        <v>19117</v>
      </c>
      <c r="C6414" s="60" t="s">
        <v>19118</v>
      </c>
      <c r="D6414" s="60" t="s">
        <v>19119</v>
      </c>
    </row>
    <row r="6415" spans="2:4" x14ac:dyDescent="0.35">
      <c r="B6415" s="60" t="s">
        <v>19120</v>
      </c>
      <c r="C6415" s="60" t="s">
        <v>19121</v>
      </c>
      <c r="D6415" s="60" t="s">
        <v>19122</v>
      </c>
    </row>
    <row r="6416" spans="2:4" x14ac:dyDescent="0.35">
      <c r="B6416" s="60" t="s">
        <v>19123</v>
      </c>
      <c r="C6416" s="60" t="s">
        <v>19124</v>
      </c>
      <c r="D6416" s="60" t="s">
        <v>19125</v>
      </c>
    </row>
    <row r="6417" spans="2:4" x14ac:dyDescent="0.35">
      <c r="B6417" s="60" t="s">
        <v>19126</v>
      </c>
      <c r="C6417" s="60" t="s">
        <v>19127</v>
      </c>
      <c r="D6417" s="60" t="s">
        <v>19128</v>
      </c>
    </row>
    <row r="6418" spans="2:4" x14ac:dyDescent="0.35">
      <c r="B6418" s="60" t="s">
        <v>19129</v>
      </c>
      <c r="C6418" s="60" t="s">
        <v>19130</v>
      </c>
      <c r="D6418" s="60" t="s">
        <v>19131</v>
      </c>
    </row>
    <row r="6419" spans="2:4" x14ac:dyDescent="0.35">
      <c r="B6419" s="60" t="s">
        <v>19132</v>
      </c>
      <c r="C6419" s="60" t="s">
        <v>19133</v>
      </c>
      <c r="D6419" s="60" t="s">
        <v>19134</v>
      </c>
    </row>
    <row r="6420" spans="2:4" x14ac:dyDescent="0.35">
      <c r="B6420" s="60" t="s">
        <v>19135</v>
      </c>
      <c r="C6420" s="60" t="s">
        <v>19136</v>
      </c>
      <c r="D6420" s="60" t="s">
        <v>19137</v>
      </c>
    </row>
    <row r="6421" spans="2:4" x14ac:dyDescent="0.35">
      <c r="B6421" s="60" t="s">
        <v>19138</v>
      </c>
      <c r="C6421" s="60" t="s">
        <v>19139</v>
      </c>
      <c r="D6421" s="60" t="s">
        <v>19140</v>
      </c>
    </row>
    <row r="6422" spans="2:4" x14ac:dyDescent="0.35">
      <c r="B6422" s="60" t="s">
        <v>19141</v>
      </c>
      <c r="C6422" s="60" t="s">
        <v>19142</v>
      </c>
      <c r="D6422" s="60" t="s">
        <v>19143</v>
      </c>
    </row>
    <row r="6423" spans="2:4" x14ac:dyDescent="0.35">
      <c r="B6423" s="60" t="s">
        <v>19144</v>
      </c>
      <c r="C6423" s="60" t="s">
        <v>19145</v>
      </c>
      <c r="D6423" s="60" t="s">
        <v>19146</v>
      </c>
    </row>
    <row r="6424" spans="2:4" x14ac:dyDescent="0.35">
      <c r="B6424" s="60" t="s">
        <v>19147</v>
      </c>
      <c r="C6424" s="60" t="s">
        <v>19148</v>
      </c>
      <c r="D6424" s="60" t="s">
        <v>19149</v>
      </c>
    </row>
    <row r="6425" spans="2:4" x14ac:dyDescent="0.35">
      <c r="B6425" s="60" t="s">
        <v>19150</v>
      </c>
      <c r="C6425" s="60" t="s">
        <v>19151</v>
      </c>
      <c r="D6425" s="60" t="s">
        <v>19152</v>
      </c>
    </row>
    <row r="6426" spans="2:4" x14ac:dyDescent="0.35">
      <c r="B6426" s="60" t="s">
        <v>19153</v>
      </c>
      <c r="C6426" s="60" t="s">
        <v>19154</v>
      </c>
      <c r="D6426" s="60" t="s">
        <v>19155</v>
      </c>
    </row>
    <row r="6427" spans="2:4" x14ac:dyDescent="0.35">
      <c r="B6427" s="60" t="s">
        <v>19156</v>
      </c>
      <c r="C6427" s="60" t="s">
        <v>19157</v>
      </c>
      <c r="D6427" s="60" t="s">
        <v>19158</v>
      </c>
    </row>
    <row r="6428" spans="2:4" x14ac:dyDescent="0.35">
      <c r="B6428" s="60" t="s">
        <v>19156</v>
      </c>
      <c r="C6428" s="60" t="s">
        <v>19159</v>
      </c>
      <c r="D6428" s="60" t="s">
        <v>19160</v>
      </c>
    </row>
    <row r="6429" spans="2:4" x14ac:dyDescent="0.35">
      <c r="B6429" s="60" t="s">
        <v>19161</v>
      </c>
      <c r="C6429" s="60" t="s">
        <v>19162</v>
      </c>
      <c r="D6429" s="60" t="s">
        <v>19163</v>
      </c>
    </row>
    <row r="6430" spans="2:4" x14ac:dyDescent="0.35">
      <c r="B6430" s="60" t="s">
        <v>19164</v>
      </c>
      <c r="C6430" s="60" t="s">
        <v>19165</v>
      </c>
      <c r="D6430" s="60" t="s">
        <v>19166</v>
      </c>
    </row>
    <row r="6431" spans="2:4" x14ac:dyDescent="0.35">
      <c r="B6431" s="60" t="s">
        <v>19167</v>
      </c>
      <c r="C6431" s="60" t="s">
        <v>19168</v>
      </c>
      <c r="D6431" s="60" t="s">
        <v>19169</v>
      </c>
    </row>
    <row r="6432" spans="2:4" x14ac:dyDescent="0.35">
      <c r="B6432" s="60" t="s">
        <v>19170</v>
      </c>
      <c r="C6432" s="60" t="s">
        <v>19171</v>
      </c>
      <c r="D6432" s="60" t="s">
        <v>19172</v>
      </c>
    </row>
    <row r="6433" spans="2:4" x14ac:dyDescent="0.35">
      <c r="B6433" s="60" t="s">
        <v>19170</v>
      </c>
      <c r="C6433" s="60" t="s">
        <v>19173</v>
      </c>
      <c r="D6433" s="60" t="s">
        <v>19174</v>
      </c>
    </row>
    <row r="6434" spans="2:4" x14ac:dyDescent="0.35">
      <c r="B6434" s="60" t="s">
        <v>19175</v>
      </c>
      <c r="C6434" s="60" t="s">
        <v>19176</v>
      </c>
      <c r="D6434" s="60" t="s">
        <v>19177</v>
      </c>
    </row>
    <row r="6435" spans="2:4" x14ac:dyDescent="0.35">
      <c r="B6435" s="60" t="s">
        <v>19178</v>
      </c>
      <c r="C6435" s="60" t="s">
        <v>19179</v>
      </c>
      <c r="D6435" s="60" t="s">
        <v>19180</v>
      </c>
    </row>
    <row r="6436" spans="2:4" x14ac:dyDescent="0.35">
      <c r="B6436" s="60" t="s">
        <v>19178</v>
      </c>
      <c r="C6436" s="60" t="s">
        <v>19181</v>
      </c>
      <c r="D6436" s="60" t="s">
        <v>19182</v>
      </c>
    </row>
    <row r="6437" spans="2:4" x14ac:dyDescent="0.35">
      <c r="B6437" s="60" t="s">
        <v>19183</v>
      </c>
      <c r="C6437" s="60" t="s">
        <v>19184</v>
      </c>
      <c r="D6437" s="60" t="s">
        <v>19185</v>
      </c>
    </row>
    <row r="6438" spans="2:4" x14ac:dyDescent="0.35">
      <c r="B6438" s="60" t="s">
        <v>19186</v>
      </c>
      <c r="C6438" s="60" t="s">
        <v>19187</v>
      </c>
      <c r="D6438" s="60" t="s">
        <v>19188</v>
      </c>
    </row>
    <row r="6439" spans="2:4" x14ac:dyDescent="0.35">
      <c r="B6439" s="60" t="s">
        <v>19189</v>
      </c>
      <c r="C6439" s="60" t="s">
        <v>19190</v>
      </c>
      <c r="D6439" s="60" t="s">
        <v>19191</v>
      </c>
    </row>
    <row r="6440" spans="2:4" x14ac:dyDescent="0.35">
      <c r="B6440" s="60" t="s">
        <v>19192</v>
      </c>
      <c r="C6440" s="60" t="s">
        <v>19193</v>
      </c>
      <c r="D6440" s="60" t="s">
        <v>19194</v>
      </c>
    </row>
    <row r="6441" spans="2:4" x14ac:dyDescent="0.35">
      <c r="B6441" s="60" t="s">
        <v>19195</v>
      </c>
      <c r="C6441" s="60" t="s">
        <v>19196</v>
      </c>
      <c r="D6441" s="60" t="s">
        <v>19197</v>
      </c>
    </row>
    <row r="6442" spans="2:4" x14ac:dyDescent="0.35">
      <c r="B6442" s="60" t="s">
        <v>19198</v>
      </c>
      <c r="C6442" s="60" t="s">
        <v>19199</v>
      </c>
      <c r="D6442" s="60" t="s">
        <v>19200</v>
      </c>
    </row>
    <row r="6443" spans="2:4" x14ac:dyDescent="0.35">
      <c r="B6443" s="60" t="s">
        <v>19201</v>
      </c>
      <c r="C6443" s="60" t="s">
        <v>19202</v>
      </c>
      <c r="D6443" s="60" t="s">
        <v>19203</v>
      </c>
    </row>
    <row r="6444" spans="2:4" x14ac:dyDescent="0.35">
      <c r="B6444" s="60" t="s">
        <v>19204</v>
      </c>
      <c r="C6444" s="60" t="s">
        <v>19205</v>
      </c>
      <c r="D6444" s="60" t="s">
        <v>19206</v>
      </c>
    </row>
    <row r="6445" spans="2:4" x14ac:dyDescent="0.35">
      <c r="B6445" s="60" t="s">
        <v>19207</v>
      </c>
      <c r="C6445" s="60" t="s">
        <v>19208</v>
      </c>
      <c r="D6445" s="60" t="s">
        <v>19209</v>
      </c>
    </row>
    <row r="6446" spans="2:4" x14ac:dyDescent="0.35">
      <c r="B6446" s="60" t="s">
        <v>19210</v>
      </c>
      <c r="C6446" s="60" t="s">
        <v>19211</v>
      </c>
      <c r="D6446" s="60" t="s">
        <v>19212</v>
      </c>
    </row>
    <row r="6447" spans="2:4" x14ac:dyDescent="0.35">
      <c r="B6447" s="60" t="s">
        <v>19213</v>
      </c>
      <c r="C6447" s="60" t="s">
        <v>19214</v>
      </c>
      <c r="D6447" s="60" t="s">
        <v>19215</v>
      </c>
    </row>
    <row r="6448" spans="2:4" x14ac:dyDescent="0.35">
      <c r="B6448" s="60" t="s">
        <v>19216</v>
      </c>
      <c r="C6448" s="60" t="s">
        <v>19217</v>
      </c>
      <c r="D6448" s="60" t="s">
        <v>19218</v>
      </c>
    </row>
    <row r="6449" spans="2:4" x14ac:dyDescent="0.35">
      <c r="B6449" s="60" t="s">
        <v>19219</v>
      </c>
      <c r="C6449" s="60" t="s">
        <v>19220</v>
      </c>
      <c r="D6449" s="60" t="s">
        <v>19221</v>
      </c>
    </row>
    <row r="6450" spans="2:4" x14ac:dyDescent="0.35">
      <c r="B6450" s="60" t="s">
        <v>19222</v>
      </c>
      <c r="C6450" s="60" t="s">
        <v>19223</v>
      </c>
      <c r="D6450" s="60" t="s">
        <v>19224</v>
      </c>
    </row>
    <row r="6451" spans="2:4" x14ac:dyDescent="0.35">
      <c r="B6451" s="60" t="s">
        <v>19225</v>
      </c>
      <c r="C6451" s="60" t="s">
        <v>19226</v>
      </c>
      <c r="D6451" s="60" t="s">
        <v>19227</v>
      </c>
    </row>
    <row r="6452" spans="2:4" x14ac:dyDescent="0.35">
      <c r="B6452" s="60" t="s">
        <v>19228</v>
      </c>
      <c r="C6452" s="60" t="s">
        <v>19229</v>
      </c>
      <c r="D6452" s="60" t="s">
        <v>19230</v>
      </c>
    </row>
    <row r="6453" spans="2:4" x14ac:dyDescent="0.35">
      <c r="B6453" s="60" t="s">
        <v>19231</v>
      </c>
      <c r="C6453" s="60" t="s">
        <v>19232</v>
      </c>
      <c r="D6453" s="60" t="s">
        <v>19233</v>
      </c>
    </row>
    <row r="6454" spans="2:4" x14ac:dyDescent="0.35">
      <c r="B6454" s="60" t="s">
        <v>19234</v>
      </c>
      <c r="C6454" s="60" t="s">
        <v>19235</v>
      </c>
      <c r="D6454" s="60" t="s">
        <v>19236</v>
      </c>
    </row>
    <row r="6455" spans="2:4" x14ac:dyDescent="0.35">
      <c r="B6455" s="60" t="s">
        <v>19237</v>
      </c>
      <c r="C6455" s="60" t="s">
        <v>19238</v>
      </c>
      <c r="D6455" s="60" t="s">
        <v>19239</v>
      </c>
    </row>
    <row r="6456" spans="2:4" x14ac:dyDescent="0.35">
      <c r="B6456" s="60" t="s">
        <v>19240</v>
      </c>
      <c r="C6456" s="60" t="s">
        <v>19241</v>
      </c>
      <c r="D6456" s="60" t="s">
        <v>19242</v>
      </c>
    </row>
    <row r="6457" spans="2:4" x14ac:dyDescent="0.35">
      <c r="B6457" s="60" t="s">
        <v>19243</v>
      </c>
      <c r="C6457" s="60" t="s">
        <v>19244</v>
      </c>
      <c r="D6457" s="60" t="s">
        <v>19245</v>
      </c>
    </row>
    <row r="6458" spans="2:4" x14ac:dyDescent="0.35">
      <c r="B6458" s="60" t="s">
        <v>19246</v>
      </c>
      <c r="C6458" s="60" t="s">
        <v>19247</v>
      </c>
      <c r="D6458" s="60" t="s">
        <v>19248</v>
      </c>
    </row>
    <row r="6459" spans="2:4" x14ac:dyDescent="0.35">
      <c r="B6459" s="60" t="s">
        <v>19249</v>
      </c>
      <c r="C6459" s="60" t="s">
        <v>19250</v>
      </c>
      <c r="D6459" s="60" t="s">
        <v>19251</v>
      </c>
    </row>
    <row r="6460" spans="2:4" x14ac:dyDescent="0.35">
      <c r="B6460" s="60" t="s">
        <v>19252</v>
      </c>
      <c r="C6460" s="60" t="s">
        <v>19253</v>
      </c>
      <c r="D6460" s="60" t="s">
        <v>19254</v>
      </c>
    </row>
    <row r="6461" spans="2:4" x14ac:dyDescent="0.35">
      <c r="B6461" s="60" t="s">
        <v>19255</v>
      </c>
      <c r="C6461" s="60" t="s">
        <v>19256</v>
      </c>
      <c r="D6461" s="60" t="s">
        <v>19257</v>
      </c>
    </row>
    <row r="6462" spans="2:4" x14ac:dyDescent="0.35">
      <c r="B6462" s="60" t="s">
        <v>19258</v>
      </c>
      <c r="C6462" s="60" t="s">
        <v>19259</v>
      </c>
      <c r="D6462" s="60" t="s">
        <v>19260</v>
      </c>
    </row>
    <row r="6463" spans="2:4" x14ac:dyDescent="0.35">
      <c r="B6463" s="60" t="s">
        <v>19261</v>
      </c>
      <c r="C6463" s="60" t="s">
        <v>19262</v>
      </c>
      <c r="D6463" s="60" t="s">
        <v>19263</v>
      </c>
    </row>
    <row r="6464" spans="2:4" x14ac:dyDescent="0.35">
      <c r="B6464" s="60" t="s">
        <v>19264</v>
      </c>
      <c r="C6464" s="60" t="s">
        <v>19265</v>
      </c>
      <c r="D6464" s="60" t="s">
        <v>19266</v>
      </c>
    </row>
    <row r="6465" spans="2:4" x14ac:dyDescent="0.35">
      <c r="B6465" s="60" t="s">
        <v>19267</v>
      </c>
      <c r="C6465" s="60" t="s">
        <v>19268</v>
      </c>
      <c r="D6465" s="60" t="s">
        <v>19269</v>
      </c>
    </row>
    <row r="6466" spans="2:4" x14ac:dyDescent="0.35">
      <c r="B6466" s="60" t="s">
        <v>19270</v>
      </c>
      <c r="C6466" s="60" t="s">
        <v>19271</v>
      </c>
      <c r="D6466" s="60" t="s">
        <v>19272</v>
      </c>
    </row>
    <row r="6467" spans="2:4" x14ac:dyDescent="0.35">
      <c r="B6467" s="60" t="s">
        <v>19273</v>
      </c>
      <c r="C6467" s="60" t="s">
        <v>19274</v>
      </c>
      <c r="D6467" s="60" t="s">
        <v>19275</v>
      </c>
    </row>
    <row r="6468" spans="2:4" x14ac:dyDescent="0.35">
      <c r="B6468" s="60" t="s">
        <v>19276</v>
      </c>
      <c r="C6468" s="60" t="s">
        <v>19277</v>
      </c>
      <c r="D6468" s="60" t="s">
        <v>19278</v>
      </c>
    </row>
    <row r="6469" spans="2:4" x14ac:dyDescent="0.35">
      <c r="B6469" s="60" t="s">
        <v>19279</v>
      </c>
      <c r="C6469" s="60" t="s">
        <v>19280</v>
      </c>
      <c r="D6469" s="60" t="s">
        <v>19281</v>
      </c>
    </row>
    <row r="6470" spans="2:4" x14ac:dyDescent="0.35">
      <c r="B6470" s="60" t="s">
        <v>19282</v>
      </c>
      <c r="C6470" s="60" t="s">
        <v>19283</v>
      </c>
      <c r="D6470" s="60" t="s">
        <v>19284</v>
      </c>
    </row>
    <row r="6471" spans="2:4" x14ac:dyDescent="0.35">
      <c r="B6471" s="60" t="s">
        <v>19285</v>
      </c>
      <c r="C6471" s="60" t="s">
        <v>19286</v>
      </c>
      <c r="D6471" s="60" t="s">
        <v>19287</v>
      </c>
    </row>
    <row r="6472" spans="2:4" x14ac:dyDescent="0.35">
      <c r="B6472" s="60" t="s">
        <v>19288</v>
      </c>
      <c r="C6472" s="60" t="s">
        <v>19289</v>
      </c>
      <c r="D6472" s="60" t="s">
        <v>19290</v>
      </c>
    </row>
    <row r="6473" spans="2:4" x14ac:dyDescent="0.35">
      <c r="B6473" s="60" t="s">
        <v>19291</v>
      </c>
      <c r="C6473" s="60" t="s">
        <v>19292</v>
      </c>
      <c r="D6473" s="60" t="s">
        <v>19293</v>
      </c>
    </row>
    <row r="6474" spans="2:4" x14ac:dyDescent="0.35">
      <c r="B6474" s="60" t="s">
        <v>19294</v>
      </c>
      <c r="C6474" s="60" t="s">
        <v>19295</v>
      </c>
      <c r="D6474" s="60" t="s">
        <v>19296</v>
      </c>
    </row>
    <row r="6475" spans="2:4" x14ac:dyDescent="0.35">
      <c r="B6475" s="60" t="s">
        <v>19297</v>
      </c>
      <c r="C6475" s="60" t="s">
        <v>19298</v>
      </c>
      <c r="D6475" s="60" t="s">
        <v>19299</v>
      </c>
    </row>
    <row r="6476" spans="2:4" x14ac:dyDescent="0.35">
      <c r="B6476" s="60" t="s">
        <v>19297</v>
      </c>
      <c r="C6476" s="60" t="s">
        <v>19300</v>
      </c>
      <c r="D6476" s="60" t="s">
        <v>19301</v>
      </c>
    </row>
    <row r="6477" spans="2:4" x14ac:dyDescent="0.35">
      <c r="B6477" s="60" t="s">
        <v>19302</v>
      </c>
      <c r="C6477" s="60" t="s">
        <v>19303</v>
      </c>
      <c r="D6477" s="60" t="s">
        <v>19304</v>
      </c>
    </row>
    <row r="6478" spans="2:4" x14ac:dyDescent="0.35">
      <c r="B6478" s="60" t="s">
        <v>19305</v>
      </c>
      <c r="C6478" s="60" t="s">
        <v>19306</v>
      </c>
      <c r="D6478" s="60" t="s">
        <v>19307</v>
      </c>
    </row>
    <row r="6479" spans="2:4" x14ac:dyDescent="0.35">
      <c r="B6479" s="60" t="s">
        <v>19308</v>
      </c>
      <c r="C6479" s="60" t="s">
        <v>19309</v>
      </c>
      <c r="D6479" s="60" t="s">
        <v>19310</v>
      </c>
    </row>
    <row r="6480" spans="2:4" x14ac:dyDescent="0.35">
      <c r="B6480" s="60" t="s">
        <v>19311</v>
      </c>
      <c r="C6480" s="60" t="s">
        <v>19312</v>
      </c>
      <c r="D6480" s="60" t="s">
        <v>19313</v>
      </c>
    </row>
    <row r="6481" spans="2:4" x14ac:dyDescent="0.35">
      <c r="B6481" s="60" t="s">
        <v>19314</v>
      </c>
      <c r="C6481" s="60" t="s">
        <v>19315</v>
      </c>
      <c r="D6481" s="60" t="s">
        <v>19316</v>
      </c>
    </row>
    <row r="6482" spans="2:4" x14ac:dyDescent="0.35">
      <c r="B6482" s="60" t="s">
        <v>19317</v>
      </c>
      <c r="C6482" s="60" t="s">
        <v>19318</v>
      </c>
      <c r="D6482" s="60" t="s">
        <v>19319</v>
      </c>
    </row>
    <row r="6483" spans="2:4" x14ac:dyDescent="0.35">
      <c r="B6483" s="60" t="s">
        <v>19320</v>
      </c>
      <c r="C6483" s="60" t="s">
        <v>19321</v>
      </c>
      <c r="D6483" s="60" t="s">
        <v>19322</v>
      </c>
    </row>
    <row r="6484" spans="2:4" x14ac:dyDescent="0.35">
      <c r="B6484" s="60" t="s">
        <v>19323</v>
      </c>
      <c r="C6484" s="60" t="s">
        <v>19324</v>
      </c>
      <c r="D6484" s="60" t="s">
        <v>19325</v>
      </c>
    </row>
    <row r="6485" spans="2:4" x14ac:dyDescent="0.35">
      <c r="B6485" s="60" t="s">
        <v>19326</v>
      </c>
      <c r="C6485" s="60" t="s">
        <v>19327</v>
      </c>
      <c r="D6485" s="60" t="s">
        <v>19328</v>
      </c>
    </row>
    <row r="6486" spans="2:4" x14ac:dyDescent="0.35">
      <c r="B6486" s="60" t="s">
        <v>19329</v>
      </c>
      <c r="C6486" s="60" t="s">
        <v>19330</v>
      </c>
      <c r="D6486" s="60" t="s">
        <v>19331</v>
      </c>
    </row>
    <row r="6487" spans="2:4" x14ac:dyDescent="0.35">
      <c r="B6487" s="60" t="s">
        <v>19332</v>
      </c>
      <c r="C6487" s="60" t="s">
        <v>19333</v>
      </c>
      <c r="D6487" s="60" t="s">
        <v>19334</v>
      </c>
    </row>
    <row r="6488" spans="2:4" x14ac:dyDescent="0.35">
      <c r="B6488" s="60" t="s">
        <v>19335</v>
      </c>
      <c r="C6488" s="60" t="s">
        <v>19336</v>
      </c>
      <c r="D6488" s="60" t="s">
        <v>19337</v>
      </c>
    </row>
    <row r="6489" spans="2:4" x14ac:dyDescent="0.35">
      <c r="B6489" s="60" t="s">
        <v>19338</v>
      </c>
      <c r="C6489" s="60" t="s">
        <v>19339</v>
      </c>
      <c r="D6489" s="60" t="s">
        <v>19340</v>
      </c>
    </row>
    <row r="6490" spans="2:4" x14ac:dyDescent="0.35">
      <c r="B6490" s="60" t="s">
        <v>19341</v>
      </c>
      <c r="C6490" s="60" t="s">
        <v>19342</v>
      </c>
      <c r="D6490" s="60" t="s">
        <v>19343</v>
      </c>
    </row>
    <row r="6491" spans="2:4" x14ac:dyDescent="0.35">
      <c r="B6491" s="60" t="s">
        <v>19344</v>
      </c>
      <c r="C6491" s="60" t="s">
        <v>19345</v>
      </c>
      <c r="D6491" s="60" t="s">
        <v>19346</v>
      </c>
    </row>
    <row r="6492" spans="2:4" x14ac:dyDescent="0.35">
      <c r="B6492" s="60" t="s">
        <v>19347</v>
      </c>
      <c r="C6492" s="60" t="s">
        <v>19327</v>
      </c>
      <c r="D6492" s="60" t="s">
        <v>19348</v>
      </c>
    </row>
    <row r="6493" spans="2:4" x14ac:dyDescent="0.35">
      <c r="B6493" s="60" t="s">
        <v>19349</v>
      </c>
      <c r="C6493" s="60" t="s">
        <v>19350</v>
      </c>
      <c r="D6493" s="60" t="s">
        <v>19351</v>
      </c>
    </row>
    <row r="6494" spans="2:4" x14ac:dyDescent="0.35">
      <c r="B6494" s="60" t="s">
        <v>19349</v>
      </c>
      <c r="C6494" s="60" t="s">
        <v>19352</v>
      </c>
      <c r="D6494" s="60" t="s">
        <v>19353</v>
      </c>
    </row>
    <row r="6495" spans="2:4" x14ac:dyDescent="0.35">
      <c r="B6495" s="60" t="s">
        <v>19354</v>
      </c>
      <c r="C6495" s="60" t="s">
        <v>19355</v>
      </c>
      <c r="D6495" s="60" t="s">
        <v>19356</v>
      </c>
    </row>
    <row r="6496" spans="2:4" x14ac:dyDescent="0.35">
      <c r="B6496" s="60" t="s">
        <v>19357</v>
      </c>
      <c r="C6496" s="60" t="s">
        <v>19358</v>
      </c>
      <c r="D6496" s="60" t="s">
        <v>19359</v>
      </c>
    </row>
    <row r="6497" spans="2:4" x14ac:dyDescent="0.35">
      <c r="B6497" s="60" t="s">
        <v>19360</v>
      </c>
      <c r="C6497" s="60" t="s">
        <v>19361</v>
      </c>
      <c r="D6497" s="60" t="s">
        <v>19362</v>
      </c>
    </row>
    <row r="6498" spans="2:4" x14ac:dyDescent="0.35">
      <c r="B6498" s="60" t="s">
        <v>19363</v>
      </c>
      <c r="C6498" s="60" t="s">
        <v>19364</v>
      </c>
      <c r="D6498" s="60" t="s">
        <v>19365</v>
      </c>
    </row>
    <row r="6499" spans="2:4" x14ac:dyDescent="0.35">
      <c r="B6499" s="60" t="s">
        <v>19366</v>
      </c>
      <c r="C6499" s="60" t="s">
        <v>19367</v>
      </c>
      <c r="D6499" s="60" t="s">
        <v>19368</v>
      </c>
    </row>
    <row r="6500" spans="2:4" x14ac:dyDescent="0.35">
      <c r="B6500" s="60" t="s">
        <v>19366</v>
      </c>
      <c r="C6500" s="60" t="s">
        <v>19369</v>
      </c>
      <c r="D6500" s="60" t="s">
        <v>19033</v>
      </c>
    </row>
    <row r="6501" spans="2:4" x14ac:dyDescent="0.35">
      <c r="B6501" s="60" t="s">
        <v>19370</v>
      </c>
      <c r="C6501" s="60" t="s">
        <v>19371</v>
      </c>
      <c r="D6501" s="60" t="s">
        <v>19372</v>
      </c>
    </row>
    <row r="6502" spans="2:4" x14ac:dyDescent="0.35">
      <c r="B6502" s="60" t="s">
        <v>19373</v>
      </c>
      <c r="C6502" s="60" t="s">
        <v>19374</v>
      </c>
      <c r="D6502" s="60" t="s">
        <v>19375</v>
      </c>
    </row>
    <row r="6503" spans="2:4" x14ac:dyDescent="0.35">
      <c r="B6503" s="60" t="s">
        <v>19376</v>
      </c>
      <c r="C6503" s="60" t="s">
        <v>19377</v>
      </c>
      <c r="D6503" s="60" t="s">
        <v>19378</v>
      </c>
    </row>
    <row r="6504" spans="2:4" x14ac:dyDescent="0.35">
      <c r="B6504" s="60" t="s">
        <v>19379</v>
      </c>
      <c r="C6504" s="60" t="s">
        <v>19380</v>
      </c>
      <c r="D6504" s="60" t="s">
        <v>19381</v>
      </c>
    </row>
    <row r="6505" spans="2:4" x14ac:dyDescent="0.35">
      <c r="B6505" s="60" t="s">
        <v>19382</v>
      </c>
      <c r="C6505" s="60" t="s">
        <v>19383</v>
      </c>
      <c r="D6505" s="60" t="s">
        <v>19384</v>
      </c>
    </row>
    <row r="6506" spans="2:4" x14ac:dyDescent="0.35">
      <c r="B6506" s="60" t="s">
        <v>19385</v>
      </c>
      <c r="C6506" s="60" t="s">
        <v>19386</v>
      </c>
      <c r="D6506" s="60" t="s">
        <v>19387</v>
      </c>
    </row>
    <row r="6507" spans="2:4" x14ac:dyDescent="0.35">
      <c r="B6507" s="60" t="s">
        <v>19388</v>
      </c>
      <c r="C6507" s="60" t="s">
        <v>19389</v>
      </c>
      <c r="D6507" s="60" t="s">
        <v>19390</v>
      </c>
    </row>
    <row r="6508" spans="2:4" x14ac:dyDescent="0.35">
      <c r="B6508" s="60" t="s">
        <v>19391</v>
      </c>
      <c r="C6508" s="60" t="s">
        <v>19392</v>
      </c>
      <c r="D6508" s="60" t="s">
        <v>19393</v>
      </c>
    </row>
    <row r="6509" spans="2:4" x14ac:dyDescent="0.35">
      <c r="B6509" s="60" t="s">
        <v>19391</v>
      </c>
      <c r="C6509" s="60" t="s">
        <v>19394</v>
      </c>
      <c r="D6509" s="60" t="s">
        <v>19395</v>
      </c>
    </row>
    <row r="6510" spans="2:4" x14ac:dyDescent="0.35">
      <c r="B6510" s="60" t="s">
        <v>19396</v>
      </c>
      <c r="C6510" s="60" t="s">
        <v>19397</v>
      </c>
      <c r="D6510" s="60" t="s">
        <v>19398</v>
      </c>
    </row>
    <row r="6511" spans="2:4" x14ac:dyDescent="0.35">
      <c r="B6511" s="60" t="s">
        <v>19399</v>
      </c>
      <c r="C6511" s="60" t="s">
        <v>19400</v>
      </c>
      <c r="D6511" s="60" t="s">
        <v>19401</v>
      </c>
    </row>
    <row r="6512" spans="2:4" x14ac:dyDescent="0.35">
      <c r="B6512" s="60" t="s">
        <v>19402</v>
      </c>
      <c r="C6512" s="60" t="s">
        <v>19403</v>
      </c>
      <c r="D6512" s="60" t="s">
        <v>19404</v>
      </c>
    </row>
    <row r="6513" spans="2:4" x14ac:dyDescent="0.35">
      <c r="B6513" s="60" t="s">
        <v>19405</v>
      </c>
      <c r="C6513" s="60" t="s">
        <v>19406</v>
      </c>
      <c r="D6513" s="60" t="s">
        <v>19407</v>
      </c>
    </row>
    <row r="6514" spans="2:4" x14ac:dyDescent="0.35">
      <c r="B6514" s="60" t="s">
        <v>19408</v>
      </c>
      <c r="C6514" s="60" t="s">
        <v>19409</v>
      </c>
      <c r="D6514" s="60" t="s">
        <v>19410</v>
      </c>
    </row>
    <row r="6515" spans="2:4" x14ac:dyDescent="0.35">
      <c r="B6515" s="60" t="s">
        <v>19411</v>
      </c>
      <c r="C6515" s="60" t="s">
        <v>19412</v>
      </c>
      <c r="D6515" s="60" t="s">
        <v>19413</v>
      </c>
    </row>
    <row r="6516" spans="2:4" x14ac:dyDescent="0.35">
      <c r="B6516" s="60" t="s">
        <v>19414</v>
      </c>
      <c r="C6516" s="60" t="s">
        <v>19415</v>
      </c>
      <c r="D6516" s="60" t="s">
        <v>19416</v>
      </c>
    </row>
    <row r="6517" spans="2:4" x14ac:dyDescent="0.35">
      <c r="B6517" s="60" t="s">
        <v>19414</v>
      </c>
      <c r="C6517" s="60" t="s">
        <v>19417</v>
      </c>
      <c r="D6517" s="60" t="s">
        <v>19418</v>
      </c>
    </row>
    <row r="6518" spans="2:4" x14ac:dyDescent="0.35">
      <c r="B6518" s="60" t="s">
        <v>19419</v>
      </c>
      <c r="C6518" s="60" t="s">
        <v>19420</v>
      </c>
      <c r="D6518" s="60" t="s">
        <v>19421</v>
      </c>
    </row>
    <row r="6519" spans="2:4" x14ac:dyDescent="0.35">
      <c r="B6519" s="60" t="s">
        <v>19419</v>
      </c>
      <c r="C6519" s="60" t="s">
        <v>19422</v>
      </c>
      <c r="D6519" s="60" t="s">
        <v>19423</v>
      </c>
    </row>
    <row r="6520" spans="2:4" x14ac:dyDescent="0.35">
      <c r="B6520" s="60" t="s">
        <v>19424</v>
      </c>
      <c r="C6520" s="60" t="s">
        <v>19425</v>
      </c>
      <c r="D6520" s="60" t="s">
        <v>19426</v>
      </c>
    </row>
    <row r="6521" spans="2:4" x14ac:dyDescent="0.35">
      <c r="B6521" s="60" t="s">
        <v>19427</v>
      </c>
      <c r="C6521" s="60" t="s">
        <v>19428</v>
      </c>
      <c r="D6521" s="60" t="s">
        <v>19429</v>
      </c>
    </row>
    <row r="6522" spans="2:4" x14ac:dyDescent="0.35">
      <c r="B6522" s="60" t="s">
        <v>19430</v>
      </c>
      <c r="C6522" s="60" t="s">
        <v>19431</v>
      </c>
      <c r="D6522" s="60" t="s">
        <v>19432</v>
      </c>
    </row>
    <row r="6523" spans="2:4" x14ac:dyDescent="0.35">
      <c r="B6523" s="60" t="s">
        <v>19433</v>
      </c>
      <c r="C6523" s="60" t="s">
        <v>19434</v>
      </c>
      <c r="D6523" s="60" t="s">
        <v>19435</v>
      </c>
    </row>
    <row r="6524" spans="2:4" x14ac:dyDescent="0.35">
      <c r="B6524" s="60" t="s">
        <v>19436</v>
      </c>
      <c r="C6524" s="60" t="s">
        <v>19437</v>
      </c>
      <c r="D6524" s="60" t="s">
        <v>19438</v>
      </c>
    </row>
    <row r="6525" spans="2:4" x14ac:dyDescent="0.35">
      <c r="B6525" s="60" t="s">
        <v>19439</v>
      </c>
      <c r="C6525" s="60" t="s">
        <v>19440</v>
      </c>
      <c r="D6525" s="60" t="s">
        <v>19441</v>
      </c>
    </row>
    <row r="6526" spans="2:4" x14ac:dyDescent="0.35">
      <c r="B6526" s="60" t="s">
        <v>19442</v>
      </c>
      <c r="C6526" s="60" t="s">
        <v>19443</v>
      </c>
      <c r="D6526" s="60" t="s">
        <v>19444</v>
      </c>
    </row>
    <row r="6527" spans="2:4" x14ac:dyDescent="0.35">
      <c r="B6527" s="60" t="s">
        <v>19445</v>
      </c>
      <c r="C6527" s="60" t="s">
        <v>19446</v>
      </c>
      <c r="D6527" s="60" t="s">
        <v>19447</v>
      </c>
    </row>
    <row r="6528" spans="2:4" x14ac:dyDescent="0.35">
      <c r="B6528" s="60" t="s">
        <v>19448</v>
      </c>
      <c r="C6528" s="60" t="s">
        <v>19449</v>
      </c>
      <c r="D6528" s="60" t="s">
        <v>19450</v>
      </c>
    </row>
    <row r="6529" spans="2:4" x14ac:dyDescent="0.35">
      <c r="B6529" s="60" t="s">
        <v>19451</v>
      </c>
      <c r="C6529" s="60" t="s">
        <v>19452</v>
      </c>
      <c r="D6529" s="60" t="s">
        <v>19453</v>
      </c>
    </row>
    <row r="6530" spans="2:4" x14ac:dyDescent="0.35">
      <c r="B6530" s="60" t="s">
        <v>19454</v>
      </c>
      <c r="C6530" s="60" t="s">
        <v>19455</v>
      </c>
      <c r="D6530" s="60" t="s">
        <v>19456</v>
      </c>
    </row>
    <row r="6531" spans="2:4" x14ac:dyDescent="0.35">
      <c r="B6531" s="60" t="s">
        <v>19457</v>
      </c>
      <c r="C6531" s="60" t="s">
        <v>19458</v>
      </c>
      <c r="D6531" s="60" t="s">
        <v>19459</v>
      </c>
    </row>
    <row r="6532" spans="2:4" x14ac:dyDescent="0.35">
      <c r="B6532" s="60" t="s">
        <v>19460</v>
      </c>
      <c r="C6532" s="60" t="s">
        <v>19461</v>
      </c>
      <c r="D6532" s="60" t="s">
        <v>19462</v>
      </c>
    </row>
    <row r="6533" spans="2:4" x14ac:dyDescent="0.35">
      <c r="B6533" s="60" t="s">
        <v>19463</v>
      </c>
      <c r="C6533" s="60" t="s">
        <v>19464</v>
      </c>
      <c r="D6533" s="60" t="s">
        <v>19465</v>
      </c>
    </row>
    <row r="6534" spans="2:4" x14ac:dyDescent="0.35">
      <c r="B6534" s="60" t="s">
        <v>19466</v>
      </c>
      <c r="C6534" s="60" t="s">
        <v>19467</v>
      </c>
      <c r="D6534" s="60" t="s">
        <v>19468</v>
      </c>
    </row>
    <row r="6535" spans="2:4" x14ac:dyDescent="0.35">
      <c r="B6535" s="60" t="s">
        <v>19469</v>
      </c>
      <c r="C6535" s="60" t="s">
        <v>19470</v>
      </c>
      <c r="D6535" s="60" t="s">
        <v>19471</v>
      </c>
    </row>
    <row r="6536" spans="2:4" x14ac:dyDescent="0.35">
      <c r="B6536" s="60" t="s">
        <v>19472</v>
      </c>
      <c r="C6536" s="60" t="s">
        <v>19473</v>
      </c>
      <c r="D6536" s="60" t="s">
        <v>19474</v>
      </c>
    </row>
    <row r="6537" spans="2:4" x14ac:dyDescent="0.35">
      <c r="B6537" s="60" t="s">
        <v>19475</v>
      </c>
      <c r="C6537" s="60" t="s">
        <v>19476</v>
      </c>
      <c r="D6537" s="60" t="s">
        <v>19477</v>
      </c>
    </row>
    <row r="6538" spans="2:4" x14ac:dyDescent="0.35">
      <c r="B6538" s="60" t="s">
        <v>19478</v>
      </c>
      <c r="C6538" s="60" t="s">
        <v>19479</v>
      </c>
      <c r="D6538" s="60" t="s">
        <v>19480</v>
      </c>
    </row>
    <row r="6539" spans="2:4" x14ac:dyDescent="0.35">
      <c r="B6539" s="60" t="s">
        <v>19481</v>
      </c>
      <c r="C6539" s="60" t="s">
        <v>19482</v>
      </c>
      <c r="D6539" s="60" t="s">
        <v>19483</v>
      </c>
    </row>
    <row r="6540" spans="2:4" x14ac:dyDescent="0.35">
      <c r="B6540" s="60" t="s">
        <v>19484</v>
      </c>
      <c r="C6540" s="60" t="s">
        <v>19485</v>
      </c>
      <c r="D6540" s="60" t="s">
        <v>19486</v>
      </c>
    </row>
    <row r="6541" spans="2:4" x14ac:dyDescent="0.35">
      <c r="B6541" s="60" t="s">
        <v>19487</v>
      </c>
      <c r="C6541" s="60" t="s">
        <v>19488</v>
      </c>
      <c r="D6541" s="60" t="s">
        <v>19489</v>
      </c>
    </row>
    <row r="6542" spans="2:4" x14ac:dyDescent="0.35">
      <c r="B6542" s="60" t="s">
        <v>19490</v>
      </c>
      <c r="C6542" s="60" t="s">
        <v>19491</v>
      </c>
      <c r="D6542" s="60" t="s">
        <v>19492</v>
      </c>
    </row>
    <row r="6543" spans="2:4" x14ac:dyDescent="0.35">
      <c r="B6543" s="60" t="s">
        <v>19493</v>
      </c>
      <c r="C6543" s="60" t="s">
        <v>19494</v>
      </c>
      <c r="D6543" s="60" t="s">
        <v>19495</v>
      </c>
    </row>
    <row r="6544" spans="2:4" x14ac:dyDescent="0.35">
      <c r="B6544" s="60" t="s">
        <v>19496</v>
      </c>
      <c r="C6544" s="60" t="s">
        <v>19497</v>
      </c>
      <c r="D6544" s="60" t="s">
        <v>19498</v>
      </c>
    </row>
    <row r="6545" spans="2:4" x14ac:dyDescent="0.35">
      <c r="B6545" s="60" t="s">
        <v>19499</v>
      </c>
      <c r="C6545" s="60" t="s">
        <v>19500</v>
      </c>
      <c r="D6545" s="60" t="s">
        <v>19501</v>
      </c>
    </row>
    <row r="6546" spans="2:4" x14ac:dyDescent="0.35">
      <c r="B6546" s="60" t="s">
        <v>19502</v>
      </c>
      <c r="C6546" s="60" t="s">
        <v>19503</v>
      </c>
      <c r="D6546" s="60" t="s">
        <v>19504</v>
      </c>
    </row>
    <row r="6547" spans="2:4" x14ac:dyDescent="0.35">
      <c r="B6547" s="60" t="s">
        <v>19505</v>
      </c>
      <c r="C6547" s="60" t="s">
        <v>19506</v>
      </c>
      <c r="D6547" s="60" t="s">
        <v>19507</v>
      </c>
    </row>
    <row r="6548" spans="2:4" x14ac:dyDescent="0.35">
      <c r="B6548" s="60" t="s">
        <v>19508</v>
      </c>
      <c r="C6548" s="60" t="s">
        <v>19509</v>
      </c>
      <c r="D6548" s="60" t="s">
        <v>19510</v>
      </c>
    </row>
    <row r="6549" spans="2:4" x14ac:dyDescent="0.35">
      <c r="B6549" s="60" t="s">
        <v>19511</v>
      </c>
      <c r="C6549" s="60" t="s">
        <v>19512</v>
      </c>
      <c r="D6549" s="60" t="s">
        <v>19513</v>
      </c>
    </row>
    <row r="6550" spans="2:4" x14ac:dyDescent="0.35">
      <c r="B6550" s="60" t="s">
        <v>19514</v>
      </c>
      <c r="C6550" s="60" t="s">
        <v>19515</v>
      </c>
      <c r="D6550" s="60" t="s">
        <v>19516</v>
      </c>
    </row>
    <row r="6551" spans="2:4" x14ac:dyDescent="0.35">
      <c r="B6551" s="60" t="s">
        <v>19517</v>
      </c>
      <c r="C6551" s="60" t="s">
        <v>19518</v>
      </c>
      <c r="D6551" s="60" t="s">
        <v>19519</v>
      </c>
    </row>
    <row r="6552" spans="2:4" x14ac:dyDescent="0.35">
      <c r="B6552" s="60" t="s">
        <v>19520</v>
      </c>
      <c r="C6552" s="60" t="s">
        <v>19521</v>
      </c>
      <c r="D6552" s="60" t="s">
        <v>19522</v>
      </c>
    </row>
    <row r="6553" spans="2:4" x14ac:dyDescent="0.35">
      <c r="B6553" s="60" t="s">
        <v>19523</v>
      </c>
      <c r="C6553" s="60" t="s">
        <v>19524</v>
      </c>
      <c r="D6553" s="60" t="s">
        <v>19525</v>
      </c>
    </row>
    <row r="6554" spans="2:4" x14ac:dyDescent="0.35">
      <c r="B6554" s="60" t="s">
        <v>19526</v>
      </c>
      <c r="C6554" s="60" t="s">
        <v>19527</v>
      </c>
      <c r="D6554" s="60" t="s">
        <v>19528</v>
      </c>
    </row>
    <row r="6555" spans="2:4" x14ac:dyDescent="0.35">
      <c r="B6555" s="60" t="s">
        <v>19529</v>
      </c>
      <c r="C6555" s="60" t="s">
        <v>19530</v>
      </c>
      <c r="D6555" s="60" t="s">
        <v>19531</v>
      </c>
    </row>
    <row r="6556" spans="2:4" x14ac:dyDescent="0.35">
      <c r="B6556" s="60" t="s">
        <v>19532</v>
      </c>
      <c r="C6556" s="60" t="s">
        <v>19533</v>
      </c>
      <c r="D6556" s="60" t="s">
        <v>19534</v>
      </c>
    </row>
    <row r="6557" spans="2:4" x14ac:dyDescent="0.35">
      <c r="B6557" s="60" t="s">
        <v>19535</v>
      </c>
      <c r="C6557" s="60" t="s">
        <v>19536</v>
      </c>
      <c r="D6557" s="60" t="s">
        <v>19537</v>
      </c>
    </row>
    <row r="6558" spans="2:4" x14ac:dyDescent="0.35">
      <c r="B6558" s="60" t="s">
        <v>19538</v>
      </c>
      <c r="C6558" s="60" t="s">
        <v>19539</v>
      </c>
      <c r="D6558" s="60" t="s">
        <v>19540</v>
      </c>
    </row>
    <row r="6559" spans="2:4" x14ac:dyDescent="0.35">
      <c r="B6559" s="60" t="s">
        <v>19541</v>
      </c>
      <c r="C6559" s="60" t="s">
        <v>19542</v>
      </c>
      <c r="D6559" s="60" t="s">
        <v>19543</v>
      </c>
    </row>
    <row r="6560" spans="2:4" x14ac:dyDescent="0.35">
      <c r="B6560" s="60" t="s">
        <v>19544</v>
      </c>
      <c r="C6560" s="60" t="s">
        <v>19545</v>
      </c>
      <c r="D6560" s="60" t="s">
        <v>19546</v>
      </c>
    </row>
    <row r="6561" spans="2:4" x14ac:dyDescent="0.35">
      <c r="B6561" s="60" t="s">
        <v>19547</v>
      </c>
      <c r="C6561" s="60" t="s">
        <v>19548</v>
      </c>
      <c r="D6561" s="60" t="s">
        <v>19549</v>
      </c>
    </row>
    <row r="6562" spans="2:4" x14ac:dyDescent="0.35">
      <c r="B6562" s="60" t="s">
        <v>19550</v>
      </c>
      <c r="C6562" s="60" t="s">
        <v>19551</v>
      </c>
      <c r="D6562" s="60" t="s">
        <v>19552</v>
      </c>
    </row>
    <row r="6563" spans="2:4" x14ac:dyDescent="0.35">
      <c r="B6563" s="60" t="s">
        <v>19553</v>
      </c>
      <c r="C6563" s="60" t="s">
        <v>19554</v>
      </c>
      <c r="D6563" s="60" t="s">
        <v>19555</v>
      </c>
    </row>
    <row r="6564" spans="2:4" x14ac:dyDescent="0.35">
      <c r="B6564" s="60" t="s">
        <v>19556</v>
      </c>
      <c r="C6564" s="60" t="s">
        <v>19557</v>
      </c>
      <c r="D6564" s="60" t="s">
        <v>19558</v>
      </c>
    </row>
    <row r="6565" spans="2:4" x14ac:dyDescent="0.35">
      <c r="B6565" s="60" t="s">
        <v>19559</v>
      </c>
      <c r="C6565" s="60" t="s">
        <v>19560</v>
      </c>
      <c r="D6565" s="60" t="s">
        <v>19561</v>
      </c>
    </row>
    <row r="6566" spans="2:4" x14ac:dyDescent="0.35">
      <c r="B6566" s="60" t="s">
        <v>19562</v>
      </c>
      <c r="C6566" s="60" t="s">
        <v>19563</v>
      </c>
      <c r="D6566" s="60" t="s">
        <v>19564</v>
      </c>
    </row>
    <row r="6567" spans="2:4" x14ac:dyDescent="0.35">
      <c r="B6567" s="60" t="s">
        <v>19565</v>
      </c>
      <c r="C6567" s="60" t="s">
        <v>19566</v>
      </c>
      <c r="D6567" s="60" t="s">
        <v>19567</v>
      </c>
    </row>
    <row r="6568" spans="2:4" x14ac:dyDescent="0.35">
      <c r="B6568" s="60" t="s">
        <v>19568</v>
      </c>
      <c r="C6568" s="60" t="s">
        <v>19569</v>
      </c>
      <c r="D6568" s="60" t="s">
        <v>19570</v>
      </c>
    </row>
    <row r="6569" spans="2:4" x14ac:dyDescent="0.35">
      <c r="B6569" s="60" t="s">
        <v>19568</v>
      </c>
      <c r="C6569" s="60" t="s">
        <v>19303</v>
      </c>
      <c r="D6569" s="60" t="s">
        <v>19304</v>
      </c>
    </row>
    <row r="6570" spans="2:4" x14ac:dyDescent="0.35">
      <c r="B6570" s="60" t="s">
        <v>19571</v>
      </c>
      <c r="C6570" s="60" t="s">
        <v>19572</v>
      </c>
      <c r="D6570" s="60" t="s">
        <v>19573</v>
      </c>
    </row>
    <row r="6571" spans="2:4" x14ac:dyDescent="0.35">
      <c r="B6571" s="60" t="s">
        <v>19574</v>
      </c>
      <c r="C6571" s="60" t="s">
        <v>19575</v>
      </c>
      <c r="D6571" s="60" t="s">
        <v>19576</v>
      </c>
    </row>
    <row r="6572" spans="2:4" x14ac:dyDescent="0.35">
      <c r="B6572" s="60" t="s">
        <v>19577</v>
      </c>
      <c r="C6572" s="60" t="s">
        <v>19578</v>
      </c>
      <c r="D6572" s="60" t="s">
        <v>19579</v>
      </c>
    </row>
    <row r="6573" spans="2:4" x14ac:dyDescent="0.35">
      <c r="B6573" s="60" t="s">
        <v>19580</v>
      </c>
      <c r="C6573" s="60" t="s">
        <v>19581</v>
      </c>
      <c r="D6573" s="60" t="s">
        <v>19582</v>
      </c>
    </row>
    <row r="6574" spans="2:4" x14ac:dyDescent="0.35">
      <c r="B6574" s="60" t="s">
        <v>19580</v>
      </c>
      <c r="C6574" s="60" t="s">
        <v>19583</v>
      </c>
      <c r="D6574" s="60" t="s">
        <v>19584</v>
      </c>
    </row>
    <row r="6575" spans="2:4" x14ac:dyDescent="0.35">
      <c r="B6575" s="60" t="s">
        <v>19585</v>
      </c>
      <c r="C6575" s="60" t="s">
        <v>19586</v>
      </c>
      <c r="D6575" s="60" t="s">
        <v>19587</v>
      </c>
    </row>
    <row r="6576" spans="2:4" x14ac:dyDescent="0.35">
      <c r="B6576" s="60" t="s">
        <v>19588</v>
      </c>
      <c r="C6576" s="60" t="s">
        <v>19589</v>
      </c>
      <c r="D6576" s="60" t="s">
        <v>19590</v>
      </c>
    </row>
    <row r="6577" spans="2:4" x14ac:dyDescent="0.35">
      <c r="B6577" s="60" t="s">
        <v>19591</v>
      </c>
      <c r="C6577" s="60" t="s">
        <v>19592</v>
      </c>
      <c r="D6577" s="60" t="s">
        <v>19593</v>
      </c>
    </row>
    <row r="6578" spans="2:4" x14ac:dyDescent="0.35">
      <c r="B6578" s="60" t="s">
        <v>19594</v>
      </c>
      <c r="C6578" s="60" t="s">
        <v>19595</v>
      </c>
      <c r="D6578" s="60" t="s">
        <v>19596</v>
      </c>
    </row>
    <row r="6579" spans="2:4" x14ac:dyDescent="0.35">
      <c r="B6579" s="60" t="s">
        <v>19597</v>
      </c>
      <c r="C6579" s="60" t="s">
        <v>19598</v>
      </c>
      <c r="D6579" s="60" t="s">
        <v>19599</v>
      </c>
    </row>
    <row r="6580" spans="2:4" x14ac:dyDescent="0.35">
      <c r="B6580" s="60" t="s">
        <v>19600</v>
      </c>
      <c r="C6580" s="60" t="s">
        <v>19601</v>
      </c>
      <c r="D6580" s="60" t="s">
        <v>19602</v>
      </c>
    </row>
    <row r="6581" spans="2:4" x14ac:dyDescent="0.35">
      <c r="B6581" s="60" t="s">
        <v>19603</v>
      </c>
      <c r="C6581" s="60" t="s">
        <v>19604</v>
      </c>
      <c r="D6581" s="60" t="s">
        <v>19605</v>
      </c>
    </row>
    <row r="6582" spans="2:4" x14ac:dyDescent="0.35">
      <c r="B6582" s="60" t="s">
        <v>19606</v>
      </c>
      <c r="C6582" s="60" t="s">
        <v>19607</v>
      </c>
      <c r="D6582" s="60" t="s">
        <v>19608</v>
      </c>
    </row>
    <row r="6583" spans="2:4" x14ac:dyDescent="0.35">
      <c r="B6583" s="60" t="s">
        <v>19609</v>
      </c>
      <c r="C6583" s="60" t="s">
        <v>19610</v>
      </c>
      <c r="D6583" s="60" t="s">
        <v>19611</v>
      </c>
    </row>
    <row r="6584" spans="2:4" x14ac:dyDescent="0.35">
      <c r="B6584" s="60" t="s">
        <v>19609</v>
      </c>
      <c r="C6584" s="60" t="s">
        <v>19612</v>
      </c>
      <c r="D6584" s="60" t="s">
        <v>19613</v>
      </c>
    </row>
    <row r="6585" spans="2:4" x14ac:dyDescent="0.35">
      <c r="B6585" s="60" t="s">
        <v>19614</v>
      </c>
      <c r="C6585" s="60" t="s">
        <v>19615</v>
      </c>
      <c r="D6585" s="60" t="s">
        <v>19616</v>
      </c>
    </row>
    <row r="6586" spans="2:4" x14ac:dyDescent="0.35">
      <c r="B6586" s="60" t="s">
        <v>19617</v>
      </c>
      <c r="C6586" s="60" t="s">
        <v>19618</v>
      </c>
      <c r="D6586" s="60" t="s">
        <v>19619</v>
      </c>
    </row>
    <row r="6587" spans="2:4" x14ac:dyDescent="0.35">
      <c r="B6587" s="60" t="s">
        <v>19620</v>
      </c>
      <c r="C6587" s="60" t="s">
        <v>19621</v>
      </c>
      <c r="D6587" s="60" t="s">
        <v>19622</v>
      </c>
    </row>
    <row r="6588" spans="2:4" x14ac:dyDescent="0.35">
      <c r="B6588" s="60" t="s">
        <v>19623</v>
      </c>
      <c r="C6588" s="60" t="s">
        <v>19624</v>
      </c>
      <c r="D6588" s="60" t="s">
        <v>19625</v>
      </c>
    </row>
    <row r="6589" spans="2:4" x14ac:dyDescent="0.35">
      <c r="B6589" s="60" t="s">
        <v>19626</v>
      </c>
      <c r="C6589" s="60" t="s">
        <v>19627</v>
      </c>
      <c r="D6589" s="60" t="s">
        <v>19628</v>
      </c>
    </row>
    <row r="6590" spans="2:4" x14ac:dyDescent="0.35">
      <c r="B6590" s="60" t="s">
        <v>19629</v>
      </c>
      <c r="C6590" s="60" t="s">
        <v>19630</v>
      </c>
      <c r="D6590" s="60" t="s">
        <v>19631</v>
      </c>
    </row>
    <row r="6591" spans="2:4" x14ac:dyDescent="0.35">
      <c r="B6591" s="60" t="s">
        <v>19632</v>
      </c>
      <c r="C6591" s="60" t="s">
        <v>19633</v>
      </c>
      <c r="D6591" s="60" t="s">
        <v>19634</v>
      </c>
    </row>
    <row r="6592" spans="2:4" x14ac:dyDescent="0.35">
      <c r="B6592" s="60" t="s">
        <v>19635</v>
      </c>
      <c r="C6592" s="60" t="s">
        <v>19636</v>
      </c>
      <c r="D6592" s="60" t="s">
        <v>19637</v>
      </c>
    </row>
    <row r="6593" spans="2:4" x14ac:dyDescent="0.35">
      <c r="B6593" s="60" t="s">
        <v>19638</v>
      </c>
      <c r="C6593" s="60" t="s">
        <v>19639</v>
      </c>
      <c r="D6593" s="60" t="s">
        <v>19640</v>
      </c>
    </row>
    <row r="6594" spans="2:4" x14ac:dyDescent="0.35">
      <c r="B6594" s="60" t="s">
        <v>19641</v>
      </c>
      <c r="C6594" s="60" t="s">
        <v>19642</v>
      </c>
      <c r="D6594" s="60" t="s">
        <v>19643</v>
      </c>
    </row>
    <row r="6595" spans="2:4" x14ac:dyDescent="0.35">
      <c r="B6595" s="60" t="s">
        <v>19644</v>
      </c>
      <c r="C6595" s="60" t="s">
        <v>19645</v>
      </c>
      <c r="D6595" s="60" t="s">
        <v>19646</v>
      </c>
    </row>
    <row r="6596" spans="2:4" x14ac:dyDescent="0.35">
      <c r="B6596" s="60" t="s">
        <v>19647</v>
      </c>
      <c r="C6596" s="60" t="s">
        <v>19648</v>
      </c>
      <c r="D6596" s="60" t="s">
        <v>19649</v>
      </c>
    </row>
    <row r="6597" spans="2:4" x14ac:dyDescent="0.35">
      <c r="B6597" s="60" t="s">
        <v>19650</v>
      </c>
      <c r="C6597" s="60" t="s">
        <v>19651</v>
      </c>
      <c r="D6597" s="60" t="s">
        <v>19652</v>
      </c>
    </row>
    <row r="6598" spans="2:4" x14ac:dyDescent="0.35">
      <c r="B6598" s="60" t="s">
        <v>19653</v>
      </c>
      <c r="C6598" s="60" t="s">
        <v>19654</v>
      </c>
      <c r="D6598" s="60" t="s">
        <v>19655</v>
      </c>
    </row>
    <row r="6599" spans="2:4" x14ac:dyDescent="0.35">
      <c r="B6599" s="60" t="s">
        <v>19656</v>
      </c>
      <c r="C6599" s="60" t="s">
        <v>19657</v>
      </c>
      <c r="D6599" s="60" t="s">
        <v>19658</v>
      </c>
    </row>
    <row r="6600" spans="2:4" x14ac:dyDescent="0.35">
      <c r="B6600" s="60" t="s">
        <v>19659</v>
      </c>
      <c r="C6600" s="60" t="s">
        <v>19660</v>
      </c>
      <c r="D6600" s="60" t="s">
        <v>19661</v>
      </c>
    </row>
    <row r="6601" spans="2:4" x14ac:dyDescent="0.35">
      <c r="B6601" s="60" t="s">
        <v>19659</v>
      </c>
      <c r="C6601" s="60" t="s">
        <v>19662</v>
      </c>
      <c r="D6601" s="60" t="s">
        <v>19663</v>
      </c>
    </row>
    <row r="6602" spans="2:4" x14ac:dyDescent="0.35">
      <c r="B6602" s="60" t="s">
        <v>19664</v>
      </c>
      <c r="C6602" s="60" t="s">
        <v>19665</v>
      </c>
      <c r="D6602" s="60" t="s">
        <v>19666</v>
      </c>
    </row>
    <row r="6603" spans="2:4" x14ac:dyDescent="0.35">
      <c r="B6603" s="60" t="s">
        <v>117</v>
      </c>
      <c r="C6603" s="60" t="s">
        <v>19667</v>
      </c>
      <c r="D6603" s="60" t="s">
        <v>19668</v>
      </c>
    </row>
    <row r="6604" spans="2:4" x14ac:dyDescent="0.35">
      <c r="B6604" s="60" t="s">
        <v>19669</v>
      </c>
      <c r="C6604" s="60" t="s">
        <v>19670</v>
      </c>
      <c r="D6604" s="60" t="s">
        <v>19671</v>
      </c>
    </row>
    <row r="6605" spans="2:4" x14ac:dyDescent="0.35">
      <c r="B6605" s="60" t="s">
        <v>19672</v>
      </c>
      <c r="C6605" s="60" t="s">
        <v>19673</v>
      </c>
      <c r="D6605" s="60" t="s">
        <v>19674</v>
      </c>
    </row>
    <row r="6606" spans="2:4" x14ac:dyDescent="0.35">
      <c r="B6606" s="60" t="s">
        <v>19675</v>
      </c>
      <c r="C6606" s="60" t="s">
        <v>19676</v>
      </c>
      <c r="D6606" s="60" t="s">
        <v>19677</v>
      </c>
    </row>
    <row r="6607" spans="2:4" x14ac:dyDescent="0.35">
      <c r="B6607" s="60" t="s">
        <v>19678</v>
      </c>
      <c r="C6607" s="60" t="s">
        <v>19679</v>
      </c>
      <c r="D6607" s="60" t="s">
        <v>19680</v>
      </c>
    </row>
    <row r="6608" spans="2:4" x14ac:dyDescent="0.35">
      <c r="B6608" s="60" t="s">
        <v>19681</v>
      </c>
      <c r="C6608" s="60" t="s">
        <v>19682</v>
      </c>
      <c r="D6608" s="60" t="s">
        <v>19683</v>
      </c>
    </row>
    <row r="6609" spans="2:4" x14ac:dyDescent="0.35">
      <c r="B6609" s="60" t="s">
        <v>19684</v>
      </c>
      <c r="C6609" s="60" t="s">
        <v>19685</v>
      </c>
      <c r="D6609" s="60" t="s">
        <v>19686</v>
      </c>
    </row>
    <row r="6610" spans="2:4" x14ac:dyDescent="0.35">
      <c r="B6610" s="60" t="s">
        <v>19687</v>
      </c>
      <c r="C6610" s="60" t="s">
        <v>19688</v>
      </c>
      <c r="D6610" s="60" t="s">
        <v>19689</v>
      </c>
    </row>
    <row r="6611" spans="2:4" x14ac:dyDescent="0.35">
      <c r="B6611" s="60" t="s">
        <v>19690</v>
      </c>
      <c r="C6611" s="60" t="s">
        <v>19691</v>
      </c>
      <c r="D6611" s="60" t="s">
        <v>19692</v>
      </c>
    </row>
    <row r="6612" spans="2:4" x14ac:dyDescent="0.35">
      <c r="B6612" s="60" t="s">
        <v>19693</v>
      </c>
      <c r="C6612" s="60" t="s">
        <v>19694</v>
      </c>
      <c r="D6612" s="60" t="s">
        <v>19695</v>
      </c>
    </row>
    <row r="6613" spans="2:4" x14ac:dyDescent="0.35">
      <c r="B6613" s="60" t="s">
        <v>19696</v>
      </c>
      <c r="C6613" s="60" t="s">
        <v>19697</v>
      </c>
      <c r="D6613" s="60" t="s">
        <v>19698</v>
      </c>
    </row>
    <row r="6614" spans="2:4" x14ac:dyDescent="0.35">
      <c r="B6614" s="60" t="s">
        <v>19699</v>
      </c>
      <c r="C6614" s="60" t="s">
        <v>19700</v>
      </c>
      <c r="D6614" s="60" t="s">
        <v>19701</v>
      </c>
    </row>
    <row r="6615" spans="2:4" x14ac:dyDescent="0.35">
      <c r="B6615" s="60" t="s">
        <v>19702</v>
      </c>
      <c r="C6615" s="60" t="s">
        <v>19703</v>
      </c>
      <c r="D6615" s="60" t="s">
        <v>19704</v>
      </c>
    </row>
    <row r="6616" spans="2:4" x14ac:dyDescent="0.35">
      <c r="B6616" s="60" t="s">
        <v>19705</v>
      </c>
      <c r="C6616" s="60" t="s">
        <v>19706</v>
      </c>
      <c r="D6616" s="60" t="s">
        <v>19707</v>
      </c>
    </row>
    <row r="6617" spans="2:4" x14ac:dyDescent="0.35">
      <c r="B6617" s="60" t="s">
        <v>19708</v>
      </c>
      <c r="C6617" s="60" t="s">
        <v>19709</v>
      </c>
      <c r="D6617" s="60" t="s">
        <v>19710</v>
      </c>
    </row>
    <row r="6618" spans="2:4" x14ac:dyDescent="0.35">
      <c r="B6618" s="60" t="s">
        <v>19711</v>
      </c>
      <c r="C6618" s="60" t="s">
        <v>19712</v>
      </c>
      <c r="D6618" s="60" t="s">
        <v>19713</v>
      </c>
    </row>
    <row r="6619" spans="2:4" x14ac:dyDescent="0.35">
      <c r="B6619" s="60" t="s">
        <v>19714</v>
      </c>
      <c r="C6619" s="60" t="s">
        <v>19715</v>
      </c>
      <c r="D6619" s="60" t="s">
        <v>19716</v>
      </c>
    </row>
    <row r="6620" spans="2:4" x14ac:dyDescent="0.35">
      <c r="B6620" s="60" t="s">
        <v>19717</v>
      </c>
      <c r="C6620" s="60" t="s">
        <v>19718</v>
      </c>
      <c r="D6620" s="60" t="s">
        <v>19719</v>
      </c>
    </row>
    <row r="6621" spans="2:4" x14ac:dyDescent="0.35">
      <c r="B6621" s="60" t="s">
        <v>19720</v>
      </c>
      <c r="C6621" s="60" t="s">
        <v>19721</v>
      </c>
      <c r="D6621" s="60" t="s">
        <v>19722</v>
      </c>
    </row>
    <row r="6622" spans="2:4" x14ac:dyDescent="0.35">
      <c r="B6622" s="60" t="s">
        <v>19723</v>
      </c>
      <c r="C6622" s="60" t="s">
        <v>19724</v>
      </c>
      <c r="D6622" s="60" t="s">
        <v>19725</v>
      </c>
    </row>
    <row r="6623" spans="2:4" x14ac:dyDescent="0.35">
      <c r="B6623" s="60" t="s">
        <v>19726</v>
      </c>
      <c r="C6623" s="60" t="s">
        <v>19727</v>
      </c>
      <c r="D6623" s="60" t="s">
        <v>19728</v>
      </c>
    </row>
    <row r="6624" spans="2:4" x14ac:dyDescent="0.35">
      <c r="B6624" s="60" t="s">
        <v>19729</v>
      </c>
      <c r="C6624" s="60" t="s">
        <v>19730</v>
      </c>
      <c r="D6624" s="60" t="s">
        <v>19731</v>
      </c>
    </row>
    <row r="6625" spans="2:4" x14ac:dyDescent="0.35">
      <c r="B6625" s="60" t="s">
        <v>19732</v>
      </c>
      <c r="C6625" s="60" t="s">
        <v>19733</v>
      </c>
      <c r="D6625" s="60" t="s">
        <v>19734</v>
      </c>
    </row>
    <row r="6626" spans="2:4" x14ac:dyDescent="0.35">
      <c r="B6626" s="60" t="s">
        <v>19735</v>
      </c>
      <c r="C6626" s="60" t="s">
        <v>19736</v>
      </c>
      <c r="D6626" s="60" t="s">
        <v>19737</v>
      </c>
    </row>
    <row r="6627" spans="2:4" x14ac:dyDescent="0.35">
      <c r="B6627" s="60" t="s">
        <v>19738</v>
      </c>
      <c r="C6627" s="60" t="s">
        <v>19739</v>
      </c>
      <c r="D6627" s="60" t="s">
        <v>19740</v>
      </c>
    </row>
    <row r="6628" spans="2:4" x14ac:dyDescent="0.35">
      <c r="B6628" s="60" t="s">
        <v>19741</v>
      </c>
      <c r="C6628" s="60" t="s">
        <v>19742</v>
      </c>
      <c r="D6628" s="60" t="s">
        <v>19743</v>
      </c>
    </row>
    <row r="6629" spans="2:4" x14ac:dyDescent="0.35">
      <c r="B6629" s="60" t="s">
        <v>19744</v>
      </c>
      <c r="C6629" s="60" t="s">
        <v>19745</v>
      </c>
      <c r="D6629" s="60" t="s">
        <v>19746</v>
      </c>
    </row>
    <row r="6630" spans="2:4" x14ac:dyDescent="0.35">
      <c r="B6630" s="60" t="s">
        <v>19747</v>
      </c>
      <c r="C6630" s="60" t="s">
        <v>19748</v>
      </c>
      <c r="D6630" s="60" t="s">
        <v>19749</v>
      </c>
    </row>
    <row r="6631" spans="2:4" x14ac:dyDescent="0.35">
      <c r="B6631" s="60" t="s">
        <v>19750</v>
      </c>
      <c r="C6631" s="60" t="s">
        <v>19751</v>
      </c>
      <c r="D6631" s="60" t="s">
        <v>19752</v>
      </c>
    </row>
    <row r="6632" spans="2:4" x14ac:dyDescent="0.35">
      <c r="B6632" s="60" t="s">
        <v>19753</v>
      </c>
      <c r="C6632" s="60" t="s">
        <v>19754</v>
      </c>
      <c r="D6632" s="60" t="s">
        <v>19755</v>
      </c>
    </row>
    <row r="6633" spans="2:4" x14ac:dyDescent="0.35">
      <c r="B6633" s="60" t="s">
        <v>19756</v>
      </c>
      <c r="C6633" s="60" t="s">
        <v>19757</v>
      </c>
      <c r="D6633" s="60" t="s">
        <v>19758</v>
      </c>
    </row>
    <row r="6634" spans="2:4" x14ac:dyDescent="0.35">
      <c r="B6634" s="60" t="s">
        <v>19759</v>
      </c>
      <c r="C6634" s="60" t="s">
        <v>19760</v>
      </c>
      <c r="D6634" s="60" t="s">
        <v>19761</v>
      </c>
    </row>
    <row r="6635" spans="2:4" x14ac:dyDescent="0.35">
      <c r="B6635" s="60" t="s">
        <v>19759</v>
      </c>
      <c r="C6635" s="60" t="s">
        <v>19762</v>
      </c>
      <c r="D6635" s="60" t="s">
        <v>19763</v>
      </c>
    </row>
    <row r="6636" spans="2:4" x14ac:dyDescent="0.35">
      <c r="B6636" s="60" t="s">
        <v>19764</v>
      </c>
      <c r="C6636" s="60" t="s">
        <v>19765</v>
      </c>
      <c r="D6636" s="60" t="s">
        <v>19766</v>
      </c>
    </row>
    <row r="6637" spans="2:4" x14ac:dyDescent="0.35">
      <c r="B6637" s="60" t="s">
        <v>19767</v>
      </c>
      <c r="C6637" s="60" t="s">
        <v>19768</v>
      </c>
      <c r="D6637" s="60" t="s">
        <v>19769</v>
      </c>
    </row>
    <row r="6638" spans="2:4" x14ac:dyDescent="0.35">
      <c r="B6638" s="60" t="s">
        <v>19770</v>
      </c>
      <c r="C6638" s="60" t="s">
        <v>19771</v>
      </c>
      <c r="D6638" s="60" t="s">
        <v>19772</v>
      </c>
    </row>
    <row r="6639" spans="2:4" x14ac:dyDescent="0.35">
      <c r="B6639" s="60" t="s">
        <v>19773</v>
      </c>
      <c r="C6639" s="60" t="s">
        <v>19774</v>
      </c>
      <c r="D6639" s="60" t="s">
        <v>19775</v>
      </c>
    </row>
    <row r="6640" spans="2:4" x14ac:dyDescent="0.35">
      <c r="B6640" s="60" t="s">
        <v>19776</v>
      </c>
      <c r="C6640" s="60" t="s">
        <v>19777</v>
      </c>
      <c r="D6640" s="60" t="s">
        <v>19778</v>
      </c>
    </row>
    <row r="6641" spans="2:4" x14ac:dyDescent="0.35">
      <c r="B6641" s="60" t="s">
        <v>19779</v>
      </c>
      <c r="C6641" s="60" t="s">
        <v>19780</v>
      </c>
      <c r="D6641" s="60" t="s">
        <v>19781</v>
      </c>
    </row>
    <row r="6642" spans="2:4" x14ac:dyDescent="0.35">
      <c r="B6642" s="60" t="s">
        <v>19782</v>
      </c>
      <c r="C6642" s="60" t="s">
        <v>19783</v>
      </c>
      <c r="D6642" s="60" t="s">
        <v>19784</v>
      </c>
    </row>
    <row r="6643" spans="2:4" x14ac:dyDescent="0.35">
      <c r="B6643" s="60" t="s">
        <v>19785</v>
      </c>
      <c r="C6643" s="60" t="s">
        <v>19786</v>
      </c>
      <c r="D6643" s="60" t="s">
        <v>19787</v>
      </c>
    </row>
    <row r="6644" spans="2:4" x14ac:dyDescent="0.35">
      <c r="B6644" s="60" t="s">
        <v>19788</v>
      </c>
      <c r="C6644" s="60" t="s">
        <v>19789</v>
      </c>
      <c r="D6644" s="60" t="s">
        <v>19790</v>
      </c>
    </row>
    <row r="6645" spans="2:4" x14ac:dyDescent="0.35">
      <c r="B6645" s="60" t="s">
        <v>19791</v>
      </c>
      <c r="C6645" s="60" t="s">
        <v>19792</v>
      </c>
      <c r="D6645" s="60" t="s">
        <v>19793</v>
      </c>
    </row>
    <row r="6646" spans="2:4" x14ac:dyDescent="0.35">
      <c r="B6646" s="60" t="s">
        <v>19794</v>
      </c>
      <c r="C6646" s="60" t="s">
        <v>19795</v>
      </c>
      <c r="D6646" s="60" t="s">
        <v>19796</v>
      </c>
    </row>
    <row r="6647" spans="2:4" x14ac:dyDescent="0.35">
      <c r="B6647" s="60" t="s">
        <v>19797</v>
      </c>
      <c r="C6647" s="60" t="s">
        <v>19798</v>
      </c>
      <c r="D6647" s="60" t="s">
        <v>19799</v>
      </c>
    </row>
    <row r="6648" spans="2:4" x14ac:dyDescent="0.35">
      <c r="B6648" s="60" t="s">
        <v>19800</v>
      </c>
      <c r="C6648" s="60" t="s">
        <v>19801</v>
      </c>
      <c r="D6648" s="60" t="s">
        <v>19802</v>
      </c>
    </row>
    <row r="6649" spans="2:4" x14ac:dyDescent="0.35">
      <c r="B6649" s="60" t="s">
        <v>19803</v>
      </c>
      <c r="C6649" s="60" t="s">
        <v>19804</v>
      </c>
      <c r="D6649" s="60" t="s">
        <v>19805</v>
      </c>
    </row>
    <row r="6650" spans="2:4" x14ac:dyDescent="0.35">
      <c r="B6650" s="60" t="s">
        <v>19806</v>
      </c>
      <c r="C6650" s="60" t="s">
        <v>19807</v>
      </c>
      <c r="D6650" s="60" t="s">
        <v>19808</v>
      </c>
    </row>
    <row r="6651" spans="2:4" x14ac:dyDescent="0.35">
      <c r="B6651" s="60" t="s">
        <v>19809</v>
      </c>
      <c r="C6651" s="60" t="s">
        <v>19810</v>
      </c>
      <c r="D6651" s="60" t="s">
        <v>19811</v>
      </c>
    </row>
    <row r="6652" spans="2:4" x14ac:dyDescent="0.35">
      <c r="B6652" s="60" t="s">
        <v>19812</v>
      </c>
      <c r="C6652" s="60" t="s">
        <v>19813</v>
      </c>
      <c r="D6652" s="60" t="s">
        <v>19814</v>
      </c>
    </row>
    <row r="6653" spans="2:4" x14ac:dyDescent="0.35">
      <c r="B6653" s="60" t="s">
        <v>19815</v>
      </c>
      <c r="C6653" s="60" t="s">
        <v>19816</v>
      </c>
      <c r="D6653" s="60" t="s">
        <v>19817</v>
      </c>
    </row>
    <row r="6654" spans="2:4" x14ac:dyDescent="0.35">
      <c r="B6654" s="60" t="s">
        <v>19818</v>
      </c>
      <c r="C6654" s="60" t="s">
        <v>19819</v>
      </c>
      <c r="D6654" s="60" t="s">
        <v>19820</v>
      </c>
    </row>
    <row r="6655" spans="2:4" x14ac:dyDescent="0.35">
      <c r="B6655" s="60" t="s">
        <v>19821</v>
      </c>
      <c r="C6655" s="60" t="s">
        <v>19822</v>
      </c>
      <c r="D6655" s="60" t="s">
        <v>19823</v>
      </c>
    </row>
    <row r="6656" spans="2:4" x14ac:dyDescent="0.35">
      <c r="B6656" s="60" t="s">
        <v>19824</v>
      </c>
      <c r="C6656" s="60" t="s">
        <v>19825</v>
      </c>
      <c r="D6656" s="60" t="s">
        <v>19826</v>
      </c>
    </row>
    <row r="6657" spans="2:4" x14ac:dyDescent="0.35">
      <c r="B6657" s="60" t="s">
        <v>19827</v>
      </c>
      <c r="C6657" s="60" t="s">
        <v>19828</v>
      </c>
      <c r="D6657" s="60" t="s">
        <v>19829</v>
      </c>
    </row>
    <row r="6658" spans="2:4" x14ac:dyDescent="0.35">
      <c r="B6658" s="60" t="s">
        <v>19830</v>
      </c>
      <c r="C6658" s="60" t="s">
        <v>19831</v>
      </c>
      <c r="D6658" s="60" t="s">
        <v>19832</v>
      </c>
    </row>
    <row r="6659" spans="2:4" x14ac:dyDescent="0.35">
      <c r="B6659" s="60" t="s">
        <v>19833</v>
      </c>
      <c r="C6659" s="60" t="s">
        <v>19834</v>
      </c>
      <c r="D6659" s="60" t="s">
        <v>19835</v>
      </c>
    </row>
    <row r="6660" spans="2:4" x14ac:dyDescent="0.35">
      <c r="B6660" s="60" t="s">
        <v>19836</v>
      </c>
      <c r="C6660" s="60" t="s">
        <v>19837</v>
      </c>
      <c r="D6660" s="60" t="s">
        <v>19838</v>
      </c>
    </row>
    <row r="6661" spans="2:4" x14ac:dyDescent="0.35">
      <c r="B6661" s="60" t="s">
        <v>19839</v>
      </c>
      <c r="C6661" s="60" t="s">
        <v>19840</v>
      </c>
      <c r="D6661" s="60" t="s">
        <v>19841</v>
      </c>
    </row>
    <row r="6662" spans="2:4" x14ac:dyDescent="0.35">
      <c r="B6662" s="60" t="s">
        <v>19842</v>
      </c>
      <c r="C6662" s="60" t="s">
        <v>19843</v>
      </c>
      <c r="D6662" s="60" t="s">
        <v>19844</v>
      </c>
    </row>
    <row r="6663" spans="2:4" x14ac:dyDescent="0.35">
      <c r="B6663" s="60" t="s">
        <v>19845</v>
      </c>
      <c r="C6663" s="60" t="s">
        <v>19846</v>
      </c>
      <c r="D6663" s="60" t="s">
        <v>19847</v>
      </c>
    </row>
    <row r="6664" spans="2:4" x14ac:dyDescent="0.35">
      <c r="B6664" s="60" t="s">
        <v>19848</v>
      </c>
      <c r="C6664" s="60" t="s">
        <v>19849</v>
      </c>
      <c r="D6664" s="60" t="s">
        <v>19850</v>
      </c>
    </row>
    <row r="6665" spans="2:4" x14ac:dyDescent="0.35">
      <c r="B6665" s="60" t="s">
        <v>19851</v>
      </c>
      <c r="C6665" s="60" t="s">
        <v>19852</v>
      </c>
      <c r="D6665" s="60" t="s">
        <v>19853</v>
      </c>
    </row>
    <row r="6666" spans="2:4" x14ac:dyDescent="0.35">
      <c r="B6666" s="60" t="s">
        <v>19851</v>
      </c>
      <c r="C6666" s="60" t="s">
        <v>10358</v>
      </c>
      <c r="D6666" s="60" t="s">
        <v>19854</v>
      </c>
    </row>
    <row r="6667" spans="2:4" x14ac:dyDescent="0.35">
      <c r="B6667" s="60" t="s">
        <v>19855</v>
      </c>
      <c r="C6667" s="60" t="s">
        <v>19856</v>
      </c>
      <c r="D6667" s="60" t="s">
        <v>19857</v>
      </c>
    </row>
    <row r="6668" spans="2:4" x14ac:dyDescent="0.35">
      <c r="B6668" s="60" t="s">
        <v>19858</v>
      </c>
      <c r="C6668" s="60" t="s">
        <v>19859</v>
      </c>
      <c r="D6668" s="60" t="s">
        <v>19860</v>
      </c>
    </row>
    <row r="6669" spans="2:4" x14ac:dyDescent="0.35">
      <c r="B6669" s="60" t="s">
        <v>19861</v>
      </c>
      <c r="C6669" s="60" t="s">
        <v>19862</v>
      </c>
      <c r="D6669" s="60" t="s">
        <v>19863</v>
      </c>
    </row>
    <row r="6670" spans="2:4" x14ac:dyDescent="0.35">
      <c r="B6670" s="60" t="s">
        <v>19864</v>
      </c>
      <c r="C6670" s="60" t="s">
        <v>19865</v>
      </c>
      <c r="D6670" s="60" t="s">
        <v>19866</v>
      </c>
    </row>
    <row r="6671" spans="2:4" x14ac:dyDescent="0.35">
      <c r="B6671" s="60" t="s">
        <v>19867</v>
      </c>
      <c r="C6671" s="60" t="s">
        <v>19868</v>
      </c>
      <c r="D6671" s="60" t="s">
        <v>19869</v>
      </c>
    </row>
    <row r="6672" spans="2:4" x14ac:dyDescent="0.35">
      <c r="B6672" s="60" t="s">
        <v>19870</v>
      </c>
      <c r="C6672" s="60" t="s">
        <v>19871</v>
      </c>
      <c r="D6672" s="60" t="s">
        <v>19872</v>
      </c>
    </row>
    <row r="6673" spans="2:4" x14ac:dyDescent="0.35">
      <c r="B6673" s="60" t="s">
        <v>19873</v>
      </c>
      <c r="C6673" s="60" t="s">
        <v>19874</v>
      </c>
      <c r="D6673" s="60" t="s">
        <v>19875</v>
      </c>
    </row>
    <row r="6674" spans="2:4" x14ac:dyDescent="0.35">
      <c r="B6674" s="60" t="s">
        <v>19876</v>
      </c>
      <c r="C6674" s="60" t="s">
        <v>19877</v>
      </c>
      <c r="D6674" s="60" t="s">
        <v>19878</v>
      </c>
    </row>
    <row r="6675" spans="2:4" x14ac:dyDescent="0.35">
      <c r="B6675" s="60" t="s">
        <v>19879</v>
      </c>
      <c r="C6675" s="60" t="s">
        <v>19880</v>
      </c>
      <c r="D6675" s="60" t="s">
        <v>19881</v>
      </c>
    </row>
    <row r="6676" spans="2:4" x14ac:dyDescent="0.35">
      <c r="B6676" s="60" t="s">
        <v>19882</v>
      </c>
      <c r="C6676" s="60" t="s">
        <v>19883</v>
      </c>
      <c r="D6676" s="60" t="s">
        <v>19884</v>
      </c>
    </row>
    <row r="6677" spans="2:4" x14ac:dyDescent="0.35">
      <c r="B6677" s="60" t="s">
        <v>19885</v>
      </c>
      <c r="C6677" s="60" t="s">
        <v>19886</v>
      </c>
      <c r="D6677" s="60" t="s">
        <v>19887</v>
      </c>
    </row>
    <row r="6678" spans="2:4" x14ac:dyDescent="0.35">
      <c r="B6678" s="60" t="s">
        <v>19888</v>
      </c>
      <c r="C6678" s="60" t="s">
        <v>19889</v>
      </c>
      <c r="D6678" s="60" t="s">
        <v>19890</v>
      </c>
    </row>
    <row r="6679" spans="2:4" x14ac:dyDescent="0.35">
      <c r="B6679" s="60" t="s">
        <v>19891</v>
      </c>
      <c r="C6679" s="60" t="s">
        <v>19892</v>
      </c>
      <c r="D6679" s="60" t="s">
        <v>19893</v>
      </c>
    </row>
    <row r="6680" spans="2:4" x14ac:dyDescent="0.35">
      <c r="B6680" s="60" t="s">
        <v>19894</v>
      </c>
      <c r="C6680" s="60" t="s">
        <v>19895</v>
      </c>
      <c r="D6680" s="60" t="s">
        <v>19896</v>
      </c>
    </row>
    <row r="6681" spans="2:4" x14ac:dyDescent="0.35">
      <c r="B6681" s="60" t="s">
        <v>19897</v>
      </c>
      <c r="C6681" s="60" t="s">
        <v>19898</v>
      </c>
      <c r="D6681" s="60" t="s">
        <v>19899</v>
      </c>
    </row>
    <row r="6682" spans="2:4" x14ac:dyDescent="0.35">
      <c r="B6682" s="60" t="s">
        <v>19900</v>
      </c>
      <c r="C6682" s="60" t="s">
        <v>19901</v>
      </c>
      <c r="D6682" s="60" t="s">
        <v>19902</v>
      </c>
    </row>
    <row r="6683" spans="2:4" x14ac:dyDescent="0.35">
      <c r="B6683" s="60" t="s">
        <v>19903</v>
      </c>
      <c r="C6683" s="60" t="s">
        <v>19904</v>
      </c>
      <c r="D6683" s="60" t="s">
        <v>19905</v>
      </c>
    </row>
    <row r="6684" spans="2:4" x14ac:dyDescent="0.35">
      <c r="B6684" s="60" t="s">
        <v>19906</v>
      </c>
      <c r="C6684" s="60" t="s">
        <v>19907</v>
      </c>
      <c r="D6684" s="60" t="s">
        <v>19908</v>
      </c>
    </row>
    <row r="6685" spans="2:4" x14ac:dyDescent="0.35">
      <c r="B6685" s="60" t="s">
        <v>19909</v>
      </c>
      <c r="C6685" s="60" t="s">
        <v>19910</v>
      </c>
      <c r="D6685" s="60" t="s">
        <v>19911</v>
      </c>
    </row>
    <row r="6686" spans="2:4" x14ac:dyDescent="0.35">
      <c r="B6686" s="60" t="s">
        <v>19912</v>
      </c>
      <c r="C6686" s="60" t="s">
        <v>19913</v>
      </c>
      <c r="D6686" s="60" t="s">
        <v>19914</v>
      </c>
    </row>
    <row r="6687" spans="2:4" x14ac:dyDescent="0.35">
      <c r="B6687" s="60" t="s">
        <v>19915</v>
      </c>
      <c r="C6687" s="60" t="s">
        <v>19916</v>
      </c>
      <c r="D6687" s="60" t="s">
        <v>19917</v>
      </c>
    </row>
    <row r="6688" spans="2:4" x14ac:dyDescent="0.35">
      <c r="B6688" s="60" t="s">
        <v>19918</v>
      </c>
      <c r="C6688" s="60" t="s">
        <v>19919</v>
      </c>
      <c r="D6688" s="60" t="s">
        <v>19920</v>
      </c>
    </row>
    <row r="6689" spans="2:4" x14ac:dyDescent="0.35">
      <c r="B6689" s="60" t="s">
        <v>19921</v>
      </c>
      <c r="C6689" s="60" t="s">
        <v>19922</v>
      </c>
      <c r="D6689" s="60" t="s">
        <v>19923</v>
      </c>
    </row>
    <row r="6690" spans="2:4" x14ac:dyDescent="0.35">
      <c r="B6690" s="60" t="s">
        <v>19924</v>
      </c>
      <c r="C6690" s="60" t="s">
        <v>19925</v>
      </c>
      <c r="D6690" s="60" t="s">
        <v>19926</v>
      </c>
    </row>
    <row r="6691" spans="2:4" x14ac:dyDescent="0.35">
      <c r="B6691" s="60" t="s">
        <v>19927</v>
      </c>
      <c r="C6691" s="60" t="s">
        <v>19928</v>
      </c>
      <c r="D6691" s="60" t="s">
        <v>19929</v>
      </c>
    </row>
    <row r="6692" spans="2:4" x14ac:dyDescent="0.35">
      <c r="B6692" s="60" t="s">
        <v>19930</v>
      </c>
      <c r="C6692" s="60" t="s">
        <v>19931</v>
      </c>
      <c r="D6692" s="60" t="s">
        <v>19932</v>
      </c>
    </row>
    <row r="6693" spans="2:4" x14ac:dyDescent="0.35">
      <c r="B6693" s="60" t="s">
        <v>19933</v>
      </c>
      <c r="C6693" s="60" t="s">
        <v>19934</v>
      </c>
      <c r="D6693" s="60" t="s">
        <v>19935</v>
      </c>
    </row>
    <row r="6694" spans="2:4" x14ac:dyDescent="0.35">
      <c r="B6694" s="60" t="s">
        <v>19936</v>
      </c>
      <c r="C6694" s="60" t="s">
        <v>19937</v>
      </c>
      <c r="D6694" s="60" t="s">
        <v>19938</v>
      </c>
    </row>
    <row r="6695" spans="2:4" x14ac:dyDescent="0.35">
      <c r="B6695" s="60" t="s">
        <v>19939</v>
      </c>
      <c r="C6695" s="60" t="s">
        <v>19940</v>
      </c>
      <c r="D6695" s="60" t="s">
        <v>19941</v>
      </c>
    </row>
    <row r="6696" spans="2:4" x14ac:dyDescent="0.35">
      <c r="B6696" s="60" t="s">
        <v>19942</v>
      </c>
      <c r="C6696" s="60" t="s">
        <v>19943</v>
      </c>
      <c r="D6696" s="60" t="s">
        <v>19944</v>
      </c>
    </row>
    <row r="6697" spans="2:4" x14ac:dyDescent="0.35">
      <c r="B6697" s="60" t="s">
        <v>19945</v>
      </c>
      <c r="C6697" s="60" t="s">
        <v>19946</v>
      </c>
      <c r="D6697" s="60" t="s">
        <v>19947</v>
      </c>
    </row>
    <row r="6698" spans="2:4" x14ac:dyDescent="0.35">
      <c r="B6698" s="60" t="s">
        <v>19948</v>
      </c>
      <c r="C6698" s="60" t="s">
        <v>19949</v>
      </c>
      <c r="D6698" s="60" t="s">
        <v>19950</v>
      </c>
    </row>
    <row r="6699" spans="2:4" x14ac:dyDescent="0.35">
      <c r="B6699" s="60" t="s">
        <v>19951</v>
      </c>
      <c r="C6699" s="60" t="s">
        <v>19952</v>
      </c>
      <c r="D6699" s="60" t="s">
        <v>19953</v>
      </c>
    </row>
    <row r="6700" spans="2:4" x14ac:dyDescent="0.35">
      <c r="B6700" s="60" t="s">
        <v>19954</v>
      </c>
      <c r="C6700" s="60" t="s">
        <v>19955</v>
      </c>
      <c r="D6700" s="60" t="s">
        <v>19956</v>
      </c>
    </row>
    <row r="6701" spans="2:4" x14ac:dyDescent="0.35">
      <c r="B6701" s="60" t="s">
        <v>19957</v>
      </c>
      <c r="C6701" s="60" t="s">
        <v>19958</v>
      </c>
      <c r="D6701" s="60" t="s">
        <v>19959</v>
      </c>
    </row>
    <row r="6702" spans="2:4" x14ac:dyDescent="0.35">
      <c r="B6702" s="60" t="s">
        <v>19960</v>
      </c>
      <c r="C6702" s="60" t="s">
        <v>19961</v>
      </c>
      <c r="D6702" s="60" t="s">
        <v>19962</v>
      </c>
    </row>
    <row r="6703" spans="2:4" x14ac:dyDescent="0.35">
      <c r="B6703" s="60" t="s">
        <v>19963</v>
      </c>
      <c r="C6703" s="60" t="s">
        <v>19964</v>
      </c>
      <c r="D6703" s="60" t="s">
        <v>19965</v>
      </c>
    </row>
    <row r="6704" spans="2:4" x14ac:dyDescent="0.35">
      <c r="B6704" s="60" t="s">
        <v>19966</v>
      </c>
      <c r="C6704" s="60" t="s">
        <v>19967</v>
      </c>
      <c r="D6704" s="60" t="s">
        <v>19968</v>
      </c>
    </row>
    <row r="6705" spans="2:4" x14ac:dyDescent="0.35">
      <c r="B6705" s="60" t="s">
        <v>19969</v>
      </c>
      <c r="C6705" s="60" t="s">
        <v>19970</v>
      </c>
      <c r="D6705" s="60" t="s">
        <v>19971</v>
      </c>
    </row>
    <row r="6706" spans="2:4" x14ac:dyDescent="0.35">
      <c r="B6706" s="60" t="s">
        <v>19972</v>
      </c>
      <c r="C6706" s="60" t="s">
        <v>19973</v>
      </c>
      <c r="D6706" s="60" t="s">
        <v>19974</v>
      </c>
    </row>
    <row r="6707" spans="2:4" x14ac:dyDescent="0.35">
      <c r="B6707" s="60" t="s">
        <v>19975</v>
      </c>
      <c r="C6707" s="60" t="s">
        <v>19976</v>
      </c>
      <c r="D6707" s="60" t="s">
        <v>19977</v>
      </c>
    </row>
    <row r="6708" spans="2:4" x14ac:dyDescent="0.35">
      <c r="B6708" s="60" t="s">
        <v>19978</v>
      </c>
      <c r="C6708" s="60" t="s">
        <v>19979</v>
      </c>
      <c r="D6708" s="60" t="s">
        <v>6808</v>
      </c>
    </row>
    <row r="6709" spans="2:4" x14ac:dyDescent="0.35">
      <c r="B6709" s="60" t="s">
        <v>19980</v>
      </c>
      <c r="C6709" s="60" t="s">
        <v>19981</v>
      </c>
      <c r="D6709" s="60" t="s">
        <v>19982</v>
      </c>
    </row>
    <row r="6710" spans="2:4" x14ac:dyDescent="0.35">
      <c r="B6710" s="60" t="s">
        <v>19983</v>
      </c>
      <c r="C6710" s="60" t="s">
        <v>19984</v>
      </c>
      <c r="D6710" s="60" t="s">
        <v>19985</v>
      </c>
    </row>
    <row r="6711" spans="2:4" x14ac:dyDescent="0.35">
      <c r="B6711" s="60" t="s">
        <v>19986</v>
      </c>
      <c r="C6711" s="60" t="s">
        <v>19987</v>
      </c>
      <c r="D6711" s="60" t="s">
        <v>19988</v>
      </c>
    </row>
    <row r="6712" spans="2:4" x14ac:dyDescent="0.35">
      <c r="B6712" s="60" t="s">
        <v>19989</v>
      </c>
      <c r="C6712" s="60" t="s">
        <v>19990</v>
      </c>
      <c r="D6712" s="60" t="s">
        <v>19991</v>
      </c>
    </row>
    <row r="6713" spans="2:4" x14ac:dyDescent="0.35">
      <c r="B6713" s="60" t="s">
        <v>19989</v>
      </c>
      <c r="C6713" s="60" t="s">
        <v>19992</v>
      </c>
      <c r="D6713" s="60" t="s">
        <v>19993</v>
      </c>
    </row>
    <row r="6714" spans="2:4" x14ac:dyDescent="0.35">
      <c r="B6714" s="60" t="s">
        <v>19994</v>
      </c>
      <c r="C6714" s="60" t="s">
        <v>19995</v>
      </c>
      <c r="D6714" s="60" t="s">
        <v>19996</v>
      </c>
    </row>
    <row r="6715" spans="2:4" x14ac:dyDescent="0.35">
      <c r="B6715" s="60" t="s">
        <v>19997</v>
      </c>
      <c r="C6715" s="60" t="s">
        <v>19998</v>
      </c>
      <c r="D6715" s="60" t="s">
        <v>19999</v>
      </c>
    </row>
    <row r="6716" spans="2:4" x14ac:dyDescent="0.35">
      <c r="B6716" s="60" t="s">
        <v>20000</v>
      </c>
      <c r="C6716" s="60" t="s">
        <v>20001</v>
      </c>
      <c r="D6716" s="60" t="s">
        <v>20002</v>
      </c>
    </row>
    <row r="6717" spans="2:4" x14ac:dyDescent="0.35">
      <c r="B6717" s="60" t="s">
        <v>20003</v>
      </c>
      <c r="C6717" s="60" t="s">
        <v>20004</v>
      </c>
      <c r="D6717" s="60" t="s">
        <v>20005</v>
      </c>
    </row>
    <row r="6718" spans="2:4" x14ac:dyDescent="0.35">
      <c r="B6718" s="60" t="s">
        <v>20006</v>
      </c>
      <c r="C6718" s="60" t="s">
        <v>20007</v>
      </c>
      <c r="D6718" s="60" t="s">
        <v>20008</v>
      </c>
    </row>
    <row r="6719" spans="2:4" x14ac:dyDescent="0.35">
      <c r="B6719" s="60" t="s">
        <v>20009</v>
      </c>
      <c r="C6719" s="60" t="s">
        <v>20010</v>
      </c>
      <c r="D6719" s="60" t="s">
        <v>20011</v>
      </c>
    </row>
    <row r="6720" spans="2:4" x14ac:dyDescent="0.35">
      <c r="B6720" s="60" t="s">
        <v>20012</v>
      </c>
      <c r="C6720" s="60" t="s">
        <v>20013</v>
      </c>
      <c r="D6720" s="60" t="s">
        <v>20014</v>
      </c>
    </row>
    <row r="6721" spans="2:4" x14ac:dyDescent="0.35">
      <c r="B6721" s="60" t="s">
        <v>20015</v>
      </c>
      <c r="C6721" s="60" t="s">
        <v>20016</v>
      </c>
      <c r="D6721" s="60" t="s">
        <v>20017</v>
      </c>
    </row>
    <row r="6722" spans="2:4" x14ac:dyDescent="0.35">
      <c r="B6722" s="60" t="s">
        <v>20018</v>
      </c>
      <c r="C6722" s="60" t="s">
        <v>20019</v>
      </c>
      <c r="D6722" s="60" t="s">
        <v>20020</v>
      </c>
    </row>
    <row r="6723" spans="2:4" x14ac:dyDescent="0.35">
      <c r="B6723" s="60" t="s">
        <v>20021</v>
      </c>
      <c r="C6723" s="60" t="s">
        <v>20022</v>
      </c>
      <c r="D6723" s="60" t="s">
        <v>20023</v>
      </c>
    </row>
    <row r="6724" spans="2:4" x14ac:dyDescent="0.35">
      <c r="B6724" s="60" t="s">
        <v>20024</v>
      </c>
      <c r="C6724" s="60" t="s">
        <v>20025</v>
      </c>
      <c r="D6724" s="60" t="s">
        <v>20026</v>
      </c>
    </row>
    <row r="6725" spans="2:4" x14ac:dyDescent="0.35">
      <c r="B6725" s="60" t="s">
        <v>20027</v>
      </c>
      <c r="C6725" s="60" t="s">
        <v>20028</v>
      </c>
      <c r="D6725" s="60" t="s">
        <v>20029</v>
      </c>
    </row>
    <row r="6726" spans="2:4" x14ac:dyDescent="0.35">
      <c r="B6726" s="60" t="s">
        <v>20030</v>
      </c>
      <c r="C6726" s="60" t="s">
        <v>20031</v>
      </c>
      <c r="D6726" s="60" t="s">
        <v>20032</v>
      </c>
    </row>
    <row r="6727" spans="2:4" x14ac:dyDescent="0.35">
      <c r="B6727" s="60" t="s">
        <v>20033</v>
      </c>
      <c r="C6727" s="60" t="s">
        <v>20034</v>
      </c>
      <c r="D6727" s="60" t="s">
        <v>20035</v>
      </c>
    </row>
    <row r="6728" spans="2:4" x14ac:dyDescent="0.35">
      <c r="B6728" s="60" t="s">
        <v>20036</v>
      </c>
      <c r="C6728" s="60" t="s">
        <v>20037</v>
      </c>
      <c r="D6728" s="60" t="s">
        <v>20038</v>
      </c>
    </row>
    <row r="6729" spans="2:4" x14ac:dyDescent="0.35">
      <c r="B6729" s="60" t="s">
        <v>20039</v>
      </c>
      <c r="C6729" s="60" t="s">
        <v>20040</v>
      </c>
      <c r="D6729" s="60" t="s">
        <v>20041</v>
      </c>
    </row>
    <row r="6730" spans="2:4" x14ac:dyDescent="0.35">
      <c r="B6730" s="60" t="s">
        <v>20039</v>
      </c>
      <c r="C6730" s="60" t="s">
        <v>20042</v>
      </c>
      <c r="D6730" s="60" t="s">
        <v>20043</v>
      </c>
    </row>
    <row r="6731" spans="2:4" x14ac:dyDescent="0.35">
      <c r="B6731" s="60" t="s">
        <v>20044</v>
      </c>
      <c r="C6731" s="60" t="s">
        <v>20045</v>
      </c>
      <c r="D6731" s="60" t="s">
        <v>20046</v>
      </c>
    </row>
    <row r="6732" spans="2:4" x14ac:dyDescent="0.35">
      <c r="B6732" s="60" t="s">
        <v>20047</v>
      </c>
      <c r="C6732" s="60" t="s">
        <v>20048</v>
      </c>
      <c r="D6732" s="60" t="s">
        <v>20049</v>
      </c>
    </row>
    <row r="6733" spans="2:4" x14ac:dyDescent="0.35">
      <c r="B6733" s="60" t="s">
        <v>20050</v>
      </c>
      <c r="C6733" s="60" t="s">
        <v>20051</v>
      </c>
      <c r="D6733" s="60" t="s">
        <v>20052</v>
      </c>
    </row>
    <row r="6734" spans="2:4" x14ac:dyDescent="0.35">
      <c r="B6734" s="60" t="s">
        <v>20053</v>
      </c>
      <c r="C6734" s="60" t="s">
        <v>20054</v>
      </c>
      <c r="D6734" s="60" t="s">
        <v>20055</v>
      </c>
    </row>
    <row r="6735" spans="2:4" x14ac:dyDescent="0.35">
      <c r="B6735" s="60" t="s">
        <v>20056</v>
      </c>
      <c r="C6735" s="60" t="s">
        <v>20057</v>
      </c>
      <c r="D6735" s="60" t="s">
        <v>20058</v>
      </c>
    </row>
    <row r="6736" spans="2:4" x14ac:dyDescent="0.35">
      <c r="B6736" s="60" t="s">
        <v>20059</v>
      </c>
      <c r="C6736" s="60" t="s">
        <v>20060</v>
      </c>
      <c r="D6736" s="60" t="s">
        <v>20061</v>
      </c>
    </row>
    <row r="6737" spans="2:4" x14ac:dyDescent="0.35">
      <c r="B6737" s="60" t="s">
        <v>20062</v>
      </c>
      <c r="C6737" s="60" t="s">
        <v>20063</v>
      </c>
      <c r="D6737" s="60" t="s">
        <v>20064</v>
      </c>
    </row>
    <row r="6738" spans="2:4" x14ac:dyDescent="0.35">
      <c r="B6738" s="60" t="s">
        <v>20065</v>
      </c>
      <c r="C6738" s="60" t="s">
        <v>20066</v>
      </c>
      <c r="D6738" s="60" t="s">
        <v>20067</v>
      </c>
    </row>
    <row r="6739" spans="2:4" x14ac:dyDescent="0.35">
      <c r="B6739" s="60" t="s">
        <v>20065</v>
      </c>
      <c r="C6739" s="60" t="s">
        <v>20068</v>
      </c>
      <c r="D6739" s="60" t="s">
        <v>20069</v>
      </c>
    </row>
    <row r="6740" spans="2:4" x14ac:dyDescent="0.35">
      <c r="B6740" s="60" t="s">
        <v>20070</v>
      </c>
      <c r="C6740" s="60" t="s">
        <v>20071</v>
      </c>
      <c r="D6740" s="60" t="s">
        <v>20072</v>
      </c>
    </row>
    <row r="6741" spans="2:4" x14ac:dyDescent="0.35">
      <c r="B6741" s="60" t="s">
        <v>20073</v>
      </c>
      <c r="C6741" s="60" t="s">
        <v>20074</v>
      </c>
      <c r="D6741" s="60" t="s">
        <v>20075</v>
      </c>
    </row>
    <row r="6742" spans="2:4" x14ac:dyDescent="0.35">
      <c r="B6742" s="60" t="s">
        <v>20076</v>
      </c>
      <c r="C6742" s="60" t="s">
        <v>20077</v>
      </c>
      <c r="D6742" s="60" t="s">
        <v>20078</v>
      </c>
    </row>
    <row r="6743" spans="2:4" x14ac:dyDescent="0.35">
      <c r="B6743" s="60" t="s">
        <v>20079</v>
      </c>
      <c r="C6743" s="60" t="s">
        <v>20080</v>
      </c>
      <c r="D6743" s="60" t="s">
        <v>20081</v>
      </c>
    </row>
    <row r="6744" spans="2:4" x14ac:dyDescent="0.35">
      <c r="B6744" s="60" t="s">
        <v>20082</v>
      </c>
      <c r="C6744" s="60" t="s">
        <v>20083</v>
      </c>
      <c r="D6744" s="60" t="s">
        <v>20084</v>
      </c>
    </row>
    <row r="6745" spans="2:4" x14ac:dyDescent="0.35">
      <c r="B6745" s="60" t="s">
        <v>20085</v>
      </c>
      <c r="C6745" s="60" t="s">
        <v>20086</v>
      </c>
      <c r="D6745" s="60" t="s">
        <v>20087</v>
      </c>
    </row>
    <row r="6746" spans="2:4" x14ac:dyDescent="0.35">
      <c r="B6746" s="60" t="s">
        <v>20088</v>
      </c>
      <c r="C6746" s="60" t="s">
        <v>20089</v>
      </c>
      <c r="D6746" s="60" t="s">
        <v>20090</v>
      </c>
    </row>
    <row r="6747" spans="2:4" x14ac:dyDescent="0.35">
      <c r="B6747" s="60" t="s">
        <v>20091</v>
      </c>
      <c r="C6747" s="60" t="s">
        <v>20092</v>
      </c>
      <c r="D6747" s="60" t="s">
        <v>20093</v>
      </c>
    </row>
    <row r="6748" spans="2:4" x14ac:dyDescent="0.35">
      <c r="B6748" s="60" t="s">
        <v>20094</v>
      </c>
      <c r="C6748" s="60" t="s">
        <v>20095</v>
      </c>
      <c r="D6748" s="60" t="s">
        <v>20096</v>
      </c>
    </row>
    <row r="6749" spans="2:4" x14ac:dyDescent="0.35">
      <c r="B6749" s="60" t="s">
        <v>20097</v>
      </c>
      <c r="C6749" s="60" t="s">
        <v>20098</v>
      </c>
      <c r="D6749" s="60" t="s">
        <v>20099</v>
      </c>
    </row>
    <row r="6750" spans="2:4" x14ac:dyDescent="0.35">
      <c r="B6750" s="60" t="s">
        <v>20100</v>
      </c>
      <c r="C6750" s="60" t="s">
        <v>20101</v>
      </c>
      <c r="D6750" s="60" t="s">
        <v>20102</v>
      </c>
    </row>
    <row r="6751" spans="2:4" x14ac:dyDescent="0.35">
      <c r="B6751" s="60" t="s">
        <v>20103</v>
      </c>
      <c r="C6751" s="60" t="s">
        <v>20104</v>
      </c>
      <c r="D6751" s="60" t="s">
        <v>20105</v>
      </c>
    </row>
    <row r="6752" spans="2:4" x14ac:dyDescent="0.35">
      <c r="B6752" s="60" t="s">
        <v>20106</v>
      </c>
      <c r="C6752" s="60" t="s">
        <v>20107</v>
      </c>
      <c r="D6752" s="60" t="s">
        <v>20108</v>
      </c>
    </row>
    <row r="6753" spans="2:4" x14ac:dyDescent="0.35">
      <c r="B6753" s="60" t="s">
        <v>20109</v>
      </c>
      <c r="C6753" s="60" t="s">
        <v>20110</v>
      </c>
      <c r="D6753" s="60" t="s">
        <v>20111</v>
      </c>
    </row>
    <row r="6754" spans="2:4" x14ac:dyDescent="0.35">
      <c r="B6754" s="60" t="s">
        <v>20112</v>
      </c>
      <c r="C6754" s="60" t="s">
        <v>20113</v>
      </c>
      <c r="D6754" s="60" t="s">
        <v>20114</v>
      </c>
    </row>
    <row r="6755" spans="2:4" x14ac:dyDescent="0.35">
      <c r="B6755" s="60" t="s">
        <v>20115</v>
      </c>
      <c r="C6755" s="60" t="s">
        <v>20116</v>
      </c>
      <c r="D6755" s="60" t="s">
        <v>20117</v>
      </c>
    </row>
    <row r="6756" spans="2:4" x14ac:dyDescent="0.35">
      <c r="B6756" s="60" t="s">
        <v>20118</v>
      </c>
      <c r="C6756" s="60" t="s">
        <v>20119</v>
      </c>
      <c r="D6756" s="60" t="s">
        <v>20120</v>
      </c>
    </row>
    <row r="6757" spans="2:4" x14ac:dyDescent="0.35">
      <c r="B6757" s="60" t="s">
        <v>20121</v>
      </c>
      <c r="C6757" s="60" t="s">
        <v>20122</v>
      </c>
      <c r="D6757" s="60" t="s">
        <v>20123</v>
      </c>
    </row>
    <row r="6758" spans="2:4" x14ac:dyDescent="0.35">
      <c r="B6758" s="60" t="s">
        <v>20124</v>
      </c>
      <c r="C6758" s="60" t="s">
        <v>20125</v>
      </c>
      <c r="D6758" s="60" t="s">
        <v>20126</v>
      </c>
    </row>
    <row r="6759" spans="2:4" x14ac:dyDescent="0.35">
      <c r="B6759" s="60" t="s">
        <v>20127</v>
      </c>
      <c r="C6759" s="60" t="s">
        <v>20128</v>
      </c>
      <c r="D6759" s="60" t="s">
        <v>20129</v>
      </c>
    </row>
    <row r="6760" spans="2:4" x14ac:dyDescent="0.35">
      <c r="B6760" s="60" t="s">
        <v>20130</v>
      </c>
      <c r="C6760" s="60" t="s">
        <v>20131</v>
      </c>
      <c r="D6760" s="60" t="s">
        <v>20132</v>
      </c>
    </row>
    <row r="6761" spans="2:4" x14ac:dyDescent="0.35">
      <c r="B6761" s="60" t="s">
        <v>20133</v>
      </c>
      <c r="C6761" s="60" t="s">
        <v>20134</v>
      </c>
      <c r="D6761" s="60" t="s">
        <v>20135</v>
      </c>
    </row>
    <row r="6762" spans="2:4" x14ac:dyDescent="0.35">
      <c r="B6762" s="60" t="s">
        <v>20136</v>
      </c>
      <c r="C6762" s="60" t="s">
        <v>20137</v>
      </c>
      <c r="D6762" s="60" t="s">
        <v>20138</v>
      </c>
    </row>
    <row r="6763" spans="2:4" x14ac:dyDescent="0.35">
      <c r="B6763" s="60" t="s">
        <v>20139</v>
      </c>
      <c r="C6763" s="60" t="s">
        <v>20140</v>
      </c>
      <c r="D6763" s="60" t="s">
        <v>20141</v>
      </c>
    </row>
    <row r="6764" spans="2:4" x14ac:dyDescent="0.35">
      <c r="B6764" s="60" t="s">
        <v>20142</v>
      </c>
      <c r="C6764" s="60" t="s">
        <v>20143</v>
      </c>
      <c r="D6764" s="60" t="s">
        <v>20144</v>
      </c>
    </row>
    <row r="6765" spans="2:4" x14ac:dyDescent="0.35">
      <c r="B6765" s="60" t="s">
        <v>20145</v>
      </c>
      <c r="C6765" s="60" t="s">
        <v>20146</v>
      </c>
      <c r="D6765" s="60" t="s">
        <v>20147</v>
      </c>
    </row>
    <row r="6766" spans="2:4" x14ac:dyDescent="0.35">
      <c r="B6766" s="60" t="s">
        <v>20148</v>
      </c>
      <c r="C6766" s="60" t="s">
        <v>20149</v>
      </c>
      <c r="D6766" s="60" t="s">
        <v>20150</v>
      </c>
    </row>
    <row r="6767" spans="2:4" x14ac:dyDescent="0.35">
      <c r="B6767" s="60" t="s">
        <v>20151</v>
      </c>
      <c r="C6767" s="60" t="s">
        <v>20152</v>
      </c>
      <c r="D6767" s="60" t="s">
        <v>20153</v>
      </c>
    </row>
    <row r="6768" spans="2:4" x14ac:dyDescent="0.35">
      <c r="B6768" s="60" t="s">
        <v>20154</v>
      </c>
      <c r="C6768" s="60" t="s">
        <v>20155</v>
      </c>
      <c r="D6768" s="60" t="s">
        <v>20156</v>
      </c>
    </row>
    <row r="6769" spans="2:4" x14ac:dyDescent="0.35">
      <c r="B6769" s="60" t="s">
        <v>20154</v>
      </c>
      <c r="C6769" s="60" t="s">
        <v>20157</v>
      </c>
      <c r="D6769" s="60" t="s">
        <v>20158</v>
      </c>
    </row>
    <row r="6770" spans="2:4" x14ac:dyDescent="0.35">
      <c r="B6770" s="60" t="s">
        <v>20159</v>
      </c>
      <c r="C6770" s="60" t="s">
        <v>20160</v>
      </c>
      <c r="D6770" s="60" t="s">
        <v>20161</v>
      </c>
    </row>
    <row r="6771" spans="2:4" x14ac:dyDescent="0.35">
      <c r="B6771" s="60" t="s">
        <v>20162</v>
      </c>
      <c r="C6771" s="60" t="s">
        <v>20163</v>
      </c>
      <c r="D6771" s="60" t="s">
        <v>20164</v>
      </c>
    </row>
    <row r="6772" spans="2:4" x14ac:dyDescent="0.35">
      <c r="B6772" s="60" t="s">
        <v>20165</v>
      </c>
      <c r="C6772" s="60" t="s">
        <v>20166</v>
      </c>
      <c r="D6772" s="60" t="s">
        <v>20167</v>
      </c>
    </row>
    <row r="6773" spans="2:4" x14ac:dyDescent="0.35">
      <c r="B6773" s="60" t="s">
        <v>20168</v>
      </c>
      <c r="C6773" s="60" t="s">
        <v>20169</v>
      </c>
      <c r="D6773" s="60" t="s">
        <v>20170</v>
      </c>
    </row>
    <row r="6774" spans="2:4" x14ac:dyDescent="0.35">
      <c r="B6774" s="60" t="s">
        <v>20171</v>
      </c>
      <c r="C6774" s="60" t="s">
        <v>20172</v>
      </c>
      <c r="D6774" s="60" t="s">
        <v>20173</v>
      </c>
    </row>
    <row r="6775" spans="2:4" x14ac:dyDescent="0.35">
      <c r="B6775" s="60" t="s">
        <v>20174</v>
      </c>
      <c r="C6775" s="60" t="s">
        <v>20175</v>
      </c>
      <c r="D6775" s="60" t="s">
        <v>20176</v>
      </c>
    </row>
    <row r="6776" spans="2:4" x14ac:dyDescent="0.35">
      <c r="B6776" s="60" t="s">
        <v>20177</v>
      </c>
      <c r="C6776" s="60" t="s">
        <v>20178</v>
      </c>
      <c r="D6776" s="60" t="s">
        <v>20179</v>
      </c>
    </row>
    <row r="6777" spans="2:4" x14ac:dyDescent="0.35">
      <c r="B6777" s="60" t="s">
        <v>20180</v>
      </c>
      <c r="C6777" s="60" t="s">
        <v>20181</v>
      </c>
      <c r="D6777" s="60" t="s">
        <v>20182</v>
      </c>
    </row>
    <row r="6778" spans="2:4" x14ac:dyDescent="0.35">
      <c r="B6778" s="60" t="s">
        <v>20183</v>
      </c>
      <c r="C6778" s="60" t="s">
        <v>20184</v>
      </c>
      <c r="D6778" s="60" t="s">
        <v>20185</v>
      </c>
    </row>
    <row r="6779" spans="2:4" x14ac:dyDescent="0.35">
      <c r="B6779" s="60" t="s">
        <v>20186</v>
      </c>
      <c r="C6779" s="60" t="s">
        <v>20187</v>
      </c>
      <c r="D6779" s="60" t="s">
        <v>20188</v>
      </c>
    </row>
    <row r="6780" spans="2:4" x14ac:dyDescent="0.35">
      <c r="B6780" s="60" t="s">
        <v>20189</v>
      </c>
      <c r="C6780" s="60" t="s">
        <v>20190</v>
      </c>
      <c r="D6780" s="60" t="s">
        <v>20191</v>
      </c>
    </row>
    <row r="6781" spans="2:4" x14ac:dyDescent="0.35">
      <c r="B6781" s="60" t="s">
        <v>20192</v>
      </c>
      <c r="C6781" s="60" t="s">
        <v>20193</v>
      </c>
      <c r="D6781" s="60" t="s">
        <v>20194</v>
      </c>
    </row>
    <row r="6782" spans="2:4" x14ac:dyDescent="0.35">
      <c r="B6782" s="60" t="s">
        <v>20195</v>
      </c>
      <c r="C6782" s="60" t="s">
        <v>20196</v>
      </c>
      <c r="D6782" s="60" t="s">
        <v>20197</v>
      </c>
    </row>
    <row r="6783" spans="2:4" x14ac:dyDescent="0.35">
      <c r="B6783" s="60" t="s">
        <v>20198</v>
      </c>
      <c r="C6783" s="60" t="s">
        <v>20199</v>
      </c>
      <c r="D6783" s="60" t="s">
        <v>20200</v>
      </c>
    </row>
    <row r="6784" spans="2:4" x14ac:dyDescent="0.35">
      <c r="B6784" s="60" t="s">
        <v>20201</v>
      </c>
      <c r="C6784" s="60" t="s">
        <v>20202</v>
      </c>
      <c r="D6784" s="60" t="s">
        <v>20203</v>
      </c>
    </row>
    <row r="6785" spans="2:4" x14ac:dyDescent="0.35">
      <c r="B6785" s="60" t="s">
        <v>20204</v>
      </c>
      <c r="C6785" s="60" t="s">
        <v>20205</v>
      </c>
      <c r="D6785" s="60" t="s">
        <v>20206</v>
      </c>
    </row>
    <row r="6786" spans="2:4" x14ac:dyDescent="0.35">
      <c r="B6786" s="60" t="s">
        <v>20207</v>
      </c>
      <c r="C6786" s="60" t="s">
        <v>20208</v>
      </c>
      <c r="D6786" s="60" t="s">
        <v>20209</v>
      </c>
    </row>
    <row r="6787" spans="2:4" x14ac:dyDescent="0.35">
      <c r="B6787" s="60" t="s">
        <v>20210</v>
      </c>
      <c r="C6787" s="60" t="s">
        <v>20211</v>
      </c>
      <c r="D6787" s="60" t="s">
        <v>20212</v>
      </c>
    </row>
    <row r="6788" spans="2:4" x14ac:dyDescent="0.35">
      <c r="B6788" s="60" t="s">
        <v>20213</v>
      </c>
      <c r="C6788" s="60" t="s">
        <v>20214</v>
      </c>
      <c r="D6788" s="60" t="s">
        <v>20215</v>
      </c>
    </row>
    <row r="6789" spans="2:4" x14ac:dyDescent="0.35">
      <c r="B6789" s="60" t="s">
        <v>20216</v>
      </c>
      <c r="C6789" s="60" t="s">
        <v>20217</v>
      </c>
      <c r="D6789" s="60" t="s">
        <v>20218</v>
      </c>
    </row>
    <row r="6790" spans="2:4" x14ac:dyDescent="0.35">
      <c r="B6790" s="60" t="s">
        <v>20219</v>
      </c>
      <c r="C6790" s="60" t="s">
        <v>20219</v>
      </c>
      <c r="D6790" s="60" t="s">
        <v>20220</v>
      </c>
    </row>
    <row r="6791" spans="2:4" x14ac:dyDescent="0.35">
      <c r="B6791" s="60" t="s">
        <v>20221</v>
      </c>
      <c r="C6791" s="60" t="s">
        <v>20222</v>
      </c>
      <c r="D6791" s="60" t="s">
        <v>20223</v>
      </c>
    </row>
    <row r="6792" spans="2:4" x14ac:dyDescent="0.35">
      <c r="B6792" s="60" t="s">
        <v>20224</v>
      </c>
      <c r="C6792" s="60" t="s">
        <v>20225</v>
      </c>
      <c r="D6792" s="60" t="s">
        <v>20226</v>
      </c>
    </row>
    <row r="6793" spans="2:4" x14ac:dyDescent="0.35">
      <c r="B6793" s="60" t="s">
        <v>20227</v>
      </c>
      <c r="C6793" s="60" t="s">
        <v>20228</v>
      </c>
      <c r="D6793" s="60" t="s">
        <v>20229</v>
      </c>
    </row>
    <row r="6794" spans="2:4" x14ac:dyDescent="0.35">
      <c r="B6794" s="60" t="s">
        <v>20230</v>
      </c>
      <c r="C6794" s="60" t="s">
        <v>20231</v>
      </c>
      <c r="D6794" s="60" t="s">
        <v>20232</v>
      </c>
    </row>
    <row r="6795" spans="2:4" x14ac:dyDescent="0.35">
      <c r="B6795" s="60" t="s">
        <v>20233</v>
      </c>
      <c r="C6795" s="60" t="s">
        <v>20234</v>
      </c>
      <c r="D6795" s="60" t="s">
        <v>20235</v>
      </c>
    </row>
    <row r="6796" spans="2:4" x14ac:dyDescent="0.35">
      <c r="B6796" s="60" t="s">
        <v>20236</v>
      </c>
      <c r="C6796" s="60" t="s">
        <v>20237</v>
      </c>
      <c r="D6796" s="60" t="s">
        <v>20238</v>
      </c>
    </row>
    <row r="6797" spans="2:4" x14ac:dyDescent="0.35">
      <c r="B6797" s="60" t="s">
        <v>20239</v>
      </c>
      <c r="C6797" s="60" t="s">
        <v>20240</v>
      </c>
      <c r="D6797" s="60" t="s">
        <v>20241</v>
      </c>
    </row>
    <row r="6798" spans="2:4" x14ac:dyDescent="0.35">
      <c r="B6798" s="60" t="s">
        <v>20242</v>
      </c>
      <c r="C6798" s="60" t="s">
        <v>20243</v>
      </c>
      <c r="D6798" s="60" t="s">
        <v>20244</v>
      </c>
    </row>
    <row r="6799" spans="2:4" x14ac:dyDescent="0.35">
      <c r="B6799" s="60" t="s">
        <v>20245</v>
      </c>
      <c r="C6799" s="60" t="s">
        <v>20246</v>
      </c>
      <c r="D6799" s="60" t="s">
        <v>20247</v>
      </c>
    </row>
    <row r="6800" spans="2:4" x14ac:dyDescent="0.35">
      <c r="B6800" s="60" t="s">
        <v>20248</v>
      </c>
      <c r="C6800" s="60" t="s">
        <v>20249</v>
      </c>
      <c r="D6800" s="60" t="s">
        <v>20250</v>
      </c>
    </row>
    <row r="6801" spans="2:4" x14ac:dyDescent="0.35">
      <c r="B6801" s="60" t="s">
        <v>20251</v>
      </c>
      <c r="C6801" s="60" t="s">
        <v>20252</v>
      </c>
      <c r="D6801" s="60" t="s">
        <v>20253</v>
      </c>
    </row>
    <row r="6802" spans="2:4" x14ac:dyDescent="0.35">
      <c r="B6802" s="60" t="s">
        <v>20254</v>
      </c>
      <c r="C6802" s="60" t="s">
        <v>20255</v>
      </c>
      <c r="D6802" s="60" t="s">
        <v>20256</v>
      </c>
    </row>
    <row r="6803" spans="2:4" x14ac:dyDescent="0.35">
      <c r="B6803" s="60" t="s">
        <v>20257</v>
      </c>
      <c r="C6803" s="60" t="s">
        <v>20258</v>
      </c>
      <c r="D6803" s="60" t="s">
        <v>20259</v>
      </c>
    </row>
    <row r="6804" spans="2:4" x14ac:dyDescent="0.35">
      <c r="B6804" s="60" t="s">
        <v>20260</v>
      </c>
      <c r="C6804" s="60" t="s">
        <v>20261</v>
      </c>
      <c r="D6804" s="60" t="s">
        <v>20262</v>
      </c>
    </row>
    <row r="6805" spans="2:4" x14ac:dyDescent="0.35">
      <c r="B6805" s="60" t="s">
        <v>20263</v>
      </c>
      <c r="C6805" s="60" t="s">
        <v>20264</v>
      </c>
      <c r="D6805" s="60" t="s">
        <v>20265</v>
      </c>
    </row>
    <row r="6806" spans="2:4" x14ac:dyDescent="0.35">
      <c r="B6806" s="60" t="s">
        <v>20266</v>
      </c>
      <c r="C6806" s="60" t="s">
        <v>20267</v>
      </c>
      <c r="D6806" s="60" t="s">
        <v>20268</v>
      </c>
    </row>
    <row r="6807" spans="2:4" x14ac:dyDescent="0.35">
      <c r="B6807" s="60" t="s">
        <v>20269</v>
      </c>
      <c r="C6807" s="60" t="s">
        <v>20270</v>
      </c>
      <c r="D6807" s="60" t="s">
        <v>20271</v>
      </c>
    </row>
    <row r="6808" spans="2:4" x14ac:dyDescent="0.35">
      <c r="B6808" s="60" t="s">
        <v>20272</v>
      </c>
      <c r="C6808" s="60" t="s">
        <v>20273</v>
      </c>
      <c r="D6808" s="60" t="s">
        <v>20274</v>
      </c>
    </row>
    <row r="6809" spans="2:4" x14ac:dyDescent="0.35">
      <c r="B6809" s="60" t="s">
        <v>20275</v>
      </c>
      <c r="C6809" s="60" t="s">
        <v>20276</v>
      </c>
      <c r="D6809" s="60" t="s">
        <v>20277</v>
      </c>
    </row>
    <row r="6810" spans="2:4" x14ac:dyDescent="0.35">
      <c r="B6810" s="60" t="s">
        <v>20278</v>
      </c>
      <c r="C6810" s="60" t="s">
        <v>20279</v>
      </c>
      <c r="D6810" s="60" t="s">
        <v>20280</v>
      </c>
    </row>
    <row r="6811" spans="2:4" x14ac:dyDescent="0.35">
      <c r="B6811" s="60" t="s">
        <v>20281</v>
      </c>
      <c r="C6811" s="60" t="s">
        <v>20282</v>
      </c>
      <c r="D6811" s="60" t="s">
        <v>20283</v>
      </c>
    </row>
    <row r="6812" spans="2:4" x14ac:dyDescent="0.35">
      <c r="B6812" s="60" t="s">
        <v>20284</v>
      </c>
      <c r="C6812" s="60" t="s">
        <v>20285</v>
      </c>
      <c r="D6812" s="60" t="s">
        <v>20286</v>
      </c>
    </row>
    <row r="6813" spans="2:4" x14ac:dyDescent="0.35">
      <c r="B6813" s="60" t="s">
        <v>20287</v>
      </c>
      <c r="C6813" s="60" t="s">
        <v>20288</v>
      </c>
      <c r="D6813" s="60" t="s">
        <v>20289</v>
      </c>
    </row>
    <row r="6814" spans="2:4" x14ac:dyDescent="0.35">
      <c r="B6814" s="60" t="s">
        <v>20290</v>
      </c>
      <c r="C6814" s="60" t="s">
        <v>20291</v>
      </c>
      <c r="D6814" s="60" t="s">
        <v>20292</v>
      </c>
    </row>
    <row r="6815" spans="2:4" x14ac:dyDescent="0.35">
      <c r="B6815" s="60" t="s">
        <v>20293</v>
      </c>
      <c r="C6815" s="60" t="s">
        <v>20294</v>
      </c>
      <c r="D6815" s="60" t="s">
        <v>20295</v>
      </c>
    </row>
    <row r="6816" spans="2:4" x14ac:dyDescent="0.35">
      <c r="B6816" s="60" t="s">
        <v>20296</v>
      </c>
      <c r="C6816" s="60" t="s">
        <v>20297</v>
      </c>
      <c r="D6816" s="60" t="s">
        <v>20298</v>
      </c>
    </row>
    <row r="6817" spans="2:4" x14ac:dyDescent="0.35">
      <c r="B6817" s="60" t="s">
        <v>20299</v>
      </c>
      <c r="C6817" s="60" t="s">
        <v>20300</v>
      </c>
      <c r="D6817" s="60" t="s">
        <v>20301</v>
      </c>
    </row>
    <row r="6818" spans="2:4" x14ac:dyDescent="0.35">
      <c r="B6818" s="60" t="s">
        <v>20302</v>
      </c>
      <c r="C6818" s="60" t="s">
        <v>20303</v>
      </c>
      <c r="D6818" s="60" t="s">
        <v>20304</v>
      </c>
    </row>
    <row r="6819" spans="2:4" x14ac:dyDescent="0.35">
      <c r="B6819" s="60" t="s">
        <v>20305</v>
      </c>
      <c r="C6819" s="60" t="s">
        <v>20306</v>
      </c>
      <c r="D6819" s="60" t="s">
        <v>20307</v>
      </c>
    </row>
    <row r="6820" spans="2:4" x14ac:dyDescent="0.35">
      <c r="B6820" s="60" t="s">
        <v>20308</v>
      </c>
      <c r="C6820" s="60" t="s">
        <v>20309</v>
      </c>
      <c r="D6820" s="60" t="s">
        <v>20310</v>
      </c>
    </row>
    <row r="6821" spans="2:4" x14ac:dyDescent="0.35">
      <c r="B6821" s="60" t="s">
        <v>20311</v>
      </c>
      <c r="C6821" s="60" t="s">
        <v>20312</v>
      </c>
      <c r="D6821" s="60" t="s">
        <v>20313</v>
      </c>
    </row>
    <row r="6822" spans="2:4" x14ac:dyDescent="0.35">
      <c r="B6822" s="60" t="s">
        <v>20314</v>
      </c>
      <c r="C6822" s="60" t="s">
        <v>20315</v>
      </c>
      <c r="D6822" s="60" t="s">
        <v>20316</v>
      </c>
    </row>
    <row r="6823" spans="2:4" x14ac:dyDescent="0.35">
      <c r="B6823" s="60" t="s">
        <v>20317</v>
      </c>
      <c r="C6823" s="60" t="s">
        <v>20318</v>
      </c>
      <c r="D6823" s="60" t="s">
        <v>20319</v>
      </c>
    </row>
    <row r="6824" spans="2:4" x14ac:dyDescent="0.35">
      <c r="B6824" s="60" t="s">
        <v>20320</v>
      </c>
      <c r="C6824" s="60" t="s">
        <v>20321</v>
      </c>
      <c r="D6824" s="60" t="s">
        <v>20322</v>
      </c>
    </row>
    <row r="6825" spans="2:4" x14ac:dyDescent="0.35">
      <c r="B6825" s="60" t="s">
        <v>20323</v>
      </c>
      <c r="C6825" s="60" t="s">
        <v>20324</v>
      </c>
      <c r="D6825" s="60" t="s">
        <v>20325</v>
      </c>
    </row>
    <row r="6826" spans="2:4" x14ac:dyDescent="0.35">
      <c r="B6826" s="60" t="s">
        <v>20326</v>
      </c>
      <c r="C6826" s="60" t="s">
        <v>20327</v>
      </c>
      <c r="D6826" s="60" t="s">
        <v>20328</v>
      </c>
    </row>
    <row r="6827" spans="2:4" x14ac:dyDescent="0.35">
      <c r="B6827" s="60" t="s">
        <v>20329</v>
      </c>
      <c r="C6827" s="60" t="s">
        <v>20330</v>
      </c>
      <c r="D6827" s="60" t="s">
        <v>20331</v>
      </c>
    </row>
    <row r="6828" spans="2:4" x14ac:dyDescent="0.35">
      <c r="B6828" s="60" t="s">
        <v>20332</v>
      </c>
      <c r="C6828" s="60" t="s">
        <v>20333</v>
      </c>
      <c r="D6828" s="60" t="s">
        <v>20334</v>
      </c>
    </row>
    <row r="6829" spans="2:4" x14ac:dyDescent="0.35">
      <c r="B6829" s="60" t="s">
        <v>20335</v>
      </c>
      <c r="C6829" s="60" t="s">
        <v>20336</v>
      </c>
      <c r="D6829" s="60" t="s">
        <v>20337</v>
      </c>
    </row>
    <row r="6830" spans="2:4" x14ac:dyDescent="0.35">
      <c r="B6830" s="60" t="s">
        <v>20338</v>
      </c>
      <c r="C6830" s="60" t="s">
        <v>20339</v>
      </c>
      <c r="D6830" s="60" t="s">
        <v>20340</v>
      </c>
    </row>
    <row r="6831" spans="2:4" x14ac:dyDescent="0.35">
      <c r="B6831" s="60" t="s">
        <v>20341</v>
      </c>
      <c r="C6831" s="60" t="s">
        <v>20342</v>
      </c>
      <c r="D6831" s="60" t="s">
        <v>20343</v>
      </c>
    </row>
    <row r="6832" spans="2:4" x14ac:dyDescent="0.35">
      <c r="B6832" s="60" t="s">
        <v>20344</v>
      </c>
      <c r="C6832" s="60" t="s">
        <v>20345</v>
      </c>
      <c r="D6832" s="60" t="s">
        <v>20346</v>
      </c>
    </row>
    <row r="6833" spans="2:4" x14ac:dyDescent="0.35">
      <c r="B6833" s="60" t="s">
        <v>20347</v>
      </c>
      <c r="C6833" s="60" t="s">
        <v>20348</v>
      </c>
      <c r="D6833" s="60" t="s">
        <v>20349</v>
      </c>
    </row>
    <row r="6834" spans="2:4" x14ac:dyDescent="0.35">
      <c r="B6834" s="60" t="s">
        <v>20350</v>
      </c>
      <c r="C6834" s="60" t="s">
        <v>20351</v>
      </c>
      <c r="D6834" s="60" t="s">
        <v>20352</v>
      </c>
    </row>
    <row r="6835" spans="2:4" x14ac:dyDescent="0.35">
      <c r="B6835" s="60" t="s">
        <v>20353</v>
      </c>
      <c r="C6835" s="60" t="s">
        <v>20354</v>
      </c>
      <c r="D6835" s="60" t="s">
        <v>20355</v>
      </c>
    </row>
    <row r="6836" spans="2:4" x14ac:dyDescent="0.35">
      <c r="B6836" s="60" t="s">
        <v>20356</v>
      </c>
      <c r="C6836" s="60" t="s">
        <v>20357</v>
      </c>
      <c r="D6836" s="60" t="s">
        <v>20358</v>
      </c>
    </row>
    <row r="6837" spans="2:4" x14ac:dyDescent="0.35">
      <c r="B6837" s="60" t="s">
        <v>20359</v>
      </c>
      <c r="C6837" s="60" t="s">
        <v>20360</v>
      </c>
      <c r="D6837" s="60" t="s">
        <v>20361</v>
      </c>
    </row>
    <row r="6838" spans="2:4" x14ac:dyDescent="0.35">
      <c r="B6838" s="60" t="s">
        <v>20362</v>
      </c>
      <c r="C6838" s="60" t="s">
        <v>20363</v>
      </c>
      <c r="D6838" s="60" t="s">
        <v>20364</v>
      </c>
    </row>
    <row r="6839" spans="2:4" x14ac:dyDescent="0.35">
      <c r="B6839" s="60" t="s">
        <v>20365</v>
      </c>
      <c r="C6839" s="60" t="s">
        <v>20366</v>
      </c>
      <c r="D6839" s="60" t="s">
        <v>20367</v>
      </c>
    </row>
    <row r="6840" spans="2:4" x14ac:dyDescent="0.35">
      <c r="B6840" s="60" t="s">
        <v>20368</v>
      </c>
      <c r="C6840" s="60" t="s">
        <v>20369</v>
      </c>
      <c r="D6840" s="60" t="s">
        <v>20370</v>
      </c>
    </row>
    <row r="6841" spans="2:4" x14ac:dyDescent="0.35">
      <c r="B6841" s="60" t="s">
        <v>20371</v>
      </c>
      <c r="C6841" s="60" t="s">
        <v>20372</v>
      </c>
      <c r="D6841" s="60" t="s">
        <v>20373</v>
      </c>
    </row>
    <row r="6842" spans="2:4" x14ac:dyDescent="0.35">
      <c r="B6842" s="60" t="s">
        <v>20374</v>
      </c>
      <c r="C6842" s="60" t="s">
        <v>20375</v>
      </c>
      <c r="D6842" s="60" t="s">
        <v>20376</v>
      </c>
    </row>
    <row r="6843" spans="2:4" x14ac:dyDescent="0.35">
      <c r="B6843" s="60" t="s">
        <v>20377</v>
      </c>
      <c r="C6843" s="60" t="s">
        <v>20378</v>
      </c>
      <c r="D6843" s="60" t="s">
        <v>20379</v>
      </c>
    </row>
    <row r="6844" spans="2:4" x14ac:dyDescent="0.35">
      <c r="B6844" s="60" t="s">
        <v>20380</v>
      </c>
      <c r="C6844" s="60" t="s">
        <v>20381</v>
      </c>
      <c r="D6844" s="60" t="s">
        <v>20382</v>
      </c>
    </row>
    <row r="6845" spans="2:4" x14ac:dyDescent="0.35">
      <c r="B6845" s="60" t="s">
        <v>20383</v>
      </c>
      <c r="C6845" s="60" t="s">
        <v>20384</v>
      </c>
      <c r="D6845" s="60" t="s">
        <v>20385</v>
      </c>
    </row>
    <row r="6846" spans="2:4" x14ac:dyDescent="0.35">
      <c r="B6846" s="60" t="s">
        <v>20386</v>
      </c>
      <c r="C6846" s="60" t="s">
        <v>20387</v>
      </c>
      <c r="D6846" s="60" t="s">
        <v>20388</v>
      </c>
    </row>
    <row r="6847" spans="2:4" x14ac:dyDescent="0.35">
      <c r="B6847" s="60" t="s">
        <v>20389</v>
      </c>
      <c r="C6847" s="60" t="s">
        <v>20390</v>
      </c>
      <c r="D6847" s="60" t="s">
        <v>20391</v>
      </c>
    </row>
    <row r="6848" spans="2:4" x14ac:dyDescent="0.35">
      <c r="B6848" s="60" t="s">
        <v>20392</v>
      </c>
      <c r="C6848" s="60" t="s">
        <v>20393</v>
      </c>
      <c r="D6848" s="60" t="s">
        <v>20394</v>
      </c>
    </row>
    <row r="6849" spans="2:4" x14ac:dyDescent="0.35">
      <c r="B6849" s="60" t="s">
        <v>20395</v>
      </c>
      <c r="C6849" s="60" t="s">
        <v>20396</v>
      </c>
      <c r="D6849" s="60" t="s">
        <v>20397</v>
      </c>
    </row>
    <row r="6850" spans="2:4" x14ac:dyDescent="0.35">
      <c r="B6850" s="60" t="s">
        <v>20398</v>
      </c>
      <c r="C6850" s="60" t="s">
        <v>20399</v>
      </c>
      <c r="D6850" s="60" t="s">
        <v>20400</v>
      </c>
    </row>
    <row r="6851" spans="2:4" x14ac:dyDescent="0.35">
      <c r="B6851" s="60" t="s">
        <v>20401</v>
      </c>
      <c r="C6851" s="60" t="s">
        <v>20402</v>
      </c>
      <c r="D6851" s="60" t="s">
        <v>10841</v>
      </c>
    </row>
    <row r="6852" spans="2:4" x14ac:dyDescent="0.35">
      <c r="B6852" s="60" t="s">
        <v>20403</v>
      </c>
      <c r="C6852" s="60" t="s">
        <v>20404</v>
      </c>
      <c r="D6852" s="60" t="s">
        <v>20405</v>
      </c>
    </row>
    <row r="6853" spans="2:4" x14ac:dyDescent="0.35">
      <c r="B6853" s="60" t="s">
        <v>20406</v>
      </c>
      <c r="C6853" s="60" t="s">
        <v>20407</v>
      </c>
      <c r="D6853" s="60" t="s">
        <v>20408</v>
      </c>
    </row>
    <row r="6854" spans="2:4" x14ac:dyDescent="0.35">
      <c r="B6854" s="60" t="s">
        <v>20409</v>
      </c>
      <c r="C6854" s="60" t="s">
        <v>20410</v>
      </c>
      <c r="D6854" s="60" t="s">
        <v>20411</v>
      </c>
    </row>
    <row r="6855" spans="2:4" x14ac:dyDescent="0.35">
      <c r="B6855" s="60" t="s">
        <v>20412</v>
      </c>
      <c r="C6855" s="60" t="s">
        <v>20413</v>
      </c>
      <c r="D6855" s="60" t="s">
        <v>20414</v>
      </c>
    </row>
    <row r="6856" spans="2:4" x14ac:dyDescent="0.35">
      <c r="B6856" s="60" t="s">
        <v>20415</v>
      </c>
      <c r="C6856" s="60" t="s">
        <v>20416</v>
      </c>
      <c r="D6856" s="60" t="s">
        <v>20417</v>
      </c>
    </row>
    <row r="6857" spans="2:4" x14ac:dyDescent="0.35">
      <c r="B6857" s="60" t="s">
        <v>20418</v>
      </c>
      <c r="C6857" s="60" t="s">
        <v>20419</v>
      </c>
      <c r="D6857" s="60" t="s">
        <v>20420</v>
      </c>
    </row>
    <row r="6858" spans="2:4" x14ac:dyDescent="0.35">
      <c r="B6858" s="60" t="s">
        <v>20421</v>
      </c>
      <c r="C6858" s="60" t="s">
        <v>20422</v>
      </c>
      <c r="D6858" s="60" t="s">
        <v>20423</v>
      </c>
    </row>
    <row r="6859" spans="2:4" x14ac:dyDescent="0.35">
      <c r="B6859" s="60" t="s">
        <v>20424</v>
      </c>
      <c r="C6859" s="60" t="s">
        <v>20425</v>
      </c>
      <c r="D6859" s="60" t="s">
        <v>20426</v>
      </c>
    </row>
    <row r="6860" spans="2:4" x14ac:dyDescent="0.35">
      <c r="B6860" s="60" t="s">
        <v>20427</v>
      </c>
      <c r="C6860" s="60" t="s">
        <v>20428</v>
      </c>
      <c r="D6860" s="60" t="s">
        <v>20429</v>
      </c>
    </row>
    <row r="6861" spans="2:4" x14ac:dyDescent="0.35">
      <c r="B6861" s="60" t="s">
        <v>20430</v>
      </c>
      <c r="C6861" s="60" t="s">
        <v>20431</v>
      </c>
      <c r="D6861" s="60" t="s">
        <v>20432</v>
      </c>
    </row>
    <row r="6862" spans="2:4" x14ac:dyDescent="0.35">
      <c r="B6862" s="60" t="s">
        <v>20433</v>
      </c>
      <c r="C6862" s="60" t="s">
        <v>20434</v>
      </c>
      <c r="D6862" s="60" t="s">
        <v>20435</v>
      </c>
    </row>
    <row r="6863" spans="2:4" x14ac:dyDescent="0.35">
      <c r="B6863" s="60" t="s">
        <v>20436</v>
      </c>
      <c r="C6863" s="60" t="s">
        <v>20437</v>
      </c>
      <c r="D6863" s="60" t="s">
        <v>20438</v>
      </c>
    </row>
    <row r="6864" spans="2:4" x14ac:dyDescent="0.35">
      <c r="B6864" s="60" t="s">
        <v>20439</v>
      </c>
      <c r="C6864" s="60" t="s">
        <v>20440</v>
      </c>
      <c r="D6864" s="60" t="s">
        <v>20441</v>
      </c>
    </row>
    <row r="6865" spans="2:4" x14ac:dyDescent="0.35">
      <c r="B6865" s="60" t="s">
        <v>20442</v>
      </c>
      <c r="C6865" s="60" t="s">
        <v>20443</v>
      </c>
      <c r="D6865" s="60" t="s">
        <v>20444</v>
      </c>
    </row>
    <row r="6866" spans="2:4" x14ac:dyDescent="0.35">
      <c r="B6866" s="60" t="s">
        <v>20445</v>
      </c>
      <c r="C6866" s="60" t="s">
        <v>20446</v>
      </c>
      <c r="D6866" s="60" t="s">
        <v>20447</v>
      </c>
    </row>
    <row r="6867" spans="2:4" x14ac:dyDescent="0.35">
      <c r="B6867" s="60" t="s">
        <v>20448</v>
      </c>
      <c r="C6867" s="60" t="s">
        <v>20449</v>
      </c>
      <c r="D6867" s="60" t="s">
        <v>20450</v>
      </c>
    </row>
    <row r="6868" spans="2:4" x14ac:dyDescent="0.35">
      <c r="B6868" s="60" t="s">
        <v>20451</v>
      </c>
      <c r="C6868" s="60" t="s">
        <v>20452</v>
      </c>
      <c r="D6868" s="60" t="s">
        <v>20453</v>
      </c>
    </row>
    <row r="6869" spans="2:4" x14ac:dyDescent="0.35">
      <c r="B6869" s="60" t="s">
        <v>20454</v>
      </c>
      <c r="C6869" s="60" t="s">
        <v>20455</v>
      </c>
      <c r="D6869" s="60" t="s">
        <v>16557</v>
      </c>
    </row>
    <row r="6870" spans="2:4" x14ac:dyDescent="0.35">
      <c r="B6870" s="60" t="s">
        <v>20456</v>
      </c>
      <c r="C6870" s="60" t="s">
        <v>20457</v>
      </c>
      <c r="D6870" s="60" t="s">
        <v>20458</v>
      </c>
    </row>
    <row r="6871" spans="2:4" x14ac:dyDescent="0.35">
      <c r="B6871" s="60" t="s">
        <v>20459</v>
      </c>
      <c r="C6871" s="60" t="s">
        <v>20460</v>
      </c>
      <c r="D6871" s="60" t="s">
        <v>20461</v>
      </c>
    </row>
    <row r="6872" spans="2:4" x14ac:dyDescent="0.35">
      <c r="B6872" s="60" t="s">
        <v>20462</v>
      </c>
      <c r="C6872" s="60" t="s">
        <v>20463</v>
      </c>
      <c r="D6872" s="60" t="s">
        <v>20464</v>
      </c>
    </row>
    <row r="6873" spans="2:4" x14ac:dyDescent="0.35">
      <c r="B6873" s="60" t="s">
        <v>20465</v>
      </c>
      <c r="C6873" s="60" t="s">
        <v>20466</v>
      </c>
      <c r="D6873" s="60" t="s">
        <v>20467</v>
      </c>
    </row>
    <row r="6874" spans="2:4" x14ac:dyDescent="0.35">
      <c r="B6874" s="60" t="s">
        <v>20468</v>
      </c>
      <c r="C6874" s="60" t="s">
        <v>20469</v>
      </c>
      <c r="D6874" s="60" t="s">
        <v>20470</v>
      </c>
    </row>
    <row r="6875" spans="2:4" x14ac:dyDescent="0.35">
      <c r="B6875" s="60" t="s">
        <v>20471</v>
      </c>
      <c r="C6875" s="60" t="s">
        <v>20472</v>
      </c>
      <c r="D6875" s="60" t="s">
        <v>20473</v>
      </c>
    </row>
    <row r="6876" spans="2:4" x14ac:dyDescent="0.35">
      <c r="B6876" s="60" t="s">
        <v>20474</v>
      </c>
      <c r="C6876" s="60" t="s">
        <v>20475</v>
      </c>
      <c r="D6876" s="60" t="s">
        <v>20476</v>
      </c>
    </row>
    <row r="6877" spans="2:4" x14ac:dyDescent="0.35">
      <c r="B6877" s="60" t="s">
        <v>20477</v>
      </c>
      <c r="C6877" s="60" t="s">
        <v>20478</v>
      </c>
      <c r="D6877" s="60" t="s">
        <v>20479</v>
      </c>
    </row>
    <row r="6878" spans="2:4" x14ac:dyDescent="0.35">
      <c r="B6878" s="60" t="s">
        <v>20480</v>
      </c>
      <c r="C6878" s="60" t="s">
        <v>20481</v>
      </c>
      <c r="D6878" s="60" t="s">
        <v>20482</v>
      </c>
    </row>
    <row r="6879" spans="2:4" x14ac:dyDescent="0.35">
      <c r="B6879" s="60" t="s">
        <v>20483</v>
      </c>
      <c r="C6879" s="60" t="s">
        <v>20484</v>
      </c>
      <c r="D6879" s="60" t="s">
        <v>20485</v>
      </c>
    </row>
    <row r="6880" spans="2:4" x14ac:dyDescent="0.35">
      <c r="B6880" s="60" t="s">
        <v>20486</v>
      </c>
      <c r="C6880" s="60" t="s">
        <v>20487</v>
      </c>
      <c r="D6880" s="60" t="s">
        <v>20488</v>
      </c>
    </row>
    <row r="6881" spans="2:4" x14ac:dyDescent="0.35">
      <c r="B6881" s="60" t="s">
        <v>20486</v>
      </c>
      <c r="C6881" s="60" t="s">
        <v>20489</v>
      </c>
      <c r="D6881" s="60" t="s">
        <v>20490</v>
      </c>
    </row>
    <row r="6882" spans="2:4" x14ac:dyDescent="0.35">
      <c r="B6882" s="60" t="s">
        <v>20491</v>
      </c>
      <c r="C6882" s="60" t="s">
        <v>20492</v>
      </c>
      <c r="D6882" s="60" t="s">
        <v>20493</v>
      </c>
    </row>
    <row r="6883" spans="2:4" x14ac:dyDescent="0.35">
      <c r="B6883" s="60" t="s">
        <v>20494</v>
      </c>
      <c r="C6883" s="60" t="s">
        <v>20495</v>
      </c>
      <c r="D6883" s="60" t="s">
        <v>20496</v>
      </c>
    </row>
    <row r="6884" spans="2:4" x14ac:dyDescent="0.35">
      <c r="B6884" s="60" t="s">
        <v>20497</v>
      </c>
      <c r="C6884" s="60" t="s">
        <v>20498</v>
      </c>
      <c r="D6884" s="60" t="s">
        <v>20499</v>
      </c>
    </row>
    <row r="6885" spans="2:4" x14ac:dyDescent="0.35">
      <c r="B6885" s="60" t="s">
        <v>20500</v>
      </c>
      <c r="C6885" s="60" t="s">
        <v>20501</v>
      </c>
      <c r="D6885" s="60" t="s">
        <v>20502</v>
      </c>
    </row>
    <row r="6886" spans="2:4" x14ac:dyDescent="0.35">
      <c r="B6886" s="60" t="s">
        <v>20503</v>
      </c>
      <c r="C6886" s="60" t="s">
        <v>20504</v>
      </c>
      <c r="D6886" s="60" t="s">
        <v>20505</v>
      </c>
    </row>
    <row r="6887" spans="2:4" x14ac:dyDescent="0.35">
      <c r="B6887" s="60" t="s">
        <v>20506</v>
      </c>
      <c r="C6887" s="60" t="s">
        <v>20507</v>
      </c>
      <c r="D6887" s="60" t="s">
        <v>20508</v>
      </c>
    </row>
    <row r="6888" spans="2:4" x14ac:dyDescent="0.35">
      <c r="B6888" s="60" t="s">
        <v>20509</v>
      </c>
      <c r="C6888" s="60" t="s">
        <v>20510</v>
      </c>
      <c r="D6888" s="60" t="s">
        <v>20511</v>
      </c>
    </row>
    <row r="6889" spans="2:4" x14ac:dyDescent="0.35">
      <c r="B6889" s="60" t="s">
        <v>20512</v>
      </c>
      <c r="C6889" s="60" t="s">
        <v>20513</v>
      </c>
      <c r="D6889" s="60" t="s">
        <v>20514</v>
      </c>
    </row>
    <row r="6890" spans="2:4" x14ac:dyDescent="0.35">
      <c r="B6890" s="60" t="s">
        <v>20515</v>
      </c>
      <c r="C6890" s="60" t="s">
        <v>20516</v>
      </c>
      <c r="D6890" s="60" t="s">
        <v>20517</v>
      </c>
    </row>
    <row r="6891" spans="2:4" x14ac:dyDescent="0.35">
      <c r="B6891" s="60" t="s">
        <v>20518</v>
      </c>
      <c r="C6891" s="60" t="s">
        <v>20519</v>
      </c>
      <c r="D6891" s="60" t="s">
        <v>20520</v>
      </c>
    </row>
    <row r="6892" spans="2:4" x14ac:dyDescent="0.35">
      <c r="B6892" s="60" t="s">
        <v>20521</v>
      </c>
      <c r="C6892" s="60" t="s">
        <v>20522</v>
      </c>
      <c r="D6892" s="60" t="s">
        <v>20523</v>
      </c>
    </row>
    <row r="6893" spans="2:4" x14ac:dyDescent="0.35">
      <c r="B6893" s="60" t="s">
        <v>20521</v>
      </c>
      <c r="C6893" s="60" t="s">
        <v>20524</v>
      </c>
      <c r="D6893" s="60" t="s">
        <v>20525</v>
      </c>
    </row>
    <row r="6894" spans="2:4" x14ac:dyDescent="0.35">
      <c r="B6894" s="60" t="s">
        <v>20526</v>
      </c>
      <c r="C6894" s="60" t="s">
        <v>20527</v>
      </c>
      <c r="D6894" s="60" t="s">
        <v>20528</v>
      </c>
    </row>
    <row r="6895" spans="2:4" x14ac:dyDescent="0.35">
      <c r="B6895" s="60" t="s">
        <v>20529</v>
      </c>
      <c r="C6895" s="60" t="s">
        <v>20530</v>
      </c>
      <c r="D6895" s="60" t="s">
        <v>20197</v>
      </c>
    </row>
    <row r="6896" spans="2:4" x14ac:dyDescent="0.35">
      <c r="B6896" s="60" t="s">
        <v>20531</v>
      </c>
      <c r="C6896" s="60" t="s">
        <v>20532</v>
      </c>
      <c r="D6896" s="60" t="s">
        <v>20533</v>
      </c>
    </row>
    <row r="6897" spans="2:4" x14ac:dyDescent="0.35">
      <c r="B6897" s="60" t="s">
        <v>20534</v>
      </c>
      <c r="C6897" s="60" t="s">
        <v>20535</v>
      </c>
      <c r="D6897" s="60" t="s">
        <v>20536</v>
      </c>
    </row>
    <row r="6898" spans="2:4" x14ac:dyDescent="0.35">
      <c r="B6898" s="60" t="s">
        <v>20537</v>
      </c>
      <c r="C6898" s="60" t="s">
        <v>20538</v>
      </c>
      <c r="D6898" s="60" t="s">
        <v>20539</v>
      </c>
    </row>
    <row r="6899" spans="2:4" x14ac:dyDescent="0.35">
      <c r="B6899" s="60" t="s">
        <v>20540</v>
      </c>
      <c r="C6899" s="60" t="s">
        <v>20541</v>
      </c>
      <c r="D6899" s="60" t="s">
        <v>20542</v>
      </c>
    </row>
    <row r="6900" spans="2:4" x14ac:dyDescent="0.35">
      <c r="B6900" s="60" t="s">
        <v>20543</v>
      </c>
      <c r="C6900" s="60" t="s">
        <v>20544</v>
      </c>
      <c r="D6900" s="60" t="s">
        <v>20545</v>
      </c>
    </row>
    <row r="6901" spans="2:4" x14ac:dyDescent="0.35">
      <c r="B6901" s="60" t="s">
        <v>20546</v>
      </c>
      <c r="C6901" s="60" t="s">
        <v>20547</v>
      </c>
      <c r="D6901" s="60" t="s">
        <v>20548</v>
      </c>
    </row>
    <row r="6902" spans="2:4" x14ac:dyDescent="0.35">
      <c r="B6902" s="60" t="s">
        <v>20549</v>
      </c>
      <c r="C6902" s="60" t="s">
        <v>20550</v>
      </c>
      <c r="D6902" s="60" t="s">
        <v>20551</v>
      </c>
    </row>
    <row r="6903" spans="2:4" x14ac:dyDescent="0.35">
      <c r="B6903" s="60" t="s">
        <v>20552</v>
      </c>
      <c r="C6903" s="60" t="s">
        <v>20553</v>
      </c>
      <c r="D6903" s="60" t="s">
        <v>20554</v>
      </c>
    </row>
    <row r="6904" spans="2:4" x14ac:dyDescent="0.35">
      <c r="B6904" s="60" t="s">
        <v>20555</v>
      </c>
      <c r="C6904" s="60" t="s">
        <v>20556</v>
      </c>
      <c r="D6904" s="60" t="s">
        <v>20557</v>
      </c>
    </row>
    <row r="6905" spans="2:4" x14ac:dyDescent="0.35">
      <c r="B6905" s="60" t="s">
        <v>20558</v>
      </c>
      <c r="C6905" s="60" t="s">
        <v>20559</v>
      </c>
      <c r="D6905" s="60" t="s">
        <v>20560</v>
      </c>
    </row>
    <row r="6906" spans="2:4" x14ac:dyDescent="0.35">
      <c r="B6906" s="60" t="s">
        <v>20561</v>
      </c>
      <c r="C6906" s="60" t="s">
        <v>20562</v>
      </c>
      <c r="D6906" s="60" t="s">
        <v>20563</v>
      </c>
    </row>
    <row r="6907" spans="2:4" x14ac:dyDescent="0.35">
      <c r="B6907" s="60" t="s">
        <v>20564</v>
      </c>
      <c r="C6907" s="60" t="s">
        <v>20565</v>
      </c>
      <c r="D6907" s="60" t="s">
        <v>20566</v>
      </c>
    </row>
    <row r="6908" spans="2:4" x14ac:dyDescent="0.35">
      <c r="B6908" s="60" t="s">
        <v>20567</v>
      </c>
      <c r="C6908" s="60" t="s">
        <v>20568</v>
      </c>
      <c r="D6908" s="60" t="s">
        <v>20569</v>
      </c>
    </row>
    <row r="6909" spans="2:4" x14ac:dyDescent="0.35">
      <c r="B6909" s="60" t="s">
        <v>20570</v>
      </c>
      <c r="C6909" s="60" t="s">
        <v>20571</v>
      </c>
      <c r="D6909" s="60" t="s">
        <v>20572</v>
      </c>
    </row>
    <row r="6910" spans="2:4" x14ac:dyDescent="0.35">
      <c r="B6910" s="60" t="s">
        <v>20573</v>
      </c>
      <c r="C6910" s="60" t="s">
        <v>20574</v>
      </c>
      <c r="D6910" s="60" t="s">
        <v>20575</v>
      </c>
    </row>
    <row r="6911" spans="2:4" x14ac:dyDescent="0.35">
      <c r="B6911" s="60" t="s">
        <v>20576</v>
      </c>
      <c r="C6911" s="60" t="s">
        <v>20577</v>
      </c>
      <c r="D6911" s="60" t="s">
        <v>20578</v>
      </c>
    </row>
    <row r="6912" spans="2:4" x14ac:dyDescent="0.35">
      <c r="B6912" s="60" t="s">
        <v>20579</v>
      </c>
      <c r="C6912" s="60" t="s">
        <v>20580</v>
      </c>
      <c r="D6912" s="60" t="s">
        <v>20581</v>
      </c>
    </row>
    <row r="6913" spans="2:4" x14ac:dyDescent="0.35">
      <c r="B6913" s="60" t="s">
        <v>20582</v>
      </c>
      <c r="C6913" s="60" t="s">
        <v>20583</v>
      </c>
      <c r="D6913" s="60" t="s">
        <v>20584</v>
      </c>
    </row>
    <row r="6914" spans="2:4" x14ac:dyDescent="0.35">
      <c r="B6914" s="60" t="s">
        <v>20582</v>
      </c>
      <c r="C6914" s="60" t="s">
        <v>20585</v>
      </c>
      <c r="D6914" s="60" t="s">
        <v>20586</v>
      </c>
    </row>
    <row r="6915" spans="2:4" x14ac:dyDescent="0.35">
      <c r="B6915" s="60" t="s">
        <v>20587</v>
      </c>
      <c r="C6915" s="60" t="s">
        <v>20588</v>
      </c>
      <c r="D6915" s="60" t="s">
        <v>20589</v>
      </c>
    </row>
    <row r="6916" spans="2:4" x14ac:dyDescent="0.35">
      <c r="B6916" s="60" t="s">
        <v>20590</v>
      </c>
      <c r="C6916" s="60" t="s">
        <v>20591</v>
      </c>
      <c r="D6916" s="60" t="s">
        <v>20592</v>
      </c>
    </row>
    <row r="6917" spans="2:4" x14ac:dyDescent="0.35">
      <c r="B6917" s="60" t="s">
        <v>20593</v>
      </c>
      <c r="C6917" s="60" t="s">
        <v>20594</v>
      </c>
      <c r="D6917" s="60" t="s">
        <v>20595</v>
      </c>
    </row>
    <row r="6918" spans="2:4" x14ac:dyDescent="0.35">
      <c r="B6918" s="60" t="s">
        <v>20596</v>
      </c>
      <c r="C6918" s="60" t="s">
        <v>20597</v>
      </c>
      <c r="D6918" s="60" t="s">
        <v>20598</v>
      </c>
    </row>
    <row r="6919" spans="2:4" x14ac:dyDescent="0.35">
      <c r="B6919" s="60" t="s">
        <v>20599</v>
      </c>
      <c r="C6919" s="60" t="s">
        <v>20600</v>
      </c>
      <c r="D6919" s="60" t="s">
        <v>20601</v>
      </c>
    </row>
    <row r="6920" spans="2:4" x14ac:dyDescent="0.35">
      <c r="B6920" s="60" t="s">
        <v>20602</v>
      </c>
      <c r="C6920" s="60" t="s">
        <v>20603</v>
      </c>
      <c r="D6920" s="60" t="s">
        <v>20604</v>
      </c>
    </row>
    <row r="6921" spans="2:4" x14ac:dyDescent="0.35">
      <c r="B6921" s="60" t="s">
        <v>20605</v>
      </c>
      <c r="C6921" s="60" t="s">
        <v>20606</v>
      </c>
      <c r="D6921" s="60" t="s">
        <v>20607</v>
      </c>
    </row>
    <row r="6922" spans="2:4" x14ac:dyDescent="0.35">
      <c r="B6922" s="60" t="s">
        <v>20608</v>
      </c>
      <c r="C6922" s="60" t="s">
        <v>20609</v>
      </c>
      <c r="D6922" s="60" t="s">
        <v>20610</v>
      </c>
    </row>
    <row r="6923" spans="2:4" x14ac:dyDescent="0.35">
      <c r="B6923" s="60" t="s">
        <v>20611</v>
      </c>
      <c r="C6923" s="60" t="s">
        <v>20612</v>
      </c>
      <c r="D6923" s="60" t="s">
        <v>20613</v>
      </c>
    </row>
    <row r="6924" spans="2:4" x14ac:dyDescent="0.35">
      <c r="B6924" s="60" t="s">
        <v>20614</v>
      </c>
      <c r="C6924" s="60" t="s">
        <v>20615</v>
      </c>
      <c r="D6924" s="60" t="s">
        <v>20616</v>
      </c>
    </row>
    <row r="6925" spans="2:4" x14ac:dyDescent="0.35">
      <c r="B6925" s="60" t="s">
        <v>20617</v>
      </c>
      <c r="C6925" s="60" t="s">
        <v>20618</v>
      </c>
      <c r="D6925" s="60" t="s">
        <v>20619</v>
      </c>
    </row>
    <row r="6926" spans="2:4" x14ac:dyDescent="0.35">
      <c r="B6926" s="60" t="s">
        <v>20620</v>
      </c>
      <c r="C6926" s="60" t="s">
        <v>20621</v>
      </c>
      <c r="D6926" s="60" t="s">
        <v>20622</v>
      </c>
    </row>
    <row r="6927" spans="2:4" x14ac:dyDescent="0.35">
      <c r="B6927" s="60" t="s">
        <v>20623</v>
      </c>
      <c r="C6927" s="60" t="s">
        <v>20624</v>
      </c>
      <c r="D6927" s="60" t="s">
        <v>20625</v>
      </c>
    </row>
    <row r="6928" spans="2:4" x14ac:dyDescent="0.35">
      <c r="B6928" s="60" t="s">
        <v>20626</v>
      </c>
      <c r="C6928" s="60" t="s">
        <v>20627</v>
      </c>
      <c r="D6928" s="60" t="s">
        <v>20628</v>
      </c>
    </row>
    <row r="6929" spans="2:4" x14ac:dyDescent="0.35">
      <c r="B6929" s="60" t="s">
        <v>20629</v>
      </c>
      <c r="C6929" s="60" t="s">
        <v>20630</v>
      </c>
      <c r="D6929" s="60" t="s">
        <v>20631</v>
      </c>
    </row>
    <row r="6930" spans="2:4" x14ac:dyDescent="0.35">
      <c r="B6930" s="60" t="s">
        <v>20632</v>
      </c>
      <c r="C6930" s="60" t="s">
        <v>20633</v>
      </c>
      <c r="D6930" s="60" t="s">
        <v>20634</v>
      </c>
    </row>
    <row r="6931" spans="2:4" x14ac:dyDescent="0.35">
      <c r="B6931" s="60" t="s">
        <v>20635</v>
      </c>
      <c r="C6931" s="60" t="s">
        <v>20636</v>
      </c>
      <c r="D6931" s="60" t="s">
        <v>20637</v>
      </c>
    </row>
    <row r="6932" spans="2:4" x14ac:dyDescent="0.35">
      <c r="B6932" s="60" t="s">
        <v>20638</v>
      </c>
      <c r="C6932" s="60" t="s">
        <v>20639</v>
      </c>
      <c r="D6932" s="60" t="s">
        <v>20640</v>
      </c>
    </row>
    <row r="6933" spans="2:4" x14ac:dyDescent="0.35">
      <c r="B6933" s="60" t="s">
        <v>20641</v>
      </c>
      <c r="C6933" s="60" t="s">
        <v>20642</v>
      </c>
      <c r="D6933" s="60" t="s">
        <v>20643</v>
      </c>
    </row>
    <row r="6934" spans="2:4" x14ac:dyDescent="0.35">
      <c r="B6934" s="60" t="s">
        <v>20644</v>
      </c>
      <c r="C6934" s="60" t="s">
        <v>20645</v>
      </c>
      <c r="D6934" s="60" t="s">
        <v>20646</v>
      </c>
    </row>
    <row r="6935" spans="2:4" x14ac:dyDescent="0.35">
      <c r="B6935" s="60" t="s">
        <v>20647</v>
      </c>
      <c r="C6935" s="60" t="s">
        <v>20648</v>
      </c>
      <c r="D6935" s="60" t="s">
        <v>20649</v>
      </c>
    </row>
    <row r="6936" spans="2:4" x14ac:dyDescent="0.35">
      <c r="B6936" s="60" t="s">
        <v>20650</v>
      </c>
      <c r="C6936" s="60" t="s">
        <v>20651</v>
      </c>
      <c r="D6936" s="60" t="s">
        <v>20652</v>
      </c>
    </row>
    <row r="6937" spans="2:4" x14ac:dyDescent="0.35">
      <c r="B6937" s="60" t="s">
        <v>20653</v>
      </c>
      <c r="C6937" s="60" t="s">
        <v>20654</v>
      </c>
      <c r="D6937" s="60" t="s">
        <v>20655</v>
      </c>
    </row>
    <row r="6938" spans="2:4" x14ac:dyDescent="0.35">
      <c r="B6938" s="60" t="s">
        <v>20656</v>
      </c>
      <c r="C6938" s="60" t="s">
        <v>20657</v>
      </c>
      <c r="D6938" s="60" t="s">
        <v>20658</v>
      </c>
    </row>
    <row r="6939" spans="2:4" x14ac:dyDescent="0.35">
      <c r="B6939" s="60" t="s">
        <v>20659</v>
      </c>
      <c r="C6939" s="60" t="s">
        <v>20660</v>
      </c>
      <c r="D6939" s="60" t="s">
        <v>20661</v>
      </c>
    </row>
    <row r="6940" spans="2:4" x14ac:dyDescent="0.35">
      <c r="B6940" s="60" t="s">
        <v>20662</v>
      </c>
      <c r="C6940" s="60" t="s">
        <v>20663</v>
      </c>
      <c r="D6940" s="60" t="s">
        <v>20664</v>
      </c>
    </row>
    <row r="6941" spans="2:4" x14ac:dyDescent="0.35">
      <c r="B6941" s="60" t="s">
        <v>20665</v>
      </c>
      <c r="C6941" s="60" t="s">
        <v>20666</v>
      </c>
      <c r="D6941" s="60" t="s">
        <v>20667</v>
      </c>
    </row>
    <row r="6942" spans="2:4" x14ac:dyDescent="0.35">
      <c r="B6942" s="60" t="s">
        <v>20668</v>
      </c>
      <c r="C6942" s="60" t="s">
        <v>20669</v>
      </c>
      <c r="D6942" s="60" t="s">
        <v>20670</v>
      </c>
    </row>
    <row r="6943" spans="2:4" x14ac:dyDescent="0.35">
      <c r="B6943" s="60" t="s">
        <v>20671</v>
      </c>
      <c r="C6943" s="60" t="s">
        <v>20672</v>
      </c>
      <c r="D6943" s="60" t="s">
        <v>20673</v>
      </c>
    </row>
    <row r="6944" spans="2:4" x14ac:dyDescent="0.35">
      <c r="B6944" s="60" t="s">
        <v>20674</v>
      </c>
      <c r="C6944" s="60" t="s">
        <v>20675</v>
      </c>
      <c r="D6944" s="60" t="s">
        <v>20676</v>
      </c>
    </row>
    <row r="6945" spans="2:4" x14ac:dyDescent="0.35">
      <c r="B6945" s="60" t="s">
        <v>20677</v>
      </c>
      <c r="C6945" s="60" t="s">
        <v>20678</v>
      </c>
      <c r="D6945" s="60" t="s">
        <v>20679</v>
      </c>
    </row>
    <row r="6946" spans="2:4" x14ac:dyDescent="0.35">
      <c r="B6946" s="60" t="s">
        <v>20680</v>
      </c>
      <c r="C6946" s="60" t="s">
        <v>20681</v>
      </c>
      <c r="D6946" s="60" t="s">
        <v>20682</v>
      </c>
    </row>
    <row r="6947" spans="2:4" x14ac:dyDescent="0.35">
      <c r="B6947" s="60" t="s">
        <v>20683</v>
      </c>
      <c r="C6947" s="60" t="s">
        <v>20684</v>
      </c>
      <c r="D6947" s="60" t="s">
        <v>20685</v>
      </c>
    </row>
    <row r="6948" spans="2:4" x14ac:dyDescent="0.35">
      <c r="B6948" s="60" t="s">
        <v>20686</v>
      </c>
      <c r="C6948" s="60" t="s">
        <v>20687</v>
      </c>
      <c r="D6948" s="60" t="s">
        <v>20688</v>
      </c>
    </row>
    <row r="6949" spans="2:4" x14ac:dyDescent="0.35">
      <c r="B6949" s="60" t="s">
        <v>20689</v>
      </c>
      <c r="C6949" s="60" t="s">
        <v>20690</v>
      </c>
      <c r="D6949" s="60" t="s">
        <v>20691</v>
      </c>
    </row>
    <row r="6950" spans="2:4" x14ac:dyDescent="0.35">
      <c r="B6950" s="60" t="s">
        <v>20692</v>
      </c>
      <c r="C6950" s="60" t="s">
        <v>20693</v>
      </c>
      <c r="D6950" s="60" t="s">
        <v>20694</v>
      </c>
    </row>
    <row r="6951" spans="2:4" x14ac:dyDescent="0.35">
      <c r="B6951" s="60" t="s">
        <v>20695</v>
      </c>
      <c r="C6951" s="60" t="s">
        <v>20696</v>
      </c>
      <c r="D6951" s="60" t="s">
        <v>20697</v>
      </c>
    </row>
    <row r="6952" spans="2:4" x14ac:dyDescent="0.35">
      <c r="B6952" s="60" t="s">
        <v>20698</v>
      </c>
      <c r="C6952" s="60" t="s">
        <v>20699</v>
      </c>
      <c r="D6952" s="60" t="s">
        <v>20700</v>
      </c>
    </row>
    <row r="6953" spans="2:4" x14ac:dyDescent="0.35">
      <c r="B6953" s="60" t="s">
        <v>20701</v>
      </c>
      <c r="C6953" s="60" t="s">
        <v>20702</v>
      </c>
      <c r="D6953" s="60" t="s">
        <v>20703</v>
      </c>
    </row>
    <row r="6954" spans="2:4" x14ac:dyDescent="0.35">
      <c r="B6954" s="60" t="s">
        <v>20704</v>
      </c>
      <c r="C6954" s="60" t="s">
        <v>20705</v>
      </c>
      <c r="D6954" s="60" t="s">
        <v>20706</v>
      </c>
    </row>
    <row r="6955" spans="2:4" x14ac:dyDescent="0.35">
      <c r="B6955" s="60" t="s">
        <v>20707</v>
      </c>
      <c r="C6955" s="60" t="s">
        <v>20708</v>
      </c>
      <c r="D6955" s="60" t="s">
        <v>20709</v>
      </c>
    </row>
    <row r="6956" spans="2:4" x14ac:dyDescent="0.35">
      <c r="B6956" s="60" t="s">
        <v>20710</v>
      </c>
      <c r="C6956" s="60" t="s">
        <v>20711</v>
      </c>
      <c r="D6956" s="60" t="s">
        <v>20712</v>
      </c>
    </row>
    <row r="6957" spans="2:4" x14ac:dyDescent="0.35">
      <c r="B6957" s="60" t="s">
        <v>20713</v>
      </c>
      <c r="C6957" s="60" t="s">
        <v>20714</v>
      </c>
      <c r="D6957" s="60" t="s">
        <v>20715</v>
      </c>
    </row>
    <row r="6958" spans="2:4" x14ac:dyDescent="0.35">
      <c r="B6958" s="60" t="s">
        <v>20716</v>
      </c>
      <c r="C6958" s="60" t="s">
        <v>20717</v>
      </c>
      <c r="D6958" s="60" t="s">
        <v>20718</v>
      </c>
    </row>
    <row r="6959" spans="2:4" x14ac:dyDescent="0.35">
      <c r="B6959" s="60" t="s">
        <v>20716</v>
      </c>
      <c r="C6959" s="60" t="s">
        <v>20719</v>
      </c>
      <c r="D6959" s="60" t="s">
        <v>20720</v>
      </c>
    </row>
    <row r="6960" spans="2:4" x14ac:dyDescent="0.35">
      <c r="B6960" s="60" t="s">
        <v>20721</v>
      </c>
      <c r="C6960" s="60" t="s">
        <v>20722</v>
      </c>
      <c r="D6960" s="60" t="s">
        <v>20723</v>
      </c>
    </row>
    <row r="6961" spans="2:4" x14ac:dyDescent="0.35">
      <c r="B6961" s="60" t="s">
        <v>20724</v>
      </c>
      <c r="C6961" s="60" t="s">
        <v>20725</v>
      </c>
      <c r="D6961" s="60" t="s">
        <v>20726</v>
      </c>
    </row>
    <row r="6962" spans="2:4" x14ac:dyDescent="0.35">
      <c r="B6962" s="60" t="s">
        <v>20727</v>
      </c>
      <c r="C6962" s="60" t="s">
        <v>20728</v>
      </c>
      <c r="D6962" s="60" t="s">
        <v>20729</v>
      </c>
    </row>
    <row r="6963" spans="2:4" x14ac:dyDescent="0.35">
      <c r="B6963" s="60" t="s">
        <v>20730</v>
      </c>
      <c r="C6963" s="60" t="s">
        <v>20731</v>
      </c>
      <c r="D6963" s="60" t="s">
        <v>20732</v>
      </c>
    </row>
    <row r="6964" spans="2:4" x14ac:dyDescent="0.35">
      <c r="B6964" s="60" t="s">
        <v>20733</v>
      </c>
      <c r="C6964" s="60" t="s">
        <v>20734</v>
      </c>
      <c r="D6964" s="60" t="s">
        <v>20735</v>
      </c>
    </row>
    <row r="6965" spans="2:4" x14ac:dyDescent="0.35">
      <c r="B6965" s="60" t="s">
        <v>20736</v>
      </c>
      <c r="C6965" s="60" t="s">
        <v>20737</v>
      </c>
      <c r="D6965" s="60" t="s">
        <v>20738</v>
      </c>
    </row>
    <row r="6966" spans="2:4" x14ac:dyDescent="0.35">
      <c r="B6966" s="60" t="s">
        <v>20739</v>
      </c>
      <c r="C6966" s="60" t="s">
        <v>20740</v>
      </c>
      <c r="D6966" s="60" t="s">
        <v>20741</v>
      </c>
    </row>
    <row r="6967" spans="2:4" x14ac:dyDescent="0.35">
      <c r="B6967" s="60" t="s">
        <v>20742</v>
      </c>
      <c r="C6967" s="60" t="s">
        <v>20743</v>
      </c>
      <c r="D6967" s="60" t="s">
        <v>20744</v>
      </c>
    </row>
    <row r="6968" spans="2:4" x14ac:dyDescent="0.35">
      <c r="B6968" s="60" t="s">
        <v>20745</v>
      </c>
      <c r="C6968" s="60" t="s">
        <v>20746</v>
      </c>
      <c r="D6968" s="60" t="s">
        <v>20747</v>
      </c>
    </row>
    <row r="6969" spans="2:4" x14ac:dyDescent="0.35">
      <c r="B6969" s="60" t="s">
        <v>20748</v>
      </c>
      <c r="C6969" s="60" t="s">
        <v>20749</v>
      </c>
      <c r="D6969" s="60" t="s">
        <v>20750</v>
      </c>
    </row>
    <row r="6970" spans="2:4" x14ac:dyDescent="0.35">
      <c r="B6970" s="60" t="s">
        <v>20751</v>
      </c>
      <c r="C6970" s="60" t="s">
        <v>20752</v>
      </c>
      <c r="D6970" s="60" t="s">
        <v>20753</v>
      </c>
    </row>
    <row r="6971" spans="2:4" x14ac:dyDescent="0.35">
      <c r="B6971" s="60" t="s">
        <v>20754</v>
      </c>
      <c r="C6971" s="60" t="s">
        <v>20755</v>
      </c>
      <c r="D6971" s="60" t="s">
        <v>20756</v>
      </c>
    </row>
    <row r="6972" spans="2:4" x14ac:dyDescent="0.35">
      <c r="B6972" s="60" t="s">
        <v>20757</v>
      </c>
      <c r="C6972" s="60" t="s">
        <v>20758</v>
      </c>
      <c r="D6972" s="60" t="s">
        <v>20759</v>
      </c>
    </row>
    <row r="6973" spans="2:4" x14ac:dyDescent="0.35">
      <c r="B6973" s="60" t="s">
        <v>20760</v>
      </c>
      <c r="C6973" s="60" t="s">
        <v>20761</v>
      </c>
      <c r="D6973" s="60" t="s">
        <v>20762</v>
      </c>
    </row>
    <row r="6974" spans="2:4" x14ac:dyDescent="0.35">
      <c r="B6974" s="60" t="s">
        <v>20763</v>
      </c>
      <c r="C6974" s="60" t="s">
        <v>20764</v>
      </c>
      <c r="D6974" s="60" t="s">
        <v>20765</v>
      </c>
    </row>
    <row r="6975" spans="2:4" x14ac:dyDescent="0.35">
      <c r="B6975" s="60" t="s">
        <v>20766</v>
      </c>
      <c r="C6975" s="60" t="s">
        <v>20767</v>
      </c>
      <c r="D6975" s="60" t="s">
        <v>20768</v>
      </c>
    </row>
    <row r="6976" spans="2:4" x14ac:dyDescent="0.35">
      <c r="B6976" s="60" t="s">
        <v>20769</v>
      </c>
      <c r="C6976" s="60" t="s">
        <v>20770</v>
      </c>
      <c r="D6976" s="60" t="s">
        <v>20771</v>
      </c>
    </row>
    <row r="6977" spans="2:4" x14ac:dyDescent="0.35">
      <c r="B6977" s="60" t="s">
        <v>20772</v>
      </c>
      <c r="C6977" s="60" t="s">
        <v>20773</v>
      </c>
      <c r="D6977" s="60" t="s">
        <v>20774</v>
      </c>
    </row>
    <row r="6978" spans="2:4" x14ac:dyDescent="0.35">
      <c r="B6978" s="60" t="s">
        <v>20775</v>
      </c>
      <c r="C6978" s="60" t="s">
        <v>20776</v>
      </c>
      <c r="D6978" s="60" t="s">
        <v>20777</v>
      </c>
    </row>
    <row r="6979" spans="2:4" x14ac:dyDescent="0.35">
      <c r="B6979" s="60" t="s">
        <v>20778</v>
      </c>
      <c r="C6979" s="60" t="s">
        <v>20779</v>
      </c>
      <c r="D6979" s="60" t="s">
        <v>20780</v>
      </c>
    </row>
    <row r="6980" spans="2:4" x14ac:dyDescent="0.35">
      <c r="B6980" s="60" t="s">
        <v>20781</v>
      </c>
      <c r="C6980" s="60" t="s">
        <v>20782</v>
      </c>
      <c r="D6980" s="60" t="s">
        <v>20783</v>
      </c>
    </row>
    <row r="6981" spans="2:4" x14ac:dyDescent="0.35">
      <c r="B6981" s="60" t="s">
        <v>20784</v>
      </c>
      <c r="C6981" s="60" t="s">
        <v>20785</v>
      </c>
      <c r="D6981" s="60" t="s">
        <v>20786</v>
      </c>
    </row>
    <row r="6982" spans="2:4" x14ac:dyDescent="0.35">
      <c r="B6982" s="60" t="s">
        <v>20787</v>
      </c>
      <c r="C6982" s="60" t="s">
        <v>20788</v>
      </c>
      <c r="D6982" s="60" t="s">
        <v>20789</v>
      </c>
    </row>
    <row r="6983" spans="2:4" x14ac:dyDescent="0.35">
      <c r="B6983" s="60" t="s">
        <v>20790</v>
      </c>
      <c r="C6983" s="60" t="s">
        <v>20791</v>
      </c>
      <c r="D6983" s="60" t="s">
        <v>20792</v>
      </c>
    </row>
    <row r="6984" spans="2:4" x14ac:dyDescent="0.35">
      <c r="B6984" s="60" t="s">
        <v>20793</v>
      </c>
      <c r="C6984" s="60" t="s">
        <v>20794</v>
      </c>
      <c r="D6984" s="60" t="s">
        <v>20795</v>
      </c>
    </row>
    <row r="6985" spans="2:4" x14ac:dyDescent="0.35">
      <c r="B6985" s="60" t="s">
        <v>20796</v>
      </c>
      <c r="C6985" s="60" t="s">
        <v>20797</v>
      </c>
      <c r="D6985" s="60" t="s">
        <v>20798</v>
      </c>
    </row>
    <row r="6986" spans="2:4" x14ac:dyDescent="0.35">
      <c r="B6986" s="60" t="s">
        <v>20799</v>
      </c>
      <c r="C6986" s="60" t="s">
        <v>20782</v>
      </c>
      <c r="D6986" s="60" t="s">
        <v>20783</v>
      </c>
    </row>
    <row r="6987" spans="2:4" x14ac:dyDescent="0.35">
      <c r="B6987" s="60" t="s">
        <v>20799</v>
      </c>
      <c r="C6987" s="60" t="s">
        <v>20800</v>
      </c>
      <c r="D6987" s="60" t="s">
        <v>20801</v>
      </c>
    </row>
    <row r="6988" spans="2:4" x14ac:dyDescent="0.35">
      <c r="B6988" s="60" t="s">
        <v>20802</v>
      </c>
      <c r="C6988" s="60" t="s">
        <v>20803</v>
      </c>
      <c r="D6988" s="60" t="s">
        <v>20804</v>
      </c>
    </row>
    <row r="6989" spans="2:4" x14ac:dyDescent="0.35">
      <c r="B6989" s="60" t="s">
        <v>20805</v>
      </c>
      <c r="C6989" s="60" t="s">
        <v>20806</v>
      </c>
      <c r="D6989" s="60" t="s">
        <v>20807</v>
      </c>
    </row>
    <row r="6990" spans="2:4" x14ac:dyDescent="0.35">
      <c r="B6990" s="60" t="s">
        <v>20808</v>
      </c>
      <c r="C6990" s="60" t="s">
        <v>20809</v>
      </c>
      <c r="D6990" s="60" t="s">
        <v>20810</v>
      </c>
    </row>
    <row r="6991" spans="2:4" x14ac:dyDescent="0.35">
      <c r="B6991" s="60" t="s">
        <v>20811</v>
      </c>
      <c r="C6991" s="60" t="s">
        <v>20812</v>
      </c>
      <c r="D6991" s="60" t="s">
        <v>20813</v>
      </c>
    </row>
    <row r="6992" spans="2:4" x14ac:dyDescent="0.35">
      <c r="B6992" s="60" t="s">
        <v>20811</v>
      </c>
      <c r="C6992" s="60" t="s">
        <v>20814</v>
      </c>
      <c r="D6992" s="60" t="s">
        <v>20815</v>
      </c>
    </row>
    <row r="6993" spans="2:4" x14ac:dyDescent="0.35">
      <c r="B6993" s="60" t="s">
        <v>20816</v>
      </c>
      <c r="C6993" s="60" t="s">
        <v>20817</v>
      </c>
      <c r="D6993" s="60" t="s">
        <v>20818</v>
      </c>
    </row>
    <row r="6994" spans="2:4" x14ac:dyDescent="0.35">
      <c r="B6994" s="60" t="s">
        <v>20819</v>
      </c>
      <c r="C6994" s="60" t="s">
        <v>20820</v>
      </c>
      <c r="D6994" s="60" t="s">
        <v>20821</v>
      </c>
    </row>
    <row r="6995" spans="2:4" x14ac:dyDescent="0.35">
      <c r="B6995" s="60" t="s">
        <v>20822</v>
      </c>
      <c r="C6995" s="60" t="s">
        <v>20823</v>
      </c>
      <c r="D6995" s="60" t="s">
        <v>20824</v>
      </c>
    </row>
    <row r="6996" spans="2:4" x14ac:dyDescent="0.35">
      <c r="B6996" s="60" t="s">
        <v>20825</v>
      </c>
      <c r="C6996" s="60" t="s">
        <v>20826</v>
      </c>
      <c r="D6996" s="60" t="s">
        <v>20827</v>
      </c>
    </row>
    <row r="6997" spans="2:4" x14ac:dyDescent="0.35">
      <c r="B6997" s="60" t="s">
        <v>20828</v>
      </c>
      <c r="C6997" s="60" t="s">
        <v>20829</v>
      </c>
      <c r="D6997" s="60" t="s">
        <v>20830</v>
      </c>
    </row>
    <row r="6998" spans="2:4" x14ac:dyDescent="0.35">
      <c r="B6998" s="60" t="s">
        <v>20831</v>
      </c>
      <c r="C6998" s="60" t="s">
        <v>20832</v>
      </c>
      <c r="D6998" s="60" t="s">
        <v>20833</v>
      </c>
    </row>
    <row r="6999" spans="2:4" x14ac:dyDescent="0.35">
      <c r="B6999" s="60" t="s">
        <v>20834</v>
      </c>
      <c r="C6999" s="60" t="s">
        <v>20835</v>
      </c>
      <c r="D6999" s="60" t="s">
        <v>20836</v>
      </c>
    </row>
    <row r="7000" spans="2:4" x14ac:dyDescent="0.35">
      <c r="B7000" s="60" t="s">
        <v>20837</v>
      </c>
      <c r="C7000" s="60" t="s">
        <v>20838</v>
      </c>
      <c r="D7000" s="60" t="s">
        <v>20839</v>
      </c>
    </row>
    <row r="7001" spans="2:4" x14ac:dyDescent="0.35">
      <c r="B7001" s="60" t="s">
        <v>20840</v>
      </c>
      <c r="C7001" s="60" t="s">
        <v>20841</v>
      </c>
      <c r="D7001" s="60" t="s">
        <v>20842</v>
      </c>
    </row>
    <row r="7002" spans="2:4" x14ac:dyDescent="0.35">
      <c r="B7002" s="60" t="s">
        <v>20843</v>
      </c>
      <c r="C7002" s="60" t="s">
        <v>20844</v>
      </c>
      <c r="D7002" s="60" t="s">
        <v>20845</v>
      </c>
    </row>
    <row r="7003" spans="2:4" x14ac:dyDescent="0.35">
      <c r="B7003" s="60" t="s">
        <v>20846</v>
      </c>
      <c r="C7003" s="60" t="s">
        <v>20847</v>
      </c>
      <c r="D7003" s="60" t="s">
        <v>20848</v>
      </c>
    </row>
    <row r="7004" spans="2:4" x14ac:dyDescent="0.35">
      <c r="B7004" s="60" t="s">
        <v>20849</v>
      </c>
      <c r="C7004" s="60" t="s">
        <v>20850</v>
      </c>
      <c r="D7004" s="60" t="s">
        <v>20851</v>
      </c>
    </row>
    <row r="7005" spans="2:4" x14ac:dyDescent="0.35">
      <c r="B7005" s="60" t="s">
        <v>20852</v>
      </c>
      <c r="C7005" s="60" t="s">
        <v>20853</v>
      </c>
      <c r="D7005" s="60" t="s">
        <v>20854</v>
      </c>
    </row>
    <row r="7006" spans="2:4" x14ac:dyDescent="0.35">
      <c r="B7006" s="60" t="s">
        <v>20855</v>
      </c>
      <c r="C7006" s="60" t="s">
        <v>20856</v>
      </c>
      <c r="D7006" s="60" t="s">
        <v>20857</v>
      </c>
    </row>
    <row r="7007" spans="2:4" x14ac:dyDescent="0.35">
      <c r="B7007" s="60" t="s">
        <v>20858</v>
      </c>
      <c r="C7007" s="60" t="s">
        <v>20859</v>
      </c>
      <c r="D7007" s="60" t="s">
        <v>20860</v>
      </c>
    </row>
    <row r="7008" spans="2:4" x14ac:dyDescent="0.35">
      <c r="B7008" s="60" t="s">
        <v>20861</v>
      </c>
      <c r="C7008" s="60" t="s">
        <v>20862</v>
      </c>
      <c r="D7008" s="60" t="s">
        <v>20863</v>
      </c>
    </row>
    <row r="7009" spans="2:4" x14ac:dyDescent="0.35">
      <c r="B7009" s="60" t="s">
        <v>20864</v>
      </c>
      <c r="C7009" s="60" t="s">
        <v>20865</v>
      </c>
      <c r="D7009" s="60" t="s">
        <v>20866</v>
      </c>
    </row>
    <row r="7010" spans="2:4" x14ac:dyDescent="0.35">
      <c r="B7010" s="60" t="s">
        <v>20867</v>
      </c>
      <c r="C7010" s="60" t="s">
        <v>20868</v>
      </c>
      <c r="D7010" s="60" t="s">
        <v>20869</v>
      </c>
    </row>
    <row r="7011" spans="2:4" x14ac:dyDescent="0.35">
      <c r="B7011" s="60" t="s">
        <v>20870</v>
      </c>
      <c r="C7011" s="60" t="s">
        <v>20871</v>
      </c>
      <c r="D7011" s="60" t="s">
        <v>20872</v>
      </c>
    </row>
    <row r="7012" spans="2:4" x14ac:dyDescent="0.35">
      <c r="B7012" s="60" t="s">
        <v>20873</v>
      </c>
      <c r="C7012" s="60" t="s">
        <v>20874</v>
      </c>
      <c r="D7012" s="60" t="s">
        <v>20875</v>
      </c>
    </row>
    <row r="7013" spans="2:4" x14ac:dyDescent="0.35">
      <c r="B7013" s="60" t="s">
        <v>20876</v>
      </c>
      <c r="C7013" s="60" t="s">
        <v>20877</v>
      </c>
      <c r="D7013" s="60" t="s">
        <v>20878</v>
      </c>
    </row>
    <row r="7014" spans="2:4" x14ac:dyDescent="0.35">
      <c r="B7014" s="60" t="s">
        <v>20879</v>
      </c>
      <c r="C7014" s="60" t="s">
        <v>20880</v>
      </c>
      <c r="D7014" s="60" t="s">
        <v>20881</v>
      </c>
    </row>
    <row r="7015" spans="2:4" x14ac:dyDescent="0.35">
      <c r="B7015" s="60" t="s">
        <v>20882</v>
      </c>
      <c r="C7015" s="60" t="s">
        <v>20883</v>
      </c>
      <c r="D7015" s="60" t="s">
        <v>20884</v>
      </c>
    </row>
    <row r="7016" spans="2:4" x14ac:dyDescent="0.35">
      <c r="B7016" s="60" t="s">
        <v>20885</v>
      </c>
      <c r="C7016" s="60" t="s">
        <v>20886</v>
      </c>
      <c r="D7016" s="60" t="s">
        <v>20887</v>
      </c>
    </row>
    <row r="7017" spans="2:4" x14ac:dyDescent="0.35">
      <c r="B7017" s="60" t="s">
        <v>20888</v>
      </c>
      <c r="C7017" s="60" t="s">
        <v>20889</v>
      </c>
      <c r="D7017" s="60" t="s">
        <v>20890</v>
      </c>
    </row>
    <row r="7018" spans="2:4" x14ac:dyDescent="0.35">
      <c r="B7018" s="60" t="s">
        <v>20891</v>
      </c>
      <c r="C7018" s="60" t="s">
        <v>20892</v>
      </c>
      <c r="D7018" s="60" t="s">
        <v>20893</v>
      </c>
    </row>
    <row r="7019" spans="2:4" x14ac:dyDescent="0.35">
      <c r="B7019" s="60" t="s">
        <v>20894</v>
      </c>
      <c r="C7019" s="60" t="s">
        <v>20895</v>
      </c>
      <c r="D7019" s="60" t="s">
        <v>20896</v>
      </c>
    </row>
    <row r="7020" spans="2:4" x14ac:dyDescent="0.35">
      <c r="B7020" s="60" t="s">
        <v>20897</v>
      </c>
      <c r="C7020" s="60" t="s">
        <v>20898</v>
      </c>
      <c r="D7020" s="60" t="s">
        <v>20899</v>
      </c>
    </row>
    <row r="7021" spans="2:4" x14ac:dyDescent="0.35">
      <c r="B7021" s="60" t="s">
        <v>20900</v>
      </c>
      <c r="C7021" s="60" t="s">
        <v>20901</v>
      </c>
      <c r="D7021" s="60" t="s">
        <v>20902</v>
      </c>
    </row>
    <row r="7022" spans="2:4" x14ac:dyDescent="0.35">
      <c r="B7022" s="60" t="s">
        <v>20903</v>
      </c>
      <c r="C7022" s="60" t="s">
        <v>20904</v>
      </c>
      <c r="D7022" s="60" t="s">
        <v>20905</v>
      </c>
    </row>
    <row r="7023" spans="2:4" x14ac:dyDescent="0.35">
      <c r="B7023" s="60" t="s">
        <v>20906</v>
      </c>
      <c r="C7023" s="60" t="s">
        <v>20907</v>
      </c>
      <c r="D7023" s="60" t="s">
        <v>20908</v>
      </c>
    </row>
    <row r="7024" spans="2:4" x14ac:dyDescent="0.35">
      <c r="B7024" s="60" t="s">
        <v>20909</v>
      </c>
      <c r="C7024" s="60" t="s">
        <v>20910</v>
      </c>
      <c r="D7024" s="60" t="s">
        <v>20911</v>
      </c>
    </row>
    <row r="7025" spans="2:4" x14ac:dyDescent="0.35">
      <c r="B7025" s="60" t="s">
        <v>20912</v>
      </c>
      <c r="C7025" s="60" t="s">
        <v>20913</v>
      </c>
      <c r="D7025" s="60" t="s">
        <v>20914</v>
      </c>
    </row>
    <row r="7026" spans="2:4" x14ac:dyDescent="0.35">
      <c r="B7026" s="60" t="s">
        <v>20915</v>
      </c>
      <c r="C7026" s="60" t="s">
        <v>20916</v>
      </c>
      <c r="D7026" s="60" t="s">
        <v>20917</v>
      </c>
    </row>
    <row r="7027" spans="2:4" x14ac:dyDescent="0.35">
      <c r="B7027" s="60" t="s">
        <v>20918</v>
      </c>
      <c r="C7027" s="60" t="s">
        <v>20919</v>
      </c>
      <c r="D7027" s="60" t="s">
        <v>20920</v>
      </c>
    </row>
    <row r="7028" spans="2:4" x14ac:dyDescent="0.35">
      <c r="B7028" s="60" t="s">
        <v>20921</v>
      </c>
      <c r="C7028" s="60" t="s">
        <v>20922</v>
      </c>
      <c r="D7028" s="60" t="s">
        <v>20923</v>
      </c>
    </row>
    <row r="7029" spans="2:4" x14ac:dyDescent="0.35">
      <c r="B7029" s="60" t="s">
        <v>20924</v>
      </c>
      <c r="C7029" s="60" t="s">
        <v>20925</v>
      </c>
      <c r="D7029" s="60" t="s">
        <v>20926</v>
      </c>
    </row>
    <row r="7030" spans="2:4" x14ac:dyDescent="0.35">
      <c r="B7030" s="60" t="s">
        <v>20927</v>
      </c>
      <c r="C7030" s="60" t="s">
        <v>20928</v>
      </c>
      <c r="D7030" s="60" t="s">
        <v>20929</v>
      </c>
    </row>
    <row r="7031" spans="2:4" x14ac:dyDescent="0.35">
      <c r="B7031" s="60" t="s">
        <v>20930</v>
      </c>
      <c r="C7031" s="60" t="s">
        <v>20931</v>
      </c>
      <c r="D7031" s="60" t="s">
        <v>20932</v>
      </c>
    </row>
    <row r="7032" spans="2:4" x14ac:dyDescent="0.35">
      <c r="B7032" s="60" t="s">
        <v>20933</v>
      </c>
      <c r="C7032" s="60" t="s">
        <v>20934</v>
      </c>
      <c r="D7032" s="60" t="s">
        <v>20935</v>
      </c>
    </row>
    <row r="7033" spans="2:4" x14ac:dyDescent="0.35">
      <c r="B7033" s="60" t="s">
        <v>20936</v>
      </c>
      <c r="C7033" s="60" t="s">
        <v>20937</v>
      </c>
      <c r="D7033" s="60" t="s">
        <v>20938</v>
      </c>
    </row>
    <row r="7034" spans="2:4" x14ac:dyDescent="0.35">
      <c r="B7034" s="60" t="s">
        <v>20939</v>
      </c>
      <c r="C7034" s="60" t="s">
        <v>20940</v>
      </c>
      <c r="D7034" s="60" t="s">
        <v>20941</v>
      </c>
    </row>
    <row r="7035" spans="2:4" x14ac:dyDescent="0.35">
      <c r="B7035" s="60" t="s">
        <v>20942</v>
      </c>
      <c r="C7035" s="60" t="s">
        <v>20943</v>
      </c>
      <c r="D7035" s="60" t="s">
        <v>20944</v>
      </c>
    </row>
    <row r="7036" spans="2:4" x14ac:dyDescent="0.35">
      <c r="B7036" s="60" t="s">
        <v>20945</v>
      </c>
      <c r="C7036" s="60" t="s">
        <v>20946</v>
      </c>
      <c r="D7036" s="60" t="s">
        <v>20947</v>
      </c>
    </row>
    <row r="7037" spans="2:4" x14ac:dyDescent="0.35">
      <c r="B7037" s="60" t="s">
        <v>20948</v>
      </c>
      <c r="C7037" s="60" t="s">
        <v>20949</v>
      </c>
      <c r="D7037" s="60" t="s">
        <v>20950</v>
      </c>
    </row>
    <row r="7038" spans="2:4" x14ac:dyDescent="0.35">
      <c r="B7038" s="60" t="s">
        <v>20951</v>
      </c>
      <c r="C7038" s="60" t="s">
        <v>20952</v>
      </c>
      <c r="D7038" s="60" t="s">
        <v>20953</v>
      </c>
    </row>
    <row r="7039" spans="2:4" x14ac:dyDescent="0.35">
      <c r="B7039" s="60" t="s">
        <v>20954</v>
      </c>
      <c r="C7039" s="60" t="s">
        <v>20955</v>
      </c>
      <c r="D7039" s="60" t="s">
        <v>20956</v>
      </c>
    </row>
    <row r="7040" spans="2:4" x14ac:dyDescent="0.35">
      <c r="B7040" s="60" t="s">
        <v>20957</v>
      </c>
      <c r="C7040" s="60" t="s">
        <v>20958</v>
      </c>
      <c r="D7040" s="60" t="s">
        <v>20959</v>
      </c>
    </row>
    <row r="7041" spans="2:4" x14ac:dyDescent="0.35">
      <c r="B7041" s="60" t="s">
        <v>20960</v>
      </c>
      <c r="C7041" s="60" t="s">
        <v>20961</v>
      </c>
      <c r="D7041" s="60" t="s">
        <v>20962</v>
      </c>
    </row>
    <row r="7042" spans="2:4" x14ac:dyDescent="0.35">
      <c r="B7042" s="60" t="s">
        <v>20963</v>
      </c>
      <c r="C7042" s="60" t="s">
        <v>20964</v>
      </c>
      <c r="D7042" s="60" t="s">
        <v>20965</v>
      </c>
    </row>
    <row r="7043" spans="2:4" x14ac:dyDescent="0.35">
      <c r="B7043" s="60" t="s">
        <v>20963</v>
      </c>
      <c r="C7043" s="60" t="s">
        <v>20966</v>
      </c>
      <c r="D7043" s="60" t="s">
        <v>20967</v>
      </c>
    </row>
    <row r="7044" spans="2:4" x14ac:dyDescent="0.35">
      <c r="B7044" s="60" t="s">
        <v>20968</v>
      </c>
      <c r="C7044" s="60" t="s">
        <v>20969</v>
      </c>
      <c r="D7044" s="60" t="s">
        <v>20970</v>
      </c>
    </row>
    <row r="7045" spans="2:4" x14ac:dyDescent="0.35">
      <c r="B7045" s="60" t="s">
        <v>20971</v>
      </c>
      <c r="C7045" s="60" t="s">
        <v>20972</v>
      </c>
      <c r="D7045" s="60" t="s">
        <v>20973</v>
      </c>
    </row>
    <row r="7046" spans="2:4" x14ac:dyDescent="0.35">
      <c r="B7046" s="60" t="s">
        <v>20974</v>
      </c>
      <c r="C7046" s="60" t="s">
        <v>20975</v>
      </c>
      <c r="D7046" s="60" t="s">
        <v>20976</v>
      </c>
    </row>
    <row r="7047" spans="2:4" x14ac:dyDescent="0.35">
      <c r="B7047" s="60" t="s">
        <v>20977</v>
      </c>
      <c r="C7047" s="60" t="s">
        <v>20978</v>
      </c>
      <c r="D7047" s="60" t="s">
        <v>20979</v>
      </c>
    </row>
    <row r="7048" spans="2:4" x14ac:dyDescent="0.35">
      <c r="B7048" s="60" t="s">
        <v>20980</v>
      </c>
      <c r="C7048" s="60" t="s">
        <v>20981</v>
      </c>
      <c r="D7048" s="60" t="s">
        <v>20982</v>
      </c>
    </row>
    <row r="7049" spans="2:4" x14ac:dyDescent="0.35">
      <c r="B7049" s="60" t="s">
        <v>20983</v>
      </c>
      <c r="C7049" s="60" t="s">
        <v>20984</v>
      </c>
      <c r="D7049" s="60" t="s">
        <v>20985</v>
      </c>
    </row>
    <row r="7050" spans="2:4" x14ac:dyDescent="0.35">
      <c r="B7050" s="60" t="s">
        <v>20986</v>
      </c>
      <c r="C7050" s="60" t="s">
        <v>20987</v>
      </c>
      <c r="D7050" s="60" t="s">
        <v>20988</v>
      </c>
    </row>
    <row r="7051" spans="2:4" x14ac:dyDescent="0.35">
      <c r="B7051" s="60" t="s">
        <v>20989</v>
      </c>
      <c r="C7051" s="60" t="s">
        <v>20990</v>
      </c>
      <c r="D7051" s="60" t="s">
        <v>20991</v>
      </c>
    </row>
    <row r="7052" spans="2:4" x14ac:dyDescent="0.35">
      <c r="B7052" s="60" t="s">
        <v>20992</v>
      </c>
      <c r="C7052" s="60" t="s">
        <v>20993</v>
      </c>
      <c r="D7052" s="60" t="s">
        <v>20994</v>
      </c>
    </row>
    <row r="7053" spans="2:4" x14ac:dyDescent="0.35">
      <c r="B7053" s="60" t="s">
        <v>20995</v>
      </c>
      <c r="C7053" s="60" t="s">
        <v>20996</v>
      </c>
      <c r="D7053" s="60" t="s">
        <v>20997</v>
      </c>
    </row>
    <row r="7054" spans="2:4" x14ac:dyDescent="0.35">
      <c r="B7054" s="60" t="s">
        <v>20998</v>
      </c>
      <c r="C7054" s="60" t="s">
        <v>20999</v>
      </c>
      <c r="D7054" s="60" t="s">
        <v>21000</v>
      </c>
    </row>
    <row r="7055" spans="2:4" x14ac:dyDescent="0.35">
      <c r="B7055" s="60" t="s">
        <v>21001</v>
      </c>
      <c r="C7055" s="60" t="s">
        <v>21002</v>
      </c>
      <c r="D7055" s="60" t="s">
        <v>21003</v>
      </c>
    </row>
    <row r="7056" spans="2:4" x14ac:dyDescent="0.35">
      <c r="B7056" s="60" t="s">
        <v>21004</v>
      </c>
      <c r="C7056" s="60" t="s">
        <v>21005</v>
      </c>
      <c r="D7056" s="60" t="s">
        <v>21006</v>
      </c>
    </row>
    <row r="7057" spans="2:4" x14ac:dyDescent="0.35">
      <c r="B7057" s="60" t="s">
        <v>21007</v>
      </c>
      <c r="C7057" s="60" t="s">
        <v>21008</v>
      </c>
      <c r="D7057" s="60" t="s">
        <v>21009</v>
      </c>
    </row>
    <row r="7058" spans="2:4" x14ac:dyDescent="0.35">
      <c r="B7058" s="60" t="s">
        <v>21010</v>
      </c>
      <c r="C7058" s="60" t="s">
        <v>21011</v>
      </c>
      <c r="D7058" s="60" t="s">
        <v>21012</v>
      </c>
    </row>
    <row r="7059" spans="2:4" x14ac:dyDescent="0.35">
      <c r="B7059" s="60" t="s">
        <v>21013</v>
      </c>
      <c r="C7059" s="60" t="s">
        <v>21014</v>
      </c>
      <c r="D7059" s="60" t="s">
        <v>21015</v>
      </c>
    </row>
    <row r="7060" spans="2:4" x14ac:dyDescent="0.35">
      <c r="B7060" s="60" t="s">
        <v>21016</v>
      </c>
      <c r="C7060" s="60" t="s">
        <v>21017</v>
      </c>
      <c r="D7060" s="60" t="s">
        <v>21018</v>
      </c>
    </row>
    <row r="7061" spans="2:4" x14ac:dyDescent="0.35">
      <c r="B7061" s="60" t="s">
        <v>21019</v>
      </c>
      <c r="C7061" s="60" t="s">
        <v>21020</v>
      </c>
      <c r="D7061" s="60" t="s">
        <v>21021</v>
      </c>
    </row>
    <row r="7062" spans="2:4" x14ac:dyDescent="0.35">
      <c r="B7062" s="60" t="s">
        <v>21022</v>
      </c>
      <c r="C7062" s="60" t="s">
        <v>21023</v>
      </c>
      <c r="D7062" s="60" t="s">
        <v>21024</v>
      </c>
    </row>
    <row r="7063" spans="2:4" x14ac:dyDescent="0.35">
      <c r="B7063" s="60" t="s">
        <v>21025</v>
      </c>
      <c r="C7063" s="60" t="s">
        <v>21026</v>
      </c>
      <c r="D7063" s="60" t="s">
        <v>21027</v>
      </c>
    </row>
    <row r="7064" spans="2:4" x14ac:dyDescent="0.35">
      <c r="B7064" s="60" t="s">
        <v>21028</v>
      </c>
      <c r="C7064" s="60" t="s">
        <v>21029</v>
      </c>
      <c r="D7064" s="60" t="s">
        <v>21030</v>
      </c>
    </row>
    <row r="7065" spans="2:4" x14ac:dyDescent="0.35">
      <c r="B7065" s="60" t="s">
        <v>21031</v>
      </c>
      <c r="C7065" s="60" t="s">
        <v>21032</v>
      </c>
      <c r="D7065" s="60" t="s">
        <v>21033</v>
      </c>
    </row>
    <row r="7066" spans="2:4" x14ac:dyDescent="0.35">
      <c r="B7066" s="60" t="s">
        <v>21034</v>
      </c>
      <c r="C7066" s="60" t="s">
        <v>21035</v>
      </c>
      <c r="D7066" s="60" t="s">
        <v>21036</v>
      </c>
    </row>
    <row r="7067" spans="2:4" x14ac:dyDescent="0.35">
      <c r="B7067" s="60" t="s">
        <v>21037</v>
      </c>
      <c r="C7067" s="60" t="s">
        <v>21038</v>
      </c>
      <c r="D7067" s="60" t="s">
        <v>21039</v>
      </c>
    </row>
    <row r="7068" spans="2:4" x14ac:dyDescent="0.35">
      <c r="B7068" s="60" t="s">
        <v>21040</v>
      </c>
      <c r="C7068" s="60" t="s">
        <v>21041</v>
      </c>
      <c r="D7068" s="60" t="s">
        <v>21042</v>
      </c>
    </row>
    <row r="7069" spans="2:4" x14ac:dyDescent="0.35">
      <c r="B7069" s="60" t="s">
        <v>21043</v>
      </c>
      <c r="C7069" s="60" t="s">
        <v>21044</v>
      </c>
      <c r="D7069" s="60" t="s">
        <v>21045</v>
      </c>
    </row>
    <row r="7070" spans="2:4" x14ac:dyDescent="0.35">
      <c r="B7070" s="60" t="s">
        <v>21046</v>
      </c>
      <c r="C7070" s="60" t="s">
        <v>21047</v>
      </c>
      <c r="D7070" s="60" t="s">
        <v>21048</v>
      </c>
    </row>
    <row r="7071" spans="2:4" x14ac:dyDescent="0.35">
      <c r="B7071" s="60" t="s">
        <v>21049</v>
      </c>
      <c r="C7071" s="60" t="s">
        <v>21050</v>
      </c>
      <c r="D7071" s="60" t="s">
        <v>21051</v>
      </c>
    </row>
    <row r="7072" spans="2:4" x14ac:dyDescent="0.35">
      <c r="B7072" s="60" t="s">
        <v>21052</v>
      </c>
      <c r="C7072" s="60" t="s">
        <v>21053</v>
      </c>
      <c r="D7072" s="60" t="s">
        <v>21054</v>
      </c>
    </row>
    <row r="7073" spans="2:4" x14ac:dyDescent="0.35">
      <c r="B7073" s="60" t="s">
        <v>21055</v>
      </c>
      <c r="C7073" s="60" t="s">
        <v>21056</v>
      </c>
      <c r="D7073" s="60" t="s">
        <v>21057</v>
      </c>
    </row>
    <row r="7074" spans="2:4" x14ac:dyDescent="0.35">
      <c r="B7074" s="60" t="s">
        <v>21058</v>
      </c>
      <c r="C7074" s="60" t="s">
        <v>21059</v>
      </c>
      <c r="D7074" s="60" t="s">
        <v>21060</v>
      </c>
    </row>
    <row r="7075" spans="2:4" x14ac:dyDescent="0.35">
      <c r="B7075" s="60" t="s">
        <v>21061</v>
      </c>
      <c r="C7075" s="60" t="s">
        <v>21062</v>
      </c>
      <c r="D7075" s="60" t="s">
        <v>21063</v>
      </c>
    </row>
    <row r="7076" spans="2:4" x14ac:dyDescent="0.35">
      <c r="B7076" s="60" t="s">
        <v>21064</v>
      </c>
      <c r="C7076" s="60" t="s">
        <v>21065</v>
      </c>
      <c r="D7076" s="60" t="s">
        <v>21066</v>
      </c>
    </row>
    <row r="7077" spans="2:4" x14ac:dyDescent="0.35">
      <c r="B7077" s="60" t="s">
        <v>21067</v>
      </c>
      <c r="C7077" s="60" t="s">
        <v>21068</v>
      </c>
      <c r="D7077" s="60" t="s">
        <v>21069</v>
      </c>
    </row>
    <row r="7078" spans="2:4" x14ac:dyDescent="0.35">
      <c r="B7078" s="60" t="s">
        <v>21070</v>
      </c>
      <c r="C7078" s="60" t="s">
        <v>21071</v>
      </c>
      <c r="D7078" s="60" t="s">
        <v>21072</v>
      </c>
    </row>
    <row r="7079" spans="2:4" x14ac:dyDescent="0.35">
      <c r="B7079" s="60" t="s">
        <v>21073</v>
      </c>
      <c r="C7079" s="60" t="s">
        <v>21074</v>
      </c>
      <c r="D7079" s="60" t="s">
        <v>21075</v>
      </c>
    </row>
    <row r="7080" spans="2:4" x14ac:dyDescent="0.35">
      <c r="B7080" s="60" t="s">
        <v>21076</v>
      </c>
      <c r="C7080" s="60" t="s">
        <v>21077</v>
      </c>
      <c r="D7080" s="60" t="s">
        <v>21078</v>
      </c>
    </row>
    <row r="7081" spans="2:4" x14ac:dyDescent="0.35">
      <c r="B7081" s="60" t="s">
        <v>21079</v>
      </c>
      <c r="C7081" s="60" t="s">
        <v>21080</v>
      </c>
      <c r="D7081" s="60" t="s">
        <v>21081</v>
      </c>
    </row>
    <row r="7082" spans="2:4" x14ac:dyDescent="0.35">
      <c r="B7082" s="60" t="s">
        <v>21082</v>
      </c>
      <c r="C7082" s="60" t="s">
        <v>21083</v>
      </c>
      <c r="D7082" s="60" t="s">
        <v>21084</v>
      </c>
    </row>
    <row r="7083" spans="2:4" x14ac:dyDescent="0.35">
      <c r="B7083" s="60" t="s">
        <v>21085</v>
      </c>
      <c r="C7083" s="60" t="s">
        <v>21086</v>
      </c>
      <c r="D7083" s="60" t="s">
        <v>21087</v>
      </c>
    </row>
    <row r="7084" spans="2:4" x14ac:dyDescent="0.35">
      <c r="B7084" s="60" t="s">
        <v>21088</v>
      </c>
      <c r="C7084" s="60" t="s">
        <v>21089</v>
      </c>
      <c r="D7084" s="60" t="s">
        <v>21090</v>
      </c>
    </row>
    <row r="7085" spans="2:4" x14ac:dyDescent="0.35">
      <c r="B7085" s="60" t="s">
        <v>21091</v>
      </c>
      <c r="C7085" s="60" t="s">
        <v>21092</v>
      </c>
      <c r="D7085" s="60" t="s">
        <v>21093</v>
      </c>
    </row>
    <row r="7086" spans="2:4" x14ac:dyDescent="0.35">
      <c r="B7086" s="60" t="s">
        <v>21094</v>
      </c>
      <c r="C7086" s="60" t="s">
        <v>21095</v>
      </c>
      <c r="D7086" s="60" t="s">
        <v>21096</v>
      </c>
    </row>
    <row r="7087" spans="2:4" x14ac:dyDescent="0.35">
      <c r="B7087" s="60" t="s">
        <v>21097</v>
      </c>
      <c r="C7087" s="60" t="s">
        <v>21098</v>
      </c>
      <c r="D7087" s="60" t="s">
        <v>21099</v>
      </c>
    </row>
    <row r="7088" spans="2:4" x14ac:dyDescent="0.35">
      <c r="B7088" s="60" t="s">
        <v>21100</v>
      </c>
      <c r="C7088" s="60" t="s">
        <v>21101</v>
      </c>
      <c r="D7088" s="60" t="s">
        <v>21102</v>
      </c>
    </row>
    <row r="7089" spans="2:4" x14ac:dyDescent="0.35">
      <c r="B7089" s="60" t="s">
        <v>21103</v>
      </c>
      <c r="C7089" s="60" t="s">
        <v>21104</v>
      </c>
      <c r="D7089" s="60" t="s">
        <v>21105</v>
      </c>
    </row>
    <row r="7090" spans="2:4" x14ac:dyDescent="0.35">
      <c r="B7090" s="60" t="s">
        <v>21106</v>
      </c>
      <c r="C7090" s="60" t="s">
        <v>21107</v>
      </c>
      <c r="D7090" s="60" t="s">
        <v>21108</v>
      </c>
    </row>
    <row r="7091" spans="2:4" x14ac:dyDescent="0.35">
      <c r="B7091" s="60" t="s">
        <v>21109</v>
      </c>
      <c r="C7091" s="60" t="s">
        <v>21110</v>
      </c>
      <c r="D7091" s="60" t="s">
        <v>21111</v>
      </c>
    </row>
    <row r="7092" spans="2:4" x14ac:dyDescent="0.35">
      <c r="B7092" s="60" t="s">
        <v>21112</v>
      </c>
      <c r="C7092" s="60" t="s">
        <v>21113</v>
      </c>
      <c r="D7092" s="60" t="s">
        <v>21114</v>
      </c>
    </row>
    <row r="7093" spans="2:4" x14ac:dyDescent="0.35">
      <c r="B7093" s="60" t="s">
        <v>21115</v>
      </c>
      <c r="C7093" s="60" t="s">
        <v>21116</v>
      </c>
      <c r="D7093" s="60" t="s">
        <v>21117</v>
      </c>
    </row>
    <row r="7094" spans="2:4" x14ac:dyDescent="0.35">
      <c r="B7094" s="60" t="s">
        <v>21118</v>
      </c>
      <c r="C7094" s="60" t="s">
        <v>21119</v>
      </c>
      <c r="D7094" s="60" t="s">
        <v>21120</v>
      </c>
    </row>
    <row r="7095" spans="2:4" x14ac:dyDescent="0.35">
      <c r="B7095" s="60" t="s">
        <v>21121</v>
      </c>
      <c r="C7095" s="60" t="s">
        <v>21122</v>
      </c>
      <c r="D7095" s="60" t="s">
        <v>21123</v>
      </c>
    </row>
    <row r="7096" spans="2:4" x14ac:dyDescent="0.35">
      <c r="B7096" s="60" t="s">
        <v>21124</v>
      </c>
      <c r="C7096" s="60" t="s">
        <v>21125</v>
      </c>
      <c r="D7096" s="60" t="s">
        <v>21126</v>
      </c>
    </row>
    <row r="7097" spans="2:4" x14ac:dyDescent="0.35">
      <c r="B7097" s="60" t="s">
        <v>21127</v>
      </c>
      <c r="C7097" s="60" t="s">
        <v>21128</v>
      </c>
      <c r="D7097" s="60" t="s">
        <v>21129</v>
      </c>
    </row>
    <row r="7098" spans="2:4" x14ac:dyDescent="0.35">
      <c r="B7098" s="60" t="s">
        <v>21130</v>
      </c>
      <c r="C7098" s="60" t="s">
        <v>21131</v>
      </c>
      <c r="D7098" s="60" t="s">
        <v>21132</v>
      </c>
    </row>
    <row r="7099" spans="2:4" x14ac:dyDescent="0.35">
      <c r="B7099" s="60" t="s">
        <v>21133</v>
      </c>
      <c r="C7099" s="60" t="s">
        <v>21134</v>
      </c>
      <c r="D7099" s="60" t="s">
        <v>21135</v>
      </c>
    </row>
    <row r="7100" spans="2:4" x14ac:dyDescent="0.35">
      <c r="B7100" s="60" t="s">
        <v>21136</v>
      </c>
      <c r="C7100" s="60" t="s">
        <v>21137</v>
      </c>
      <c r="D7100" s="60" t="s">
        <v>21138</v>
      </c>
    </row>
    <row r="7101" spans="2:4" x14ac:dyDescent="0.35">
      <c r="B7101" s="60" t="s">
        <v>21139</v>
      </c>
      <c r="C7101" s="60" t="s">
        <v>21140</v>
      </c>
      <c r="D7101" s="60" t="s">
        <v>21141</v>
      </c>
    </row>
    <row r="7102" spans="2:4" x14ac:dyDescent="0.35">
      <c r="B7102" s="60" t="s">
        <v>21142</v>
      </c>
      <c r="C7102" s="60" t="s">
        <v>21143</v>
      </c>
      <c r="D7102" s="60" t="s">
        <v>21144</v>
      </c>
    </row>
    <row r="7103" spans="2:4" x14ac:dyDescent="0.35">
      <c r="B7103" s="60" t="s">
        <v>21145</v>
      </c>
      <c r="C7103" s="60" t="s">
        <v>21146</v>
      </c>
      <c r="D7103" s="60" t="s">
        <v>21147</v>
      </c>
    </row>
    <row r="7104" spans="2:4" x14ac:dyDescent="0.35">
      <c r="B7104" s="60" t="s">
        <v>21148</v>
      </c>
      <c r="C7104" s="60" t="s">
        <v>21149</v>
      </c>
      <c r="D7104" s="60" t="s">
        <v>21150</v>
      </c>
    </row>
    <row r="7105" spans="2:4" x14ac:dyDescent="0.35">
      <c r="B7105" s="60" t="s">
        <v>21151</v>
      </c>
      <c r="C7105" s="60" t="s">
        <v>21152</v>
      </c>
      <c r="D7105" s="60" t="s">
        <v>21153</v>
      </c>
    </row>
    <row r="7106" spans="2:4" x14ac:dyDescent="0.35">
      <c r="B7106" s="60" t="s">
        <v>21154</v>
      </c>
      <c r="C7106" s="60" t="s">
        <v>21155</v>
      </c>
      <c r="D7106" s="60" t="s">
        <v>21156</v>
      </c>
    </row>
    <row r="7107" spans="2:4" x14ac:dyDescent="0.35">
      <c r="B7107" s="60" t="s">
        <v>21157</v>
      </c>
      <c r="C7107" s="60" t="s">
        <v>21158</v>
      </c>
      <c r="D7107" s="60" t="s">
        <v>21159</v>
      </c>
    </row>
    <row r="7108" spans="2:4" x14ac:dyDescent="0.35">
      <c r="B7108" s="60" t="s">
        <v>21160</v>
      </c>
      <c r="C7108" s="60" t="s">
        <v>21161</v>
      </c>
      <c r="D7108" s="60" t="s">
        <v>21162</v>
      </c>
    </row>
    <row r="7109" spans="2:4" x14ac:dyDescent="0.35">
      <c r="B7109" s="60" t="s">
        <v>21163</v>
      </c>
      <c r="C7109" s="60" t="s">
        <v>21164</v>
      </c>
      <c r="D7109" s="60" t="s">
        <v>21165</v>
      </c>
    </row>
    <row r="7110" spans="2:4" x14ac:dyDescent="0.35">
      <c r="B7110" s="60" t="s">
        <v>21166</v>
      </c>
      <c r="C7110" s="60" t="s">
        <v>21167</v>
      </c>
      <c r="D7110" s="60" t="s">
        <v>21168</v>
      </c>
    </row>
    <row r="7111" spans="2:4" x14ac:dyDescent="0.35">
      <c r="B7111" s="60" t="s">
        <v>21169</v>
      </c>
      <c r="C7111" s="60" t="s">
        <v>21170</v>
      </c>
      <c r="D7111" s="60" t="s">
        <v>21171</v>
      </c>
    </row>
    <row r="7112" spans="2:4" x14ac:dyDescent="0.35">
      <c r="B7112" s="60" t="s">
        <v>21172</v>
      </c>
      <c r="C7112" s="60" t="s">
        <v>21173</v>
      </c>
      <c r="D7112" s="60" t="s">
        <v>21174</v>
      </c>
    </row>
    <row r="7113" spans="2:4" x14ac:dyDescent="0.35">
      <c r="B7113" s="60" t="s">
        <v>21175</v>
      </c>
      <c r="C7113" s="60" t="s">
        <v>21176</v>
      </c>
      <c r="D7113" s="60" t="s">
        <v>21177</v>
      </c>
    </row>
    <row r="7114" spans="2:4" x14ac:dyDescent="0.35">
      <c r="B7114" s="60" t="s">
        <v>21178</v>
      </c>
      <c r="C7114" s="60" t="s">
        <v>21179</v>
      </c>
      <c r="D7114" s="60" t="s">
        <v>21180</v>
      </c>
    </row>
    <row r="7115" spans="2:4" x14ac:dyDescent="0.35">
      <c r="B7115" s="60" t="s">
        <v>21181</v>
      </c>
      <c r="C7115" s="60" t="s">
        <v>21182</v>
      </c>
      <c r="D7115" s="60" t="s">
        <v>21183</v>
      </c>
    </row>
    <row r="7116" spans="2:4" x14ac:dyDescent="0.35">
      <c r="B7116" s="60" t="s">
        <v>21184</v>
      </c>
      <c r="C7116" s="60" t="s">
        <v>21185</v>
      </c>
      <c r="D7116" s="60" t="s">
        <v>21186</v>
      </c>
    </row>
    <row r="7117" spans="2:4" x14ac:dyDescent="0.35">
      <c r="B7117" s="60" t="s">
        <v>21187</v>
      </c>
      <c r="C7117" s="60" t="s">
        <v>21188</v>
      </c>
      <c r="D7117" s="60" t="s">
        <v>21189</v>
      </c>
    </row>
    <row r="7118" spans="2:4" x14ac:dyDescent="0.35">
      <c r="B7118" s="60" t="s">
        <v>21190</v>
      </c>
      <c r="C7118" s="60" t="s">
        <v>21191</v>
      </c>
      <c r="D7118" s="60" t="s">
        <v>21192</v>
      </c>
    </row>
    <row r="7119" spans="2:4" x14ac:dyDescent="0.35">
      <c r="B7119" s="60" t="s">
        <v>21193</v>
      </c>
      <c r="C7119" s="60" t="s">
        <v>21194</v>
      </c>
      <c r="D7119" s="60" t="s">
        <v>21195</v>
      </c>
    </row>
    <row r="7120" spans="2:4" x14ac:dyDescent="0.35">
      <c r="B7120" s="60" t="s">
        <v>21196</v>
      </c>
      <c r="C7120" s="60" t="s">
        <v>21197</v>
      </c>
      <c r="D7120" s="60" t="s">
        <v>21198</v>
      </c>
    </row>
    <row r="7121" spans="2:4" x14ac:dyDescent="0.35">
      <c r="B7121" s="60" t="s">
        <v>21199</v>
      </c>
      <c r="C7121" s="60" t="s">
        <v>21200</v>
      </c>
      <c r="D7121" s="60" t="s">
        <v>21201</v>
      </c>
    </row>
    <row r="7122" spans="2:4" x14ac:dyDescent="0.35">
      <c r="B7122" s="60" t="s">
        <v>21202</v>
      </c>
      <c r="C7122" s="60" t="s">
        <v>21203</v>
      </c>
      <c r="D7122" s="60" t="s">
        <v>21204</v>
      </c>
    </row>
    <row r="7123" spans="2:4" x14ac:dyDescent="0.35">
      <c r="B7123" s="60" t="s">
        <v>21205</v>
      </c>
      <c r="C7123" s="60" t="s">
        <v>21206</v>
      </c>
      <c r="D7123" s="60" t="s">
        <v>21207</v>
      </c>
    </row>
    <row r="7124" spans="2:4" x14ac:dyDescent="0.35">
      <c r="B7124" s="60" t="s">
        <v>21208</v>
      </c>
      <c r="C7124" s="60" t="s">
        <v>21209</v>
      </c>
      <c r="D7124" s="60" t="s">
        <v>21210</v>
      </c>
    </row>
    <row r="7125" spans="2:4" x14ac:dyDescent="0.35">
      <c r="B7125" s="60" t="s">
        <v>21211</v>
      </c>
      <c r="C7125" s="60" t="s">
        <v>21212</v>
      </c>
      <c r="D7125" s="60" t="s">
        <v>21213</v>
      </c>
    </row>
    <row r="7126" spans="2:4" x14ac:dyDescent="0.35">
      <c r="B7126" s="60" t="s">
        <v>21214</v>
      </c>
      <c r="C7126" s="60" t="s">
        <v>21215</v>
      </c>
      <c r="D7126" s="60" t="s">
        <v>21216</v>
      </c>
    </row>
    <row r="7127" spans="2:4" x14ac:dyDescent="0.35">
      <c r="B7127" s="60" t="s">
        <v>21217</v>
      </c>
      <c r="C7127" s="60" t="s">
        <v>21218</v>
      </c>
      <c r="D7127" s="60" t="s">
        <v>21219</v>
      </c>
    </row>
    <row r="7128" spans="2:4" x14ac:dyDescent="0.35">
      <c r="B7128" s="60" t="s">
        <v>21220</v>
      </c>
      <c r="C7128" s="60" t="s">
        <v>21221</v>
      </c>
      <c r="D7128" s="60" t="s">
        <v>21222</v>
      </c>
    </row>
    <row r="7129" spans="2:4" x14ac:dyDescent="0.35">
      <c r="B7129" s="60" t="s">
        <v>21223</v>
      </c>
      <c r="C7129" s="60" t="s">
        <v>21224</v>
      </c>
      <c r="D7129" s="60" t="s">
        <v>21225</v>
      </c>
    </row>
    <row r="7130" spans="2:4" x14ac:dyDescent="0.35">
      <c r="B7130" s="60" t="s">
        <v>21226</v>
      </c>
      <c r="C7130" s="60" t="s">
        <v>21227</v>
      </c>
      <c r="D7130" s="60" t="s">
        <v>21228</v>
      </c>
    </row>
    <row r="7131" spans="2:4" x14ac:dyDescent="0.35">
      <c r="B7131" s="60" t="s">
        <v>21229</v>
      </c>
      <c r="C7131" s="60" t="s">
        <v>21230</v>
      </c>
      <c r="D7131" s="60" t="s">
        <v>21231</v>
      </c>
    </row>
    <row r="7132" spans="2:4" x14ac:dyDescent="0.35">
      <c r="B7132" s="60" t="s">
        <v>21232</v>
      </c>
      <c r="C7132" s="60" t="s">
        <v>21233</v>
      </c>
      <c r="D7132" s="60" t="s">
        <v>21234</v>
      </c>
    </row>
    <row r="7133" spans="2:4" x14ac:dyDescent="0.35">
      <c r="B7133" s="60" t="s">
        <v>21232</v>
      </c>
      <c r="C7133" s="60" t="s">
        <v>21235</v>
      </c>
      <c r="D7133" s="60" t="s">
        <v>21234</v>
      </c>
    </row>
    <row r="7134" spans="2:4" x14ac:dyDescent="0.35">
      <c r="B7134" s="60" t="s">
        <v>21236</v>
      </c>
      <c r="C7134" s="60" t="s">
        <v>21237</v>
      </c>
      <c r="D7134" s="60" t="s">
        <v>21238</v>
      </c>
    </row>
    <row r="7135" spans="2:4" x14ac:dyDescent="0.35">
      <c r="B7135" s="60" t="s">
        <v>21239</v>
      </c>
      <c r="C7135" s="60" t="s">
        <v>21240</v>
      </c>
      <c r="D7135" s="60" t="s">
        <v>21241</v>
      </c>
    </row>
    <row r="7136" spans="2:4" x14ac:dyDescent="0.35">
      <c r="B7136" s="60" t="s">
        <v>21239</v>
      </c>
      <c r="C7136" s="60" t="s">
        <v>21242</v>
      </c>
      <c r="D7136" s="60" t="s">
        <v>21241</v>
      </c>
    </row>
    <row r="7137" spans="2:4" x14ac:dyDescent="0.35">
      <c r="B7137" s="60" t="s">
        <v>21243</v>
      </c>
      <c r="C7137" s="60" t="s">
        <v>21244</v>
      </c>
      <c r="D7137" s="60" t="s">
        <v>21245</v>
      </c>
    </row>
    <row r="7138" spans="2:4" x14ac:dyDescent="0.35">
      <c r="B7138" s="60" t="s">
        <v>21246</v>
      </c>
      <c r="C7138" s="60" t="s">
        <v>21247</v>
      </c>
      <c r="D7138" s="60" t="s">
        <v>21248</v>
      </c>
    </row>
    <row r="7139" spans="2:4" x14ac:dyDescent="0.35">
      <c r="B7139" s="60" t="s">
        <v>21249</v>
      </c>
      <c r="C7139" s="60" t="s">
        <v>21250</v>
      </c>
      <c r="D7139" s="60" t="s">
        <v>21251</v>
      </c>
    </row>
    <row r="7140" spans="2:4" x14ac:dyDescent="0.35">
      <c r="B7140" s="60" t="s">
        <v>21252</v>
      </c>
      <c r="C7140" s="60" t="s">
        <v>21253</v>
      </c>
      <c r="D7140" s="60" t="s">
        <v>21254</v>
      </c>
    </row>
    <row r="7141" spans="2:4" x14ac:dyDescent="0.35">
      <c r="B7141" s="60" t="s">
        <v>21255</v>
      </c>
      <c r="C7141" s="60" t="s">
        <v>21256</v>
      </c>
      <c r="D7141" s="60" t="s">
        <v>21257</v>
      </c>
    </row>
    <row r="7142" spans="2:4" x14ac:dyDescent="0.35">
      <c r="B7142" s="60" t="s">
        <v>21258</v>
      </c>
      <c r="C7142" s="60" t="s">
        <v>21259</v>
      </c>
      <c r="D7142" s="60" t="s">
        <v>21260</v>
      </c>
    </row>
    <row r="7143" spans="2:4" x14ac:dyDescent="0.35">
      <c r="B7143" s="60" t="s">
        <v>21261</v>
      </c>
      <c r="C7143" s="60" t="s">
        <v>21262</v>
      </c>
      <c r="D7143" s="60" t="s">
        <v>21263</v>
      </c>
    </row>
    <row r="7144" spans="2:4" x14ac:dyDescent="0.35">
      <c r="B7144" s="60" t="s">
        <v>21264</v>
      </c>
      <c r="C7144" s="60" t="s">
        <v>21265</v>
      </c>
      <c r="D7144" s="60" t="s">
        <v>21266</v>
      </c>
    </row>
    <row r="7145" spans="2:4" x14ac:dyDescent="0.35">
      <c r="B7145" s="60" t="s">
        <v>21267</v>
      </c>
      <c r="C7145" s="60" t="s">
        <v>21268</v>
      </c>
      <c r="D7145" s="60" t="s">
        <v>21269</v>
      </c>
    </row>
    <row r="7146" spans="2:4" x14ac:dyDescent="0.35">
      <c r="B7146" s="60" t="s">
        <v>21270</v>
      </c>
      <c r="C7146" s="60" t="s">
        <v>21271</v>
      </c>
      <c r="D7146" s="60" t="s">
        <v>21272</v>
      </c>
    </row>
    <row r="7147" spans="2:4" x14ac:dyDescent="0.35">
      <c r="B7147" s="60" t="s">
        <v>21273</v>
      </c>
      <c r="C7147" s="60" t="s">
        <v>21274</v>
      </c>
      <c r="D7147" s="60" t="s">
        <v>21275</v>
      </c>
    </row>
    <row r="7148" spans="2:4" x14ac:dyDescent="0.35">
      <c r="B7148" s="60" t="s">
        <v>21276</v>
      </c>
      <c r="C7148" s="60" t="s">
        <v>21277</v>
      </c>
      <c r="D7148" s="60" t="s">
        <v>21278</v>
      </c>
    </row>
    <row r="7149" spans="2:4" x14ac:dyDescent="0.35">
      <c r="B7149" s="60" t="s">
        <v>21279</v>
      </c>
      <c r="C7149" s="60" t="s">
        <v>21280</v>
      </c>
      <c r="D7149" s="60" t="s">
        <v>21281</v>
      </c>
    </row>
    <row r="7150" spans="2:4" x14ac:dyDescent="0.35">
      <c r="B7150" s="60" t="s">
        <v>21282</v>
      </c>
      <c r="C7150" s="60" t="s">
        <v>21283</v>
      </c>
      <c r="D7150" s="60" t="s">
        <v>21284</v>
      </c>
    </row>
    <row r="7151" spans="2:4" x14ac:dyDescent="0.35">
      <c r="B7151" s="60" t="s">
        <v>21285</v>
      </c>
      <c r="C7151" s="60" t="s">
        <v>21286</v>
      </c>
      <c r="D7151" s="60" t="s">
        <v>21287</v>
      </c>
    </row>
    <row r="7152" spans="2:4" x14ac:dyDescent="0.35">
      <c r="B7152" s="60" t="s">
        <v>21288</v>
      </c>
      <c r="C7152" s="60" t="s">
        <v>21289</v>
      </c>
      <c r="D7152" s="60" t="s">
        <v>21290</v>
      </c>
    </row>
    <row r="7153" spans="2:4" x14ac:dyDescent="0.35">
      <c r="B7153" s="60" t="s">
        <v>21291</v>
      </c>
      <c r="C7153" s="60" t="s">
        <v>21292</v>
      </c>
      <c r="D7153" s="60" t="s">
        <v>21293</v>
      </c>
    </row>
    <row r="7154" spans="2:4" x14ac:dyDescent="0.35">
      <c r="B7154" s="60" t="s">
        <v>21294</v>
      </c>
      <c r="C7154" s="60" t="s">
        <v>21295</v>
      </c>
      <c r="D7154" s="60" t="s">
        <v>21296</v>
      </c>
    </row>
    <row r="7155" spans="2:4" x14ac:dyDescent="0.35">
      <c r="B7155" s="60" t="s">
        <v>21297</v>
      </c>
      <c r="C7155" s="60" t="s">
        <v>21298</v>
      </c>
      <c r="D7155" s="60" t="s">
        <v>21299</v>
      </c>
    </row>
    <row r="7156" spans="2:4" x14ac:dyDescent="0.35">
      <c r="B7156" s="60" t="s">
        <v>21300</v>
      </c>
      <c r="C7156" s="60" t="s">
        <v>21301</v>
      </c>
      <c r="D7156" s="60" t="s">
        <v>21302</v>
      </c>
    </row>
    <row r="7157" spans="2:4" x14ac:dyDescent="0.35">
      <c r="B7157" s="60" t="s">
        <v>21303</v>
      </c>
      <c r="C7157" s="60" t="s">
        <v>21304</v>
      </c>
      <c r="D7157" s="60" t="s">
        <v>21305</v>
      </c>
    </row>
    <row r="7158" spans="2:4" x14ac:dyDescent="0.35">
      <c r="B7158" s="60" t="s">
        <v>21306</v>
      </c>
      <c r="C7158" s="60" t="s">
        <v>21307</v>
      </c>
      <c r="D7158" s="60" t="s">
        <v>21308</v>
      </c>
    </row>
    <row r="7159" spans="2:4" x14ac:dyDescent="0.35">
      <c r="B7159" s="60" t="s">
        <v>21309</v>
      </c>
      <c r="C7159" s="60" t="s">
        <v>21310</v>
      </c>
      <c r="D7159" s="60" t="s">
        <v>21311</v>
      </c>
    </row>
    <row r="7160" spans="2:4" x14ac:dyDescent="0.35">
      <c r="B7160" s="60" t="s">
        <v>21312</v>
      </c>
      <c r="C7160" s="60" t="s">
        <v>21313</v>
      </c>
      <c r="D7160" s="60" t="s">
        <v>21314</v>
      </c>
    </row>
    <row r="7161" spans="2:4" x14ac:dyDescent="0.35">
      <c r="B7161" s="60" t="s">
        <v>21315</v>
      </c>
      <c r="C7161" s="60" t="s">
        <v>21316</v>
      </c>
      <c r="D7161" s="60" t="s">
        <v>21317</v>
      </c>
    </row>
    <row r="7162" spans="2:4" x14ac:dyDescent="0.35">
      <c r="B7162" s="60" t="s">
        <v>21318</v>
      </c>
      <c r="C7162" s="60" t="s">
        <v>21319</v>
      </c>
      <c r="D7162" s="60" t="s">
        <v>21320</v>
      </c>
    </row>
    <row r="7163" spans="2:4" x14ac:dyDescent="0.35">
      <c r="B7163" s="60" t="s">
        <v>21321</v>
      </c>
      <c r="C7163" s="60" t="s">
        <v>21322</v>
      </c>
      <c r="D7163" s="60" t="s">
        <v>21323</v>
      </c>
    </row>
    <row r="7164" spans="2:4" x14ac:dyDescent="0.35">
      <c r="B7164" s="60" t="s">
        <v>21324</v>
      </c>
      <c r="C7164" s="60" t="s">
        <v>21325</v>
      </c>
      <c r="D7164" s="60" t="s">
        <v>21326</v>
      </c>
    </row>
    <row r="7165" spans="2:4" x14ac:dyDescent="0.35">
      <c r="B7165" s="60" t="s">
        <v>21327</v>
      </c>
      <c r="C7165" s="60" t="s">
        <v>21328</v>
      </c>
      <c r="D7165" s="60" t="s">
        <v>21329</v>
      </c>
    </row>
    <row r="7166" spans="2:4" x14ac:dyDescent="0.35">
      <c r="B7166" s="60" t="s">
        <v>21330</v>
      </c>
      <c r="C7166" s="60" t="s">
        <v>21331</v>
      </c>
      <c r="D7166" s="60" t="s">
        <v>21332</v>
      </c>
    </row>
    <row r="7167" spans="2:4" x14ac:dyDescent="0.35">
      <c r="B7167" s="60" t="s">
        <v>21333</v>
      </c>
      <c r="C7167" s="60" t="s">
        <v>21334</v>
      </c>
      <c r="D7167" s="60" t="s">
        <v>21335</v>
      </c>
    </row>
    <row r="7168" spans="2:4" x14ac:dyDescent="0.35">
      <c r="B7168" s="60" t="s">
        <v>21336</v>
      </c>
      <c r="C7168" s="60" t="s">
        <v>21337</v>
      </c>
      <c r="D7168" s="60" t="s">
        <v>21338</v>
      </c>
    </row>
    <row r="7169" spans="2:4" x14ac:dyDescent="0.35">
      <c r="B7169" s="60" t="s">
        <v>21339</v>
      </c>
      <c r="C7169" s="60" t="s">
        <v>21340</v>
      </c>
      <c r="D7169" s="60" t="s">
        <v>21341</v>
      </c>
    </row>
    <row r="7170" spans="2:4" x14ac:dyDescent="0.35">
      <c r="B7170" s="60" t="s">
        <v>21342</v>
      </c>
      <c r="C7170" s="60" t="s">
        <v>21343</v>
      </c>
      <c r="D7170" s="60" t="s">
        <v>21344</v>
      </c>
    </row>
    <row r="7171" spans="2:4" x14ac:dyDescent="0.35">
      <c r="B7171" s="60" t="s">
        <v>21345</v>
      </c>
      <c r="C7171" s="60" t="s">
        <v>21346</v>
      </c>
      <c r="D7171" s="60" t="s">
        <v>21347</v>
      </c>
    </row>
    <row r="7172" spans="2:4" x14ac:dyDescent="0.35">
      <c r="B7172" s="60" t="s">
        <v>21348</v>
      </c>
      <c r="C7172" s="60" t="s">
        <v>21349</v>
      </c>
      <c r="D7172" s="60" t="s">
        <v>21350</v>
      </c>
    </row>
    <row r="7173" spans="2:4" x14ac:dyDescent="0.35">
      <c r="B7173" s="60" t="s">
        <v>21351</v>
      </c>
      <c r="C7173" s="60" t="s">
        <v>21352</v>
      </c>
      <c r="D7173" s="60" t="s">
        <v>21353</v>
      </c>
    </row>
    <row r="7174" spans="2:4" x14ac:dyDescent="0.35">
      <c r="B7174" s="60" t="s">
        <v>21354</v>
      </c>
      <c r="C7174" s="60" t="s">
        <v>21355</v>
      </c>
      <c r="D7174" s="60" t="s">
        <v>21356</v>
      </c>
    </row>
    <row r="7175" spans="2:4" x14ac:dyDescent="0.35">
      <c r="B7175" s="60" t="s">
        <v>21357</v>
      </c>
      <c r="C7175" s="60" t="s">
        <v>21358</v>
      </c>
      <c r="D7175" s="60" t="s">
        <v>21359</v>
      </c>
    </row>
    <row r="7176" spans="2:4" x14ac:dyDescent="0.35">
      <c r="B7176" s="60" t="s">
        <v>21360</v>
      </c>
      <c r="C7176" s="60" t="s">
        <v>21361</v>
      </c>
      <c r="D7176" s="60" t="s">
        <v>21362</v>
      </c>
    </row>
    <row r="7177" spans="2:4" x14ac:dyDescent="0.35">
      <c r="B7177" s="60" t="s">
        <v>21363</v>
      </c>
      <c r="C7177" s="60" t="s">
        <v>21364</v>
      </c>
      <c r="D7177" s="60" t="s">
        <v>21365</v>
      </c>
    </row>
    <row r="7178" spans="2:4" x14ac:dyDescent="0.35">
      <c r="B7178" s="60" t="s">
        <v>21366</v>
      </c>
      <c r="C7178" s="60" t="s">
        <v>21367</v>
      </c>
      <c r="D7178" s="60" t="s">
        <v>21368</v>
      </c>
    </row>
    <row r="7179" spans="2:4" x14ac:dyDescent="0.35">
      <c r="B7179" s="60" t="s">
        <v>21369</v>
      </c>
      <c r="C7179" s="60" t="s">
        <v>21370</v>
      </c>
      <c r="D7179" s="60" t="s">
        <v>21371</v>
      </c>
    </row>
    <row r="7180" spans="2:4" x14ac:dyDescent="0.35">
      <c r="B7180" s="60" t="s">
        <v>21372</v>
      </c>
      <c r="C7180" s="60" t="s">
        <v>21373</v>
      </c>
      <c r="D7180" s="60" t="s">
        <v>21374</v>
      </c>
    </row>
    <row r="7181" spans="2:4" x14ac:dyDescent="0.35">
      <c r="B7181" s="60" t="s">
        <v>21375</v>
      </c>
      <c r="C7181" s="60" t="s">
        <v>21376</v>
      </c>
      <c r="D7181" s="60" t="s">
        <v>21377</v>
      </c>
    </row>
    <row r="7182" spans="2:4" x14ac:dyDescent="0.35">
      <c r="B7182" s="60" t="s">
        <v>21378</v>
      </c>
      <c r="C7182" s="60" t="s">
        <v>21379</v>
      </c>
      <c r="D7182" s="60" t="s">
        <v>21380</v>
      </c>
    </row>
    <row r="7183" spans="2:4" x14ac:dyDescent="0.35">
      <c r="B7183" s="60" t="s">
        <v>21381</v>
      </c>
      <c r="C7183" s="60" t="s">
        <v>21382</v>
      </c>
      <c r="D7183" s="60" t="s">
        <v>21383</v>
      </c>
    </row>
    <row r="7184" spans="2:4" x14ac:dyDescent="0.35">
      <c r="B7184" s="60" t="s">
        <v>21384</v>
      </c>
      <c r="C7184" s="60" t="s">
        <v>21385</v>
      </c>
      <c r="D7184" s="60" t="s">
        <v>21386</v>
      </c>
    </row>
    <row r="7185" spans="2:4" x14ac:dyDescent="0.35">
      <c r="B7185" s="60" t="s">
        <v>21387</v>
      </c>
      <c r="C7185" s="60" t="s">
        <v>21388</v>
      </c>
      <c r="D7185" s="60" t="s">
        <v>21389</v>
      </c>
    </row>
    <row r="7186" spans="2:4" x14ac:dyDescent="0.35">
      <c r="B7186" s="60" t="s">
        <v>21390</v>
      </c>
      <c r="C7186" s="60" t="s">
        <v>3016</v>
      </c>
      <c r="D7186" s="60" t="s">
        <v>3017</v>
      </c>
    </row>
    <row r="7187" spans="2:4" x14ac:dyDescent="0.35">
      <c r="B7187" s="60" t="s">
        <v>21391</v>
      </c>
      <c r="C7187" s="60" t="s">
        <v>21392</v>
      </c>
      <c r="D7187" s="60" t="s">
        <v>21393</v>
      </c>
    </row>
    <row r="7188" spans="2:4" x14ac:dyDescent="0.35">
      <c r="B7188" s="60" t="s">
        <v>21394</v>
      </c>
      <c r="C7188" s="60" t="s">
        <v>21395</v>
      </c>
      <c r="D7188" s="60" t="s">
        <v>21396</v>
      </c>
    </row>
    <row r="7189" spans="2:4" x14ac:dyDescent="0.35">
      <c r="B7189" s="60" t="s">
        <v>21397</v>
      </c>
      <c r="C7189" s="60" t="s">
        <v>21398</v>
      </c>
      <c r="D7189" s="60" t="s">
        <v>21399</v>
      </c>
    </row>
    <row r="7190" spans="2:4" x14ac:dyDescent="0.35">
      <c r="B7190" s="60" t="s">
        <v>21400</v>
      </c>
      <c r="C7190" s="60" t="s">
        <v>21401</v>
      </c>
      <c r="D7190" s="60" t="s">
        <v>21402</v>
      </c>
    </row>
    <row r="7191" spans="2:4" x14ac:dyDescent="0.35">
      <c r="B7191" s="60" t="s">
        <v>21403</v>
      </c>
      <c r="C7191" s="60" t="s">
        <v>21404</v>
      </c>
      <c r="D7191" s="60" t="s">
        <v>21405</v>
      </c>
    </row>
    <row r="7192" spans="2:4" x14ac:dyDescent="0.35">
      <c r="B7192" s="60" t="s">
        <v>21406</v>
      </c>
      <c r="C7192" s="60" t="s">
        <v>21407</v>
      </c>
      <c r="D7192" s="60" t="s">
        <v>21408</v>
      </c>
    </row>
    <row r="7193" spans="2:4" x14ac:dyDescent="0.35">
      <c r="B7193" s="60" t="s">
        <v>21409</v>
      </c>
      <c r="C7193" s="60" t="s">
        <v>21410</v>
      </c>
      <c r="D7193" s="60" t="s">
        <v>21411</v>
      </c>
    </row>
    <row r="7194" spans="2:4" x14ac:dyDescent="0.35">
      <c r="B7194" s="60" t="s">
        <v>21412</v>
      </c>
      <c r="C7194" s="60" t="s">
        <v>21413</v>
      </c>
      <c r="D7194" s="60" t="s">
        <v>21414</v>
      </c>
    </row>
    <row r="7195" spans="2:4" x14ac:dyDescent="0.35">
      <c r="B7195" s="60" t="s">
        <v>21415</v>
      </c>
      <c r="C7195" s="60" t="s">
        <v>21416</v>
      </c>
      <c r="D7195" s="60" t="s">
        <v>21417</v>
      </c>
    </row>
    <row r="7196" spans="2:4" x14ac:dyDescent="0.35">
      <c r="B7196" s="60" t="s">
        <v>21418</v>
      </c>
      <c r="C7196" s="60" t="s">
        <v>21419</v>
      </c>
      <c r="D7196" s="60" t="s">
        <v>21420</v>
      </c>
    </row>
    <row r="7197" spans="2:4" x14ac:dyDescent="0.35">
      <c r="B7197" s="60" t="s">
        <v>21421</v>
      </c>
      <c r="C7197" s="60" t="s">
        <v>21422</v>
      </c>
      <c r="D7197" s="60" t="s">
        <v>21423</v>
      </c>
    </row>
    <row r="7198" spans="2:4" x14ac:dyDescent="0.35">
      <c r="B7198" s="60" t="s">
        <v>21424</v>
      </c>
      <c r="C7198" s="60" t="s">
        <v>21425</v>
      </c>
      <c r="D7198" s="60" t="s">
        <v>21426</v>
      </c>
    </row>
    <row r="7199" spans="2:4" x14ac:dyDescent="0.35">
      <c r="B7199" s="60" t="s">
        <v>21427</v>
      </c>
      <c r="C7199" s="60" t="s">
        <v>21428</v>
      </c>
      <c r="D7199" s="60" t="s">
        <v>21429</v>
      </c>
    </row>
    <row r="7200" spans="2:4" x14ac:dyDescent="0.35">
      <c r="B7200" s="60" t="s">
        <v>21430</v>
      </c>
      <c r="C7200" s="60" t="s">
        <v>21431</v>
      </c>
      <c r="D7200" s="60" t="s">
        <v>21432</v>
      </c>
    </row>
    <row r="7201" spans="2:4" x14ac:dyDescent="0.35">
      <c r="B7201" s="60" t="s">
        <v>21433</v>
      </c>
      <c r="C7201" s="60" t="s">
        <v>21434</v>
      </c>
      <c r="D7201" s="60" t="s">
        <v>21435</v>
      </c>
    </row>
    <row r="7202" spans="2:4" x14ac:dyDescent="0.35">
      <c r="B7202" s="60" t="s">
        <v>21436</v>
      </c>
      <c r="C7202" s="60" t="s">
        <v>21437</v>
      </c>
      <c r="D7202" s="60" t="s">
        <v>21438</v>
      </c>
    </row>
    <row r="7203" spans="2:4" x14ac:dyDescent="0.35">
      <c r="B7203" s="60" t="s">
        <v>21439</v>
      </c>
      <c r="C7203" s="60" t="s">
        <v>21440</v>
      </c>
      <c r="D7203" s="60" t="s">
        <v>21441</v>
      </c>
    </row>
    <row r="7204" spans="2:4" x14ac:dyDescent="0.35">
      <c r="B7204" s="60" t="s">
        <v>21442</v>
      </c>
      <c r="C7204" s="60" t="s">
        <v>21443</v>
      </c>
      <c r="D7204" s="60" t="s">
        <v>21444</v>
      </c>
    </row>
    <row r="7205" spans="2:4" x14ac:dyDescent="0.35">
      <c r="B7205" s="60" t="s">
        <v>21445</v>
      </c>
      <c r="C7205" s="60" t="s">
        <v>21446</v>
      </c>
      <c r="D7205" s="60" t="s">
        <v>21447</v>
      </c>
    </row>
    <row r="7206" spans="2:4" x14ac:dyDescent="0.35">
      <c r="B7206" s="60" t="s">
        <v>21448</v>
      </c>
      <c r="C7206" s="60" t="s">
        <v>21449</v>
      </c>
      <c r="D7206" s="60" t="s">
        <v>21450</v>
      </c>
    </row>
    <row r="7207" spans="2:4" x14ac:dyDescent="0.35">
      <c r="B7207" s="60" t="s">
        <v>21451</v>
      </c>
      <c r="C7207" s="60" t="s">
        <v>21452</v>
      </c>
      <c r="D7207" s="60" t="s">
        <v>21453</v>
      </c>
    </row>
    <row r="7208" spans="2:4" x14ac:dyDescent="0.35">
      <c r="B7208" s="60" t="s">
        <v>21454</v>
      </c>
      <c r="C7208" s="60" t="s">
        <v>21455</v>
      </c>
      <c r="D7208" s="60" t="s">
        <v>21456</v>
      </c>
    </row>
    <row r="7209" spans="2:4" x14ac:dyDescent="0.35">
      <c r="B7209" s="60" t="s">
        <v>21457</v>
      </c>
      <c r="C7209" s="60" t="s">
        <v>21458</v>
      </c>
      <c r="D7209" s="60" t="s">
        <v>21459</v>
      </c>
    </row>
    <row r="7210" spans="2:4" x14ac:dyDescent="0.35">
      <c r="B7210" s="60" t="s">
        <v>21460</v>
      </c>
      <c r="C7210" s="60" t="s">
        <v>21461</v>
      </c>
      <c r="D7210" s="60" t="s">
        <v>21462</v>
      </c>
    </row>
    <row r="7211" spans="2:4" x14ac:dyDescent="0.35">
      <c r="B7211" s="60" t="s">
        <v>21463</v>
      </c>
      <c r="C7211" s="60" t="s">
        <v>21464</v>
      </c>
      <c r="D7211" s="60" t="s">
        <v>21465</v>
      </c>
    </row>
    <row r="7212" spans="2:4" x14ac:dyDescent="0.35">
      <c r="B7212" s="60" t="s">
        <v>21466</v>
      </c>
      <c r="C7212" s="60" t="s">
        <v>21467</v>
      </c>
      <c r="D7212" s="60" t="s">
        <v>21468</v>
      </c>
    </row>
    <row r="7213" spans="2:4" x14ac:dyDescent="0.35">
      <c r="B7213" s="60" t="s">
        <v>21469</v>
      </c>
      <c r="C7213" s="60" t="s">
        <v>21470</v>
      </c>
      <c r="D7213" s="60" t="s">
        <v>21471</v>
      </c>
    </row>
    <row r="7214" spans="2:4" x14ac:dyDescent="0.35">
      <c r="B7214" s="60" t="s">
        <v>21472</v>
      </c>
      <c r="C7214" s="60" t="s">
        <v>9427</v>
      </c>
      <c r="D7214" s="60" t="s">
        <v>21473</v>
      </c>
    </row>
    <row r="7215" spans="2:4" x14ac:dyDescent="0.35">
      <c r="B7215" s="60" t="s">
        <v>21472</v>
      </c>
      <c r="C7215" s="60" t="s">
        <v>21474</v>
      </c>
      <c r="D7215" s="60" t="s">
        <v>21473</v>
      </c>
    </row>
    <row r="7216" spans="2:4" x14ac:dyDescent="0.35">
      <c r="B7216" s="60" t="s">
        <v>21475</v>
      </c>
      <c r="C7216" s="60" t="s">
        <v>21476</v>
      </c>
      <c r="D7216" s="60" t="s">
        <v>21477</v>
      </c>
    </row>
    <row r="7217" spans="2:4" x14ac:dyDescent="0.35">
      <c r="B7217" s="60" t="s">
        <v>21478</v>
      </c>
      <c r="C7217" s="60" t="s">
        <v>21479</v>
      </c>
      <c r="D7217" s="60" t="s">
        <v>21480</v>
      </c>
    </row>
    <row r="7218" spans="2:4" x14ac:dyDescent="0.35">
      <c r="B7218" s="60" t="s">
        <v>21481</v>
      </c>
      <c r="C7218" s="60" t="s">
        <v>21482</v>
      </c>
      <c r="D7218" s="60" t="s">
        <v>21483</v>
      </c>
    </row>
    <row r="7219" spans="2:4" x14ac:dyDescent="0.35">
      <c r="B7219" s="60" t="s">
        <v>21484</v>
      </c>
      <c r="C7219" s="60" t="s">
        <v>21485</v>
      </c>
      <c r="D7219" s="60" t="s">
        <v>21486</v>
      </c>
    </row>
    <row r="7220" spans="2:4" x14ac:dyDescent="0.35">
      <c r="B7220" s="60" t="s">
        <v>21487</v>
      </c>
      <c r="C7220" s="60" t="s">
        <v>21488</v>
      </c>
      <c r="D7220" s="60" t="s">
        <v>21489</v>
      </c>
    </row>
    <row r="7221" spans="2:4" x14ac:dyDescent="0.35">
      <c r="B7221" s="60" t="s">
        <v>21490</v>
      </c>
      <c r="C7221" s="60" t="s">
        <v>21491</v>
      </c>
      <c r="D7221" s="60" t="s">
        <v>21492</v>
      </c>
    </row>
    <row r="7222" spans="2:4" x14ac:dyDescent="0.35">
      <c r="B7222" s="60" t="s">
        <v>21493</v>
      </c>
      <c r="C7222" s="60" t="s">
        <v>21494</v>
      </c>
      <c r="D7222" s="60" t="s">
        <v>21495</v>
      </c>
    </row>
    <row r="7223" spans="2:4" x14ac:dyDescent="0.35">
      <c r="B7223" s="60" t="s">
        <v>21496</v>
      </c>
      <c r="C7223" s="60" t="s">
        <v>21497</v>
      </c>
      <c r="D7223" s="60" t="s">
        <v>21498</v>
      </c>
    </row>
    <row r="7224" spans="2:4" x14ac:dyDescent="0.35">
      <c r="B7224" s="60" t="s">
        <v>21499</v>
      </c>
      <c r="C7224" s="60" t="s">
        <v>21500</v>
      </c>
      <c r="D7224" s="60" t="s">
        <v>21501</v>
      </c>
    </row>
    <row r="7225" spans="2:4" x14ac:dyDescent="0.35">
      <c r="B7225" s="60" t="s">
        <v>21502</v>
      </c>
      <c r="C7225" s="60" t="s">
        <v>21503</v>
      </c>
      <c r="D7225" s="60" t="s">
        <v>21504</v>
      </c>
    </row>
    <row r="7226" spans="2:4" x14ac:dyDescent="0.35">
      <c r="B7226" s="60" t="s">
        <v>21505</v>
      </c>
      <c r="C7226" s="60" t="s">
        <v>21506</v>
      </c>
      <c r="D7226" s="60" t="s">
        <v>21507</v>
      </c>
    </row>
    <row r="7227" spans="2:4" x14ac:dyDescent="0.35">
      <c r="B7227" s="60" t="s">
        <v>21508</v>
      </c>
      <c r="C7227" s="60" t="s">
        <v>21509</v>
      </c>
      <c r="D7227" s="60" t="s">
        <v>21510</v>
      </c>
    </row>
    <row r="7228" spans="2:4" x14ac:dyDescent="0.35">
      <c r="B7228" s="60" t="s">
        <v>21511</v>
      </c>
      <c r="C7228" s="60" t="s">
        <v>21512</v>
      </c>
      <c r="D7228" s="60" t="s">
        <v>21513</v>
      </c>
    </row>
    <row r="7229" spans="2:4" x14ac:dyDescent="0.35">
      <c r="B7229" s="60" t="s">
        <v>21514</v>
      </c>
      <c r="C7229" s="60" t="s">
        <v>21515</v>
      </c>
      <c r="D7229" s="60" t="s">
        <v>21516</v>
      </c>
    </row>
    <row r="7230" spans="2:4" x14ac:dyDescent="0.35">
      <c r="B7230" s="60" t="s">
        <v>21517</v>
      </c>
      <c r="C7230" s="60" t="s">
        <v>21518</v>
      </c>
      <c r="D7230" s="60" t="s">
        <v>21519</v>
      </c>
    </row>
    <row r="7231" spans="2:4" x14ac:dyDescent="0.35">
      <c r="B7231" s="60" t="s">
        <v>21520</v>
      </c>
      <c r="C7231" s="60" t="s">
        <v>21521</v>
      </c>
      <c r="D7231" s="60" t="s">
        <v>21522</v>
      </c>
    </row>
    <row r="7232" spans="2:4" x14ac:dyDescent="0.35">
      <c r="B7232" s="60" t="s">
        <v>21523</v>
      </c>
      <c r="C7232" s="60" t="s">
        <v>21524</v>
      </c>
      <c r="D7232" s="60" t="s">
        <v>21525</v>
      </c>
    </row>
    <row r="7233" spans="2:4" x14ac:dyDescent="0.35">
      <c r="B7233" s="60" t="s">
        <v>21526</v>
      </c>
      <c r="C7233" s="60" t="s">
        <v>21527</v>
      </c>
      <c r="D7233" s="60" t="s">
        <v>21528</v>
      </c>
    </row>
    <row r="7234" spans="2:4" x14ac:dyDescent="0.35">
      <c r="B7234" s="60" t="s">
        <v>21529</v>
      </c>
      <c r="C7234" s="60" t="s">
        <v>21530</v>
      </c>
      <c r="D7234" s="60" t="s">
        <v>21531</v>
      </c>
    </row>
    <row r="7235" spans="2:4" x14ac:dyDescent="0.35">
      <c r="B7235" s="60" t="s">
        <v>21532</v>
      </c>
      <c r="C7235" s="60" t="s">
        <v>21533</v>
      </c>
      <c r="D7235" s="60" t="s">
        <v>21534</v>
      </c>
    </row>
    <row r="7236" spans="2:4" x14ac:dyDescent="0.35">
      <c r="B7236" s="60" t="s">
        <v>21535</v>
      </c>
      <c r="C7236" s="60" t="s">
        <v>21536</v>
      </c>
      <c r="D7236" s="60" t="s">
        <v>21537</v>
      </c>
    </row>
    <row r="7237" spans="2:4" x14ac:dyDescent="0.35">
      <c r="B7237" s="60" t="s">
        <v>21538</v>
      </c>
      <c r="C7237" s="60" t="s">
        <v>21539</v>
      </c>
      <c r="D7237" s="60" t="s">
        <v>21540</v>
      </c>
    </row>
    <row r="7238" spans="2:4" x14ac:dyDescent="0.35">
      <c r="B7238" s="60" t="s">
        <v>21541</v>
      </c>
      <c r="C7238" s="60" t="s">
        <v>21542</v>
      </c>
      <c r="D7238" s="60" t="s">
        <v>21543</v>
      </c>
    </row>
    <row r="7239" spans="2:4" x14ac:dyDescent="0.35">
      <c r="B7239" s="60" t="s">
        <v>21544</v>
      </c>
      <c r="C7239" s="60" t="s">
        <v>21545</v>
      </c>
      <c r="D7239" s="60" t="s">
        <v>21546</v>
      </c>
    </row>
    <row r="7240" spans="2:4" x14ac:dyDescent="0.35">
      <c r="B7240" s="60" t="s">
        <v>21547</v>
      </c>
      <c r="C7240" s="60" t="s">
        <v>21548</v>
      </c>
      <c r="D7240" s="60" t="s">
        <v>21549</v>
      </c>
    </row>
    <row r="7241" spans="2:4" x14ac:dyDescent="0.35">
      <c r="B7241" s="60" t="s">
        <v>21550</v>
      </c>
      <c r="C7241" s="60" t="s">
        <v>21551</v>
      </c>
      <c r="D7241" s="60" t="s">
        <v>21552</v>
      </c>
    </row>
    <row r="7242" spans="2:4" x14ac:dyDescent="0.35">
      <c r="B7242" s="60" t="s">
        <v>21553</v>
      </c>
      <c r="C7242" s="60" t="s">
        <v>21554</v>
      </c>
      <c r="D7242" s="60" t="s">
        <v>21555</v>
      </c>
    </row>
    <row r="7243" spans="2:4" x14ac:dyDescent="0.35">
      <c r="B7243" s="60" t="s">
        <v>21556</v>
      </c>
      <c r="C7243" s="60" t="s">
        <v>21557</v>
      </c>
      <c r="D7243" s="60" t="s">
        <v>21558</v>
      </c>
    </row>
    <row r="7244" spans="2:4" x14ac:dyDescent="0.35">
      <c r="B7244" s="60" t="s">
        <v>21559</v>
      </c>
      <c r="C7244" s="60" t="s">
        <v>21560</v>
      </c>
      <c r="D7244" s="60" t="s">
        <v>21561</v>
      </c>
    </row>
    <row r="7245" spans="2:4" x14ac:dyDescent="0.35">
      <c r="B7245" s="60" t="s">
        <v>21562</v>
      </c>
      <c r="C7245" s="60" t="s">
        <v>21563</v>
      </c>
      <c r="D7245" s="60" t="s">
        <v>21564</v>
      </c>
    </row>
    <row r="7246" spans="2:4" x14ac:dyDescent="0.35">
      <c r="B7246" s="60" t="s">
        <v>21565</v>
      </c>
      <c r="C7246" s="60" t="s">
        <v>21566</v>
      </c>
      <c r="D7246" s="60" t="s">
        <v>21567</v>
      </c>
    </row>
    <row r="7247" spans="2:4" x14ac:dyDescent="0.35">
      <c r="B7247" s="60" t="s">
        <v>21568</v>
      </c>
      <c r="C7247" s="60" t="s">
        <v>21569</v>
      </c>
      <c r="D7247" s="60" t="s">
        <v>21570</v>
      </c>
    </row>
    <row r="7248" spans="2:4" x14ac:dyDescent="0.35">
      <c r="B7248" s="60" t="s">
        <v>21571</v>
      </c>
      <c r="C7248" s="60" t="s">
        <v>21572</v>
      </c>
      <c r="D7248" s="60" t="s">
        <v>21573</v>
      </c>
    </row>
    <row r="7249" spans="2:4" x14ac:dyDescent="0.35">
      <c r="B7249" s="60" t="s">
        <v>21574</v>
      </c>
      <c r="C7249" s="60" t="s">
        <v>21575</v>
      </c>
      <c r="D7249" s="60" t="s">
        <v>21576</v>
      </c>
    </row>
    <row r="7250" spans="2:4" x14ac:dyDescent="0.35">
      <c r="B7250" s="60" t="s">
        <v>21577</v>
      </c>
      <c r="C7250" s="60" t="s">
        <v>21578</v>
      </c>
      <c r="D7250" s="60" t="s">
        <v>21579</v>
      </c>
    </row>
    <row r="7251" spans="2:4" x14ac:dyDescent="0.35">
      <c r="B7251" s="60" t="s">
        <v>21580</v>
      </c>
      <c r="C7251" s="60" t="s">
        <v>21581</v>
      </c>
      <c r="D7251" s="60" t="s">
        <v>21582</v>
      </c>
    </row>
    <row r="7252" spans="2:4" x14ac:dyDescent="0.35">
      <c r="B7252" s="60" t="s">
        <v>21583</v>
      </c>
      <c r="C7252" s="60" t="s">
        <v>21584</v>
      </c>
      <c r="D7252" s="60" t="s">
        <v>21585</v>
      </c>
    </row>
    <row r="7253" spans="2:4" x14ac:dyDescent="0.35">
      <c r="B7253" s="60" t="s">
        <v>21586</v>
      </c>
      <c r="C7253" s="60" t="s">
        <v>21587</v>
      </c>
      <c r="D7253" s="60" t="s">
        <v>21588</v>
      </c>
    </row>
    <row r="7254" spans="2:4" x14ac:dyDescent="0.35">
      <c r="B7254" s="60" t="s">
        <v>21589</v>
      </c>
      <c r="C7254" s="60" t="s">
        <v>21590</v>
      </c>
      <c r="D7254" s="60" t="s">
        <v>21591</v>
      </c>
    </row>
    <row r="7255" spans="2:4" x14ac:dyDescent="0.35">
      <c r="B7255" s="60" t="s">
        <v>21592</v>
      </c>
      <c r="C7255" s="60" t="s">
        <v>21593</v>
      </c>
      <c r="D7255" s="60" t="s">
        <v>21594</v>
      </c>
    </row>
    <row r="7256" spans="2:4" x14ac:dyDescent="0.35">
      <c r="B7256" s="60" t="s">
        <v>21595</v>
      </c>
      <c r="C7256" s="60" t="s">
        <v>21596</v>
      </c>
      <c r="D7256" s="60" t="s">
        <v>21597</v>
      </c>
    </row>
    <row r="7257" spans="2:4" x14ac:dyDescent="0.35">
      <c r="B7257" s="60" t="s">
        <v>21598</v>
      </c>
      <c r="C7257" s="60" t="s">
        <v>21599</v>
      </c>
      <c r="D7257" s="60" t="s">
        <v>21600</v>
      </c>
    </row>
    <row r="7258" spans="2:4" x14ac:dyDescent="0.35">
      <c r="B7258" s="60" t="s">
        <v>21601</v>
      </c>
      <c r="C7258" s="60" t="s">
        <v>21602</v>
      </c>
      <c r="D7258" s="60" t="s">
        <v>21603</v>
      </c>
    </row>
    <row r="7259" spans="2:4" x14ac:dyDescent="0.35">
      <c r="B7259" s="60" t="s">
        <v>21604</v>
      </c>
      <c r="C7259" s="60" t="s">
        <v>21605</v>
      </c>
      <c r="D7259" s="60" t="s">
        <v>21606</v>
      </c>
    </row>
    <row r="7260" spans="2:4" x14ac:dyDescent="0.35">
      <c r="B7260" s="60" t="s">
        <v>21607</v>
      </c>
      <c r="C7260" s="60" t="s">
        <v>21608</v>
      </c>
      <c r="D7260" s="60" t="s">
        <v>21609</v>
      </c>
    </row>
    <row r="7261" spans="2:4" x14ac:dyDescent="0.35">
      <c r="B7261" s="60" t="s">
        <v>21610</v>
      </c>
      <c r="C7261" s="60" t="s">
        <v>21611</v>
      </c>
      <c r="D7261" s="60" t="s">
        <v>21612</v>
      </c>
    </row>
    <row r="7262" spans="2:4" x14ac:dyDescent="0.35">
      <c r="B7262" s="60" t="s">
        <v>21613</v>
      </c>
      <c r="C7262" s="60" t="s">
        <v>21614</v>
      </c>
      <c r="D7262" s="60" t="s">
        <v>21615</v>
      </c>
    </row>
    <row r="7263" spans="2:4" x14ac:dyDescent="0.35">
      <c r="B7263" s="60" t="s">
        <v>21616</v>
      </c>
      <c r="C7263" s="60" t="s">
        <v>21617</v>
      </c>
      <c r="D7263" s="60" t="s">
        <v>21618</v>
      </c>
    </row>
    <row r="7264" spans="2:4" x14ac:dyDescent="0.35">
      <c r="B7264" s="60" t="s">
        <v>21619</v>
      </c>
      <c r="C7264" s="60" t="s">
        <v>21620</v>
      </c>
      <c r="D7264" s="60" t="s">
        <v>21621</v>
      </c>
    </row>
    <row r="7265" spans="2:4" x14ac:dyDescent="0.35">
      <c r="B7265" s="60" t="s">
        <v>21622</v>
      </c>
      <c r="C7265" s="60" t="s">
        <v>21623</v>
      </c>
      <c r="D7265" s="60" t="s">
        <v>21624</v>
      </c>
    </row>
    <row r="7266" spans="2:4" x14ac:dyDescent="0.35">
      <c r="B7266" s="60" t="s">
        <v>21625</v>
      </c>
      <c r="C7266" s="60" t="s">
        <v>21626</v>
      </c>
      <c r="D7266" s="60" t="s">
        <v>21627</v>
      </c>
    </row>
    <row r="7267" spans="2:4" x14ac:dyDescent="0.35">
      <c r="B7267" s="60" t="s">
        <v>21628</v>
      </c>
      <c r="C7267" s="60" t="s">
        <v>21629</v>
      </c>
      <c r="D7267" s="60" t="s">
        <v>21630</v>
      </c>
    </row>
    <row r="7268" spans="2:4" x14ac:dyDescent="0.35">
      <c r="B7268" s="60" t="s">
        <v>21631</v>
      </c>
      <c r="C7268" s="60" t="s">
        <v>21632</v>
      </c>
      <c r="D7268" s="60" t="s">
        <v>21633</v>
      </c>
    </row>
    <row r="7269" spans="2:4" x14ac:dyDescent="0.35">
      <c r="B7269" s="60" t="s">
        <v>21634</v>
      </c>
      <c r="C7269" s="60" t="s">
        <v>21635</v>
      </c>
      <c r="D7269" s="60" t="s">
        <v>21636</v>
      </c>
    </row>
    <row r="7270" spans="2:4" x14ac:dyDescent="0.35">
      <c r="B7270" s="60" t="s">
        <v>21637</v>
      </c>
      <c r="C7270" s="60" t="s">
        <v>21638</v>
      </c>
      <c r="D7270" s="60" t="s">
        <v>21639</v>
      </c>
    </row>
    <row r="7271" spans="2:4" x14ac:dyDescent="0.35">
      <c r="B7271" s="60" t="s">
        <v>21640</v>
      </c>
      <c r="C7271" s="60" t="s">
        <v>21641</v>
      </c>
      <c r="D7271" s="60" t="s">
        <v>21642</v>
      </c>
    </row>
    <row r="7272" spans="2:4" x14ac:dyDescent="0.35">
      <c r="B7272" s="60" t="s">
        <v>21643</v>
      </c>
      <c r="C7272" s="60" t="s">
        <v>21644</v>
      </c>
      <c r="D7272" s="60" t="s">
        <v>21645</v>
      </c>
    </row>
    <row r="7273" spans="2:4" x14ac:dyDescent="0.35">
      <c r="B7273" s="60" t="s">
        <v>21646</v>
      </c>
      <c r="C7273" s="60" t="s">
        <v>21647</v>
      </c>
      <c r="D7273" s="60" t="s">
        <v>21648</v>
      </c>
    </row>
    <row r="7274" spans="2:4" x14ac:dyDescent="0.35">
      <c r="B7274" s="60" t="s">
        <v>21649</v>
      </c>
      <c r="C7274" s="60" t="s">
        <v>21650</v>
      </c>
      <c r="D7274" s="60" t="s">
        <v>21651</v>
      </c>
    </row>
    <row r="7275" spans="2:4" x14ac:dyDescent="0.35">
      <c r="B7275" s="60" t="s">
        <v>21652</v>
      </c>
      <c r="C7275" s="60" t="s">
        <v>21653</v>
      </c>
      <c r="D7275" s="60" t="s">
        <v>21654</v>
      </c>
    </row>
    <row r="7276" spans="2:4" x14ac:dyDescent="0.35">
      <c r="B7276" s="60" t="s">
        <v>21655</v>
      </c>
      <c r="C7276" s="60" t="s">
        <v>21656</v>
      </c>
      <c r="D7276" s="60" t="s">
        <v>21657</v>
      </c>
    </row>
    <row r="7277" spans="2:4" x14ac:dyDescent="0.35">
      <c r="B7277" s="60" t="s">
        <v>21658</v>
      </c>
      <c r="C7277" s="60" t="s">
        <v>21659</v>
      </c>
      <c r="D7277" s="60" t="s">
        <v>21660</v>
      </c>
    </row>
    <row r="7278" spans="2:4" x14ac:dyDescent="0.35">
      <c r="B7278" s="60" t="s">
        <v>21661</v>
      </c>
      <c r="C7278" s="60" t="s">
        <v>21662</v>
      </c>
      <c r="D7278" s="60" t="s">
        <v>21663</v>
      </c>
    </row>
    <row r="7279" spans="2:4" x14ac:dyDescent="0.35">
      <c r="B7279" s="60" t="s">
        <v>21664</v>
      </c>
      <c r="C7279" s="60" t="s">
        <v>21665</v>
      </c>
      <c r="D7279" s="60" t="s">
        <v>21666</v>
      </c>
    </row>
    <row r="7280" spans="2:4" x14ac:dyDescent="0.35">
      <c r="B7280" s="60" t="s">
        <v>21667</v>
      </c>
      <c r="C7280" s="60" t="s">
        <v>21668</v>
      </c>
      <c r="D7280" s="60" t="s">
        <v>21669</v>
      </c>
    </row>
    <row r="7281" spans="2:4" x14ac:dyDescent="0.35">
      <c r="B7281" s="60" t="s">
        <v>21670</v>
      </c>
      <c r="C7281" s="60" t="s">
        <v>21671</v>
      </c>
      <c r="D7281" s="60" t="s">
        <v>21672</v>
      </c>
    </row>
    <row r="7282" spans="2:4" x14ac:dyDescent="0.35">
      <c r="B7282" s="60" t="s">
        <v>21673</v>
      </c>
      <c r="C7282" s="60" t="s">
        <v>21674</v>
      </c>
      <c r="D7282" s="60" t="s">
        <v>21675</v>
      </c>
    </row>
    <row r="7283" spans="2:4" x14ac:dyDescent="0.35">
      <c r="B7283" s="60" t="s">
        <v>21676</v>
      </c>
      <c r="C7283" s="60" t="s">
        <v>21677</v>
      </c>
      <c r="D7283" s="60" t="s">
        <v>21678</v>
      </c>
    </row>
    <row r="7284" spans="2:4" x14ac:dyDescent="0.35">
      <c r="B7284" s="60" t="s">
        <v>21679</v>
      </c>
      <c r="C7284" s="60" t="s">
        <v>21680</v>
      </c>
      <c r="D7284" s="60" t="s">
        <v>21681</v>
      </c>
    </row>
    <row r="7285" spans="2:4" x14ac:dyDescent="0.35">
      <c r="B7285" s="60" t="s">
        <v>21682</v>
      </c>
      <c r="C7285" s="60" t="s">
        <v>21683</v>
      </c>
      <c r="D7285" s="60" t="s">
        <v>21684</v>
      </c>
    </row>
    <row r="7286" spans="2:4" x14ac:dyDescent="0.35">
      <c r="B7286" s="60" t="s">
        <v>21685</v>
      </c>
      <c r="C7286" s="60" t="s">
        <v>21686</v>
      </c>
      <c r="D7286" s="60" t="s">
        <v>21687</v>
      </c>
    </row>
    <row r="7287" spans="2:4" x14ac:dyDescent="0.35">
      <c r="B7287" s="60" t="s">
        <v>21688</v>
      </c>
      <c r="C7287" s="60" t="s">
        <v>21689</v>
      </c>
      <c r="D7287" s="60" t="s">
        <v>21690</v>
      </c>
    </row>
    <row r="7288" spans="2:4" x14ac:dyDescent="0.35">
      <c r="B7288" s="60" t="s">
        <v>21691</v>
      </c>
      <c r="C7288" s="60" t="s">
        <v>21692</v>
      </c>
      <c r="D7288" s="60" t="s">
        <v>11834</v>
      </c>
    </row>
    <row r="7289" spans="2:4" x14ac:dyDescent="0.35">
      <c r="B7289" s="60" t="s">
        <v>21693</v>
      </c>
      <c r="C7289" s="60" t="s">
        <v>21694</v>
      </c>
      <c r="D7289" s="60" t="s">
        <v>21695</v>
      </c>
    </row>
    <row r="7290" spans="2:4" x14ac:dyDescent="0.35">
      <c r="B7290" s="60" t="s">
        <v>21696</v>
      </c>
      <c r="C7290" s="60" t="s">
        <v>21697</v>
      </c>
      <c r="D7290" s="60" t="s">
        <v>21698</v>
      </c>
    </row>
    <row r="7291" spans="2:4" x14ac:dyDescent="0.35">
      <c r="B7291" s="60" t="s">
        <v>21699</v>
      </c>
      <c r="C7291" s="60" t="s">
        <v>21700</v>
      </c>
      <c r="D7291" s="60" t="s">
        <v>21701</v>
      </c>
    </row>
    <row r="7292" spans="2:4" x14ac:dyDescent="0.35">
      <c r="B7292" s="60" t="s">
        <v>21702</v>
      </c>
      <c r="C7292" s="60" t="s">
        <v>21703</v>
      </c>
      <c r="D7292" s="60" t="s">
        <v>21704</v>
      </c>
    </row>
    <row r="7293" spans="2:4" x14ac:dyDescent="0.35">
      <c r="B7293" s="60" t="s">
        <v>21705</v>
      </c>
      <c r="C7293" s="60" t="s">
        <v>21706</v>
      </c>
      <c r="D7293" s="60" t="s">
        <v>21707</v>
      </c>
    </row>
    <row r="7294" spans="2:4" x14ac:dyDescent="0.35">
      <c r="B7294" s="60" t="s">
        <v>21708</v>
      </c>
      <c r="C7294" s="60" t="s">
        <v>21709</v>
      </c>
      <c r="D7294" s="60" t="s">
        <v>21710</v>
      </c>
    </row>
    <row r="7295" spans="2:4" x14ac:dyDescent="0.35">
      <c r="B7295" s="60" t="s">
        <v>21711</v>
      </c>
      <c r="C7295" s="60" t="s">
        <v>21712</v>
      </c>
      <c r="D7295" s="60" t="s">
        <v>21713</v>
      </c>
    </row>
    <row r="7296" spans="2:4" x14ac:dyDescent="0.35">
      <c r="B7296" s="60" t="s">
        <v>21714</v>
      </c>
      <c r="C7296" s="60" t="s">
        <v>21715</v>
      </c>
      <c r="D7296" s="60" t="s">
        <v>21716</v>
      </c>
    </row>
    <row r="7297" spans="2:4" x14ac:dyDescent="0.35">
      <c r="B7297" s="60" t="s">
        <v>21717</v>
      </c>
      <c r="C7297" s="60" t="s">
        <v>21718</v>
      </c>
      <c r="D7297" s="60" t="s">
        <v>21719</v>
      </c>
    </row>
    <row r="7298" spans="2:4" x14ac:dyDescent="0.35">
      <c r="B7298" s="60" t="s">
        <v>21720</v>
      </c>
      <c r="C7298" s="60" t="s">
        <v>21721</v>
      </c>
      <c r="D7298" s="60" t="s">
        <v>21722</v>
      </c>
    </row>
    <row r="7299" spans="2:4" x14ac:dyDescent="0.35">
      <c r="B7299" s="60" t="s">
        <v>21723</v>
      </c>
      <c r="C7299" s="60" t="s">
        <v>21724</v>
      </c>
      <c r="D7299" s="60" t="s">
        <v>21725</v>
      </c>
    </row>
    <row r="7300" spans="2:4" x14ac:dyDescent="0.35">
      <c r="B7300" s="60" t="s">
        <v>21726</v>
      </c>
      <c r="C7300" s="60" t="s">
        <v>21727</v>
      </c>
      <c r="D7300" s="60" t="s">
        <v>21728</v>
      </c>
    </row>
    <row r="7301" spans="2:4" x14ac:dyDescent="0.35">
      <c r="B7301" s="60" t="s">
        <v>21729</v>
      </c>
      <c r="C7301" s="60" t="s">
        <v>21730</v>
      </c>
      <c r="D7301" s="60" t="s">
        <v>21731</v>
      </c>
    </row>
    <row r="7302" spans="2:4" x14ac:dyDescent="0.35">
      <c r="B7302" s="60" t="s">
        <v>21732</v>
      </c>
      <c r="C7302" s="60" t="s">
        <v>21733</v>
      </c>
      <c r="D7302" s="60" t="s">
        <v>21734</v>
      </c>
    </row>
    <row r="7303" spans="2:4" x14ac:dyDescent="0.35">
      <c r="B7303" s="60" t="s">
        <v>21735</v>
      </c>
      <c r="C7303" s="60" t="s">
        <v>21736</v>
      </c>
      <c r="D7303" s="60" t="s">
        <v>21737</v>
      </c>
    </row>
    <row r="7304" spans="2:4" x14ac:dyDescent="0.35">
      <c r="B7304" s="60" t="s">
        <v>21738</v>
      </c>
      <c r="C7304" s="60" t="s">
        <v>21739</v>
      </c>
      <c r="D7304" s="60" t="s">
        <v>21740</v>
      </c>
    </row>
    <row r="7305" spans="2:4" x14ac:dyDescent="0.35">
      <c r="B7305" s="60" t="s">
        <v>21741</v>
      </c>
      <c r="C7305" s="60" t="s">
        <v>21742</v>
      </c>
      <c r="D7305" s="60" t="s">
        <v>21743</v>
      </c>
    </row>
    <row r="7306" spans="2:4" x14ac:dyDescent="0.35">
      <c r="B7306" s="60" t="s">
        <v>21744</v>
      </c>
      <c r="C7306" s="60" t="s">
        <v>21745</v>
      </c>
      <c r="D7306" s="60" t="s">
        <v>21746</v>
      </c>
    </row>
    <row r="7307" spans="2:4" x14ac:dyDescent="0.35">
      <c r="B7307" s="60" t="s">
        <v>21747</v>
      </c>
      <c r="C7307" s="60" t="s">
        <v>21748</v>
      </c>
      <c r="D7307" s="60" t="s">
        <v>21749</v>
      </c>
    </row>
    <row r="7308" spans="2:4" x14ac:dyDescent="0.35">
      <c r="B7308" s="60" t="s">
        <v>21750</v>
      </c>
      <c r="C7308" s="60" t="s">
        <v>21751</v>
      </c>
      <c r="D7308" s="60" t="s">
        <v>21752</v>
      </c>
    </row>
    <row r="7309" spans="2:4" x14ac:dyDescent="0.35">
      <c r="B7309" s="60" t="s">
        <v>21753</v>
      </c>
      <c r="C7309" s="60" t="s">
        <v>21754</v>
      </c>
      <c r="D7309" s="60" t="s">
        <v>21755</v>
      </c>
    </row>
    <row r="7310" spans="2:4" x14ac:dyDescent="0.35">
      <c r="B7310" s="60" t="s">
        <v>21756</v>
      </c>
      <c r="C7310" s="60" t="s">
        <v>21757</v>
      </c>
      <c r="D7310" s="60" t="s">
        <v>21758</v>
      </c>
    </row>
    <row r="7311" spans="2:4" x14ac:dyDescent="0.35">
      <c r="B7311" s="60" t="s">
        <v>21759</v>
      </c>
      <c r="C7311" s="60" t="s">
        <v>21760</v>
      </c>
      <c r="D7311" s="60" t="s">
        <v>21761</v>
      </c>
    </row>
    <row r="7312" spans="2:4" x14ac:dyDescent="0.35">
      <c r="B7312" s="60" t="s">
        <v>21762</v>
      </c>
      <c r="C7312" s="60" t="s">
        <v>21763</v>
      </c>
      <c r="D7312" s="60" t="s">
        <v>21764</v>
      </c>
    </row>
    <row r="7313" spans="2:4" x14ac:dyDescent="0.35">
      <c r="B7313" s="60" t="s">
        <v>21765</v>
      </c>
      <c r="C7313" s="60" t="s">
        <v>21766</v>
      </c>
      <c r="D7313" s="60" t="s">
        <v>21767</v>
      </c>
    </row>
    <row r="7314" spans="2:4" x14ac:dyDescent="0.35">
      <c r="B7314" s="60" t="s">
        <v>21768</v>
      </c>
      <c r="C7314" s="60" t="s">
        <v>21769</v>
      </c>
      <c r="D7314" s="60" t="s">
        <v>21770</v>
      </c>
    </row>
    <row r="7315" spans="2:4" x14ac:dyDescent="0.35">
      <c r="B7315" s="60" t="s">
        <v>21771</v>
      </c>
      <c r="C7315" s="60" t="s">
        <v>21772</v>
      </c>
      <c r="D7315" s="60" t="s">
        <v>21773</v>
      </c>
    </row>
    <row r="7316" spans="2:4" x14ac:dyDescent="0.35">
      <c r="B7316" s="60" t="s">
        <v>21774</v>
      </c>
      <c r="C7316" s="60" t="s">
        <v>21775</v>
      </c>
      <c r="D7316" s="60" t="s">
        <v>21776</v>
      </c>
    </row>
    <row r="7317" spans="2:4" x14ac:dyDescent="0.35">
      <c r="B7317" s="60" t="s">
        <v>21777</v>
      </c>
      <c r="C7317" s="60" t="s">
        <v>21778</v>
      </c>
      <c r="D7317" s="60" t="s">
        <v>21779</v>
      </c>
    </row>
    <row r="7318" spans="2:4" x14ac:dyDescent="0.35">
      <c r="B7318" s="60" t="s">
        <v>21780</v>
      </c>
      <c r="C7318" s="60" t="s">
        <v>21781</v>
      </c>
      <c r="D7318" s="60" t="s">
        <v>21782</v>
      </c>
    </row>
    <row r="7319" spans="2:4" x14ac:dyDescent="0.35">
      <c r="B7319" s="60" t="s">
        <v>21783</v>
      </c>
      <c r="C7319" s="60" t="s">
        <v>21784</v>
      </c>
      <c r="D7319" s="60" t="s">
        <v>21785</v>
      </c>
    </row>
    <row r="7320" spans="2:4" x14ac:dyDescent="0.35">
      <c r="B7320" s="60" t="s">
        <v>21786</v>
      </c>
      <c r="C7320" s="60" t="s">
        <v>21787</v>
      </c>
      <c r="D7320" s="60" t="s">
        <v>21788</v>
      </c>
    </row>
    <row r="7321" spans="2:4" x14ac:dyDescent="0.35">
      <c r="B7321" s="60" t="s">
        <v>21789</v>
      </c>
      <c r="C7321" s="60" t="s">
        <v>21790</v>
      </c>
      <c r="D7321" s="60" t="s">
        <v>21791</v>
      </c>
    </row>
    <row r="7322" spans="2:4" x14ac:dyDescent="0.35">
      <c r="B7322" s="60" t="s">
        <v>21792</v>
      </c>
      <c r="C7322" s="60" t="s">
        <v>21793</v>
      </c>
      <c r="D7322" s="60" t="s">
        <v>21794</v>
      </c>
    </row>
    <row r="7323" spans="2:4" x14ac:dyDescent="0.35">
      <c r="B7323" s="60" t="s">
        <v>21795</v>
      </c>
      <c r="C7323" s="60" t="s">
        <v>21796</v>
      </c>
      <c r="D7323" s="60" t="s">
        <v>21797</v>
      </c>
    </row>
    <row r="7324" spans="2:4" x14ac:dyDescent="0.35">
      <c r="B7324" s="60" t="s">
        <v>21798</v>
      </c>
      <c r="C7324" s="60" t="s">
        <v>21799</v>
      </c>
      <c r="D7324" s="60" t="s">
        <v>21800</v>
      </c>
    </row>
    <row r="7325" spans="2:4" x14ac:dyDescent="0.35">
      <c r="B7325" s="60" t="s">
        <v>21801</v>
      </c>
      <c r="C7325" s="60" t="s">
        <v>21802</v>
      </c>
      <c r="D7325" s="60" t="s">
        <v>21803</v>
      </c>
    </row>
    <row r="7326" spans="2:4" x14ac:dyDescent="0.35">
      <c r="B7326" s="60" t="s">
        <v>21804</v>
      </c>
      <c r="C7326" s="60" t="s">
        <v>21805</v>
      </c>
      <c r="D7326" s="60" t="s">
        <v>21806</v>
      </c>
    </row>
    <row r="7327" spans="2:4" x14ac:dyDescent="0.35">
      <c r="B7327" s="60" t="s">
        <v>21807</v>
      </c>
      <c r="C7327" s="60" t="s">
        <v>21808</v>
      </c>
      <c r="D7327" s="60" t="s">
        <v>21809</v>
      </c>
    </row>
    <row r="7328" spans="2:4" x14ac:dyDescent="0.35">
      <c r="B7328" s="60" t="s">
        <v>21810</v>
      </c>
      <c r="C7328" s="60" t="s">
        <v>21811</v>
      </c>
      <c r="D7328" s="60" t="s">
        <v>21812</v>
      </c>
    </row>
    <row r="7329" spans="2:4" x14ac:dyDescent="0.35">
      <c r="B7329" s="60" t="s">
        <v>21813</v>
      </c>
      <c r="C7329" s="60" t="s">
        <v>21814</v>
      </c>
      <c r="D7329" s="60" t="s">
        <v>21815</v>
      </c>
    </row>
    <row r="7330" spans="2:4" x14ac:dyDescent="0.35">
      <c r="B7330" s="60" t="s">
        <v>21816</v>
      </c>
      <c r="C7330" s="60" t="s">
        <v>21817</v>
      </c>
      <c r="D7330" s="60" t="s">
        <v>21818</v>
      </c>
    </row>
    <row r="7331" spans="2:4" x14ac:dyDescent="0.35">
      <c r="B7331" s="60" t="s">
        <v>21819</v>
      </c>
      <c r="C7331" s="60" t="s">
        <v>21820</v>
      </c>
      <c r="D7331" s="60" t="s">
        <v>21821</v>
      </c>
    </row>
    <row r="7332" spans="2:4" x14ac:dyDescent="0.35">
      <c r="B7332" s="60" t="s">
        <v>21822</v>
      </c>
      <c r="C7332" s="60" t="s">
        <v>21823</v>
      </c>
      <c r="D7332" s="60" t="s">
        <v>21824</v>
      </c>
    </row>
    <row r="7333" spans="2:4" x14ac:dyDescent="0.35">
      <c r="B7333" s="60" t="s">
        <v>21825</v>
      </c>
      <c r="C7333" s="60" t="s">
        <v>21826</v>
      </c>
      <c r="D7333" s="60" t="s">
        <v>21827</v>
      </c>
    </row>
    <row r="7334" spans="2:4" x14ac:dyDescent="0.35">
      <c r="B7334" s="60" t="s">
        <v>21828</v>
      </c>
      <c r="C7334" s="60" t="s">
        <v>21829</v>
      </c>
      <c r="D7334" s="60" t="s">
        <v>21830</v>
      </c>
    </row>
    <row r="7335" spans="2:4" x14ac:dyDescent="0.35">
      <c r="B7335" s="60" t="s">
        <v>21831</v>
      </c>
      <c r="C7335" s="60" t="s">
        <v>21832</v>
      </c>
      <c r="D7335" s="60" t="s">
        <v>21833</v>
      </c>
    </row>
    <row r="7336" spans="2:4" x14ac:dyDescent="0.35">
      <c r="B7336" s="60" t="s">
        <v>21834</v>
      </c>
      <c r="C7336" s="60" t="s">
        <v>21835</v>
      </c>
      <c r="D7336" s="60" t="s">
        <v>21836</v>
      </c>
    </row>
    <row r="7337" spans="2:4" x14ac:dyDescent="0.35">
      <c r="B7337" s="60" t="s">
        <v>21837</v>
      </c>
      <c r="C7337" s="60" t="s">
        <v>21838</v>
      </c>
      <c r="D7337" s="60" t="s">
        <v>21839</v>
      </c>
    </row>
    <row r="7338" spans="2:4" x14ac:dyDescent="0.35">
      <c r="B7338" s="60" t="s">
        <v>21840</v>
      </c>
      <c r="C7338" s="60" t="s">
        <v>21841</v>
      </c>
      <c r="D7338" s="60" t="s">
        <v>21842</v>
      </c>
    </row>
    <row r="7339" spans="2:4" x14ac:dyDescent="0.35">
      <c r="B7339" s="60" t="s">
        <v>21843</v>
      </c>
      <c r="C7339" s="60" t="s">
        <v>21844</v>
      </c>
      <c r="D7339" s="60" t="s">
        <v>21845</v>
      </c>
    </row>
    <row r="7340" spans="2:4" x14ac:dyDescent="0.35">
      <c r="B7340" s="60" t="s">
        <v>21846</v>
      </c>
      <c r="C7340" s="60" t="s">
        <v>21847</v>
      </c>
      <c r="D7340" s="60" t="s">
        <v>21848</v>
      </c>
    </row>
    <row r="7341" spans="2:4" x14ac:dyDescent="0.35">
      <c r="B7341" s="60" t="s">
        <v>21849</v>
      </c>
      <c r="C7341" s="60" t="s">
        <v>21850</v>
      </c>
      <c r="D7341" s="60" t="s">
        <v>21851</v>
      </c>
    </row>
    <row r="7342" spans="2:4" x14ac:dyDescent="0.35">
      <c r="B7342" s="60" t="s">
        <v>21852</v>
      </c>
      <c r="C7342" s="60" t="s">
        <v>21853</v>
      </c>
      <c r="D7342" s="60" t="s">
        <v>21854</v>
      </c>
    </row>
    <row r="7343" spans="2:4" x14ac:dyDescent="0.35">
      <c r="B7343" s="60" t="s">
        <v>21855</v>
      </c>
      <c r="C7343" s="60" t="s">
        <v>21856</v>
      </c>
      <c r="D7343" s="60" t="s">
        <v>21857</v>
      </c>
    </row>
    <row r="7344" spans="2:4" x14ac:dyDescent="0.35">
      <c r="B7344" s="60" t="s">
        <v>21858</v>
      </c>
      <c r="C7344" s="60" t="s">
        <v>21859</v>
      </c>
      <c r="D7344" s="60" t="s">
        <v>21860</v>
      </c>
    </row>
    <row r="7345" spans="2:4" x14ac:dyDescent="0.35">
      <c r="B7345" s="60" t="s">
        <v>21861</v>
      </c>
      <c r="C7345" s="60" t="s">
        <v>21862</v>
      </c>
      <c r="D7345" s="60" t="s">
        <v>21863</v>
      </c>
    </row>
    <row r="7346" spans="2:4" x14ac:dyDescent="0.35">
      <c r="B7346" s="60" t="s">
        <v>21864</v>
      </c>
      <c r="C7346" s="60" t="s">
        <v>21865</v>
      </c>
      <c r="D7346" s="60" t="s">
        <v>21866</v>
      </c>
    </row>
    <row r="7347" spans="2:4" x14ac:dyDescent="0.35">
      <c r="B7347" s="60" t="s">
        <v>21867</v>
      </c>
      <c r="C7347" s="60" t="s">
        <v>21868</v>
      </c>
      <c r="D7347" s="60" t="s">
        <v>21869</v>
      </c>
    </row>
    <row r="7348" spans="2:4" x14ac:dyDescent="0.35">
      <c r="B7348" s="60" t="s">
        <v>21867</v>
      </c>
      <c r="C7348" s="60" t="s">
        <v>21870</v>
      </c>
      <c r="D7348" s="60" t="s">
        <v>21871</v>
      </c>
    </row>
    <row r="7349" spans="2:4" x14ac:dyDescent="0.35">
      <c r="B7349" s="60" t="s">
        <v>21872</v>
      </c>
      <c r="C7349" s="60" t="s">
        <v>21873</v>
      </c>
      <c r="D7349" s="60" t="s">
        <v>21874</v>
      </c>
    </row>
    <row r="7350" spans="2:4" x14ac:dyDescent="0.35">
      <c r="B7350" s="60" t="s">
        <v>21875</v>
      </c>
      <c r="C7350" s="60" t="s">
        <v>21876</v>
      </c>
      <c r="D7350" s="60" t="s">
        <v>21877</v>
      </c>
    </row>
    <row r="7351" spans="2:4" x14ac:dyDescent="0.35">
      <c r="B7351" s="60" t="s">
        <v>21878</v>
      </c>
      <c r="C7351" s="60" t="s">
        <v>21879</v>
      </c>
      <c r="D7351" s="60" t="s">
        <v>21880</v>
      </c>
    </row>
    <row r="7352" spans="2:4" x14ac:dyDescent="0.35">
      <c r="B7352" s="60" t="s">
        <v>21878</v>
      </c>
      <c r="C7352" s="60" t="s">
        <v>21881</v>
      </c>
      <c r="D7352" s="60" t="s">
        <v>21882</v>
      </c>
    </row>
    <row r="7353" spans="2:4" x14ac:dyDescent="0.35">
      <c r="B7353" s="60" t="s">
        <v>21883</v>
      </c>
      <c r="C7353" s="60" t="s">
        <v>21884</v>
      </c>
      <c r="D7353" s="60" t="s">
        <v>21885</v>
      </c>
    </row>
    <row r="7354" spans="2:4" x14ac:dyDescent="0.35">
      <c r="B7354" s="60" t="s">
        <v>21886</v>
      </c>
      <c r="C7354" s="60" t="s">
        <v>21887</v>
      </c>
      <c r="D7354" s="60" t="s">
        <v>21888</v>
      </c>
    </row>
    <row r="7355" spans="2:4" x14ac:dyDescent="0.35">
      <c r="B7355" s="60" t="s">
        <v>21889</v>
      </c>
      <c r="C7355" s="60" t="s">
        <v>21890</v>
      </c>
      <c r="D7355" s="60" t="s">
        <v>21891</v>
      </c>
    </row>
    <row r="7356" spans="2:4" x14ac:dyDescent="0.35">
      <c r="B7356" s="60" t="s">
        <v>21892</v>
      </c>
      <c r="C7356" s="60" t="s">
        <v>21893</v>
      </c>
      <c r="D7356" s="60" t="s">
        <v>21894</v>
      </c>
    </row>
    <row r="7357" spans="2:4" x14ac:dyDescent="0.35">
      <c r="B7357" s="60" t="s">
        <v>21895</v>
      </c>
      <c r="C7357" s="60" t="s">
        <v>21896</v>
      </c>
      <c r="D7357" s="60" t="s">
        <v>21897</v>
      </c>
    </row>
    <row r="7358" spans="2:4" x14ac:dyDescent="0.35">
      <c r="B7358" s="60" t="s">
        <v>21898</v>
      </c>
      <c r="C7358" s="60" t="s">
        <v>21899</v>
      </c>
      <c r="D7358" s="60" t="s">
        <v>21900</v>
      </c>
    </row>
    <row r="7359" spans="2:4" x14ac:dyDescent="0.35">
      <c r="B7359" s="60" t="s">
        <v>21901</v>
      </c>
      <c r="C7359" s="60" t="s">
        <v>21902</v>
      </c>
      <c r="D7359" s="60" t="s">
        <v>21903</v>
      </c>
    </row>
    <row r="7360" spans="2:4" x14ac:dyDescent="0.35">
      <c r="B7360" s="60" t="s">
        <v>21904</v>
      </c>
      <c r="C7360" s="60" t="s">
        <v>21905</v>
      </c>
      <c r="D7360" s="60" t="s">
        <v>21906</v>
      </c>
    </row>
    <row r="7361" spans="2:4" x14ac:dyDescent="0.35">
      <c r="B7361" s="60" t="s">
        <v>21907</v>
      </c>
      <c r="C7361" s="60" t="s">
        <v>21908</v>
      </c>
      <c r="D7361" s="60" t="s">
        <v>21909</v>
      </c>
    </row>
    <row r="7362" spans="2:4" x14ac:dyDescent="0.35">
      <c r="B7362" s="60" t="s">
        <v>21910</v>
      </c>
      <c r="C7362" s="60" t="s">
        <v>21911</v>
      </c>
      <c r="D7362" s="60" t="s">
        <v>21912</v>
      </c>
    </row>
    <row r="7363" spans="2:4" x14ac:dyDescent="0.35">
      <c r="B7363" s="60" t="s">
        <v>21913</v>
      </c>
      <c r="C7363" s="60" t="s">
        <v>21914</v>
      </c>
      <c r="D7363" s="60" t="s">
        <v>21915</v>
      </c>
    </row>
    <row r="7364" spans="2:4" x14ac:dyDescent="0.35">
      <c r="B7364" s="60" t="s">
        <v>21916</v>
      </c>
      <c r="C7364" s="60" t="s">
        <v>21917</v>
      </c>
      <c r="D7364" s="60" t="s">
        <v>21918</v>
      </c>
    </row>
    <row r="7365" spans="2:4" x14ac:dyDescent="0.35">
      <c r="B7365" s="60" t="s">
        <v>21919</v>
      </c>
      <c r="C7365" s="60" t="s">
        <v>21920</v>
      </c>
      <c r="D7365" s="60" t="s">
        <v>21921</v>
      </c>
    </row>
    <row r="7366" spans="2:4" x14ac:dyDescent="0.35">
      <c r="B7366" s="60" t="s">
        <v>21922</v>
      </c>
      <c r="C7366" s="60" t="s">
        <v>21923</v>
      </c>
      <c r="D7366" s="60" t="s">
        <v>21924</v>
      </c>
    </row>
    <row r="7367" spans="2:4" x14ac:dyDescent="0.35">
      <c r="B7367" s="60" t="s">
        <v>21925</v>
      </c>
      <c r="C7367" s="60" t="s">
        <v>21926</v>
      </c>
      <c r="D7367" s="60" t="s">
        <v>21927</v>
      </c>
    </row>
    <row r="7368" spans="2:4" x14ac:dyDescent="0.35">
      <c r="B7368" s="60" t="s">
        <v>21928</v>
      </c>
      <c r="C7368" s="60" t="s">
        <v>21929</v>
      </c>
      <c r="D7368" s="60" t="s">
        <v>21930</v>
      </c>
    </row>
    <row r="7369" spans="2:4" x14ac:dyDescent="0.35">
      <c r="B7369" s="60" t="s">
        <v>21931</v>
      </c>
      <c r="C7369" s="60" t="s">
        <v>21932</v>
      </c>
      <c r="D7369" s="60" t="s">
        <v>21933</v>
      </c>
    </row>
    <row r="7370" spans="2:4" x14ac:dyDescent="0.35">
      <c r="B7370" s="60" t="s">
        <v>21934</v>
      </c>
      <c r="C7370" s="60" t="s">
        <v>21935</v>
      </c>
      <c r="D7370" s="60" t="s">
        <v>21936</v>
      </c>
    </row>
    <row r="7371" spans="2:4" x14ac:dyDescent="0.35">
      <c r="B7371" s="60" t="s">
        <v>21937</v>
      </c>
      <c r="C7371" s="60" t="s">
        <v>21938</v>
      </c>
      <c r="D7371" s="60" t="s">
        <v>21939</v>
      </c>
    </row>
    <row r="7372" spans="2:4" x14ac:dyDescent="0.35">
      <c r="B7372" s="60" t="s">
        <v>21940</v>
      </c>
      <c r="C7372" s="60" t="s">
        <v>21941</v>
      </c>
      <c r="D7372" s="60" t="s">
        <v>21942</v>
      </c>
    </row>
    <row r="7373" spans="2:4" x14ac:dyDescent="0.35">
      <c r="B7373" s="60" t="s">
        <v>21943</v>
      </c>
      <c r="C7373" s="60" t="s">
        <v>21944</v>
      </c>
      <c r="D7373" s="60" t="s">
        <v>21945</v>
      </c>
    </row>
    <row r="7374" spans="2:4" x14ac:dyDescent="0.35">
      <c r="B7374" s="60" t="s">
        <v>21946</v>
      </c>
      <c r="C7374" s="60" t="s">
        <v>21947</v>
      </c>
      <c r="D7374" s="60" t="s">
        <v>21948</v>
      </c>
    </row>
    <row r="7375" spans="2:4" x14ac:dyDescent="0.35">
      <c r="B7375" s="60" t="s">
        <v>21949</v>
      </c>
      <c r="C7375" s="60" t="s">
        <v>21950</v>
      </c>
      <c r="D7375" s="60" t="s">
        <v>21951</v>
      </c>
    </row>
    <row r="7376" spans="2:4" x14ac:dyDescent="0.35">
      <c r="B7376" s="60" t="s">
        <v>21952</v>
      </c>
      <c r="C7376" s="60" t="s">
        <v>21953</v>
      </c>
      <c r="D7376" s="60" t="s">
        <v>21954</v>
      </c>
    </row>
    <row r="7377" spans="2:4" x14ac:dyDescent="0.35">
      <c r="B7377" s="60" t="s">
        <v>21955</v>
      </c>
      <c r="C7377" s="60" t="s">
        <v>21956</v>
      </c>
      <c r="D7377" s="60" t="s">
        <v>10793</v>
      </c>
    </row>
    <row r="7378" spans="2:4" x14ac:dyDescent="0.35">
      <c r="B7378" s="60" t="s">
        <v>21955</v>
      </c>
      <c r="C7378" s="60" t="s">
        <v>21953</v>
      </c>
      <c r="D7378" s="60" t="s">
        <v>21957</v>
      </c>
    </row>
    <row r="7379" spans="2:4" x14ac:dyDescent="0.35">
      <c r="B7379" s="60" t="s">
        <v>21958</v>
      </c>
      <c r="C7379" s="60" t="s">
        <v>21959</v>
      </c>
      <c r="D7379" s="60" t="s">
        <v>21960</v>
      </c>
    </row>
    <row r="7380" spans="2:4" x14ac:dyDescent="0.35">
      <c r="B7380" s="60" t="s">
        <v>21961</v>
      </c>
      <c r="C7380" s="60" t="s">
        <v>21962</v>
      </c>
      <c r="D7380" s="60" t="s">
        <v>21963</v>
      </c>
    </row>
    <row r="7381" spans="2:4" x14ac:dyDescent="0.35">
      <c r="B7381" s="60" t="s">
        <v>21964</v>
      </c>
      <c r="C7381" s="60" t="s">
        <v>21965</v>
      </c>
      <c r="D7381" s="60" t="s">
        <v>21966</v>
      </c>
    </row>
    <row r="7382" spans="2:4" x14ac:dyDescent="0.35">
      <c r="B7382" s="60" t="s">
        <v>21967</v>
      </c>
      <c r="C7382" s="60" t="s">
        <v>21968</v>
      </c>
      <c r="D7382" s="60" t="s">
        <v>21969</v>
      </c>
    </row>
    <row r="7383" spans="2:4" x14ac:dyDescent="0.35">
      <c r="B7383" s="60" t="s">
        <v>21970</v>
      </c>
      <c r="C7383" s="60" t="s">
        <v>21971</v>
      </c>
      <c r="D7383" s="60" t="s">
        <v>21972</v>
      </c>
    </row>
    <row r="7384" spans="2:4" x14ac:dyDescent="0.35">
      <c r="B7384" s="60" t="s">
        <v>21973</v>
      </c>
      <c r="C7384" s="60" t="s">
        <v>21974</v>
      </c>
      <c r="D7384" s="60" t="s">
        <v>21975</v>
      </c>
    </row>
    <row r="7385" spans="2:4" x14ac:dyDescent="0.35">
      <c r="B7385" s="60" t="s">
        <v>21976</v>
      </c>
      <c r="C7385" s="60" t="s">
        <v>21977</v>
      </c>
      <c r="D7385" s="60" t="s">
        <v>21978</v>
      </c>
    </row>
    <row r="7386" spans="2:4" x14ac:dyDescent="0.35">
      <c r="B7386" s="60" t="s">
        <v>21979</v>
      </c>
      <c r="C7386" s="60" t="s">
        <v>21980</v>
      </c>
      <c r="D7386" s="60" t="s">
        <v>21981</v>
      </c>
    </row>
    <row r="7387" spans="2:4" x14ac:dyDescent="0.35">
      <c r="B7387" s="60" t="s">
        <v>21982</v>
      </c>
      <c r="C7387" s="60" t="s">
        <v>21983</v>
      </c>
      <c r="D7387" s="60" t="s">
        <v>21984</v>
      </c>
    </row>
    <row r="7388" spans="2:4" x14ac:dyDescent="0.35">
      <c r="B7388" s="60" t="s">
        <v>21985</v>
      </c>
      <c r="C7388" s="60" t="s">
        <v>21986</v>
      </c>
      <c r="D7388" s="60" t="s">
        <v>21987</v>
      </c>
    </row>
    <row r="7389" spans="2:4" x14ac:dyDescent="0.35">
      <c r="B7389" s="60" t="s">
        <v>21988</v>
      </c>
      <c r="C7389" s="60" t="s">
        <v>21989</v>
      </c>
      <c r="D7389" s="60" t="s">
        <v>21990</v>
      </c>
    </row>
    <row r="7390" spans="2:4" x14ac:dyDescent="0.35">
      <c r="B7390" s="60" t="s">
        <v>21991</v>
      </c>
      <c r="C7390" s="60" t="s">
        <v>21992</v>
      </c>
      <c r="D7390" s="60" t="s">
        <v>21993</v>
      </c>
    </row>
    <row r="7391" spans="2:4" x14ac:dyDescent="0.35">
      <c r="B7391" s="60" t="s">
        <v>21994</v>
      </c>
      <c r="C7391" s="60" t="s">
        <v>21995</v>
      </c>
      <c r="D7391" s="60" t="s">
        <v>21996</v>
      </c>
    </row>
    <row r="7392" spans="2:4" x14ac:dyDescent="0.35">
      <c r="B7392" s="60" t="s">
        <v>21997</v>
      </c>
      <c r="C7392" s="60" t="s">
        <v>21998</v>
      </c>
      <c r="D7392" s="60" t="s">
        <v>21999</v>
      </c>
    </row>
    <row r="7393" spans="2:4" x14ac:dyDescent="0.35">
      <c r="B7393" s="60" t="s">
        <v>22000</v>
      </c>
      <c r="C7393" s="60" t="s">
        <v>22001</v>
      </c>
      <c r="D7393" s="60" t="s">
        <v>22002</v>
      </c>
    </row>
    <row r="7394" spans="2:4" x14ac:dyDescent="0.35">
      <c r="B7394" s="60" t="s">
        <v>22003</v>
      </c>
      <c r="C7394" s="60" t="s">
        <v>22004</v>
      </c>
      <c r="D7394" s="60" t="s">
        <v>22005</v>
      </c>
    </row>
    <row r="7395" spans="2:4" x14ac:dyDescent="0.35">
      <c r="B7395" s="60" t="s">
        <v>22006</v>
      </c>
      <c r="C7395" s="60" t="s">
        <v>22007</v>
      </c>
      <c r="D7395" s="60" t="s">
        <v>22008</v>
      </c>
    </row>
    <row r="7396" spans="2:4" x14ac:dyDescent="0.35">
      <c r="B7396" s="60" t="s">
        <v>22006</v>
      </c>
      <c r="C7396" s="60" t="s">
        <v>22009</v>
      </c>
      <c r="D7396" s="60" t="s">
        <v>22010</v>
      </c>
    </row>
    <row r="7397" spans="2:4" x14ac:dyDescent="0.35">
      <c r="B7397" s="60" t="s">
        <v>22011</v>
      </c>
      <c r="C7397" s="60" t="s">
        <v>22012</v>
      </c>
      <c r="D7397" s="60" t="s">
        <v>22013</v>
      </c>
    </row>
    <row r="7398" spans="2:4" x14ac:dyDescent="0.35">
      <c r="B7398" s="60" t="s">
        <v>22014</v>
      </c>
      <c r="C7398" s="60" t="s">
        <v>22015</v>
      </c>
      <c r="D7398" s="60" t="s">
        <v>22016</v>
      </c>
    </row>
    <row r="7399" spans="2:4" x14ac:dyDescent="0.35">
      <c r="B7399" s="60" t="s">
        <v>22017</v>
      </c>
      <c r="C7399" s="60" t="s">
        <v>22018</v>
      </c>
      <c r="D7399" s="60" t="s">
        <v>22019</v>
      </c>
    </row>
    <row r="7400" spans="2:4" x14ac:dyDescent="0.35">
      <c r="B7400" s="60" t="s">
        <v>22020</v>
      </c>
      <c r="C7400" s="60" t="s">
        <v>22021</v>
      </c>
      <c r="D7400" s="60" t="s">
        <v>22022</v>
      </c>
    </row>
    <row r="7401" spans="2:4" x14ac:dyDescent="0.35">
      <c r="B7401" s="60" t="s">
        <v>22023</v>
      </c>
      <c r="C7401" s="60" t="s">
        <v>22024</v>
      </c>
      <c r="D7401" s="60" t="s">
        <v>22025</v>
      </c>
    </row>
    <row r="7402" spans="2:4" x14ac:dyDescent="0.35">
      <c r="B7402" s="60" t="s">
        <v>22026</v>
      </c>
      <c r="C7402" s="60" t="s">
        <v>22027</v>
      </c>
      <c r="D7402" s="60" t="s">
        <v>22028</v>
      </c>
    </row>
    <row r="7403" spans="2:4" x14ac:dyDescent="0.35">
      <c r="B7403" s="60" t="s">
        <v>22029</v>
      </c>
      <c r="C7403" s="60" t="s">
        <v>22030</v>
      </c>
      <c r="D7403" s="60" t="s">
        <v>22031</v>
      </c>
    </row>
    <row r="7404" spans="2:4" x14ac:dyDescent="0.35">
      <c r="B7404" s="60" t="s">
        <v>22032</v>
      </c>
      <c r="C7404" s="60" t="s">
        <v>22033</v>
      </c>
      <c r="D7404" s="60" t="s">
        <v>22034</v>
      </c>
    </row>
    <row r="7405" spans="2:4" x14ac:dyDescent="0.35">
      <c r="B7405" s="60" t="s">
        <v>22035</v>
      </c>
      <c r="C7405" s="60" t="s">
        <v>22036</v>
      </c>
      <c r="D7405" s="60" t="s">
        <v>22037</v>
      </c>
    </row>
    <row r="7406" spans="2:4" x14ac:dyDescent="0.35">
      <c r="B7406" s="60" t="s">
        <v>22038</v>
      </c>
      <c r="C7406" s="60" t="s">
        <v>22039</v>
      </c>
      <c r="D7406" s="60" t="s">
        <v>22040</v>
      </c>
    </row>
    <row r="7407" spans="2:4" x14ac:dyDescent="0.35">
      <c r="B7407" s="60" t="s">
        <v>22041</v>
      </c>
      <c r="C7407" s="60" t="s">
        <v>22042</v>
      </c>
      <c r="D7407" s="60" t="s">
        <v>22043</v>
      </c>
    </row>
    <row r="7408" spans="2:4" x14ac:dyDescent="0.35">
      <c r="B7408" s="60" t="s">
        <v>22044</v>
      </c>
      <c r="C7408" s="60" t="s">
        <v>22045</v>
      </c>
      <c r="D7408" s="60" t="s">
        <v>22046</v>
      </c>
    </row>
    <row r="7409" spans="2:4" x14ac:dyDescent="0.35">
      <c r="B7409" s="60" t="s">
        <v>22047</v>
      </c>
      <c r="C7409" s="60" t="s">
        <v>22048</v>
      </c>
      <c r="D7409" s="60" t="s">
        <v>22049</v>
      </c>
    </row>
    <row r="7410" spans="2:4" x14ac:dyDescent="0.35">
      <c r="B7410" s="60" t="s">
        <v>22050</v>
      </c>
      <c r="C7410" s="60" t="s">
        <v>22051</v>
      </c>
      <c r="D7410" s="60" t="s">
        <v>22052</v>
      </c>
    </row>
    <row r="7411" spans="2:4" x14ac:dyDescent="0.35">
      <c r="B7411" s="60" t="s">
        <v>22053</v>
      </c>
      <c r="C7411" s="60" t="s">
        <v>22054</v>
      </c>
      <c r="D7411" s="60" t="s">
        <v>5710</v>
      </c>
    </row>
    <row r="7412" spans="2:4" x14ac:dyDescent="0.35">
      <c r="B7412" s="60" t="s">
        <v>22055</v>
      </c>
      <c r="C7412" s="60" t="s">
        <v>22056</v>
      </c>
      <c r="D7412" s="60" t="s">
        <v>22057</v>
      </c>
    </row>
    <row r="7413" spans="2:4" x14ac:dyDescent="0.35">
      <c r="B7413" s="60" t="s">
        <v>22058</v>
      </c>
      <c r="C7413" s="60" t="s">
        <v>22059</v>
      </c>
      <c r="D7413" s="60" t="s">
        <v>22060</v>
      </c>
    </row>
    <row r="7414" spans="2:4" x14ac:dyDescent="0.35">
      <c r="B7414" s="60" t="s">
        <v>22061</v>
      </c>
      <c r="C7414" s="60" t="s">
        <v>22062</v>
      </c>
      <c r="D7414" s="60" t="s">
        <v>22063</v>
      </c>
    </row>
    <row r="7415" spans="2:4" x14ac:dyDescent="0.35">
      <c r="B7415" s="60" t="s">
        <v>22064</v>
      </c>
      <c r="C7415" s="60" t="s">
        <v>22065</v>
      </c>
      <c r="D7415" s="60" t="s">
        <v>22066</v>
      </c>
    </row>
    <row r="7416" spans="2:4" x14ac:dyDescent="0.35">
      <c r="B7416" s="60" t="s">
        <v>22067</v>
      </c>
      <c r="C7416" s="60" t="s">
        <v>22068</v>
      </c>
      <c r="D7416" s="60" t="s">
        <v>22069</v>
      </c>
    </row>
    <row r="7417" spans="2:4" x14ac:dyDescent="0.35">
      <c r="B7417" s="60" t="s">
        <v>22070</v>
      </c>
      <c r="C7417" s="60" t="s">
        <v>22071</v>
      </c>
      <c r="D7417" s="60" t="s">
        <v>22072</v>
      </c>
    </row>
    <row r="7418" spans="2:4" x14ac:dyDescent="0.35">
      <c r="B7418" s="60" t="s">
        <v>22073</v>
      </c>
      <c r="C7418" s="60" t="s">
        <v>22074</v>
      </c>
      <c r="D7418" s="60" t="s">
        <v>22075</v>
      </c>
    </row>
    <row r="7419" spans="2:4" x14ac:dyDescent="0.35">
      <c r="B7419" s="60" t="s">
        <v>22076</v>
      </c>
      <c r="C7419" s="60" t="s">
        <v>22077</v>
      </c>
      <c r="D7419" s="60" t="s">
        <v>22078</v>
      </c>
    </row>
    <row r="7420" spans="2:4" x14ac:dyDescent="0.35">
      <c r="B7420" s="60" t="s">
        <v>22079</v>
      </c>
      <c r="C7420" s="60" t="s">
        <v>22080</v>
      </c>
      <c r="D7420" s="60" t="s">
        <v>22081</v>
      </c>
    </row>
    <row r="7421" spans="2:4" x14ac:dyDescent="0.35">
      <c r="B7421" s="60" t="s">
        <v>22082</v>
      </c>
      <c r="C7421" s="60" t="s">
        <v>22083</v>
      </c>
      <c r="D7421" s="60" t="s">
        <v>22084</v>
      </c>
    </row>
    <row r="7422" spans="2:4" x14ac:dyDescent="0.35">
      <c r="B7422" s="60" t="s">
        <v>22085</v>
      </c>
      <c r="C7422" s="60" t="s">
        <v>22086</v>
      </c>
      <c r="D7422" s="60" t="s">
        <v>22087</v>
      </c>
    </row>
    <row r="7423" spans="2:4" x14ac:dyDescent="0.35">
      <c r="B7423" s="60" t="s">
        <v>22088</v>
      </c>
      <c r="C7423" s="60" t="s">
        <v>22089</v>
      </c>
      <c r="D7423" s="60" t="s">
        <v>22090</v>
      </c>
    </row>
    <row r="7424" spans="2:4" x14ac:dyDescent="0.35">
      <c r="B7424" s="60" t="s">
        <v>22091</v>
      </c>
      <c r="C7424" s="60" t="s">
        <v>22092</v>
      </c>
      <c r="D7424" s="60" t="s">
        <v>22093</v>
      </c>
    </row>
    <row r="7425" spans="2:4" x14ac:dyDescent="0.35">
      <c r="B7425" s="60" t="s">
        <v>22094</v>
      </c>
      <c r="C7425" s="60" t="s">
        <v>22095</v>
      </c>
      <c r="D7425" s="60" t="s">
        <v>22096</v>
      </c>
    </row>
    <row r="7426" spans="2:4" x14ac:dyDescent="0.35">
      <c r="B7426" s="60" t="s">
        <v>22097</v>
      </c>
      <c r="C7426" s="60" t="s">
        <v>22098</v>
      </c>
      <c r="D7426" s="60" t="s">
        <v>22099</v>
      </c>
    </row>
    <row r="7427" spans="2:4" x14ac:dyDescent="0.35">
      <c r="B7427" s="60" t="s">
        <v>22100</v>
      </c>
      <c r="C7427" s="60" t="s">
        <v>22101</v>
      </c>
      <c r="D7427" s="60" t="s">
        <v>22102</v>
      </c>
    </row>
    <row r="7428" spans="2:4" x14ac:dyDescent="0.35">
      <c r="B7428" s="60" t="s">
        <v>22103</v>
      </c>
      <c r="C7428" s="60" t="s">
        <v>22104</v>
      </c>
      <c r="D7428" s="60" t="s">
        <v>22105</v>
      </c>
    </row>
    <row r="7429" spans="2:4" x14ac:dyDescent="0.35">
      <c r="B7429" s="60" t="s">
        <v>22106</v>
      </c>
      <c r="C7429" s="60" t="s">
        <v>22107</v>
      </c>
      <c r="D7429" s="60" t="s">
        <v>22108</v>
      </c>
    </row>
    <row r="7430" spans="2:4" x14ac:dyDescent="0.35">
      <c r="B7430" s="60" t="s">
        <v>22109</v>
      </c>
      <c r="C7430" s="60" t="s">
        <v>22110</v>
      </c>
      <c r="D7430" s="60" t="s">
        <v>22111</v>
      </c>
    </row>
    <row r="7431" spans="2:4" x14ac:dyDescent="0.35">
      <c r="B7431" s="60" t="s">
        <v>22112</v>
      </c>
      <c r="C7431" s="60" t="s">
        <v>22113</v>
      </c>
      <c r="D7431" s="60" t="s">
        <v>22114</v>
      </c>
    </row>
    <row r="7432" spans="2:4" x14ac:dyDescent="0.35">
      <c r="B7432" s="60" t="s">
        <v>22115</v>
      </c>
      <c r="C7432" s="60" t="s">
        <v>22116</v>
      </c>
      <c r="D7432" s="60" t="s">
        <v>22117</v>
      </c>
    </row>
    <row r="7433" spans="2:4" x14ac:dyDescent="0.35">
      <c r="B7433" s="60" t="s">
        <v>22118</v>
      </c>
      <c r="C7433" s="60" t="s">
        <v>22119</v>
      </c>
      <c r="D7433" s="60" t="s">
        <v>22120</v>
      </c>
    </row>
    <row r="7434" spans="2:4" x14ac:dyDescent="0.35">
      <c r="B7434" s="60" t="s">
        <v>22121</v>
      </c>
      <c r="C7434" s="60" t="s">
        <v>22122</v>
      </c>
      <c r="D7434" s="60" t="s">
        <v>22123</v>
      </c>
    </row>
    <row r="7435" spans="2:4" x14ac:dyDescent="0.35">
      <c r="B7435" s="60" t="s">
        <v>22124</v>
      </c>
      <c r="C7435" s="60" t="s">
        <v>22125</v>
      </c>
      <c r="D7435" s="60" t="s">
        <v>22126</v>
      </c>
    </row>
    <row r="7436" spans="2:4" x14ac:dyDescent="0.35">
      <c r="B7436" s="60" t="s">
        <v>22127</v>
      </c>
      <c r="C7436" s="60" t="s">
        <v>22128</v>
      </c>
      <c r="D7436" s="60" t="s">
        <v>22129</v>
      </c>
    </row>
    <row r="7437" spans="2:4" x14ac:dyDescent="0.35">
      <c r="B7437" s="60" t="s">
        <v>22130</v>
      </c>
      <c r="C7437" s="60" t="s">
        <v>22131</v>
      </c>
      <c r="D7437" s="60" t="s">
        <v>22132</v>
      </c>
    </row>
    <row r="7438" spans="2:4" x14ac:dyDescent="0.35">
      <c r="B7438" s="60" t="s">
        <v>22133</v>
      </c>
      <c r="C7438" s="60" t="s">
        <v>22134</v>
      </c>
      <c r="D7438" s="60" t="s">
        <v>22135</v>
      </c>
    </row>
    <row r="7439" spans="2:4" x14ac:dyDescent="0.35">
      <c r="B7439" s="60" t="s">
        <v>22136</v>
      </c>
      <c r="C7439" s="60" t="s">
        <v>22137</v>
      </c>
      <c r="D7439" s="60" t="s">
        <v>22138</v>
      </c>
    </row>
    <row r="7440" spans="2:4" x14ac:dyDescent="0.35">
      <c r="B7440" s="60" t="s">
        <v>22139</v>
      </c>
      <c r="C7440" s="60" t="s">
        <v>22140</v>
      </c>
      <c r="D7440" s="60" t="s">
        <v>22141</v>
      </c>
    </row>
    <row r="7441" spans="2:4" x14ac:dyDescent="0.35">
      <c r="B7441" s="60" t="s">
        <v>22142</v>
      </c>
      <c r="C7441" s="60" t="s">
        <v>22143</v>
      </c>
      <c r="D7441" s="60" t="s">
        <v>22144</v>
      </c>
    </row>
    <row r="7442" spans="2:4" x14ac:dyDescent="0.35">
      <c r="B7442" s="60" t="s">
        <v>22145</v>
      </c>
      <c r="C7442" s="60" t="s">
        <v>22146</v>
      </c>
      <c r="D7442" s="60" t="s">
        <v>22147</v>
      </c>
    </row>
    <row r="7443" spans="2:4" x14ac:dyDescent="0.35">
      <c r="B7443" s="60" t="s">
        <v>22148</v>
      </c>
      <c r="C7443" s="60" t="s">
        <v>22149</v>
      </c>
      <c r="D7443" s="60" t="s">
        <v>22150</v>
      </c>
    </row>
    <row r="7444" spans="2:4" x14ac:dyDescent="0.35">
      <c r="B7444" s="60" t="s">
        <v>22151</v>
      </c>
      <c r="C7444" s="60" t="s">
        <v>22152</v>
      </c>
      <c r="D7444" s="60" t="s">
        <v>22153</v>
      </c>
    </row>
    <row r="7445" spans="2:4" x14ac:dyDescent="0.35">
      <c r="B7445" s="60" t="s">
        <v>22154</v>
      </c>
      <c r="C7445" s="60" t="s">
        <v>22155</v>
      </c>
      <c r="D7445" s="60" t="s">
        <v>22156</v>
      </c>
    </row>
    <row r="7446" spans="2:4" x14ac:dyDescent="0.35">
      <c r="B7446" s="60" t="s">
        <v>22157</v>
      </c>
      <c r="C7446" s="60" t="s">
        <v>22158</v>
      </c>
      <c r="D7446" s="60" t="s">
        <v>7853</v>
      </c>
    </row>
    <row r="7447" spans="2:4" x14ac:dyDescent="0.35">
      <c r="B7447" s="60" t="s">
        <v>22159</v>
      </c>
      <c r="C7447" s="60" t="s">
        <v>22160</v>
      </c>
      <c r="D7447" s="60" t="s">
        <v>22161</v>
      </c>
    </row>
    <row r="7448" spans="2:4" x14ac:dyDescent="0.35">
      <c r="B7448" s="60" t="s">
        <v>22162</v>
      </c>
      <c r="C7448" s="60" t="s">
        <v>22163</v>
      </c>
      <c r="D7448" s="60" t="s">
        <v>22164</v>
      </c>
    </row>
    <row r="7449" spans="2:4" x14ac:dyDescent="0.35">
      <c r="B7449" s="60" t="s">
        <v>22165</v>
      </c>
      <c r="C7449" s="60" t="s">
        <v>22166</v>
      </c>
      <c r="D7449" s="60" t="s">
        <v>22167</v>
      </c>
    </row>
    <row r="7450" spans="2:4" x14ac:dyDescent="0.35">
      <c r="B7450" s="60" t="s">
        <v>22165</v>
      </c>
      <c r="C7450" s="60" t="s">
        <v>22168</v>
      </c>
      <c r="D7450" s="60" t="s">
        <v>22167</v>
      </c>
    </row>
    <row r="7451" spans="2:4" x14ac:dyDescent="0.35">
      <c r="B7451" s="60" t="s">
        <v>22169</v>
      </c>
      <c r="C7451" s="60" t="s">
        <v>22170</v>
      </c>
      <c r="D7451" s="60" t="s">
        <v>22171</v>
      </c>
    </row>
    <row r="7452" spans="2:4" x14ac:dyDescent="0.35">
      <c r="B7452" s="60" t="s">
        <v>22172</v>
      </c>
      <c r="C7452" s="60" t="s">
        <v>22173</v>
      </c>
      <c r="D7452" s="60" t="s">
        <v>22174</v>
      </c>
    </row>
    <row r="7453" spans="2:4" x14ac:dyDescent="0.35">
      <c r="B7453" s="60" t="s">
        <v>22175</v>
      </c>
      <c r="C7453" s="60" t="s">
        <v>22176</v>
      </c>
      <c r="D7453" s="60" t="s">
        <v>22177</v>
      </c>
    </row>
    <row r="7454" spans="2:4" x14ac:dyDescent="0.35">
      <c r="B7454" s="60" t="s">
        <v>22178</v>
      </c>
      <c r="C7454" s="60" t="s">
        <v>22179</v>
      </c>
      <c r="D7454" s="60" t="s">
        <v>22180</v>
      </c>
    </row>
    <row r="7455" spans="2:4" x14ac:dyDescent="0.35">
      <c r="B7455" s="60" t="s">
        <v>22181</v>
      </c>
      <c r="C7455" s="60" t="s">
        <v>22182</v>
      </c>
      <c r="D7455" s="60" t="s">
        <v>22183</v>
      </c>
    </row>
    <row r="7456" spans="2:4" x14ac:dyDescent="0.35">
      <c r="B7456" s="60" t="s">
        <v>22184</v>
      </c>
      <c r="C7456" s="60" t="s">
        <v>22185</v>
      </c>
      <c r="D7456" s="60" t="s">
        <v>22186</v>
      </c>
    </row>
    <row r="7457" spans="2:4" x14ac:dyDescent="0.35">
      <c r="B7457" s="60" t="s">
        <v>22187</v>
      </c>
      <c r="C7457" s="60" t="s">
        <v>22188</v>
      </c>
      <c r="D7457" s="60" t="s">
        <v>22189</v>
      </c>
    </row>
    <row r="7458" spans="2:4" x14ac:dyDescent="0.35">
      <c r="B7458" s="60" t="s">
        <v>22190</v>
      </c>
      <c r="C7458" s="60" t="s">
        <v>22191</v>
      </c>
      <c r="D7458" s="60" t="s">
        <v>22192</v>
      </c>
    </row>
    <row r="7459" spans="2:4" x14ac:dyDescent="0.35">
      <c r="B7459" s="60" t="s">
        <v>22193</v>
      </c>
      <c r="C7459" s="60" t="s">
        <v>22194</v>
      </c>
      <c r="D7459" s="60" t="s">
        <v>22195</v>
      </c>
    </row>
    <row r="7460" spans="2:4" x14ac:dyDescent="0.35">
      <c r="B7460" s="60" t="s">
        <v>22196</v>
      </c>
      <c r="C7460" s="60" t="s">
        <v>22197</v>
      </c>
      <c r="D7460" s="60" t="s">
        <v>22198</v>
      </c>
    </row>
    <row r="7461" spans="2:4" x14ac:dyDescent="0.35">
      <c r="B7461" s="60" t="s">
        <v>22199</v>
      </c>
      <c r="C7461" s="60" t="s">
        <v>22200</v>
      </c>
      <c r="D7461" s="60" t="s">
        <v>22201</v>
      </c>
    </row>
    <row r="7462" spans="2:4" x14ac:dyDescent="0.35">
      <c r="B7462" s="60" t="s">
        <v>22202</v>
      </c>
      <c r="C7462" s="60" t="s">
        <v>22203</v>
      </c>
      <c r="D7462" s="60" t="s">
        <v>22204</v>
      </c>
    </row>
    <row r="7463" spans="2:4" x14ac:dyDescent="0.35">
      <c r="B7463" s="60" t="s">
        <v>22205</v>
      </c>
      <c r="C7463" s="60" t="s">
        <v>22206</v>
      </c>
      <c r="D7463" s="60" t="s">
        <v>22207</v>
      </c>
    </row>
    <row r="7464" spans="2:4" x14ac:dyDescent="0.35">
      <c r="B7464" s="60" t="s">
        <v>22208</v>
      </c>
      <c r="C7464" s="60" t="s">
        <v>22209</v>
      </c>
      <c r="D7464" s="60" t="s">
        <v>22210</v>
      </c>
    </row>
    <row r="7465" spans="2:4" x14ac:dyDescent="0.35">
      <c r="B7465" s="60" t="s">
        <v>22211</v>
      </c>
      <c r="C7465" s="60" t="s">
        <v>22212</v>
      </c>
      <c r="D7465" s="60" t="s">
        <v>22213</v>
      </c>
    </row>
    <row r="7466" spans="2:4" x14ac:dyDescent="0.35">
      <c r="B7466" s="60" t="s">
        <v>22214</v>
      </c>
      <c r="C7466" s="60" t="s">
        <v>22215</v>
      </c>
      <c r="D7466" s="60" t="s">
        <v>22216</v>
      </c>
    </row>
    <row r="7467" spans="2:4" x14ac:dyDescent="0.35">
      <c r="B7467" s="60" t="s">
        <v>22217</v>
      </c>
      <c r="C7467" s="60" t="s">
        <v>22218</v>
      </c>
      <c r="D7467" s="60" t="s">
        <v>22219</v>
      </c>
    </row>
    <row r="7468" spans="2:4" x14ac:dyDescent="0.35">
      <c r="B7468" s="60" t="s">
        <v>22220</v>
      </c>
      <c r="C7468" s="60" t="s">
        <v>22221</v>
      </c>
      <c r="D7468" s="60" t="s">
        <v>22222</v>
      </c>
    </row>
    <row r="7469" spans="2:4" x14ac:dyDescent="0.35">
      <c r="B7469" s="60" t="s">
        <v>22223</v>
      </c>
      <c r="C7469" s="60" t="s">
        <v>22224</v>
      </c>
      <c r="D7469" s="60" t="s">
        <v>22225</v>
      </c>
    </row>
    <row r="7470" spans="2:4" x14ac:dyDescent="0.35">
      <c r="B7470" s="60" t="s">
        <v>22226</v>
      </c>
      <c r="C7470" s="60" t="s">
        <v>22227</v>
      </c>
      <c r="D7470" s="60" t="s">
        <v>22228</v>
      </c>
    </row>
    <row r="7471" spans="2:4" x14ac:dyDescent="0.35">
      <c r="B7471" s="60" t="s">
        <v>22229</v>
      </c>
      <c r="C7471" s="60" t="s">
        <v>22230</v>
      </c>
      <c r="D7471" s="60" t="s">
        <v>22231</v>
      </c>
    </row>
    <row r="7472" spans="2:4" x14ac:dyDescent="0.35">
      <c r="B7472" s="60" t="s">
        <v>22232</v>
      </c>
      <c r="C7472" s="60" t="s">
        <v>22233</v>
      </c>
      <c r="D7472" s="60" t="s">
        <v>22234</v>
      </c>
    </row>
    <row r="7473" spans="2:4" x14ac:dyDescent="0.35">
      <c r="B7473" s="60" t="s">
        <v>22235</v>
      </c>
      <c r="C7473" s="60" t="s">
        <v>22236</v>
      </c>
      <c r="D7473" s="60" t="s">
        <v>22237</v>
      </c>
    </row>
    <row r="7474" spans="2:4" x14ac:dyDescent="0.35">
      <c r="B7474" s="60" t="s">
        <v>22238</v>
      </c>
      <c r="C7474" s="60" t="s">
        <v>22239</v>
      </c>
      <c r="D7474" s="60" t="s">
        <v>22240</v>
      </c>
    </row>
    <row r="7475" spans="2:4" x14ac:dyDescent="0.35">
      <c r="B7475" s="60" t="s">
        <v>22241</v>
      </c>
      <c r="C7475" s="60" t="s">
        <v>22242</v>
      </c>
      <c r="D7475" s="60" t="s">
        <v>22243</v>
      </c>
    </row>
    <row r="7476" spans="2:4" x14ac:dyDescent="0.35">
      <c r="B7476" s="60" t="s">
        <v>22244</v>
      </c>
      <c r="C7476" s="60" t="s">
        <v>22245</v>
      </c>
      <c r="D7476" s="60" t="s">
        <v>22246</v>
      </c>
    </row>
    <row r="7477" spans="2:4" x14ac:dyDescent="0.35">
      <c r="B7477" s="60" t="s">
        <v>22247</v>
      </c>
      <c r="C7477" s="60" t="s">
        <v>22248</v>
      </c>
      <c r="D7477" s="60" t="s">
        <v>22249</v>
      </c>
    </row>
    <row r="7478" spans="2:4" x14ac:dyDescent="0.35">
      <c r="B7478" s="60" t="s">
        <v>22250</v>
      </c>
      <c r="C7478" s="60" t="s">
        <v>22251</v>
      </c>
      <c r="D7478" s="60" t="s">
        <v>22252</v>
      </c>
    </row>
    <row r="7479" spans="2:4" x14ac:dyDescent="0.35">
      <c r="B7479" s="60" t="s">
        <v>22253</v>
      </c>
      <c r="C7479" s="60" t="s">
        <v>22254</v>
      </c>
      <c r="D7479" s="60" t="s">
        <v>22255</v>
      </c>
    </row>
    <row r="7480" spans="2:4" x14ac:dyDescent="0.35">
      <c r="B7480" s="60" t="s">
        <v>22256</v>
      </c>
      <c r="C7480" s="60" t="s">
        <v>22257</v>
      </c>
      <c r="D7480" s="60" t="s">
        <v>22258</v>
      </c>
    </row>
    <row r="7481" spans="2:4" x14ac:dyDescent="0.35">
      <c r="B7481" s="60" t="s">
        <v>22259</v>
      </c>
      <c r="C7481" s="60" t="s">
        <v>22260</v>
      </c>
      <c r="D7481" s="60" t="s">
        <v>22261</v>
      </c>
    </row>
    <row r="7482" spans="2:4" x14ac:dyDescent="0.35">
      <c r="B7482" s="60" t="s">
        <v>22262</v>
      </c>
      <c r="C7482" s="60" t="s">
        <v>22263</v>
      </c>
      <c r="D7482" s="60" t="s">
        <v>22264</v>
      </c>
    </row>
    <row r="7483" spans="2:4" x14ac:dyDescent="0.35">
      <c r="B7483" s="60" t="s">
        <v>22265</v>
      </c>
      <c r="C7483" s="60" t="s">
        <v>22266</v>
      </c>
      <c r="D7483" s="60" t="s">
        <v>22267</v>
      </c>
    </row>
    <row r="7484" spans="2:4" x14ac:dyDescent="0.35">
      <c r="B7484" s="60" t="s">
        <v>22268</v>
      </c>
      <c r="C7484" s="60" t="s">
        <v>22269</v>
      </c>
      <c r="D7484" s="60" t="s">
        <v>22270</v>
      </c>
    </row>
    <row r="7485" spans="2:4" x14ac:dyDescent="0.35">
      <c r="B7485" s="60" t="s">
        <v>22271</v>
      </c>
      <c r="C7485" s="60" t="s">
        <v>22272</v>
      </c>
      <c r="D7485" s="60" t="s">
        <v>22273</v>
      </c>
    </row>
    <row r="7486" spans="2:4" x14ac:dyDescent="0.35">
      <c r="B7486" s="60" t="s">
        <v>22274</v>
      </c>
      <c r="C7486" s="60" t="s">
        <v>22275</v>
      </c>
      <c r="D7486" s="60" t="s">
        <v>22276</v>
      </c>
    </row>
    <row r="7487" spans="2:4" x14ac:dyDescent="0.35">
      <c r="B7487" s="60" t="s">
        <v>22277</v>
      </c>
      <c r="C7487" s="60" t="s">
        <v>22278</v>
      </c>
      <c r="D7487" s="60" t="s">
        <v>22279</v>
      </c>
    </row>
    <row r="7488" spans="2:4" x14ac:dyDescent="0.35">
      <c r="B7488" s="60" t="s">
        <v>22280</v>
      </c>
      <c r="C7488" s="60" t="s">
        <v>22281</v>
      </c>
      <c r="D7488" s="60" t="s">
        <v>22282</v>
      </c>
    </row>
    <row r="7489" spans="2:4" x14ac:dyDescent="0.35">
      <c r="B7489" s="60" t="s">
        <v>22283</v>
      </c>
      <c r="C7489" s="60" t="s">
        <v>22284</v>
      </c>
      <c r="D7489" s="60" t="s">
        <v>22285</v>
      </c>
    </row>
    <row r="7490" spans="2:4" x14ac:dyDescent="0.35">
      <c r="B7490" s="60" t="s">
        <v>22286</v>
      </c>
      <c r="C7490" s="60" t="s">
        <v>22287</v>
      </c>
      <c r="D7490" s="60" t="s">
        <v>22288</v>
      </c>
    </row>
    <row r="7491" spans="2:4" x14ac:dyDescent="0.35">
      <c r="B7491" s="60" t="s">
        <v>22289</v>
      </c>
      <c r="C7491" s="60" t="s">
        <v>22290</v>
      </c>
      <c r="D7491" s="60" t="s">
        <v>22291</v>
      </c>
    </row>
    <row r="7492" spans="2:4" x14ac:dyDescent="0.35">
      <c r="B7492" s="60" t="s">
        <v>22292</v>
      </c>
      <c r="C7492" s="60" t="s">
        <v>22293</v>
      </c>
      <c r="D7492" s="60" t="s">
        <v>22294</v>
      </c>
    </row>
    <row r="7493" spans="2:4" x14ac:dyDescent="0.35">
      <c r="B7493" s="60" t="s">
        <v>22295</v>
      </c>
      <c r="C7493" s="60" t="s">
        <v>22296</v>
      </c>
      <c r="D7493" s="60" t="s">
        <v>22297</v>
      </c>
    </row>
    <row r="7494" spans="2:4" x14ac:dyDescent="0.35">
      <c r="B7494" s="60" t="s">
        <v>22298</v>
      </c>
      <c r="C7494" s="60" t="s">
        <v>22299</v>
      </c>
      <c r="D7494" s="60" t="s">
        <v>22300</v>
      </c>
    </row>
    <row r="7495" spans="2:4" x14ac:dyDescent="0.35">
      <c r="B7495" s="60" t="s">
        <v>22301</v>
      </c>
      <c r="C7495" s="60" t="s">
        <v>22302</v>
      </c>
      <c r="D7495" s="60" t="s">
        <v>22303</v>
      </c>
    </row>
    <row r="7496" spans="2:4" x14ac:dyDescent="0.35">
      <c r="B7496" s="60" t="s">
        <v>22304</v>
      </c>
      <c r="C7496" s="60" t="s">
        <v>22305</v>
      </c>
      <c r="D7496" s="60" t="s">
        <v>22306</v>
      </c>
    </row>
    <row r="7497" spans="2:4" x14ac:dyDescent="0.35">
      <c r="B7497" s="60" t="s">
        <v>22307</v>
      </c>
      <c r="C7497" s="60" t="s">
        <v>22308</v>
      </c>
      <c r="D7497" s="60" t="s">
        <v>22309</v>
      </c>
    </row>
    <row r="7498" spans="2:4" x14ac:dyDescent="0.35">
      <c r="B7498" s="60" t="s">
        <v>22310</v>
      </c>
      <c r="C7498" s="60" t="s">
        <v>22311</v>
      </c>
      <c r="D7498" s="60" t="s">
        <v>22312</v>
      </c>
    </row>
    <row r="7499" spans="2:4" x14ac:dyDescent="0.35">
      <c r="B7499" s="60" t="s">
        <v>22313</v>
      </c>
      <c r="C7499" s="60" t="s">
        <v>22314</v>
      </c>
      <c r="D7499" s="60" t="s">
        <v>22315</v>
      </c>
    </row>
    <row r="7500" spans="2:4" x14ac:dyDescent="0.35">
      <c r="B7500" s="60" t="s">
        <v>22316</v>
      </c>
      <c r="C7500" s="60" t="s">
        <v>22317</v>
      </c>
      <c r="D7500" s="60" t="s">
        <v>22318</v>
      </c>
    </row>
    <row r="7501" spans="2:4" x14ac:dyDescent="0.35">
      <c r="B7501" s="60" t="s">
        <v>22319</v>
      </c>
      <c r="C7501" s="60" t="s">
        <v>22320</v>
      </c>
      <c r="D7501" s="60" t="s">
        <v>22321</v>
      </c>
    </row>
    <row r="7502" spans="2:4" x14ac:dyDescent="0.35">
      <c r="B7502" s="60" t="s">
        <v>22322</v>
      </c>
      <c r="C7502" s="60" t="s">
        <v>22323</v>
      </c>
      <c r="D7502" s="60" t="s">
        <v>22324</v>
      </c>
    </row>
    <row r="7503" spans="2:4" x14ac:dyDescent="0.35">
      <c r="B7503" s="60" t="s">
        <v>22325</v>
      </c>
      <c r="C7503" s="60" t="s">
        <v>22326</v>
      </c>
      <c r="D7503" s="60" t="s">
        <v>22327</v>
      </c>
    </row>
    <row r="7504" spans="2:4" x14ac:dyDescent="0.35">
      <c r="B7504" s="60" t="s">
        <v>22328</v>
      </c>
      <c r="C7504" s="60" t="s">
        <v>22329</v>
      </c>
      <c r="D7504" s="60" t="s">
        <v>22330</v>
      </c>
    </row>
    <row r="7505" spans="2:4" x14ac:dyDescent="0.35">
      <c r="B7505" s="60" t="s">
        <v>22331</v>
      </c>
      <c r="C7505" s="60" t="s">
        <v>22332</v>
      </c>
      <c r="D7505" s="60" t="s">
        <v>22333</v>
      </c>
    </row>
    <row r="7506" spans="2:4" x14ac:dyDescent="0.35">
      <c r="B7506" s="60" t="s">
        <v>22334</v>
      </c>
      <c r="C7506" s="60" t="s">
        <v>22335</v>
      </c>
      <c r="D7506" s="60" t="s">
        <v>22336</v>
      </c>
    </row>
    <row r="7507" spans="2:4" x14ac:dyDescent="0.35">
      <c r="B7507" s="60" t="s">
        <v>22337</v>
      </c>
      <c r="C7507" s="60" t="s">
        <v>22338</v>
      </c>
      <c r="D7507" s="60" t="s">
        <v>22339</v>
      </c>
    </row>
    <row r="7508" spans="2:4" x14ac:dyDescent="0.35">
      <c r="B7508" s="60" t="s">
        <v>22340</v>
      </c>
      <c r="C7508" s="60" t="s">
        <v>22341</v>
      </c>
      <c r="D7508" s="60" t="s">
        <v>22342</v>
      </c>
    </row>
    <row r="7509" spans="2:4" x14ac:dyDescent="0.35">
      <c r="B7509" s="60" t="s">
        <v>22343</v>
      </c>
      <c r="C7509" s="60" t="s">
        <v>22344</v>
      </c>
      <c r="D7509" s="60" t="s">
        <v>22345</v>
      </c>
    </row>
    <row r="7510" spans="2:4" x14ac:dyDescent="0.35">
      <c r="B7510" s="60" t="s">
        <v>22346</v>
      </c>
      <c r="C7510" s="60" t="s">
        <v>22347</v>
      </c>
      <c r="D7510" s="60" t="s">
        <v>22348</v>
      </c>
    </row>
    <row r="7511" spans="2:4" x14ac:dyDescent="0.35">
      <c r="B7511" s="60" t="s">
        <v>22349</v>
      </c>
      <c r="C7511" s="60" t="s">
        <v>22350</v>
      </c>
      <c r="D7511" s="60" t="s">
        <v>22351</v>
      </c>
    </row>
    <row r="7512" spans="2:4" x14ac:dyDescent="0.35">
      <c r="B7512" s="60" t="s">
        <v>22352</v>
      </c>
      <c r="C7512" s="60" t="s">
        <v>22353</v>
      </c>
      <c r="D7512" s="60" t="s">
        <v>22354</v>
      </c>
    </row>
    <row r="7513" spans="2:4" x14ac:dyDescent="0.35">
      <c r="B7513" s="60" t="s">
        <v>22355</v>
      </c>
      <c r="C7513" s="60" t="s">
        <v>22356</v>
      </c>
      <c r="D7513" s="60" t="s">
        <v>22357</v>
      </c>
    </row>
    <row r="7514" spans="2:4" x14ac:dyDescent="0.35">
      <c r="B7514" s="60" t="s">
        <v>22358</v>
      </c>
      <c r="C7514" s="60" t="s">
        <v>22359</v>
      </c>
      <c r="D7514" s="60" t="s">
        <v>22360</v>
      </c>
    </row>
    <row r="7515" spans="2:4" x14ac:dyDescent="0.35">
      <c r="B7515" s="60" t="s">
        <v>22361</v>
      </c>
      <c r="C7515" s="60" t="s">
        <v>22362</v>
      </c>
      <c r="D7515" s="60" t="s">
        <v>22363</v>
      </c>
    </row>
    <row r="7516" spans="2:4" x14ac:dyDescent="0.35">
      <c r="B7516" s="60" t="s">
        <v>22364</v>
      </c>
      <c r="C7516" s="60" t="s">
        <v>22365</v>
      </c>
      <c r="D7516" s="60" t="s">
        <v>22366</v>
      </c>
    </row>
    <row r="7517" spans="2:4" x14ac:dyDescent="0.35">
      <c r="B7517" s="60" t="s">
        <v>22367</v>
      </c>
      <c r="C7517" s="60" t="s">
        <v>22368</v>
      </c>
      <c r="D7517" s="60" t="s">
        <v>22369</v>
      </c>
    </row>
    <row r="7518" spans="2:4" x14ac:dyDescent="0.35">
      <c r="B7518" s="60" t="s">
        <v>22370</v>
      </c>
      <c r="C7518" s="60" t="s">
        <v>22371</v>
      </c>
      <c r="D7518" s="60" t="s">
        <v>22372</v>
      </c>
    </row>
    <row r="7519" spans="2:4" x14ac:dyDescent="0.35">
      <c r="B7519" s="60" t="s">
        <v>22373</v>
      </c>
      <c r="C7519" s="60" t="s">
        <v>22374</v>
      </c>
      <c r="D7519" s="60" t="s">
        <v>22375</v>
      </c>
    </row>
    <row r="7520" spans="2:4" x14ac:dyDescent="0.35">
      <c r="B7520" s="60" t="s">
        <v>22376</v>
      </c>
      <c r="C7520" s="60" t="s">
        <v>22377</v>
      </c>
      <c r="D7520" s="60" t="s">
        <v>22378</v>
      </c>
    </row>
    <row r="7521" spans="2:4" x14ac:dyDescent="0.35">
      <c r="B7521" s="60" t="s">
        <v>22379</v>
      </c>
      <c r="C7521" s="60" t="s">
        <v>22380</v>
      </c>
      <c r="D7521" s="60" t="s">
        <v>22381</v>
      </c>
    </row>
    <row r="7522" spans="2:4" x14ac:dyDescent="0.35">
      <c r="B7522" s="60" t="s">
        <v>22382</v>
      </c>
      <c r="C7522" s="60" t="s">
        <v>22383</v>
      </c>
      <c r="D7522" s="60" t="s">
        <v>22384</v>
      </c>
    </row>
    <row r="7523" spans="2:4" x14ac:dyDescent="0.35">
      <c r="B7523" s="60" t="s">
        <v>22385</v>
      </c>
      <c r="C7523" s="60" t="s">
        <v>22386</v>
      </c>
      <c r="D7523" s="60" t="s">
        <v>22387</v>
      </c>
    </row>
    <row r="7524" spans="2:4" x14ac:dyDescent="0.35">
      <c r="B7524" s="60" t="s">
        <v>22388</v>
      </c>
      <c r="C7524" s="60" t="s">
        <v>22389</v>
      </c>
      <c r="D7524" s="60" t="s">
        <v>22390</v>
      </c>
    </row>
    <row r="7525" spans="2:4" x14ac:dyDescent="0.35">
      <c r="B7525" s="60" t="s">
        <v>22391</v>
      </c>
      <c r="C7525" s="60" t="s">
        <v>22392</v>
      </c>
      <c r="D7525" s="60" t="s">
        <v>22393</v>
      </c>
    </row>
    <row r="7526" spans="2:4" x14ac:dyDescent="0.35">
      <c r="B7526" s="60" t="s">
        <v>22394</v>
      </c>
      <c r="C7526" s="60" t="s">
        <v>22395</v>
      </c>
      <c r="D7526" s="60" t="s">
        <v>22396</v>
      </c>
    </row>
    <row r="7527" spans="2:4" x14ac:dyDescent="0.35">
      <c r="B7527" s="60" t="s">
        <v>22397</v>
      </c>
      <c r="C7527" s="60" t="s">
        <v>22398</v>
      </c>
      <c r="D7527" s="60" t="s">
        <v>22399</v>
      </c>
    </row>
    <row r="7528" spans="2:4" x14ac:dyDescent="0.35">
      <c r="B7528" s="60" t="s">
        <v>22400</v>
      </c>
      <c r="C7528" s="60" t="s">
        <v>22401</v>
      </c>
      <c r="D7528" s="60" t="s">
        <v>22402</v>
      </c>
    </row>
    <row r="7529" spans="2:4" x14ac:dyDescent="0.35">
      <c r="B7529" s="60" t="s">
        <v>22403</v>
      </c>
      <c r="C7529" s="60" t="s">
        <v>22404</v>
      </c>
      <c r="D7529" s="60" t="s">
        <v>22405</v>
      </c>
    </row>
    <row r="7530" spans="2:4" x14ac:dyDescent="0.35">
      <c r="B7530" s="60" t="s">
        <v>22406</v>
      </c>
      <c r="C7530" s="60" t="s">
        <v>22407</v>
      </c>
      <c r="D7530" s="60" t="s">
        <v>22408</v>
      </c>
    </row>
    <row r="7531" spans="2:4" x14ac:dyDescent="0.35">
      <c r="B7531" s="60" t="s">
        <v>22409</v>
      </c>
      <c r="C7531" s="60" t="s">
        <v>22410</v>
      </c>
      <c r="D7531" s="60" t="s">
        <v>22411</v>
      </c>
    </row>
    <row r="7532" spans="2:4" x14ac:dyDescent="0.35">
      <c r="B7532" s="60" t="s">
        <v>22412</v>
      </c>
      <c r="C7532" s="60" t="s">
        <v>22413</v>
      </c>
      <c r="D7532" s="60" t="s">
        <v>22414</v>
      </c>
    </row>
    <row r="7533" spans="2:4" x14ac:dyDescent="0.35">
      <c r="B7533" s="60" t="s">
        <v>22415</v>
      </c>
      <c r="C7533" s="60" t="s">
        <v>22416</v>
      </c>
      <c r="D7533" s="60" t="s">
        <v>22417</v>
      </c>
    </row>
    <row r="7534" spans="2:4" x14ac:dyDescent="0.35">
      <c r="B7534" s="60" t="s">
        <v>22418</v>
      </c>
      <c r="C7534" s="60" t="s">
        <v>22419</v>
      </c>
      <c r="D7534" s="60" t="s">
        <v>22420</v>
      </c>
    </row>
    <row r="7535" spans="2:4" x14ac:dyDescent="0.35">
      <c r="B7535" s="60" t="s">
        <v>22421</v>
      </c>
      <c r="C7535" s="60" t="s">
        <v>22422</v>
      </c>
      <c r="D7535" s="60" t="s">
        <v>22423</v>
      </c>
    </row>
    <row r="7536" spans="2:4" x14ac:dyDescent="0.35">
      <c r="B7536" s="60" t="s">
        <v>22424</v>
      </c>
      <c r="C7536" s="60" t="s">
        <v>22425</v>
      </c>
      <c r="D7536" s="60" t="s">
        <v>22426</v>
      </c>
    </row>
    <row r="7537" spans="2:4" x14ac:dyDescent="0.35">
      <c r="B7537" s="60" t="s">
        <v>22427</v>
      </c>
      <c r="C7537" s="60" t="s">
        <v>22428</v>
      </c>
      <c r="D7537" s="60" t="s">
        <v>22429</v>
      </c>
    </row>
    <row r="7538" spans="2:4" x14ac:dyDescent="0.35">
      <c r="B7538" s="60" t="s">
        <v>22430</v>
      </c>
      <c r="C7538" s="60" t="s">
        <v>22431</v>
      </c>
      <c r="D7538" s="60" t="s">
        <v>22432</v>
      </c>
    </row>
    <row r="7539" spans="2:4" x14ac:dyDescent="0.35">
      <c r="B7539" s="60" t="s">
        <v>22433</v>
      </c>
      <c r="C7539" s="60" t="s">
        <v>22434</v>
      </c>
      <c r="D7539" s="60" t="s">
        <v>22435</v>
      </c>
    </row>
    <row r="7540" spans="2:4" x14ac:dyDescent="0.35">
      <c r="B7540" s="60" t="s">
        <v>22436</v>
      </c>
      <c r="C7540" s="60" t="s">
        <v>22437</v>
      </c>
      <c r="D7540" s="60" t="s">
        <v>22438</v>
      </c>
    </row>
    <row r="7541" spans="2:4" x14ac:dyDescent="0.35">
      <c r="B7541" s="60" t="s">
        <v>22439</v>
      </c>
      <c r="C7541" s="60" t="s">
        <v>22440</v>
      </c>
      <c r="D7541" s="60" t="s">
        <v>22441</v>
      </c>
    </row>
    <row r="7542" spans="2:4" x14ac:dyDescent="0.35">
      <c r="B7542" s="60" t="s">
        <v>22442</v>
      </c>
      <c r="C7542" s="60" t="s">
        <v>22443</v>
      </c>
      <c r="D7542" s="60" t="s">
        <v>22444</v>
      </c>
    </row>
    <row r="7543" spans="2:4" x14ac:dyDescent="0.35">
      <c r="B7543" s="60" t="s">
        <v>22445</v>
      </c>
      <c r="C7543" s="60" t="s">
        <v>22446</v>
      </c>
      <c r="D7543" s="60" t="s">
        <v>22447</v>
      </c>
    </row>
    <row r="7544" spans="2:4" x14ac:dyDescent="0.35">
      <c r="B7544" s="60" t="s">
        <v>22448</v>
      </c>
      <c r="C7544" s="60" t="s">
        <v>22449</v>
      </c>
      <c r="D7544" s="60" t="s">
        <v>22450</v>
      </c>
    </row>
    <row r="7545" spans="2:4" x14ac:dyDescent="0.35">
      <c r="B7545" s="60" t="s">
        <v>22451</v>
      </c>
      <c r="C7545" s="60" t="s">
        <v>22452</v>
      </c>
      <c r="D7545" s="60" t="s">
        <v>22453</v>
      </c>
    </row>
    <row r="7546" spans="2:4" x14ac:dyDescent="0.35">
      <c r="B7546" s="60" t="s">
        <v>22454</v>
      </c>
      <c r="C7546" s="60" t="s">
        <v>22455</v>
      </c>
      <c r="D7546" s="60" t="s">
        <v>22456</v>
      </c>
    </row>
    <row r="7547" spans="2:4" x14ac:dyDescent="0.35">
      <c r="B7547" s="60" t="s">
        <v>22457</v>
      </c>
      <c r="C7547" s="60" t="s">
        <v>22458</v>
      </c>
      <c r="D7547" s="60" t="s">
        <v>22459</v>
      </c>
    </row>
    <row r="7548" spans="2:4" x14ac:dyDescent="0.35">
      <c r="B7548" s="60" t="s">
        <v>22460</v>
      </c>
      <c r="C7548" s="60" t="s">
        <v>22461</v>
      </c>
      <c r="D7548" s="60" t="s">
        <v>22462</v>
      </c>
    </row>
    <row r="7549" spans="2:4" x14ac:dyDescent="0.35">
      <c r="B7549" s="60" t="s">
        <v>22463</v>
      </c>
      <c r="C7549" s="60" t="s">
        <v>22464</v>
      </c>
      <c r="D7549" s="60" t="s">
        <v>22465</v>
      </c>
    </row>
    <row r="7550" spans="2:4" x14ac:dyDescent="0.35">
      <c r="B7550" s="60" t="s">
        <v>22466</v>
      </c>
      <c r="C7550" s="60" t="s">
        <v>22467</v>
      </c>
      <c r="D7550" s="60" t="s">
        <v>22468</v>
      </c>
    </row>
    <row r="7551" spans="2:4" x14ac:dyDescent="0.35">
      <c r="B7551" s="60" t="s">
        <v>22469</v>
      </c>
      <c r="C7551" s="60" t="s">
        <v>22470</v>
      </c>
      <c r="D7551" s="60" t="s">
        <v>22471</v>
      </c>
    </row>
    <row r="7552" spans="2:4" x14ac:dyDescent="0.35">
      <c r="B7552" s="60" t="s">
        <v>22472</v>
      </c>
      <c r="C7552" s="60" t="s">
        <v>22473</v>
      </c>
      <c r="D7552" s="60" t="s">
        <v>22474</v>
      </c>
    </row>
    <row r="7553" spans="2:4" x14ac:dyDescent="0.35">
      <c r="B7553" s="60" t="s">
        <v>22475</v>
      </c>
      <c r="C7553" s="60" t="s">
        <v>22476</v>
      </c>
      <c r="D7553" s="60" t="s">
        <v>22477</v>
      </c>
    </row>
    <row r="7554" spans="2:4" x14ac:dyDescent="0.35">
      <c r="B7554" s="60" t="s">
        <v>22478</v>
      </c>
      <c r="C7554" s="60" t="s">
        <v>22479</v>
      </c>
      <c r="D7554" s="60" t="s">
        <v>22480</v>
      </c>
    </row>
    <row r="7555" spans="2:4" x14ac:dyDescent="0.35">
      <c r="B7555" s="60" t="s">
        <v>22481</v>
      </c>
      <c r="C7555" s="60" t="s">
        <v>22482</v>
      </c>
      <c r="D7555" s="60" t="s">
        <v>22483</v>
      </c>
    </row>
    <row r="7556" spans="2:4" x14ac:dyDescent="0.35">
      <c r="B7556" s="60" t="s">
        <v>22484</v>
      </c>
      <c r="C7556" s="60" t="s">
        <v>22485</v>
      </c>
      <c r="D7556" s="60" t="s">
        <v>22486</v>
      </c>
    </row>
    <row r="7557" spans="2:4" x14ac:dyDescent="0.35">
      <c r="B7557" s="60" t="s">
        <v>22487</v>
      </c>
      <c r="C7557" s="60" t="s">
        <v>22488</v>
      </c>
      <c r="D7557" s="60" t="s">
        <v>22489</v>
      </c>
    </row>
    <row r="7558" spans="2:4" x14ac:dyDescent="0.35">
      <c r="B7558" s="60" t="s">
        <v>22490</v>
      </c>
      <c r="C7558" s="60" t="s">
        <v>22491</v>
      </c>
      <c r="D7558" s="60" t="s">
        <v>22492</v>
      </c>
    </row>
    <row r="7559" spans="2:4" x14ac:dyDescent="0.35">
      <c r="B7559" s="60" t="s">
        <v>22493</v>
      </c>
      <c r="C7559" s="60" t="s">
        <v>22494</v>
      </c>
      <c r="D7559" s="60" t="s">
        <v>22495</v>
      </c>
    </row>
    <row r="7560" spans="2:4" x14ac:dyDescent="0.35">
      <c r="B7560" s="60" t="s">
        <v>22496</v>
      </c>
      <c r="C7560" s="60" t="s">
        <v>22497</v>
      </c>
      <c r="D7560" s="60" t="s">
        <v>22498</v>
      </c>
    </row>
    <row r="7561" spans="2:4" x14ac:dyDescent="0.35">
      <c r="B7561" s="60" t="s">
        <v>22499</v>
      </c>
      <c r="C7561" s="60" t="s">
        <v>22500</v>
      </c>
      <c r="D7561" s="60" t="s">
        <v>22501</v>
      </c>
    </row>
    <row r="7562" spans="2:4" x14ac:dyDescent="0.35">
      <c r="B7562" s="60" t="s">
        <v>22502</v>
      </c>
      <c r="C7562" s="60" t="s">
        <v>22503</v>
      </c>
      <c r="D7562" s="60" t="s">
        <v>22504</v>
      </c>
    </row>
    <row r="7563" spans="2:4" x14ac:dyDescent="0.35">
      <c r="B7563" s="60" t="s">
        <v>22505</v>
      </c>
      <c r="C7563" s="60" t="s">
        <v>22506</v>
      </c>
      <c r="D7563" s="60" t="s">
        <v>22507</v>
      </c>
    </row>
    <row r="7564" spans="2:4" x14ac:dyDescent="0.35">
      <c r="B7564" s="60" t="s">
        <v>22508</v>
      </c>
      <c r="C7564" s="60" t="s">
        <v>22509</v>
      </c>
      <c r="D7564" s="60" t="s">
        <v>22510</v>
      </c>
    </row>
    <row r="7565" spans="2:4" x14ac:dyDescent="0.35">
      <c r="B7565" s="60" t="s">
        <v>22511</v>
      </c>
      <c r="C7565" s="60" t="s">
        <v>22512</v>
      </c>
      <c r="D7565" s="60" t="s">
        <v>22513</v>
      </c>
    </row>
    <row r="7566" spans="2:4" x14ac:dyDescent="0.35">
      <c r="B7566" s="60" t="s">
        <v>22514</v>
      </c>
      <c r="C7566" s="60" t="s">
        <v>22515</v>
      </c>
      <c r="D7566" s="60" t="s">
        <v>22516</v>
      </c>
    </row>
    <row r="7567" spans="2:4" x14ac:dyDescent="0.35">
      <c r="B7567" s="60" t="s">
        <v>22517</v>
      </c>
      <c r="C7567" s="60" t="s">
        <v>22518</v>
      </c>
      <c r="D7567" s="60" t="s">
        <v>22519</v>
      </c>
    </row>
    <row r="7568" spans="2:4" x14ac:dyDescent="0.35">
      <c r="B7568" s="60" t="s">
        <v>22520</v>
      </c>
      <c r="C7568" s="60" t="s">
        <v>22521</v>
      </c>
      <c r="D7568" s="60" t="s">
        <v>22522</v>
      </c>
    </row>
    <row r="7569" spans="2:4" x14ac:dyDescent="0.35">
      <c r="B7569" s="60" t="s">
        <v>22523</v>
      </c>
      <c r="C7569" s="60" t="s">
        <v>22524</v>
      </c>
      <c r="D7569" s="60" t="s">
        <v>22525</v>
      </c>
    </row>
    <row r="7570" spans="2:4" x14ac:dyDescent="0.35">
      <c r="B7570" s="60" t="s">
        <v>22526</v>
      </c>
      <c r="C7570" s="60" t="s">
        <v>22527</v>
      </c>
      <c r="D7570" s="60" t="s">
        <v>22528</v>
      </c>
    </row>
    <row r="7571" spans="2:4" x14ac:dyDescent="0.35">
      <c r="B7571" s="60" t="s">
        <v>22529</v>
      </c>
      <c r="C7571" s="60" t="s">
        <v>22530</v>
      </c>
      <c r="D7571" s="60" t="s">
        <v>22531</v>
      </c>
    </row>
    <row r="7572" spans="2:4" x14ac:dyDescent="0.35">
      <c r="B7572" s="60" t="s">
        <v>22532</v>
      </c>
      <c r="C7572" s="60" t="s">
        <v>22533</v>
      </c>
      <c r="D7572" s="60" t="s">
        <v>22534</v>
      </c>
    </row>
    <row r="7573" spans="2:4" x14ac:dyDescent="0.35">
      <c r="B7573" s="60" t="s">
        <v>22535</v>
      </c>
      <c r="C7573" s="60" t="s">
        <v>22536</v>
      </c>
      <c r="D7573" s="60" t="s">
        <v>22537</v>
      </c>
    </row>
    <row r="7574" spans="2:4" x14ac:dyDescent="0.35">
      <c r="B7574" s="60" t="s">
        <v>22538</v>
      </c>
      <c r="C7574" s="60" t="s">
        <v>22539</v>
      </c>
      <c r="D7574" s="60" t="s">
        <v>22540</v>
      </c>
    </row>
    <row r="7575" spans="2:4" x14ac:dyDescent="0.35">
      <c r="B7575" s="60" t="s">
        <v>22541</v>
      </c>
      <c r="C7575" s="60" t="s">
        <v>22542</v>
      </c>
      <c r="D7575" s="60" t="s">
        <v>22543</v>
      </c>
    </row>
    <row r="7576" spans="2:4" x14ac:dyDescent="0.35">
      <c r="B7576" s="60" t="s">
        <v>22544</v>
      </c>
      <c r="C7576" s="60" t="s">
        <v>22545</v>
      </c>
      <c r="D7576" s="60" t="s">
        <v>22546</v>
      </c>
    </row>
    <row r="7577" spans="2:4" x14ac:dyDescent="0.35">
      <c r="B7577" s="60" t="s">
        <v>22547</v>
      </c>
      <c r="C7577" s="60" t="s">
        <v>22548</v>
      </c>
      <c r="D7577" s="60" t="s">
        <v>22549</v>
      </c>
    </row>
    <row r="7578" spans="2:4" x14ac:dyDescent="0.35">
      <c r="B7578" s="60" t="s">
        <v>22550</v>
      </c>
      <c r="C7578" s="60" t="s">
        <v>22551</v>
      </c>
      <c r="D7578" s="60" t="s">
        <v>22552</v>
      </c>
    </row>
    <row r="7579" spans="2:4" x14ac:dyDescent="0.35">
      <c r="B7579" s="60" t="s">
        <v>22553</v>
      </c>
      <c r="C7579" s="60" t="s">
        <v>22554</v>
      </c>
      <c r="D7579" s="60" t="s">
        <v>22555</v>
      </c>
    </row>
    <row r="7580" spans="2:4" x14ac:dyDescent="0.35">
      <c r="B7580" s="60" t="s">
        <v>22556</v>
      </c>
      <c r="C7580" s="60" t="s">
        <v>22557</v>
      </c>
      <c r="D7580" s="60" t="s">
        <v>22558</v>
      </c>
    </row>
    <row r="7581" spans="2:4" x14ac:dyDescent="0.35">
      <c r="B7581" s="60" t="s">
        <v>22559</v>
      </c>
      <c r="C7581" s="60" t="s">
        <v>22560</v>
      </c>
      <c r="D7581" s="60" t="s">
        <v>22561</v>
      </c>
    </row>
    <row r="7582" spans="2:4" x14ac:dyDescent="0.35">
      <c r="B7582" s="60" t="s">
        <v>22562</v>
      </c>
      <c r="C7582" s="60" t="s">
        <v>22563</v>
      </c>
      <c r="D7582" s="60" t="s">
        <v>22564</v>
      </c>
    </row>
    <row r="7583" spans="2:4" x14ac:dyDescent="0.35">
      <c r="B7583" s="60" t="s">
        <v>22565</v>
      </c>
      <c r="C7583" s="60" t="s">
        <v>22566</v>
      </c>
      <c r="D7583" s="60" t="s">
        <v>22567</v>
      </c>
    </row>
    <row r="7584" spans="2:4" x14ac:dyDescent="0.35">
      <c r="B7584" s="60" t="s">
        <v>22568</v>
      </c>
      <c r="C7584" s="60" t="s">
        <v>22569</v>
      </c>
      <c r="D7584" s="60" t="s">
        <v>22570</v>
      </c>
    </row>
    <row r="7585" spans="2:4" x14ac:dyDescent="0.35">
      <c r="B7585" s="60" t="s">
        <v>22571</v>
      </c>
      <c r="C7585" s="60" t="s">
        <v>22572</v>
      </c>
      <c r="D7585" s="60" t="s">
        <v>22573</v>
      </c>
    </row>
    <row r="7586" spans="2:4" x14ac:dyDescent="0.35">
      <c r="B7586" s="60" t="s">
        <v>22574</v>
      </c>
      <c r="C7586" s="60" t="s">
        <v>22575</v>
      </c>
      <c r="D7586" s="60" t="s">
        <v>22576</v>
      </c>
    </row>
    <row r="7587" spans="2:4" x14ac:dyDescent="0.35">
      <c r="B7587" s="60" t="s">
        <v>22577</v>
      </c>
      <c r="C7587" s="60" t="s">
        <v>22578</v>
      </c>
      <c r="D7587" s="60" t="s">
        <v>22579</v>
      </c>
    </row>
    <row r="7588" spans="2:4" x14ac:dyDescent="0.35">
      <c r="B7588" s="60" t="s">
        <v>22580</v>
      </c>
      <c r="C7588" s="60" t="s">
        <v>22581</v>
      </c>
      <c r="D7588" s="60" t="s">
        <v>22582</v>
      </c>
    </row>
    <row r="7589" spans="2:4" x14ac:dyDescent="0.35">
      <c r="B7589" s="60" t="s">
        <v>22583</v>
      </c>
      <c r="C7589" s="60" t="s">
        <v>22584</v>
      </c>
      <c r="D7589" s="60" t="s">
        <v>22585</v>
      </c>
    </row>
    <row r="7590" spans="2:4" x14ac:dyDescent="0.35">
      <c r="B7590" s="60" t="s">
        <v>22586</v>
      </c>
      <c r="C7590" s="60" t="s">
        <v>22587</v>
      </c>
      <c r="D7590" s="60" t="s">
        <v>22588</v>
      </c>
    </row>
    <row r="7591" spans="2:4" x14ac:dyDescent="0.35">
      <c r="B7591" s="60" t="s">
        <v>22589</v>
      </c>
      <c r="C7591" s="60" t="s">
        <v>22590</v>
      </c>
      <c r="D7591" s="60" t="s">
        <v>22591</v>
      </c>
    </row>
    <row r="7592" spans="2:4" x14ac:dyDescent="0.35">
      <c r="B7592" s="60" t="s">
        <v>22592</v>
      </c>
      <c r="C7592" s="60" t="s">
        <v>22593</v>
      </c>
      <c r="D7592" s="60" t="s">
        <v>22594</v>
      </c>
    </row>
    <row r="7593" spans="2:4" x14ac:dyDescent="0.35">
      <c r="B7593" s="60" t="s">
        <v>22595</v>
      </c>
      <c r="C7593" s="60" t="s">
        <v>22596</v>
      </c>
      <c r="D7593" s="60" t="s">
        <v>22597</v>
      </c>
    </row>
    <row r="7594" spans="2:4" x14ac:dyDescent="0.35">
      <c r="B7594" s="60" t="s">
        <v>22598</v>
      </c>
      <c r="C7594" s="60" t="s">
        <v>22599</v>
      </c>
      <c r="D7594" s="60" t="s">
        <v>22600</v>
      </c>
    </row>
    <row r="7595" spans="2:4" x14ac:dyDescent="0.35">
      <c r="B7595" s="60" t="s">
        <v>22601</v>
      </c>
      <c r="C7595" s="60" t="s">
        <v>22602</v>
      </c>
      <c r="D7595" s="60" t="s">
        <v>22603</v>
      </c>
    </row>
    <row r="7596" spans="2:4" x14ac:dyDescent="0.35">
      <c r="B7596" s="60" t="s">
        <v>22604</v>
      </c>
      <c r="C7596" s="60" t="s">
        <v>22605</v>
      </c>
      <c r="D7596" s="60" t="s">
        <v>22606</v>
      </c>
    </row>
    <row r="7597" spans="2:4" x14ac:dyDescent="0.35">
      <c r="B7597" s="60" t="s">
        <v>22607</v>
      </c>
      <c r="C7597" s="60" t="s">
        <v>22608</v>
      </c>
      <c r="D7597" s="60" t="s">
        <v>22609</v>
      </c>
    </row>
    <row r="7598" spans="2:4" x14ac:dyDescent="0.35">
      <c r="B7598" s="60" t="s">
        <v>22610</v>
      </c>
      <c r="C7598" s="60" t="s">
        <v>22611</v>
      </c>
      <c r="D7598" s="60" t="s">
        <v>22612</v>
      </c>
    </row>
    <row r="7599" spans="2:4" x14ac:dyDescent="0.35">
      <c r="B7599" s="60" t="s">
        <v>22613</v>
      </c>
      <c r="C7599" s="60" t="s">
        <v>22614</v>
      </c>
      <c r="D7599" s="60" t="s">
        <v>22615</v>
      </c>
    </row>
    <row r="7600" spans="2:4" x14ac:dyDescent="0.35">
      <c r="B7600" s="60" t="s">
        <v>22616</v>
      </c>
      <c r="C7600" s="60" t="s">
        <v>22617</v>
      </c>
      <c r="D7600" s="60" t="s">
        <v>22618</v>
      </c>
    </row>
    <row r="7601" spans="2:4" x14ac:dyDescent="0.35">
      <c r="B7601" s="60" t="s">
        <v>22619</v>
      </c>
      <c r="C7601" s="60" t="s">
        <v>22620</v>
      </c>
      <c r="D7601" s="60" t="s">
        <v>22621</v>
      </c>
    </row>
    <row r="7602" spans="2:4" x14ac:dyDescent="0.35">
      <c r="B7602" s="60" t="s">
        <v>22622</v>
      </c>
      <c r="C7602" s="60" t="s">
        <v>22623</v>
      </c>
      <c r="D7602" s="60" t="s">
        <v>22624</v>
      </c>
    </row>
    <row r="7603" spans="2:4" x14ac:dyDescent="0.35">
      <c r="B7603" s="60" t="s">
        <v>22625</v>
      </c>
      <c r="C7603" s="60" t="s">
        <v>22626</v>
      </c>
      <c r="D7603" s="60" t="s">
        <v>22627</v>
      </c>
    </row>
    <row r="7604" spans="2:4" x14ac:dyDescent="0.35">
      <c r="B7604" s="60" t="s">
        <v>22628</v>
      </c>
      <c r="C7604" s="60" t="s">
        <v>22629</v>
      </c>
      <c r="D7604" s="60" t="s">
        <v>22630</v>
      </c>
    </row>
    <row r="7605" spans="2:4" x14ac:dyDescent="0.35">
      <c r="B7605" s="60" t="s">
        <v>22631</v>
      </c>
      <c r="C7605" s="60" t="s">
        <v>22632</v>
      </c>
      <c r="D7605" s="60" t="s">
        <v>22633</v>
      </c>
    </row>
    <row r="7606" spans="2:4" x14ac:dyDescent="0.35">
      <c r="B7606" s="60" t="s">
        <v>22634</v>
      </c>
      <c r="C7606" s="60" t="s">
        <v>22635</v>
      </c>
      <c r="D7606" s="60" t="s">
        <v>22636</v>
      </c>
    </row>
    <row r="7607" spans="2:4" x14ac:dyDescent="0.35">
      <c r="B7607" s="60" t="s">
        <v>22637</v>
      </c>
      <c r="C7607" s="60" t="s">
        <v>22638</v>
      </c>
      <c r="D7607" s="60" t="s">
        <v>22639</v>
      </c>
    </row>
    <row r="7608" spans="2:4" x14ac:dyDescent="0.35">
      <c r="B7608" s="60" t="s">
        <v>22640</v>
      </c>
      <c r="C7608" s="60" t="s">
        <v>22641</v>
      </c>
      <c r="D7608" s="60" t="s">
        <v>22642</v>
      </c>
    </row>
    <row r="7609" spans="2:4" x14ac:dyDescent="0.35">
      <c r="B7609" s="60" t="s">
        <v>22643</v>
      </c>
      <c r="C7609" s="60" t="s">
        <v>22644</v>
      </c>
      <c r="D7609" s="60" t="s">
        <v>22645</v>
      </c>
    </row>
    <row r="7610" spans="2:4" x14ac:dyDescent="0.35">
      <c r="B7610" s="60" t="s">
        <v>22646</v>
      </c>
      <c r="C7610" s="60" t="s">
        <v>22647</v>
      </c>
      <c r="D7610" s="60" t="s">
        <v>22648</v>
      </c>
    </row>
    <row r="7611" spans="2:4" x14ac:dyDescent="0.35">
      <c r="B7611" s="60" t="s">
        <v>22649</v>
      </c>
      <c r="C7611" s="60" t="s">
        <v>22650</v>
      </c>
      <c r="D7611" s="60" t="s">
        <v>22651</v>
      </c>
    </row>
    <row r="7612" spans="2:4" x14ac:dyDescent="0.35">
      <c r="B7612" s="60" t="s">
        <v>22652</v>
      </c>
      <c r="C7612" s="60" t="s">
        <v>22653</v>
      </c>
      <c r="D7612" s="60" t="s">
        <v>22654</v>
      </c>
    </row>
    <row r="7613" spans="2:4" x14ac:dyDescent="0.35">
      <c r="B7613" s="60" t="s">
        <v>22655</v>
      </c>
      <c r="C7613" s="60" t="s">
        <v>22656</v>
      </c>
      <c r="D7613" s="60" t="s">
        <v>22657</v>
      </c>
    </row>
    <row r="7614" spans="2:4" x14ac:dyDescent="0.35">
      <c r="B7614" s="60" t="s">
        <v>22658</v>
      </c>
      <c r="C7614" s="60" t="s">
        <v>22659</v>
      </c>
      <c r="D7614" s="60" t="s">
        <v>22660</v>
      </c>
    </row>
    <row r="7615" spans="2:4" x14ac:dyDescent="0.35">
      <c r="B7615" s="60" t="s">
        <v>22661</v>
      </c>
      <c r="C7615" s="60" t="s">
        <v>22662</v>
      </c>
      <c r="D7615" s="60" t="s">
        <v>22663</v>
      </c>
    </row>
    <row r="7616" spans="2:4" x14ac:dyDescent="0.35">
      <c r="B7616" s="60" t="s">
        <v>22664</v>
      </c>
      <c r="C7616" s="60" t="s">
        <v>22665</v>
      </c>
      <c r="D7616" s="60" t="s">
        <v>22666</v>
      </c>
    </row>
    <row r="7617" spans="2:4" x14ac:dyDescent="0.35">
      <c r="B7617" s="60" t="s">
        <v>22667</v>
      </c>
      <c r="C7617" s="60" t="s">
        <v>22668</v>
      </c>
      <c r="D7617" s="60" t="s">
        <v>22669</v>
      </c>
    </row>
    <row r="7618" spans="2:4" x14ac:dyDescent="0.35">
      <c r="B7618" s="60" t="s">
        <v>22667</v>
      </c>
      <c r="C7618" s="60" t="s">
        <v>22670</v>
      </c>
      <c r="D7618" s="60" t="s">
        <v>22671</v>
      </c>
    </row>
    <row r="7619" spans="2:4" x14ac:dyDescent="0.35">
      <c r="B7619" s="60" t="s">
        <v>22672</v>
      </c>
      <c r="C7619" s="60" t="s">
        <v>22673</v>
      </c>
      <c r="D7619" s="60" t="s">
        <v>22674</v>
      </c>
    </row>
    <row r="7620" spans="2:4" x14ac:dyDescent="0.35">
      <c r="B7620" s="60" t="s">
        <v>22675</v>
      </c>
      <c r="C7620" s="60" t="s">
        <v>22676</v>
      </c>
      <c r="D7620" s="60" t="s">
        <v>22677</v>
      </c>
    </row>
    <row r="7621" spans="2:4" x14ac:dyDescent="0.35">
      <c r="B7621" s="60" t="s">
        <v>22678</v>
      </c>
      <c r="C7621" s="60" t="s">
        <v>22679</v>
      </c>
      <c r="D7621" s="60" t="s">
        <v>22680</v>
      </c>
    </row>
    <row r="7622" spans="2:4" x14ac:dyDescent="0.35">
      <c r="B7622" s="60" t="s">
        <v>22681</v>
      </c>
      <c r="C7622" s="60" t="s">
        <v>22682</v>
      </c>
      <c r="D7622" s="60" t="s">
        <v>22683</v>
      </c>
    </row>
    <row r="7623" spans="2:4" x14ac:dyDescent="0.35">
      <c r="B7623" s="60" t="s">
        <v>22684</v>
      </c>
      <c r="C7623" s="60" t="s">
        <v>22685</v>
      </c>
      <c r="D7623" s="60" t="s">
        <v>22686</v>
      </c>
    </row>
    <row r="7624" spans="2:4" x14ac:dyDescent="0.35">
      <c r="B7624" s="60" t="s">
        <v>22687</v>
      </c>
      <c r="C7624" s="60" t="s">
        <v>22688</v>
      </c>
      <c r="D7624" s="60" t="s">
        <v>22689</v>
      </c>
    </row>
    <row r="7625" spans="2:4" x14ac:dyDescent="0.35">
      <c r="B7625" s="60" t="s">
        <v>22690</v>
      </c>
      <c r="C7625" s="60" t="s">
        <v>22691</v>
      </c>
      <c r="D7625" s="60" t="s">
        <v>22692</v>
      </c>
    </row>
    <row r="7626" spans="2:4" x14ac:dyDescent="0.35">
      <c r="B7626" s="60" t="s">
        <v>22693</v>
      </c>
      <c r="C7626" s="60" t="s">
        <v>22694</v>
      </c>
      <c r="D7626" s="60" t="s">
        <v>22695</v>
      </c>
    </row>
    <row r="7627" spans="2:4" x14ac:dyDescent="0.35">
      <c r="B7627" s="60" t="s">
        <v>22696</v>
      </c>
      <c r="C7627" s="60" t="s">
        <v>22697</v>
      </c>
      <c r="D7627" s="60" t="s">
        <v>22698</v>
      </c>
    </row>
    <row r="7628" spans="2:4" x14ac:dyDescent="0.35">
      <c r="B7628" s="60" t="s">
        <v>22699</v>
      </c>
      <c r="C7628" s="60" t="s">
        <v>22700</v>
      </c>
      <c r="D7628" s="60" t="s">
        <v>22701</v>
      </c>
    </row>
    <row r="7629" spans="2:4" x14ac:dyDescent="0.35">
      <c r="B7629" s="60" t="s">
        <v>22702</v>
      </c>
      <c r="C7629" s="60" t="s">
        <v>22703</v>
      </c>
      <c r="D7629" s="60" t="s">
        <v>22704</v>
      </c>
    </row>
    <row r="7630" spans="2:4" x14ac:dyDescent="0.35">
      <c r="B7630" s="60" t="s">
        <v>22705</v>
      </c>
      <c r="C7630" s="60" t="s">
        <v>22706</v>
      </c>
      <c r="D7630" s="60" t="s">
        <v>22707</v>
      </c>
    </row>
    <row r="7631" spans="2:4" x14ac:dyDescent="0.35">
      <c r="B7631" s="60" t="s">
        <v>22708</v>
      </c>
      <c r="C7631" s="60" t="s">
        <v>22709</v>
      </c>
      <c r="D7631" s="60" t="s">
        <v>22710</v>
      </c>
    </row>
    <row r="7632" spans="2:4" x14ac:dyDescent="0.35">
      <c r="B7632" s="60" t="s">
        <v>22711</v>
      </c>
      <c r="C7632" s="60" t="s">
        <v>22712</v>
      </c>
      <c r="D7632" s="60" t="s">
        <v>22713</v>
      </c>
    </row>
    <row r="7633" spans="2:4" x14ac:dyDescent="0.35">
      <c r="B7633" s="60" t="s">
        <v>22714</v>
      </c>
      <c r="C7633" s="60" t="s">
        <v>22715</v>
      </c>
      <c r="D7633" s="60" t="s">
        <v>22716</v>
      </c>
    </row>
    <row r="7634" spans="2:4" x14ac:dyDescent="0.35">
      <c r="B7634" s="60" t="s">
        <v>22717</v>
      </c>
      <c r="C7634" s="60" t="s">
        <v>22718</v>
      </c>
      <c r="D7634" s="60" t="s">
        <v>22719</v>
      </c>
    </row>
    <row r="7635" spans="2:4" x14ac:dyDescent="0.35">
      <c r="B7635" s="60" t="s">
        <v>22720</v>
      </c>
      <c r="C7635" s="60" t="s">
        <v>22721</v>
      </c>
      <c r="D7635" s="60" t="s">
        <v>22722</v>
      </c>
    </row>
    <row r="7636" spans="2:4" x14ac:dyDescent="0.35">
      <c r="B7636" s="60" t="s">
        <v>22723</v>
      </c>
      <c r="C7636" s="60" t="s">
        <v>22724</v>
      </c>
      <c r="D7636" s="60" t="s">
        <v>21987</v>
      </c>
    </row>
    <row r="7637" spans="2:4" x14ac:dyDescent="0.35">
      <c r="B7637" s="60" t="s">
        <v>22725</v>
      </c>
      <c r="C7637" s="60" t="s">
        <v>22726</v>
      </c>
      <c r="D7637" s="60" t="s">
        <v>22727</v>
      </c>
    </row>
    <row r="7638" spans="2:4" x14ac:dyDescent="0.35">
      <c r="B7638" s="60" t="s">
        <v>22728</v>
      </c>
      <c r="C7638" s="60" t="s">
        <v>22729</v>
      </c>
      <c r="D7638" s="60" t="s">
        <v>22730</v>
      </c>
    </row>
    <row r="7639" spans="2:4" x14ac:dyDescent="0.35">
      <c r="B7639" s="60" t="s">
        <v>22731</v>
      </c>
      <c r="C7639" s="60" t="s">
        <v>22732</v>
      </c>
      <c r="D7639" s="60" t="s">
        <v>22733</v>
      </c>
    </row>
    <row r="7640" spans="2:4" x14ac:dyDescent="0.35">
      <c r="B7640" s="60" t="s">
        <v>22734</v>
      </c>
      <c r="C7640" s="60" t="s">
        <v>22735</v>
      </c>
      <c r="D7640" s="60" t="s">
        <v>22736</v>
      </c>
    </row>
    <row r="7641" spans="2:4" x14ac:dyDescent="0.35">
      <c r="B7641" s="60" t="s">
        <v>22737</v>
      </c>
      <c r="C7641" s="60" t="s">
        <v>22738</v>
      </c>
      <c r="D7641" s="60" t="s">
        <v>22739</v>
      </c>
    </row>
    <row r="7642" spans="2:4" x14ac:dyDescent="0.35">
      <c r="B7642" s="60" t="s">
        <v>22740</v>
      </c>
      <c r="C7642" s="60" t="s">
        <v>22741</v>
      </c>
      <c r="D7642" s="60" t="s">
        <v>22742</v>
      </c>
    </row>
    <row r="7643" spans="2:4" x14ac:dyDescent="0.35">
      <c r="B7643" s="60" t="s">
        <v>22743</v>
      </c>
      <c r="C7643" s="60" t="s">
        <v>22744</v>
      </c>
      <c r="D7643" s="60" t="s">
        <v>22745</v>
      </c>
    </row>
    <row r="7644" spans="2:4" x14ac:dyDescent="0.35">
      <c r="B7644" s="60" t="s">
        <v>22746</v>
      </c>
      <c r="C7644" s="60" t="s">
        <v>22747</v>
      </c>
      <c r="D7644" s="60" t="s">
        <v>22748</v>
      </c>
    </row>
    <row r="7645" spans="2:4" x14ac:dyDescent="0.35">
      <c r="B7645" s="60" t="s">
        <v>22749</v>
      </c>
      <c r="C7645" s="60" t="s">
        <v>22750</v>
      </c>
      <c r="D7645" s="60" t="s">
        <v>660</v>
      </c>
    </row>
    <row r="7646" spans="2:4" x14ac:dyDescent="0.35">
      <c r="B7646" s="60" t="s">
        <v>22751</v>
      </c>
      <c r="C7646" s="60" t="s">
        <v>22752</v>
      </c>
      <c r="D7646" s="60" t="s">
        <v>22753</v>
      </c>
    </row>
    <row r="7647" spans="2:4" x14ac:dyDescent="0.35">
      <c r="B7647" s="60" t="s">
        <v>22754</v>
      </c>
      <c r="C7647" s="60" t="s">
        <v>22755</v>
      </c>
      <c r="D7647" s="60" t="s">
        <v>22756</v>
      </c>
    </row>
    <row r="7648" spans="2:4" x14ac:dyDescent="0.35">
      <c r="B7648" s="60" t="s">
        <v>22757</v>
      </c>
      <c r="C7648" s="60" t="s">
        <v>22758</v>
      </c>
      <c r="D7648" s="60" t="s">
        <v>22759</v>
      </c>
    </row>
    <row r="7649" spans="2:4" x14ac:dyDescent="0.35">
      <c r="B7649" s="60" t="s">
        <v>22760</v>
      </c>
      <c r="C7649" s="60" t="s">
        <v>22761</v>
      </c>
      <c r="D7649" s="60" t="s">
        <v>22762</v>
      </c>
    </row>
    <row r="7650" spans="2:4" x14ac:dyDescent="0.35">
      <c r="B7650" s="60" t="s">
        <v>22763</v>
      </c>
      <c r="C7650" s="60" t="s">
        <v>22764</v>
      </c>
      <c r="D7650" s="60" t="s">
        <v>22765</v>
      </c>
    </row>
    <row r="7651" spans="2:4" x14ac:dyDescent="0.35">
      <c r="B7651" s="60" t="s">
        <v>22766</v>
      </c>
      <c r="C7651" s="60" t="s">
        <v>22767</v>
      </c>
      <c r="D7651" s="60" t="s">
        <v>22768</v>
      </c>
    </row>
    <row r="7652" spans="2:4" x14ac:dyDescent="0.35">
      <c r="B7652" s="60" t="s">
        <v>22769</v>
      </c>
      <c r="C7652" s="60" t="s">
        <v>22770</v>
      </c>
      <c r="D7652" s="60" t="s">
        <v>22771</v>
      </c>
    </row>
    <row r="7653" spans="2:4" x14ac:dyDescent="0.35">
      <c r="B7653" s="60" t="s">
        <v>22772</v>
      </c>
      <c r="C7653" s="60" t="s">
        <v>22773</v>
      </c>
      <c r="D7653" s="60" t="s">
        <v>22774</v>
      </c>
    </row>
    <row r="7654" spans="2:4" x14ac:dyDescent="0.35">
      <c r="B7654" s="60" t="s">
        <v>22775</v>
      </c>
      <c r="C7654" s="60" t="s">
        <v>22776</v>
      </c>
      <c r="D7654" s="60" t="s">
        <v>22777</v>
      </c>
    </row>
    <row r="7655" spans="2:4" x14ac:dyDescent="0.35">
      <c r="B7655" s="60" t="s">
        <v>22778</v>
      </c>
      <c r="C7655" s="60" t="s">
        <v>22779</v>
      </c>
      <c r="D7655" s="60" t="s">
        <v>22780</v>
      </c>
    </row>
    <row r="7656" spans="2:4" x14ac:dyDescent="0.35">
      <c r="B7656" s="60" t="s">
        <v>22781</v>
      </c>
      <c r="C7656" s="60" t="s">
        <v>22782</v>
      </c>
      <c r="D7656" s="60" t="s">
        <v>22783</v>
      </c>
    </row>
    <row r="7657" spans="2:4" x14ac:dyDescent="0.35">
      <c r="B7657" s="60" t="s">
        <v>22784</v>
      </c>
      <c r="C7657" s="60" t="s">
        <v>22785</v>
      </c>
      <c r="D7657" s="60" t="s">
        <v>22786</v>
      </c>
    </row>
    <row r="7658" spans="2:4" x14ac:dyDescent="0.35">
      <c r="B7658" s="60" t="s">
        <v>22787</v>
      </c>
      <c r="C7658" s="60" t="s">
        <v>22788</v>
      </c>
      <c r="D7658" s="60" t="s">
        <v>22789</v>
      </c>
    </row>
    <row r="7659" spans="2:4" x14ac:dyDescent="0.35">
      <c r="B7659" s="60" t="s">
        <v>22790</v>
      </c>
      <c r="C7659" s="60" t="s">
        <v>22791</v>
      </c>
      <c r="D7659" s="60" t="s">
        <v>22792</v>
      </c>
    </row>
    <row r="7660" spans="2:4" x14ac:dyDescent="0.35">
      <c r="B7660" s="60" t="s">
        <v>22793</v>
      </c>
      <c r="C7660" s="60" t="s">
        <v>22794</v>
      </c>
      <c r="D7660" s="60" t="s">
        <v>22795</v>
      </c>
    </row>
    <row r="7661" spans="2:4" x14ac:dyDescent="0.35">
      <c r="B7661" s="60" t="s">
        <v>22796</v>
      </c>
      <c r="C7661" s="60" t="s">
        <v>22797</v>
      </c>
      <c r="D7661" s="60" t="s">
        <v>22798</v>
      </c>
    </row>
    <row r="7662" spans="2:4" x14ac:dyDescent="0.35">
      <c r="B7662" s="60" t="s">
        <v>22799</v>
      </c>
      <c r="C7662" s="60" t="s">
        <v>22800</v>
      </c>
      <c r="D7662" s="60" t="s">
        <v>22801</v>
      </c>
    </row>
    <row r="7663" spans="2:4" x14ac:dyDescent="0.35">
      <c r="B7663" s="60" t="s">
        <v>22802</v>
      </c>
      <c r="C7663" s="60" t="s">
        <v>22803</v>
      </c>
      <c r="D7663" s="60" t="s">
        <v>22804</v>
      </c>
    </row>
    <row r="7664" spans="2:4" x14ac:dyDescent="0.35">
      <c r="B7664" s="60" t="s">
        <v>22805</v>
      </c>
      <c r="C7664" s="60" t="s">
        <v>22806</v>
      </c>
      <c r="D7664" s="60" t="s">
        <v>22807</v>
      </c>
    </row>
    <row r="7665" spans="2:4" x14ac:dyDescent="0.35">
      <c r="B7665" s="60" t="s">
        <v>22808</v>
      </c>
      <c r="C7665" s="60" t="s">
        <v>22809</v>
      </c>
      <c r="D7665" s="60" t="s">
        <v>22810</v>
      </c>
    </row>
    <row r="7666" spans="2:4" x14ac:dyDescent="0.35">
      <c r="B7666" s="60" t="s">
        <v>22811</v>
      </c>
      <c r="C7666" s="60" t="s">
        <v>22812</v>
      </c>
      <c r="D7666" s="60" t="s">
        <v>22813</v>
      </c>
    </row>
    <row r="7667" spans="2:4" x14ac:dyDescent="0.35">
      <c r="B7667" s="60" t="s">
        <v>22814</v>
      </c>
      <c r="C7667" s="60" t="s">
        <v>22815</v>
      </c>
      <c r="D7667" s="60" t="s">
        <v>22816</v>
      </c>
    </row>
    <row r="7668" spans="2:4" x14ac:dyDescent="0.35">
      <c r="B7668" s="60" t="s">
        <v>22817</v>
      </c>
      <c r="C7668" s="60" t="s">
        <v>22818</v>
      </c>
      <c r="D7668" s="60" t="s">
        <v>22819</v>
      </c>
    </row>
    <row r="7669" spans="2:4" x14ac:dyDescent="0.35">
      <c r="B7669" s="60" t="s">
        <v>22820</v>
      </c>
      <c r="C7669" s="60" t="s">
        <v>22821</v>
      </c>
      <c r="D7669" s="60" t="s">
        <v>22822</v>
      </c>
    </row>
    <row r="7670" spans="2:4" x14ac:dyDescent="0.35">
      <c r="B7670" s="60" t="s">
        <v>22823</v>
      </c>
      <c r="C7670" s="60" t="s">
        <v>22824</v>
      </c>
      <c r="D7670" s="60" t="s">
        <v>22825</v>
      </c>
    </row>
    <row r="7671" spans="2:4" x14ac:dyDescent="0.35">
      <c r="B7671" s="60" t="s">
        <v>22826</v>
      </c>
      <c r="C7671" s="60" t="s">
        <v>22827</v>
      </c>
      <c r="D7671" s="60" t="s">
        <v>22828</v>
      </c>
    </row>
    <row r="7672" spans="2:4" x14ac:dyDescent="0.35">
      <c r="B7672" s="60" t="s">
        <v>22829</v>
      </c>
      <c r="C7672" s="60" t="s">
        <v>22830</v>
      </c>
      <c r="D7672" s="60" t="s">
        <v>22831</v>
      </c>
    </row>
    <row r="7673" spans="2:4" x14ac:dyDescent="0.35">
      <c r="B7673" s="60" t="s">
        <v>22832</v>
      </c>
      <c r="C7673" s="60" t="s">
        <v>22833</v>
      </c>
      <c r="D7673" s="60" t="s">
        <v>22834</v>
      </c>
    </row>
    <row r="7674" spans="2:4" x14ac:dyDescent="0.35">
      <c r="B7674" s="60" t="s">
        <v>22835</v>
      </c>
      <c r="C7674" s="60" t="s">
        <v>22836</v>
      </c>
      <c r="D7674" s="60" t="s">
        <v>22837</v>
      </c>
    </row>
    <row r="7675" spans="2:4" x14ac:dyDescent="0.35">
      <c r="B7675" s="60" t="s">
        <v>22838</v>
      </c>
      <c r="C7675" s="60" t="s">
        <v>22839</v>
      </c>
      <c r="D7675" s="60" t="s">
        <v>22840</v>
      </c>
    </row>
    <row r="7676" spans="2:4" x14ac:dyDescent="0.35">
      <c r="B7676" s="60" t="s">
        <v>22841</v>
      </c>
      <c r="C7676" s="60" t="s">
        <v>22842</v>
      </c>
      <c r="D7676" s="60" t="s">
        <v>22843</v>
      </c>
    </row>
    <row r="7677" spans="2:4" x14ac:dyDescent="0.35">
      <c r="B7677" s="60" t="s">
        <v>22844</v>
      </c>
      <c r="C7677" s="60" t="s">
        <v>22845</v>
      </c>
      <c r="D7677" s="60" t="s">
        <v>22846</v>
      </c>
    </row>
    <row r="7678" spans="2:4" x14ac:dyDescent="0.35">
      <c r="B7678" s="60" t="s">
        <v>22847</v>
      </c>
      <c r="C7678" s="60" t="s">
        <v>22848</v>
      </c>
      <c r="D7678" s="60" t="s">
        <v>22849</v>
      </c>
    </row>
    <row r="7679" spans="2:4" x14ac:dyDescent="0.35">
      <c r="B7679" s="60" t="s">
        <v>22850</v>
      </c>
      <c r="C7679" s="60" t="s">
        <v>22851</v>
      </c>
      <c r="D7679" s="60" t="s">
        <v>22852</v>
      </c>
    </row>
    <row r="7680" spans="2:4" x14ac:dyDescent="0.35">
      <c r="B7680" s="60" t="s">
        <v>22853</v>
      </c>
      <c r="C7680" s="60" t="s">
        <v>22854</v>
      </c>
      <c r="D7680" s="60" t="s">
        <v>22855</v>
      </c>
    </row>
    <row r="7681" spans="2:4" x14ac:dyDescent="0.35">
      <c r="B7681" s="60" t="s">
        <v>22856</v>
      </c>
      <c r="C7681" s="60" t="s">
        <v>22857</v>
      </c>
      <c r="D7681" s="60" t="s">
        <v>22858</v>
      </c>
    </row>
    <row r="7682" spans="2:4" x14ac:dyDescent="0.35">
      <c r="B7682" s="60" t="s">
        <v>22859</v>
      </c>
      <c r="C7682" s="60" t="s">
        <v>22860</v>
      </c>
      <c r="D7682" s="60" t="s">
        <v>22861</v>
      </c>
    </row>
    <row r="7683" spans="2:4" x14ac:dyDescent="0.35">
      <c r="B7683" s="60" t="s">
        <v>22862</v>
      </c>
      <c r="C7683" s="60" t="s">
        <v>22863</v>
      </c>
      <c r="D7683" s="60" t="s">
        <v>22864</v>
      </c>
    </row>
    <row r="7684" spans="2:4" x14ac:dyDescent="0.35">
      <c r="B7684" s="60" t="s">
        <v>22865</v>
      </c>
      <c r="C7684" s="60" t="s">
        <v>22866</v>
      </c>
      <c r="D7684" s="60" t="s">
        <v>22867</v>
      </c>
    </row>
    <row r="7685" spans="2:4" x14ac:dyDescent="0.35">
      <c r="B7685" s="60" t="s">
        <v>22868</v>
      </c>
      <c r="C7685" s="60" t="s">
        <v>22869</v>
      </c>
      <c r="D7685" s="60" t="s">
        <v>22870</v>
      </c>
    </row>
    <row r="7686" spans="2:4" x14ac:dyDescent="0.35">
      <c r="B7686" s="60" t="s">
        <v>22871</v>
      </c>
      <c r="C7686" s="60" t="s">
        <v>22872</v>
      </c>
      <c r="D7686" s="60" t="s">
        <v>22873</v>
      </c>
    </row>
    <row r="7687" spans="2:4" x14ac:dyDescent="0.35">
      <c r="B7687" s="60" t="s">
        <v>22874</v>
      </c>
      <c r="C7687" s="60" t="s">
        <v>22875</v>
      </c>
      <c r="D7687" s="60" t="s">
        <v>22876</v>
      </c>
    </row>
    <row r="7688" spans="2:4" x14ac:dyDescent="0.35">
      <c r="B7688" s="60" t="s">
        <v>22877</v>
      </c>
      <c r="C7688" s="60" t="s">
        <v>22878</v>
      </c>
      <c r="D7688" s="60" t="s">
        <v>22879</v>
      </c>
    </row>
    <row r="7689" spans="2:4" x14ac:dyDescent="0.35">
      <c r="B7689" s="60" t="s">
        <v>22880</v>
      </c>
      <c r="C7689" s="60" t="s">
        <v>22881</v>
      </c>
      <c r="D7689" s="60" t="s">
        <v>22882</v>
      </c>
    </row>
    <row r="7690" spans="2:4" x14ac:dyDescent="0.35">
      <c r="B7690" s="60" t="s">
        <v>22883</v>
      </c>
      <c r="C7690" s="60" t="s">
        <v>22884</v>
      </c>
      <c r="D7690" s="60" t="s">
        <v>22885</v>
      </c>
    </row>
    <row r="7691" spans="2:4" x14ac:dyDescent="0.35">
      <c r="B7691" s="60" t="s">
        <v>22886</v>
      </c>
      <c r="C7691" s="60" t="s">
        <v>22887</v>
      </c>
      <c r="D7691" s="60" t="s">
        <v>22888</v>
      </c>
    </row>
    <row r="7692" spans="2:4" x14ac:dyDescent="0.35">
      <c r="B7692" s="60" t="s">
        <v>22889</v>
      </c>
      <c r="C7692" s="60" t="s">
        <v>22890</v>
      </c>
      <c r="D7692" s="60" t="s">
        <v>22891</v>
      </c>
    </row>
    <row r="7693" spans="2:4" x14ac:dyDescent="0.35">
      <c r="B7693" s="60" t="s">
        <v>22892</v>
      </c>
      <c r="C7693" s="60" t="s">
        <v>22893</v>
      </c>
      <c r="D7693" s="60" t="s">
        <v>22894</v>
      </c>
    </row>
    <row r="7694" spans="2:4" x14ac:dyDescent="0.35">
      <c r="B7694" s="60" t="s">
        <v>22895</v>
      </c>
      <c r="C7694" s="60" t="s">
        <v>22896</v>
      </c>
      <c r="D7694" s="60" t="s">
        <v>22897</v>
      </c>
    </row>
    <row r="7695" spans="2:4" x14ac:dyDescent="0.35">
      <c r="B7695" s="60" t="s">
        <v>22898</v>
      </c>
      <c r="C7695" s="60" t="s">
        <v>22899</v>
      </c>
      <c r="D7695" s="60" t="s">
        <v>22900</v>
      </c>
    </row>
    <row r="7696" spans="2:4" x14ac:dyDescent="0.35">
      <c r="B7696" s="60" t="s">
        <v>22901</v>
      </c>
      <c r="C7696" s="60" t="s">
        <v>22902</v>
      </c>
      <c r="D7696" s="60" t="s">
        <v>22903</v>
      </c>
    </row>
    <row r="7697" spans="2:4" x14ac:dyDescent="0.35">
      <c r="B7697" s="60" t="s">
        <v>22904</v>
      </c>
      <c r="C7697" s="60" t="s">
        <v>22905</v>
      </c>
      <c r="D7697" s="60" t="s">
        <v>22906</v>
      </c>
    </row>
    <row r="7698" spans="2:4" x14ac:dyDescent="0.35">
      <c r="B7698" s="60" t="s">
        <v>22907</v>
      </c>
      <c r="C7698" s="60" t="s">
        <v>22908</v>
      </c>
      <c r="D7698" s="60" t="s">
        <v>22909</v>
      </c>
    </row>
    <row r="7699" spans="2:4" x14ac:dyDescent="0.35">
      <c r="B7699" s="60" t="s">
        <v>22910</v>
      </c>
      <c r="C7699" s="60" t="s">
        <v>22911</v>
      </c>
      <c r="D7699" s="60" t="s">
        <v>22912</v>
      </c>
    </row>
    <row r="7700" spans="2:4" x14ac:dyDescent="0.35">
      <c r="B7700" s="60" t="s">
        <v>22913</v>
      </c>
      <c r="C7700" s="60" t="s">
        <v>22914</v>
      </c>
      <c r="D7700" s="60" t="s">
        <v>22915</v>
      </c>
    </row>
    <row r="7701" spans="2:4" x14ac:dyDescent="0.35">
      <c r="B7701" s="60" t="s">
        <v>22916</v>
      </c>
      <c r="C7701" s="60" t="s">
        <v>22917</v>
      </c>
      <c r="D7701" s="60" t="s">
        <v>22918</v>
      </c>
    </row>
    <row r="7702" spans="2:4" x14ac:dyDescent="0.35">
      <c r="B7702" s="60" t="s">
        <v>22916</v>
      </c>
      <c r="C7702" s="60" t="s">
        <v>22919</v>
      </c>
      <c r="D7702" s="60" t="s">
        <v>22918</v>
      </c>
    </row>
    <row r="7703" spans="2:4" x14ac:dyDescent="0.35">
      <c r="B7703" s="60" t="s">
        <v>22920</v>
      </c>
      <c r="C7703" s="60" t="s">
        <v>22921</v>
      </c>
      <c r="D7703" s="60" t="s">
        <v>22922</v>
      </c>
    </row>
    <row r="7704" spans="2:4" x14ac:dyDescent="0.35">
      <c r="B7704" s="60" t="s">
        <v>22923</v>
      </c>
      <c r="C7704" s="60" t="s">
        <v>22924</v>
      </c>
      <c r="D7704" s="60" t="s">
        <v>22925</v>
      </c>
    </row>
    <row r="7705" spans="2:4" x14ac:dyDescent="0.35">
      <c r="B7705" s="60" t="s">
        <v>22926</v>
      </c>
      <c r="C7705" s="60" t="s">
        <v>22927</v>
      </c>
      <c r="D7705" s="60" t="s">
        <v>22928</v>
      </c>
    </row>
    <row r="7706" spans="2:4" x14ac:dyDescent="0.35">
      <c r="B7706" s="60" t="s">
        <v>22929</v>
      </c>
      <c r="C7706" s="60" t="s">
        <v>22930</v>
      </c>
      <c r="D7706" s="60" t="s">
        <v>22931</v>
      </c>
    </row>
    <row r="7707" spans="2:4" x14ac:dyDescent="0.35">
      <c r="B7707" s="60" t="s">
        <v>22932</v>
      </c>
      <c r="C7707" s="60" t="s">
        <v>22933</v>
      </c>
      <c r="D7707" s="60" t="s">
        <v>22934</v>
      </c>
    </row>
    <row r="7708" spans="2:4" x14ac:dyDescent="0.35">
      <c r="B7708" s="60" t="s">
        <v>22935</v>
      </c>
      <c r="C7708" s="60" t="s">
        <v>22009</v>
      </c>
      <c r="D7708" s="60" t="s">
        <v>22010</v>
      </c>
    </row>
    <row r="7709" spans="2:4" x14ac:dyDescent="0.35">
      <c r="B7709" s="60" t="s">
        <v>22935</v>
      </c>
      <c r="C7709" s="60" t="s">
        <v>22936</v>
      </c>
      <c r="D7709" s="60" t="s">
        <v>22937</v>
      </c>
    </row>
    <row r="7710" spans="2:4" x14ac:dyDescent="0.35">
      <c r="B7710" s="60" t="s">
        <v>22938</v>
      </c>
      <c r="C7710" s="60" t="s">
        <v>22939</v>
      </c>
      <c r="D7710" s="60" t="s">
        <v>22940</v>
      </c>
    </row>
    <row r="7711" spans="2:4" x14ac:dyDescent="0.35">
      <c r="B7711" s="60" t="s">
        <v>22941</v>
      </c>
      <c r="C7711" s="60" t="s">
        <v>22936</v>
      </c>
      <c r="D7711" s="60" t="s">
        <v>22937</v>
      </c>
    </row>
    <row r="7712" spans="2:4" x14ac:dyDescent="0.35">
      <c r="B7712" s="60" t="s">
        <v>22941</v>
      </c>
      <c r="C7712" s="60" t="s">
        <v>22942</v>
      </c>
      <c r="D7712" s="60" t="s">
        <v>1992</v>
      </c>
    </row>
    <row r="7713" spans="2:4" x14ac:dyDescent="0.35">
      <c r="B7713" s="60" t="s">
        <v>22943</v>
      </c>
      <c r="C7713" s="60" t="s">
        <v>22944</v>
      </c>
      <c r="D7713" s="60" t="s">
        <v>22945</v>
      </c>
    </row>
    <row r="7714" spans="2:4" x14ac:dyDescent="0.35">
      <c r="B7714" s="60" t="s">
        <v>22946</v>
      </c>
      <c r="C7714" s="60" t="s">
        <v>22947</v>
      </c>
      <c r="D7714" s="60" t="s">
        <v>22948</v>
      </c>
    </row>
    <row r="7715" spans="2:4" x14ac:dyDescent="0.35">
      <c r="B7715" s="60" t="s">
        <v>22949</v>
      </c>
      <c r="C7715" s="60" t="s">
        <v>22950</v>
      </c>
      <c r="D7715" s="60" t="s">
        <v>22951</v>
      </c>
    </row>
    <row r="7716" spans="2:4" x14ac:dyDescent="0.35">
      <c r="B7716" s="60" t="s">
        <v>22952</v>
      </c>
      <c r="C7716" s="60" t="s">
        <v>22953</v>
      </c>
      <c r="D7716" s="60" t="s">
        <v>22954</v>
      </c>
    </row>
    <row r="7717" spans="2:4" x14ac:dyDescent="0.35">
      <c r="B7717" s="60" t="s">
        <v>22955</v>
      </c>
      <c r="C7717" s="60" t="s">
        <v>22956</v>
      </c>
      <c r="D7717" s="60" t="s">
        <v>22957</v>
      </c>
    </row>
    <row r="7718" spans="2:4" x14ac:dyDescent="0.35">
      <c r="B7718" s="60" t="s">
        <v>22958</v>
      </c>
      <c r="C7718" s="60" t="s">
        <v>22959</v>
      </c>
      <c r="D7718" s="60" t="s">
        <v>22960</v>
      </c>
    </row>
    <row r="7719" spans="2:4" x14ac:dyDescent="0.35">
      <c r="B7719" s="60" t="s">
        <v>22961</v>
      </c>
      <c r="C7719" s="60" t="s">
        <v>22962</v>
      </c>
      <c r="D7719" s="60" t="s">
        <v>22963</v>
      </c>
    </row>
    <row r="7720" spans="2:4" x14ac:dyDescent="0.35">
      <c r="B7720" s="60" t="s">
        <v>22964</v>
      </c>
      <c r="C7720" s="60" t="s">
        <v>22965</v>
      </c>
      <c r="D7720" s="60" t="s">
        <v>22966</v>
      </c>
    </row>
    <row r="7721" spans="2:4" x14ac:dyDescent="0.35">
      <c r="B7721" s="60" t="s">
        <v>22967</v>
      </c>
      <c r="C7721" s="60" t="s">
        <v>22968</v>
      </c>
      <c r="D7721" s="60" t="s">
        <v>22969</v>
      </c>
    </row>
    <row r="7722" spans="2:4" x14ac:dyDescent="0.35">
      <c r="B7722" s="60" t="s">
        <v>22970</v>
      </c>
      <c r="C7722" s="60" t="s">
        <v>22971</v>
      </c>
      <c r="D7722" s="60" t="s">
        <v>22972</v>
      </c>
    </row>
    <row r="7723" spans="2:4" x14ac:dyDescent="0.35">
      <c r="B7723" s="60" t="s">
        <v>22973</v>
      </c>
      <c r="C7723" s="60" t="s">
        <v>22974</v>
      </c>
      <c r="D7723" s="60" t="s">
        <v>22975</v>
      </c>
    </row>
    <row r="7724" spans="2:4" x14ac:dyDescent="0.35">
      <c r="B7724" s="60" t="s">
        <v>22976</v>
      </c>
      <c r="C7724" s="60" t="s">
        <v>22977</v>
      </c>
      <c r="D7724" s="60" t="s">
        <v>22978</v>
      </c>
    </row>
    <row r="7725" spans="2:4" x14ac:dyDescent="0.35">
      <c r="B7725" s="60" t="s">
        <v>22979</v>
      </c>
      <c r="C7725" s="60" t="s">
        <v>22980</v>
      </c>
      <c r="D7725" s="60" t="s">
        <v>22981</v>
      </c>
    </row>
    <row r="7726" spans="2:4" x14ac:dyDescent="0.35">
      <c r="B7726" s="60" t="s">
        <v>22979</v>
      </c>
      <c r="C7726" s="60" t="s">
        <v>22982</v>
      </c>
      <c r="D7726" s="60" t="s">
        <v>22983</v>
      </c>
    </row>
    <row r="7727" spans="2:4" x14ac:dyDescent="0.35">
      <c r="B7727" s="60" t="s">
        <v>22984</v>
      </c>
      <c r="C7727" s="60" t="s">
        <v>22985</v>
      </c>
      <c r="D7727" s="60" t="s">
        <v>22986</v>
      </c>
    </row>
    <row r="7728" spans="2:4" x14ac:dyDescent="0.35">
      <c r="B7728" s="60" t="s">
        <v>22987</v>
      </c>
      <c r="C7728" s="60" t="s">
        <v>22988</v>
      </c>
      <c r="D7728" s="60" t="s">
        <v>22989</v>
      </c>
    </row>
    <row r="7729" spans="2:4" x14ac:dyDescent="0.35">
      <c r="B7729" s="60" t="s">
        <v>22990</v>
      </c>
      <c r="C7729" s="60" t="s">
        <v>21748</v>
      </c>
      <c r="D7729" s="60" t="s">
        <v>21749</v>
      </c>
    </row>
    <row r="7730" spans="2:4" x14ac:dyDescent="0.35">
      <c r="B7730" s="60" t="s">
        <v>22991</v>
      </c>
      <c r="C7730" s="60" t="s">
        <v>22992</v>
      </c>
      <c r="D7730" s="60" t="s">
        <v>22993</v>
      </c>
    </row>
    <row r="7731" spans="2:4" x14ac:dyDescent="0.35">
      <c r="B7731" s="60" t="s">
        <v>22994</v>
      </c>
      <c r="C7731" s="60" t="s">
        <v>22995</v>
      </c>
      <c r="D7731" s="60" t="s">
        <v>22996</v>
      </c>
    </row>
    <row r="7732" spans="2:4" x14ac:dyDescent="0.35">
      <c r="B7732" s="60" t="s">
        <v>22997</v>
      </c>
      <c r="C7732" s="60" t="s">
        <v>22998</v>
      </c>
      <c r="D7732" s="60" t="s">
        <v>22999</v>
      </c>
    </row>
    <row r="7733" spans="2:4" x14ac:dyDescent="0.35">
      <c r="B7733" s="60" t="s">
        <v>23000</v>
      </c>
      <c r="C7733" s="60" t="s">
        <v>23001</v>
      </c>
      <c r="D7733" s="60" t="s">
        <v>23002</v>
      </c>
    </row>
    <row r="7734" spans="2:4" x14ac:dyDescent="0.35">
      <c r="B7734" s="60" t="s">
        <v>23003</v>
      </c>
      <c r="C7734" s="60" t="s">
        <v>23004</v>
      </c>
      <c r="D7734" s="60" t="s">
        <v>23005</v>
      </c>
    </row>
    <row r="7735" spans="2:4" x14ac:dyDescent="0.35">
      <c r="B7735" s="60" t="s">
        <v>23006</v>
      </c>
      <c r="C7735" s="60" t="s">
        <v>23007</v>
      </c>
      <c r="D7735" s="60" t="s">
        <v>23008</v>
      </c>
    </row>
    <row r="7736" spans="2:4" x14ac:dyDescent="0.35">
      <c r="B7736" s="60" t="s">
        <v>23009</v>
      </c>
      <c r="C7736" s="60" t="s">
        <v>23010</v>
      </c>
      <c r="D7736" s="60" t="s">
        <v>23011</v>
      </c>
    </row>
    <row r="7737" spans="2:4" x14ac:dyDescent="0.35">
      <c r="B7737" s="60" t="s">
        <v>23012</v>
      </c>
      <c r="C7737" s="60" t="s">
        <v>23013</v>
      </c>
      <c r="D7737" s="60" t="s">
        <v>23014</v>
      </c>
    </row>
    <row r="7738" spans="2:4" x14ac:dyDescent="0.35">
      <c r="B7738" s="60" t="s">
        <v>23015</v>
      </c>
      <c r="C7738" s="60" t="s">
        <v>23016</v>
      </c>
      <c r="D7738" s="60" t="s">
        <v>23017</v>
      </c>
    </row>
    <row r="7739" spans="2:4" x14ac:dyDescent="0.35">
      <c r="B7739" s="60" t="s">
        <v>23018</v>
      </c>
      <c r="C7739" s="60" t="s">
        <v>23019</v>
      </c>
      <c r="D7739" s="60" t="s">
        <v>23020</v>
      </c>
    </row>
    <row r="7740" spans="2:4" x14ac:dyDescent="0.35">
      <c r="B7740" s="60" t="s">
        <v>23021</v>
      </c>
      <c r="C7740" s="60" t="s">
        <v>23022</v>
      </c>
      <c r="D7740" s="60" t="s">
        <v>23023</v>
      </c>
    </row>
    <row r="7741" spans="2:4" x14ac:dyDescent="0.35">
      <c r="B7741" s="60" t="s">
        <v>23024</v>
      </c>
      <c r="C7741" s="60" t="s">
        <v>23025</v>
      </c>
      <c r="D7741" s="60" t="s">
        <v>23026</v>
      </c>
    </row>
    <row r="7742" spans="2:4" x14ac:dyDescent="0.35">
      <c r="B7742" s="60" t="s">
        <v>23027</v>
      </c>
      <c r="C7742" s="60" t="s">
        <v>23028</v>
      </c>
      <c r="D7742" s="60" t="s">
        <v>23029</v>
      </c>
    </row>
    <row r="7743" spans="2:4" x14ac:dyDescent="0.35">
      <c r="B7743" s="60" t="s">
        <v>23030</v>
      </c>
      <c r="C7743" s="60" t="s">
        <v>23031</v>
      </c>
      <c r="D7743" s="60" t="s">
        <v>23032</v>
      </c>
    </row>
    <row r="7744" spans="2:4" x14ac:dyDescent="0.35">
      <c r="B7744" s="60" t="s">
        <v>23033</v>
      </c>
      <c r="C7744" s="60" t="s">
        <v>23034</v>
      </c>
      <c r="D7744" s="60" t="s">
        <v>23035</v>
      </c>
    </row>
    <row r="7745" spans="2:4" x14ac:dyDescent="0.35">
      <c r="B7745" s="60" t="s">
        <v>23036</v>
      </c>
      <c r="C7745" s="60" t="s">
        <v>23037</v>
      </c>
      <c r="D7745" s="60" t="s">
        <v>23038</v>
      </c>
    </row>
    <row r="7746" spans="2:4" x14ac:dyDescent="0.35">
      <c r="B7746" s="60" t="s">
        <v>23039</v>
      </c>
      <c r="C7746" s="60" t="s">
        <v>23040</v>
      </c>
      <c r="D7746" s="60" t="s">
        <v>23041</v>
      </c>
    </row>
    <row r="7747" spans="2:4" x14ac:dyDescent="0.35">
      <c r="B7747" s="60" t="s">
        <v>23042</v>
      </c>
      <c r="C7747" s="60" t="s">
        <v>23043</v>
      </c>
      <c r="D7747" s="60" t="s">
        <v>23044</v>
      </c>
    </row>
    <row r="7748" spans="2:4" x14ac:dyDescent="0.35">
      <c r="B7748" s="60" t="s">
        <v>23045</v>
      </c>
      <c r="C7748" s="60" t="s">
        <v>23046</v>
      </c>
      <c r="D7748" s="60" t="s">
        <v>23047</v>
      </c>
    </row>
    <row r="7749" spans="2:4" x14ac:dyDescent="0.35">
      <c r="B7749" s="60" t="s">
        <v>23048</v>
      </c>
      <c r="C7749" s="60" t="s">
        <v>23049</v>
      </c>
      <c r="D7749" s="60" t="s">
        <v>23050</v>
      </c>
    </row>
    <row r="7750" spans="2:4" x14ac:dyDescent="0.35">
      <c r="B7750" s="60" t="s">
        <v>23051</v>
      </c>
      <c r="C7750" s="60" t="s">
        <v>23052</v>
      </c>
      <c r="D7750" s="60" t="s">
        <v>23053</v>
      </c>
    </row>
    <row r="7751" spans="2:4" x14ac:dyDescent="0.35">
      <c r="B7751" s="60" t="s">
        <v>23054</v>
      </c>
      <c r="C7751" s="60" t="s">
        <v>23055</v>
      </c>
      <c r="D7751" s="60" t="s">
        <v>23056</v>
      </c>
    </row>
    <row r="7752" spans="2:4" x14ac:dyDescent="0.35">
      <c r="B7752" s="60" t="s">
        <v>23057</v>
      </c>
      <c r="C7752" s="60" t="s">
        <v>23058</v>
      </c>
      <c r="D7752" s="60" t="s">
        <v>23059</v>
      </c>
    </row>
    <row r="7753" spans="2:4" x14ac:dyDescent="0.35">
      <c r="B7753" s="60" t="s">
        <v>23060</v>
      </c>
      <c r="C7753" s="60" t="s">
        <v>23061</v>
      </c>
      <c r="D7753" s="60" t="s">
        <v>23062</v>
      </c>
    </row>
    <row r="7754" spans="2:4" x14ac:dyDescent="0.35">
      <c r="B7754" s="60" t="s">
        <v>23063</v>
      </c>
      <c r="C7754" s="60" t="s">
        <v>23064</v>
      </c>
      <c r="D7754" s="60" t="s">
        <v>23065</v>
      </c>
    </row>
    <row r="7755" spans="2:4" x14ac:dyDescent="0.35">
      <c r="B7755" s="60" t="s">
        <v>23066</v>
      </c>
      <c r="C7755" s="60" t="s">
        <v>23067</v>
      </c>
      <c r="D7755" s="60" t="s">
        <v>23068</v>
      </c>
    </row>
    <row r="7756" spans="2:4" x14ac:dyDescent="0.35">
      <c r="B7756" s="60" t="s">
        <v>23069</v>
      </c>
      <c r="C7756" s="60" t="s">
        <v>23070</v>
      </c>
      <c r="D7756" s="60" t="s">
        <v>23071</v>
      </c>
    </row>
    <row r="7757" spans="2:4" x14ac:dyDescent="0.35">
      <c r="B7757" s="60" t="s">
        <v>23072</v>
      </c>
      <c r="C7757" s="60" t="s">
        <v>23073</v>
      </c>
      <c r="D7757" s="60" t="s">
        <v>23074</v>
      </c>
    </row>
    <row r="7758" spans="2:4" x14ac:dyDescent="0.35">
      <c r="B7758" s="60" t="s">
        <v>23075</v>
      </c>
      <c r="C7758" s="60" t="s">
        <v>23076</v>
      </c>
      <c r="D7758" s="60" t="s">
        <v>23077</v>
      </c>
    </row>
    <row r="7759" spans="2:4" x14ac:dyDescent="0.35">
      <c r="B7759" s="60" t="s">
        <v>23078</v>
      </c>
      <c r="C7759" s="60" t="s">
        <v>23079</v>
      </c>
      <c r="D7759" s="60" t="s">
        <v>23080</v>
      </c>
    </row>
    <row r="7760" spans="2:4" x14ac:dyDescent="0.35">
      <c r="B7760" s="60" t="s">
        <v>23081</v>
      </c>
      <c r="C7760" s="60" t="s">
        <v>23082</v>
      </c>
      <c r="D7760" s="60" t="s">
        <v>23083</v>
      </c>
    </row>
    <row r="7761" spans="2:4" x14ac:dyDescent="0.35">
      <c r="B7761" s="60" t="s">
        <v>23084</v>
      </c>
      <c r="C7761" s="60" t="s">
        <v>23085</v>
      </c>
      <c r="D7761" s="60" t="s">
        <v>23086</v>
      </c>
    </row>
    <row r="7762" spans="2:4" x14ac:dyDescent="0.35">
      <c r="B7762" s="60" t="s">
        <v>23087</v>
      </c>
      <c r="C7762" s="60" t="s">
        <v>23088</v>
      </c>
      <c r="D7762" s="60" t="s">
        <v>23089</v>
      </c>
    </row>
    <row r="7763" spans="2:4" x14ac:dyDescent="0.35">
      <c r="B7763" s="60" t="s">
        <v>23090</v>
      </c>
      <c r="C7763" s="60" t="s">
        <v>23091</v>
      </c>
      <c r="D7763" s="60" t="s">
        <v>23092</v>
      </c>
    </row>
    <row r="7764" spans="2:4" x14ac:dyDescent="0.35">
      <c r="B7764" s="60" t="s">
        <v>23093</v>
      </c>
      <c r="C7764" s="60" t="s">
        <v>23094</v>
      </c>
      <c r="D7764" s="60" t="s">
        <v>23095</v>
      </c>
    </row>
    <row r="7765" spans="2:4" x14ac:dyDescent="0.35">
      <c r="B7765" s="60" t="s">
        <v>23096</v>
      </c>
      <c r="C7765" s="60" t="s">
        <v>23097</v>
      </c>
      <c r="D7765" s="60" t="s">
        <v>23098</v>
      </c>
    </row>
    <row r="7766" spans="2:4" x14ac:dyDescent="0.35">
      <c r="B7766" s="60" t="s">
        <v>23099</v>
      </c>
      <c r="C7766" s="60" t="s">
        <v>23100</v>
      </c>
      <c r="D7766" s="60" t="s">
        <v>23101</v>
      </c>
    </row>
    <row r="7767" spans="2:4" x14ac:dyDescent="0.35">
      <c r="B7767" s="60" t="s">
        <v>23102</v>
      </c>
      <c r="C7767" s="60" t="s">
        <v>23103</v>
      </c>
      <c r="D7767" s="60" t="s">
        <v>23104</v>
      </c>
    </row>
    <row r="7768" spans="2:4" x14ac:dyDescent="0.35">
      <c r="B7768" s="60" t="s">
        <v>23105</v>
      </c>
      <c r="C7768" s="60" t="s">
        <v>23106</v>
      </c>
      <c r="D7768" s="60" t="s">
        <v>23107</v>
      </c>
    </row>
    <row r="7769" spans="2:4" x14ac:dyDescent="0.35">
      <c r="B7769" s="60" t="s">
        <v>23108</v>
      </c>
      <c r="C7769" s="60" t="s">
        <v>23109</v>
      </c>
      <c r="D7769" s="60" t="s">
        <v>23110</v>
      </c>
    </row>
    <row r="7770" spans="2:4" x14ac:dyDescent="0.35">
      <c r="B7770" s="60" t="s">
        <v>23111</v>
      </c>
      <c r="C7770" s="60" t="s">
        <v>23112</v>
      </c>
      <c r="D7770" s="60" t="s">
        <v>23113</v>
      </c>
    </row>
    <row r="7771" spans="2:4" x14ac:dyDescent="0.35">
      <c r="B7771" s="60" t="s">
        <v>23114</v>
      </c>
      <c r="C7771" s="60" t="s">
        <v>23115</v>
      </c>
      <c r="D7771" s="60" t="s">
        <v>23116</v>
      </c>
    </row>
    <row r="7772" spans="2:4" x14ac:dyDescent="0.35">
      <c r="B7772" s="60" t="s">
        <v>23117</v>
      </c>
      <c r="C7772" s="60" t="s">
        <v>23118</v>
      </c>
      <c r="D7772" s="60" t="s">
        <v>23119</v>
      </c>
    </row>
    <row r="7773" spans="2:4" x14ac:dyDescent="0.35">
      <c r="B7773" s="60" t="s">
        <v>23120</v>
      </c>
      <c r="C7773" s="60" t="s">
        <v>23121</v>
      </c>
      <c r="D7773" s="60" t="s">
        <v>23122</v>
      </c>
    </row>
    <row r="7774" spans="2:4" x14ac:dyDescent="0.35">
      <c r="B7774" s="60" t="s">
        <v>23123</v>
      </c>
      <c r="C7774" s="60" t="s">
        <v>23124</v>
      </c>
      <c r="D7774" s="60" t="s">
        <v>20197</v>
      </c>
    </row>
    <row r="7775" spans="2:4" x14ac:dyDescent="0.35">
      <c r="B7775" s="60" t="s">
        <v>23125</v>
      </c>
      <c r="C7775" s="60" t="s">
        <v>23126</v>
      </c>
      <c r="D7775" s="60" t="s">
        <v>23127</v>
      </c>
    </row>
    <row r="7776" spans="2:4" x14ac:dyDescent="0.35">
      <c r="B7776" s="60" t="s">
        <v>23128</v>
      </c>
      <c r="C7776" s="60" t="s">
        <v>23129</v>
      </c>
      <c r="D7776" s="60" t="s">
        <v>23130</v>
      </c>
    </row>
    <row r="7777" spans="2:4" x14ac:dyDescent="0.35">
      <c r="B7777" s="60" t="s">
        <v>23131</v>
      </c>
      <c r="C7777" s="60" t="s">
        <v>23132</v>
      </c>
      <c r="D7777" s="60" t="s">
        <v>23133</v>
      </c>
    </row>
    <row r="7778" spans="2:4" x14ac:dyDescent="0.35">
      <c r="B7778" s="60" t="s">
        <v>23134</v>
      </c>
      <c r="C7778" s="60" t="s">
        <v>23135</v>
      </c>
      <c r="D7778" s="60" t="s">
        <v>23136</v>
      </c>
    </row>
    <row r="7779" spans="2:4" x14ac:dyDescent="0.35">
      <c r="B7779" s="60" t="s">
        <v>23137</v>
      </c>
      <c r="C7779" s="60" t="s">
        <v>23138</v>
      </c>
      <c r="D7779" s="60" t="s">
        <v>23139</v>
      </c>
    </row>
    <row r="7780" spans="2:4" x14ac:dyDescent="0.35">
      <c r="B7780" s="60" t="s">
        <v>23140</v>
      </c>
      <c r="C7780" s="60" t="s">
        <v>23141</v>
      </c>
      <c r="D7780" s="60" t="s">
        <v>23142</v>
      </c>
    </row>
    <row r="7781" spans="2:4" x14ac:dyDescent="0.35">
      <c r="B7781" s="60" t="s">
        <v>23143</v>
      </c>
      <c r="C7781" s="60" t="s">
        <v>23144</v>
      </c>
      <c r="D7781" s="60" t="s">
        <v>23145</v>
      </c>
    </row>
    <row r="7782" spans="2:4" x14ac:dyDescent="0.35">
      <c r="B7782" s="60" t="s">
        <v>23146</v>
      </c>
      <c r="C7782" s="60" t="s">
        <v>23147</v>
      </c>
      <c r="D7782" s="60" t="s">
        <v>23148</v>
      </c>
    </row>
    <row r="7783" spans="2:4" x14ac:dyDescent="0.35">
      <c r="B7783" s="60" t="s">
        <v>23149</v>
      </c>
      <c r="C7783" s="60" t="s">
        <v>23150</v>
      </c>
      <c r="D7783" s="60" t="s">
        <v>23151</v>
      </c>
    </row>
    <row r="7784" spans="2:4" x14ac:dyDescent="0.35">
      <c r="B7784" s="60" t="s">
        <v>23152</v>
      </c>
      <c r="C7784" s="60" t="s">
        <v>23153</v>
      </c>
      <c r="D7784" s="60" t="s">
        <v>23154</v>
      </c>
    </row>
    <row r="7785" spans="2:4" x14ac:dyDescent="0.35">
      <c r="B7785" s="60" t="s">
        <v>23155</v>
      </c>
      <c r="C7785" s="60" t="s">
        <v>23156</v>
      </c>
      <c r="D7785" s="60" t="s">
        <v>23157</v>
      </c>
    </row>
    <row r="7786" spans="2:4" x14ac:dyDescent="0.35">
      <c r="B7786" s="60" t="s">
        <v>23158</v>
      </c>
      <c r="C7786" s="60" t="s">
        <v>23159</v>
      </c>
      <c r="D7786" s="60" t="s">
        <v>23160</v>
      </c>
    </row>
    <row r="7787" spans="2:4" x14ac:dyDescent="0.35">
      <c r="B7787" s="60" t="s">
        <v>23161</v>
      </c>
      <c r="C7787" s="60" t="s">
        <v>23162</v>
      </c>
      <c r="D7787" s="60" t="s">
        <v>23163</v>
      </c>
    </row>
    <row r="7788" spans="2:4" x14ac:dyDescent="0.35">
      <c r="B7788" s="60" t="s">
        <v>23164</v>
      </c>
      <c r="C7788" s="60" t="s">
        <v>23165</v>
      </c>
      <c r="D7788" s="60" t="s">
        <v>23166</v>
      </c>
    </row>
    <row r="7789" spans="2:4" x14ac:dyDescent="0.35">
      <c r="B7789" s="60" t="s">
        <v>23167</v>
      </c>
      <c r="C7789" s="60" t="s">
        <v>23168</v>
      </c>
      <c r="D7789" s="60" t="s">
        <v>23169</v>
      </c>
    </row>
    <row r="7790" spans="2:4" x14ac:dyDescent="0.35">
      <c r="B7790" s="60" t="s">
        <v>23170</v>
      </c>
      <c r="C7790" s="60" t="s">
        <v>23171</v>
      </c>
      <c r="D7790" s="60" t="s">
        <v>23172</v>
      </c>
    </row>
    <row r="7791" spans="2:4" x14ac:dyDescent="0.35">
      <c r="B7791" s="60" t="s">
        <v>23173</v>
      </c>
      <c r="C7791" s="60" t="s">
        <v>23174</v>
      </c>
      <c r="D7791" s="60" t="s">
        <v>23175</v>
      </c>
    </row>
    <row r="7792" spans="2:4" x14ac:dyDescent="0.35">
      <c r="B7792" s="60" t="s">
        <v>23176</v>
      </c>
      <c r="C7792" s="60" t="s">
        <v>23177</v>
      </c>
      <c r="D7792" s="60" t="s">
        <v>23178</v>
      </c>
    </row>
    <row r="7793" spans="2:4" x14ac:dyDescent="0.35">
      <c r="B7793" s="60" t="s">
        <v>23179</v>
      </c>
      <c r="C7793" s="60" t="s">
        <v>23180</v>
      </c>
      <c r="D7793" s="60" t="s">
        <v>23181</v>
      </c>
    </row>
    <row r="7794" spans="2:4" x14ac:dyDescent="0.35">
      <c r="B7794" s="60" t="s">
        <v>23182</v>
      </c>
      <c r="C7794" s="60" t="s">
        <v>23183</v>
      </c>
      <c r="D7794" s="60" t="s">
        <v>23184</v>
      </c>
    </row>
    <row r="7795" spans="2:4" x14ac:dyDescent="0.35">
      <c r="B7795" s="60" t="s">
        <v>23185</v>
      </c>
      <c r="C7795" s="60" t="s">
        <v>23186</v>
      </c>
      <c r="D7795" s="60" t="s">
        <v>23187</v>
      </c>
    </row>
    <row r="7796" spans="2:4" x14ac:dyDescent="0.35">
      <c r="B7796" s="60" t="s">
        <v>23188</v>
      </c>
      <c r="C7796" s="60" t="s">
        <v>23189</v>
      </c>
      <c r="D7796" s="60" t="s">
        <v>23190</v>
      </c>
    </row>
    <row r="7797" spans="2:4" x14ac:dyDescent="0.35">
      <c r="B7797" s="60" t="s">
        <v>23191</v>
      </c>
      <c r="C7797" s="60" t="s">
        <v>23192</v>
      </c>
      <c r="D7797" s="60" t="s">
        <v>23193</v>
      </c>
    </row>
    <row r="7798" spans="2:4" x14ac:dyDescent="0.35">
      <c r="B7798" s="60" t="s">
        <v>23194</v>
      </c>
      <c r="C7798" s="60" t="s">
        <v>23195</v>
      </c>
      <c r="D7798" s="60" t="s">
        <v>23196</v>
      </c>
    </row>
    <row r="7799" spans="2:4" x14ac:dyDescent="0.35">
      <c r="B7799" s="60" t="s">
        <v>23197</v>
      </c>
      <c r="C7799" s="60" t="s">
        <v>23198</v>
      </c>
      <c r="D7799" s="60" t="s">
        <v>23199</v>
      </c>
    </row>
    <row r="7800" spans="2:4" x14ac:dyDescent="0.35">
      <c r="B7800" s="60" t="s">
        <v>23200</v>
      </c>
      <c r="C7800" s="60" t="s">
        <v>23201</v>
      </c>
      <c r="D7800" s="60" t="s">
        <v>23202</v>
      </c>
    </row>
    <row r="7801" spans="2:4" x14ac:dyDescent="0.35">
      <c r="B7801" s="60" t="s">
        <v>23203</v>
      </c>
      <c r="C7801" s="60" t="s">
        <v>23204</v>
      </c>
      <c r="D7801" s="60" t="s">
        <v>23205</v>
      </c>
    </row>
    <row r="7802" spans="2:4" x14ac:dyDescent="0.35">
      <c r="B7802" s="60" t="s">
        <v>23206</v>
      </c>
      <c r="C7802" s="60" t="s">
        <v>23207</v>
      </c>
      <c r="D7802" s="60" t="s">
        <v>23208</v>
      </c>
    </row>
    <row r="7803" spans="2:4" x14ac:dyDescent="0.35">
      <c r="B7803" s="60" t="s">
        <v>23209</v>
      </c>
      <c r="C7803" s="60" t="s">
        <v>23210</v>
      </c>
      <c r="D7803" s="60" t="s">
        <v>23211</v>
      </c>
    </row>
    <row r="7804" spans="2:4" x14ac:dyDescent="0.35">
      <c r="B7804" s="60" t="s">
        <v>23212</v>
      </c>
      <c r="C7804" s="60" t="s">
        <v>23213</v>
      </c>
      <c r="D7804" s="60" t="s">
        <v>23214</v>
      </c>
    </row>
    <row r="7805" spans="2:4" x14ac:dyDescent="0.35">
      <c r="B7805" s="60" t="s">
        <v>23215</v>
      </c>
      <c r="C7805" s="60" t="s">
        <v>23216</v>
      </c>
      <c r="D7805" s="60" t="s">
        <v>23217</v>
      </c>
    </row>
    <row r="7806" spans="2:4" x14ac:dyDescent="0.35">
      <c r="B7806" s="60" t="s">
        <v>23218</v>
      </c>
      <c r="C7806" s="60" t="s">
        <v>23219</v>
      </c>
      <c r="D7806" s="60" t="s">
        <v>23220</v>
      </c>
    </row>
    <row r="7807" spans="2:4" x14ac:dyDescent="0.35">
      <c r="B7807" s="60" t="s">
        <v>23221</v>
      </c>
      <c r="C7807" s="60" t="s">
        <v>23222</v>
      </c>
      <c r="D7807" s="60" t="s">
        <v>23223</v>
      </c>
    </row>
  </sheetData>
  <pageMargins left="0.7" right="0.7" top="0.75" bottom="0.75"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35181-719B-4E9A-AFFB-E364A5DA4147}">
  <sheetPr codeName="Sheet3">
    <tabColor rgb="FF002060"/>
  </sheetPr>
  <dimension ref="B1:IM156"/>
  <sheetViews>
    <sheetView showGridLines="0" zoomScale="68" workbookViewId="0">
      <selection activeCell="CX23" sqref="CX23"/>
    </sheetView>
  </sheetViews>
  <sheetFormatPr defaultColWidth="9.36328125" defaultRowHeight="14.5" x14ac:dyDescent="0.35"/>
  <cols>
    <col min="1" max="1" width="3.90625" customWidth="1"/>
    <col min="2" max="2" width="44.453125" bestFit="1" customWidth="1"/>
    <col min="3" max="4" width="5.1796875" bestFit="1" customWidth="1"/>
    <col min="5" max="5" width="5.81640625" bestFit="1" customWidth="1"/>
    <col min="6" max="10" width="6.08984375" bestFit="1" customWidth="1"/>
    <col min="11" max="14" width="6.54296875" bestFit="1" customWidth="1"/>
    <col min="15" max="15" width="6.08984375" bestFit="1" customWidth="1"/>
    <col min="16" max="18" width="6.54296875" bestFit="1" customWidth="1"/>
    <col min="19" max="32" width="3.6328125" bestFit="1" customWidth="1"/>
    <col min="33" max="62" width="4.90625" bestFit="1" customWidth="1"/>
    <col min="63" max="93" width="4.90625" customWidth="1"/>
    <col min="94" max="124" width="4.90625" bestFit="1" customWidth="1"/>
    <col min="126" max="186" width="7.81640625" bestFit="1" customWidth="1"/>
    <col min="187" max="187" width="7.36328125" bestFit="1" customWidth="1"/>
    <col min="188" max="189" width="7.81640625" bestFit="1" customWidth="1"/>
    <col min="190" max="193" width="7.36328125" bestFit="1" customWidth="1"/>
    <col min="194" max="197" width="7.81640625" bestFit="1" customWidth="1"/>
    <col min="198" max="216" width="7.36328125" bestFit="1" customWidth="1"/>
  </cols>
  <sheetData>
    <row r="1" spans="2:247" ht="15" thickBot="1" x14ac:dyDescent="0.4"/>
    <row r="2" spans="2:247" ht="15" thickBot="1" x14ac:dyDescent="0.4">
      <c r="B2" s="819" t="s">
        <v>179</v>
      </c>
      <c r="C2" s="820"/>
      <c r="D2" s="820"/>
      <c r="E2" s="820"/>
      <c r="F2" s="820"/>
      <c r="G2" s="820"/>
      <c r="H2" s="820"/>
      <c r="I2" s="820"/>
      <c r="J2" s="820"/>
      <c r="K2" s="820"/>
      <c r="L2" s="820"/>
      <c r="M2" s="820"/>
      <c r="N2" s="820"/>
      <c r="O2" s="820"/>
      <c r="P2" s="820"/>
      <c r="Q2" s="820"/>
      <c r="R2" s="821"/>
    </row>
    <row r="3" spans="2:247" ht="29.5" thickBot="1" x14ac:dyDescent="0.4">
      <c r="B3" s="35" t="s">
        <v>180</v>
      </c>
      <c r="C3" s="36">
        <v>7.0000000000000007E-2</v>
      </c>
      <c r="D3" s="37">
        <v>0.09</v>
      </c>
      <c r="E3" s="37">
        <v>0.11</v>
      </c>
      <c r="F3" s="37">
        <v>0.13</v>
      </c>
      <c r="G3" s="37">
        <v>0.15</v>
      </c>
      <c r="H3" s="37">
        <v>0.17</v>
      </c>
      <c r="I3" s="37">
        <v>0.19</v>
      </c>
      <c r="J3" s="37">
        <v>0.21</v>
      </c>
      <c r="K3" s="37">
        <v>0.23</v>
      </c>
      <c r="L3" s="37">
        <v>0.25</v>
      </c>
      <c r="M3" s="37">
        <v>0.27</v>
      </c>
      <c r="N3" s="37">
        <v>0.28999999999999998</v>
      </c>
      <c r="O3" s="37">
        <v>0.31</v>
      </c>
      <c r="P3" s="37">
        <v>0.33</v>
      </c>
      <c r="Q3" s="37">
        <v>0.35</v>
      </c>
      <c r="R3" s="38">
        <v>0.37</v>
      </c>
    </row>
    <row r="4" spans="2:247" x14ac:dyDescent="0.35">
      <c r="B4" s="39">
        <v>91000</v>
      </c>
      <c r="C4" s="40">
        <v>3.6</v>
      </c>
      <c r="D4" s="41">
        <v>3.3</v>
      </c>
      <c r="E4" s="41">
        <v>3</v>
      </c>
      <c r="F4" s="41">
        <v>2.7</v>
      </c>
      <c r="G4" s="41">
        <v>2.2999999999999998</v>
      </c>
      <c r="H4" s="41">
        <v>2</v>
      </c>
      <c r="I4" s="41">
        <v>1.7</v>
      </c>
      <c r="J4" s="41">
        <v>1.3</v>
      </c>
      <c r="K4" s="41">
        <v>1</v>
      </c>
      <c r="L4" s="41">
        <v>0.7</v>
      </c>
      <c r="M4" s="41">
        <v>0.3</v>
      </c>
      <c r="N4" s="41"/>
      <c r="O4" s="41"/>
      <c r="P4" s="41"/>
      <c r="Q4" s="41"/>
      <c r="R4" s="42"/>
    </row>
    <row r="5" spans="2:247" x14ac:dyDescent="0.35">
      <c r="B5" s="43">
        <v>109000</v>
      </c>
      <c r="C5" s="44">
        <v>4.5999999999999996</v>
      </c>
      <c r="D5" s="1">
        <v>4.3</v>
      </c>
      <c r="E5" s="1">
        <v>3.9</v>
      </c>
      <c r="F5" s="1">
        <v>3.6</v>
      </c>
      <c r="G5" s="1">
        <v>3.2</v>
      </c>
      <c r="H5" s="1">
        <v>2.8</v>
      </c>
      <c r="I5" s="1">
        <v>2.5</v>
      </c>
      <c r="J5" s="1">
        <v>2.1</v>
      </c>
      <c r="K5" s="1">
        <v>1.8</v>
      </c>
      <c r="L5" s="1">
        <v>1.4</v>
      </c>
      <c r="M5" s="1">
        <v>1</v>
      </c>
      <c r="N5" s="1">
        <v>0.7</v>
      </c>
      <c r="O5" s="1">
        <v>0.3</v>
      </c>
      <c r="P5" s="1"/>
      <c r="Q5" s="1"/>
      <c r="R5" s="45"/>
      <c r="AI5" s="46"/>
    </row>
    <row r="6" spans="2:247" x14ac:dyDescent="0.35">
      <c r="B6" s="43">
        <v>127000</v>
      </c>
      <c r="C6" s="44">
        <v>5.5</v>
      </c>
      <c r="D6" s="1">
        <v>5.2</v>
      </c>
      <c r="E6" s="1">
        <v>4.8</v>
      </c>
      <c r="F6" s="1">
        <v>4.4000000000000004</v>
      </c>
      <c r="G6" s="47">
        <v>4</v>
      </c>
      <c r="H6" s="1">
        <v>3.7</v>
      </c>
      <c r="I6" s="1">
        <v>3.3</v>
      </c>
      <c r="J6" s="1">
        <v>2.9</v>
      </c>
      <c r="K6" s="1">
        <v>2.5</v>
      </c>
      <c r="L6" s="1">
        <v>2.1</v>
      </c>
      <c r="M6" s="1">
        <v>1.8</v>
      </c>
      <c r="N6" s="1">
        <v>1.4</v>
      </c>
      <c r="O6" s="1">
        <v>1</v>
      </c>
      <c r="P6" s="1">
        <v>0.6</v>
      </c>
      <c r="Q6" s="1"/>
      <c r="R6" s="45"/>
    </row>
    <row r="7" spans="2:247" x14ac:dyDescent="0.35">
      <c r="B7" s="43">
        <v>145000</v>
      </c>
      <c r="C7" s="44">
        <v>6.9</v>
      </c>
      <c r="D7" s="1">
        <v>6.5</v>
      </c>
      <c r="E7" s="1">
        <v>6.1</v>
      </c>
      <c r="F7" s="1">
        <v>5.7</v>
      </c>
      <c r="G7" s="1">
        <v>5.3</v>
      </c>
      <c r="H7" s="1">
        <v>4.9000000000000004</v>
      </c>
      <c r="I7" s="1">
        <v>4.5</v>
      </c>
      <c r="J7" s="1">
        <v>4.0999999999999996</v>
      </c>
      <c r="K7" s="1">
        <v>3.6</v>
      </c>
      <c r="L7" s="1">
        <v>3.2</v>
      </c>
      <c r="M7" s="1">
        <v>2.8</v>
      </c>
      <c r="N7" s="1">
        <v>2.4</v>
      </c>
      <c r="O7" s="1">
        <v>2</v>
      </c>
      <c r="P7" s="1">
        <v>1.6</v>
      </c>
      <c r="Q7" s="1">
        <v>1.2</v>
      </c>
      <c r="R7" s="45">
        <v>0.8</v>
      </c>
    </row>
    <row r="8" spans="2:247" x14ac:dyDescent="0.35">
      <c r="B8" s="43">
        <v>163000</v>
      </c>
      <c r="C8" s="48"/>
      <c r="D8" s="49"/>
      <c r="E8" s="1">
        <v>6.8</v>
      </c>
      <c r="F8" s="1">
        <v>6.4</v>
      </c>
      <c r="G8" s="1">
        <v>5.9</v>
      </c>
      <c r="H8" s="1">
        <v>5.5</v>
      </c>
      <c r="I8" s="47">
        <v>5.0999999999999996</v>
      </c>
      <c r="J8" s="1">
        <v>4.7</v>
      </c>
      <c r="K8" s="1">
        <v>4.3</v>
      </c>
      <c r="L8" s="1">
        <v>3.9</v>
      </c>
      <c r="M8" s="1">
        <v>3.5</v>
      </c>
      <c r="N8" s="1">
        <v>3.1</v>
      </c>
      <c r="O8" s="1">
        <v>2.6</v>
      </c>
      <c r="P8" s="1">
        <v>2.2000000000000002</v>
      </c>
      <c r="Q8" s="1">
        <v>1.8</v>
      </c>
      <c r="R8" s="45">
        <v>1.4</v>
      </c>
    </row>
    <row r="9" spans="2:247" x14ac:dyDescent="0.35">
      <c r="B9" s="43">
        <v>181000</v>
      </c>
      <c r="C9" s="48"/>
      <c r="D9" s="49"/>
      <c r="E9" s="1"/>
      <c r="F9" s="1">
        <v>6.8</v>
      </c>
      <c r="G9" s="1">
        <v>6.4</v>
      </c>
      <c r="H9" s="1">
        <v>6</v>
      </c>
      <c r="I9" s="1">
        <v>5.6</v>
      </c>
      <c r="J9" s="1">
        <v>5.0999999999999996</v>
      </c>
      <c r="K9" s="1">
        <v>4.7</v>
      </c>
      <c r="L9" s="1">
        <v>4.3</v>
      </c>
      <c r="M9" s="1">
        <v>3.8</v>
      </c>
      <c r="N9" s="1">
        <v>3.4</v>
      </c>
      <c r="O9" s="1">
        <v>3</v>
      </c>
      <c r="P9" s="1">
        <v>2.6</v>
      </c>
      <c r="Q9" s="1">
        <v>2.1</v>
      </c>
      <c r="R9" s="45">
        <v>1.7</v>
      </c>
    </row>
    <row r="10" spans="2:247" x14ac:dyDescent="0.35">
      <c r="B10" s="43">
        <v>186000</v>
      </c>
      <c r="C10" s="48"/>
      <c r="D10" s="49"/>
      <c r="E10" s="1"/>
      <c r="F10" s="1">
        <v>7</v>
      </c>
      <c r="G10" s="1">
        <v>6.5</v>
      </c>
      <c r="H10" s="1">
        <v>6.1</v>
      </c>
      <c r="I10" s="1">
        <v>5.7</v>
      </c>
      <c r="J10" s="1">
        <v>5.3</v>
      </c>
      <c r="K10" s="1">
        <v>4.8</v>
      </c>
      <c r="L10" s="1">
        <v>4.4000000000000004</v>
      </c>
      <c r="M10" s="1">
        <v>4</v>
      </c>
      <c r="N10" s="1">
        <v>3.5</v>
      </c>
      <c r="O10" s="1">
        <v>3.1</v>
      </c>
      <c r="P10" s="1">
        <v>2.7</v>
      </c>
      <c r="Q10" s="1">
        <v>2.2000000000000002</v>
      </c>
      <c r="R10" s="45">
        <v>1.8</v>
      </c>
    </row>
    <row r="11" spans="2:247" ht="15" thickBot="1" x14ac:dyDescent="0.4">
      <c r="B11" s="50">
        <v>191000</v>
      </c>
      <c r="C11" s="51"/>
      <c r="D11" s="52"/>
      <c r="E11" s="53"/>
      <c r="F11" s="53"/>
      <c r="G11" s="53">
        <v>6.7</v>
      </c>
      <c r="H11" s="53">
        <v>6.2</v>
      </c>
      <c r="I11" s="53">
        <v>5.8</v>
      </c>
      <c r="J11" s="53">
        <v>5.4</v>
      </c>
      <c r="K11" s="53">
        <v>4.9000000000000004</v>
      </c>
      <c r="L11" s="53">
        <v>4.5</v>
      </c>
      <c r="M11" s="53">
        <v>4.0999999999999996</v>
      </c>
      <c r="N11" s="53">
        <v>3.6</v>
      </c>
      <c r="O11" s="53">
        <v>3.2</v>
      </c>
      <c r="P11" s="53">
        <v>2.8</v>
      </c>
      <c r="Q11" s="53">
        <v>2.2999999999999998</v>
      </c>
      <c r="R11" s="54">
        <v>1.9</v>
      </c>
    </row>
    <row r="14" spans="2:247" x14ac:dyDescent="0.35">
      <c r="C14" s="822" t="s">
        <v>181</v>
      </c>
      <c r="D14" s="822"/>
      <c r="E14" s="822"/>
      <c r="F14" s="822"/>
      <c r="G14" s="822"/>
      <c r="H14" s="822"/>
      <c r="I14" s="822"/>
      <c r="J14" s="822"/>
      <c r="K14" s="822"/>
      <c r="L14" s="822"/>
      <c r="M14" s="822"/>
      <c r="N14" s="822"/>
      <c r="O14" s="822"/>
      <c r="P14" s="822"/>
      <c r="Q14" s="822"/>
      <c r="R14" s="822"/>
      <c r="S14" s="822"/>
      <c r="T14" s="822"/>
      <c r="U14" s="822"/>
      <c r="V14" s="822"/>
      <c r="W14" s="822"/>
      <c r="X14" s="822"/>
      <c r="Y14" s="822"/>
      <c r="Z14" s="822"/>
      <c r="AA14" s="822"/>
      <c r="AB14" s="822"/>
      <c r="AC14" s="822"/>
      <c r="AD14" s="822"/>
      <c r="AE14" s="822"/>
      <c r="AF14" s="822"/>
      <c r="AG14" s="822"/>
      <c r="AH14" s="822"/>
      <c r="AI14" s="822"/>
      <c r="AJ14" s="822"/>
      <c r="AK14" s="822"/>
      <c r="AL14" s="822"/>
      <c r="AM14" s="822"/>
      <c r="AN14" s="822"/>
      <c r="AO14" s="822"/>
      <c r="AP14" s="822"/>
      <c r="AQ14" s="822"/>
      <c r="AR14" s="822"/>
      <c r="AS14" s="822"/>
      <c r="AT14" s="822"/>
      <c r="AU14" s="822"/>
      <c r="AV14" s="822"/>
      <c r="AW14" s="822"/>
      <c r="AX14" s="822"/>
      <c r="AY14" s="822"/>
      <c r="AZ14" s="822"/>
      <c r="BA14" s="822"/>
      <c r="BB14" s="822"/>
      <c r="BC14" s="822"/>
      <c r="BD14" s="822"/>
      <c r="BE14" s="822"/>
      <c r="BF14" s="822"/>
      <c r="BG14" s="822"/>
      <c r="BH14" s="822"/>
      <c r="BI14" s="822"/>
      <c r="BJ14" s="822"/>
      <c r="BK14" s="822"/>
      <c r="BL14" s="822"/>
      <c r="BM14" s="822"/>
      <c r="BN14" s="822"/>
      <c r="BO14" s="822"/>
      <c r="BP14" s="822"/>
      <c r="BQ14" s="822"/>
      <c r="BR14" s="822"/>
      <c r="BS14" s="822"/>
      <c r="BT14" s="822"/>
      <c r="BU14" s="822"/>
      <c r="BV14" s="822"/>
      <c r="BW14" s="822"/>
      <c r="BX14" s="822"/>
      <c r="BY14" s="822"/>
      <c r="BZ14" s="822"/>
      <c r="CA14" s="822"/>
      <c r="CB14" s="822"/>
      <c r="CC14" s="822"/>
      <c r="CD14" s="822"/>
      <c r="CE14" s="822"/>
      <c r="CF14" s="822"/>
      <c r="CG14" s="822"/>
      <c r="CH14" s="822"/>
      <c r="CI14" s="822"/>
      <c r="CJ14" s="822"/>
      <c r="CK14" s="822"/>
      <c r="CL14" s="822"/>
      <c r="CM14" s="822"/>
      <c r="CN14" s="822"/>
      <c r="CO14" s="822"/>
      <c r="CP14" s="822"/>
      <c r="CQ14" s="822"/>
      <c r="CR14" s="822"/>
      <c r="CS14" s="822"/>
      <c r="CT14" s="822"/>
      <c r="CU14" s="822"/>
      <c r="CV14" s="822"/>
      <c r="CW14" s="822"/>
      <c r="CX14" s="822"/>
      <c r="CY14" s="822"/>
      <c r="CZ14" s="822"/>
      <c r="DA14" s="822"/>
      <c r="DB14" s="822"/>
      <c r="DC14" s="822"/>
      <c r="DD14" s="822"/>
      <c r="DE14" s="822"/>
      <c r="DF14" s="822"/>
      <c r="DG14" s="822"/>
      <c r="DH14" s="822"/>
      <c r="DI14" s="822"/>
      <c r="DJ14" s="822"/>
      <c r="DK14" s="822"/>
      <c r="DL14" s="822"/>
      <c r="DM14" s="822"/>
      <c r="DN14" s="822"/>
      <c r="DO14" s="822"/>
      <c r="DP14" s="822"/>
      <c r="DQ14" s="822"/>
      <c r="DR14" s="822"/>
      <c r="DS14" s="822"/>
      <c r="DT14" s="822"/>
      <c r="DV14" s="822" t="s">
        <v>182</v>
      </c>
      <c r="DW14" s="822"/>
      <c r="DX14" s="822"/>
      <c r="DY14" s="822"/>
      <c r="DZ14" s="822"/>
      <c r="EA14" s="822"/>
      <c r="EB14" s="822"/>
      <c r="EC14" s="822"/>
      <c r="ED14" s="822"/>
      <c r="EE14" s="822"/>
      <c r="EF14" s="822"/>
      <c r="EG14" s="822"/>
      <c r="EH14" s="822"/>
      <c r="EI14" s="822"/>
      <c r="EJ14" s="822"/>
      <c r="EK14" s="822"/>
      <c r="EL14" s="822"/>
      <c r="EM14" s="822"/>
      <c r="EN14" s="822"/>
      <c r="EO14" s="822"/>
      <c r="EP14" s="822"/>
      <c r="EQ14" s="822"/>
      <c r="ER14" s="822"/>
      <c r="ES14" s="822"/>
      <c r="ET14" s="822"/>
      <c r="EU14" s="822"/>
      <c r="EV14" s="822"/>
      <c r="EW14" s="822"/>
      <c r="EX14" s="822"/>
      <c r="EY14" s="822"/>
      <c r="EZ14" s="822"/>
      <c r="FA14" s="822"/>
      <c r="FB14" s="822"/>
      <c r="FC14" s="822"/>
      <c r="FD14" s="822"/>
      <c r="FE14" s="822"/>
      <c r="FF14" s="822"/>
      <c r="FG14" s="822"/>
      <c r="FH14" s="822"/>
      <c r="FI14" s="822"/>
      <c r="FJ14" s="822"/>
      <c r="FK14" s="822"/>
      <c r="FL14" s="822"/>
      <c r="FM14" s="822"/>
      <c r="FN14" s="822"/>
      <c r="FO14" s="822"/>
      <c r="FP14" s="822"/>
      <c r="FQ14" s="822"/>
      <c r="FR14" s="822"/>
      <c r="FS14" s="822"/>
      <c r="FT14" s="822"/>
      <c r="FU14" s="822"/>
      <c r="FV14" s="822"/>
      <c r="FW14" s="822"/>
      <c r="FX14" s="822"/>
      <c r="FY14" s="822"/>
      <c r="FZ14" s="822"/>
      <c r="GA14" s="822"/>
      <c r="GB14" s="822"/>
      <c r="GC14" s="822"/>
      <c r="GD14" s="822"/>
      <c r="GE14" s="822"/>
      <c r="GF14" s="822"/>
      <c r="GG14" s="822"/>
      <c r="GH14" s="822"/>
      <c r="GI14" s="822"/>
      <c r="GJ14" s="822"/>
      <c r="GK14" s="822"/>
      <c r="GL14" s="822"/>
      <c r="GM14" s="822"/>
      <c r="GN14" s="822"/>
      <c r="GO14" s="822"/>
      <c r="GP14" s="822"/>
      <c r="GQ14" s="822"/>
      <c r="GR14" s="822"/>
      <c r="GS14" s="822"/>
      <c r="GT14" s="822"/>
      <c r="GU14" s="822"/>
      <c r="GV14" s="822"/>
      <c r="GW14" s="822"/>
      <c r="GX14" s="822"/>
      <c r="GY14" s="822"/>
      <c r="GZ14" s="822"/>
      <c r="HA14" s="822"/>
      <c r="HB14" s="822"/>
      <c r="HC14" s="822"/>
      <c r="HD14" s="822"/>
      <c r="HE14" s="822"/>
      <c r="HF14" s="822"/>
      <c r="HG14" s="822"/>
      <c r="HH14" s="822"/>
    </row>
    <row r="15" spans="2:247" ht="52" x14ac:dyDescent="0.35">
      <c r="B15" s="55" t="s">
        <v>183</v>
      </c>
      <c r="C15" s="56">
        <v>70</v>
      </c>
      <c r="D15" s="56">
        <v>71</v>
      </c>
      <c r="E15" s="56">
        <v>72</v>
      </c>
      <c r="F15" s="56">
        <v>73</v>
      </c>
      <c r="G15" s="56">
        <v>74</v>
      </c>
      <c r="H15" s="56">
        <v>75</v>
      </c>
      <c r="I15" s="56">
        <v>76</v>
      </c>
      <c r="J15" s="56">
        <v>77</v>
      </c>
      <c r="K15" s="56">
        <v>78</v>
      </c>
      <c r="L15" s="56">
        <v>79</v>
      </c>
      <c r="M15" s="56">
        <v>80</v>
      </c>
      <c r="N15" s="56">
        <v>81</v>
      </c>
      <c r="O15" s="56">
        <v>82</v>
      </c>
      <c r="P15" s="56">
        <v>83</v>
      </c>
      <c r="Q15" s="56">
        <v>84</v>
      </c>
      <c r="R15" s="56">
        <v>85</v>
      </c>
      <c r="S15" s="56">
        <v>86</v>
      </c>
      <c r="T15" s="56">
        <v>87</v>
      </c>
      <c r="U15" s="56">
        <v>88</v>
      </c>
      <c r="V15" s="56">
        <v>89</v>
      </c>
      <c r="W15" s="56">
        <v>90</v>
      </c>
      <c r="X15" s="56">
        <v>91</v>
      </c>
      <c r="Y15" s="56">
        <v>92</v>
      </c>
      <c r="Z15" s="56">
        <v>93</v>
      </c>
      <c r="AA15" s="56">
        <v>94</v>
      </c>
      <c r="AB15" s="56">
        <v>95</v>
      </c>
      <c r="AC15" s="56">
        <v>96</v>
      </c>
      <c r="AD15" s="56">
        <v>97</v>
      </c>
      <c r="AE15" s="56">
        <v>98</v>
      </c>
      <c r="AF15" s="56">
        <v>99</v>
      </c>
      <c r="AG15" s="56">
        <v>100</v>
      </c>
      <c r="AH15" s="56">
        <v>101</v>
      </c>
      <c r="AI15" s="56">
        <v>102</v>
      </c>
      <c r="AJ15" s="56">
        <v>103</v>
      </c>
      <c r="AK15" s="56">
        <v>104</v>
      </c>
      <c r="AL15" s="56">
        <v>105</v>
      </c>
      <c r="AM15" s="56">
        <v>106</v>
      </c>
      <c r="AN15" s="56">
        <v>107</v>
      </c>
      <c r="AO15" s="56">
        <v>108</v>
      </c>
      <c r="AP15" s="56">
        <v>109</v>
      </c>
      <c r="AQ15" s="56">
        <v>110</v>
      </c>
      <c r="AR15" s="56">
        <v>111</v>
      </c>
      <c r="AS15" s="56">
        <v>112</v>
      </c>
      <c r="AT15" s="56">
        <v>113</v>
      </c>
      <c r="AU15" s="56">
        <v>114</v>
      </c>
      <c r="AV15" s="56">
        <v>115</v>
      </c>
      <c r="AW15" s="56">
        <v>116</v>
      </c>
      <c r="AX15" s="56">
        <v>117</v>
      </c>
      <c r="AY15" s="56">
        <v>118</v>
      </c>
      <c r="AZ15" s="56">
        <v>119</v>
      </c>
      <c r="BA15" s="56">
        <v>120</v>
      </c>
      <c r="BB15" s="56">
        <v>121</v>
      </c>
      <c r="BC15" s="56">
        <v>122</v>
      </c>
      <c r="BD15" s="56">
        <v>123</v>
      </c>
      <c r="BE15" s="56">
        <v>124</v>
      </c>
      <c r="BF15" s="56">
        <v>125</v>
      </c>
      <c r="BG15" s="56">
        <v>126</v>
      </c>
      <c r="BH15" s="56">
        <v>127</v>
      </c>
      <c r="BI15" s="56">
        <v>128</v>
      </c>
      <c r="BJ15" s="56">
        <v>129</v>
      </c>
      <c r="BK15" s="56">
        <v>130</v>
      </c>
      <c r="BL15" s="56">
        <v>131</v>
      </c>
      <c r="BM15" s="56">
        <v>132</v>
      </c>
      <c r="BN15" s="56">
        <v>133</v>
      </c>
      <c r="BO15" s="56">
        <v>134</v>
      </c>
      <c r="BP15" s="56">
        <v>135</v>
      </c>
      <c r="BQ15" s="56">
        <v>136</v>
      </c>
      <c r="BR15" s="56">
        <v>137</v>
      </c>
      <c r="BS15" s="56">
        <v>138</v>
      </c>
      <c r="BT15" s="56">
        <v>139</v>
      </c>
      <c r="BU15" s="56">
        <v>140</v>
      </c>
      <c r="BV15" s="56">
        <v>141</v>
      </c>
      <c r="BW15" s="56">
        <v>142</v>
      </c>
      <c r="BX15" s="56">
        <v>143</v>
      </c>
      <c r="BY15" s="56">
        <v>144</v>
      </c>
      <c r="BZ15" s="56">
        <v>145</v>
      </c>
      <c r="CA15" s="56">
        <v>146</v>
      </c>
      <c r="CB15" s="56">
        <v>147</v>
      </c>
      <c r="CC15" s="56">
        <v>148</v>
      </c>
      <c r="CD15" s="56">
        <v>149</v>
      </c>
      <c r="CE15" s="56">
        <v>150</v>
      </c>
      <c r="CF15" s="56">
        <v>151</v>
      </c>
      <c r="CG15" s="56">
        <v>152</v>
      </c>
      <c r="CH15" s="56">
        <v>153</v>
      </c>
      <c r="CI15" s="56">
        <v>154</v>
      </c>
      <c r="CJ15" s="56">
        <v>155</v>
      </c>
      <c r="CK15" s="56">
        <v>156</v>
      </c>
      <c r="CL15" s="56">
        <v>157</v>
      </c>
      <c r="CM15" s="56">
        <v>158</v>
      </c>
      <c r="CN15" s="56">
        <v>159</v>
      </c>
      <c r="CO15" s="56">
        <v>160</v>
      </c>
      <c r="CP15" s="56">
        <v>161</v>
      </c>
      <c r="CQ15" s="56">
        <v>162</v>
      </c>
      <c r="CR15" s="56">
        <v>163</v>
      </c>
      <c r="CS15" s="56">
        <v>164</v>
      </c>
      <c r="CT15" s="56">
        <v>165</v>
      </c>
      <c r="CU15" s="56">
        <v>166</v>
      </c>
      <c r="CV15" s="56">
        <v>167</v>
      </c>
      <c r="CW15" s="56">
        <v>168</v>
      </c>
      <c r="CX15" s="56">
        <v>169</v>
      </c>
      <c r="CY15" s="56">
        <v>170</v>
      </c>
      <c r="CZ15" s="56">
        <v>171</v>
      </c>
      <c r="DA15" s="56">
        <v>172</v>
      </c>
      <c r="DB15" s="56">
        <v>173</v>
      </c>
      <c r="DC15" s="56">
        <v>174</v>
      </c>
      <c r="DD15" s="56">
        <v>175</v>
      </c>
      <c r="DE15" s="56">
        <v>176</v>
      </c>
      <c r="DF15" s="56">
        <v>177</v>
      </c>
      <c r="DG15" s="56">
        <v>178</v>
      </c>
      <c r="DH15" s="56">
        <v>179</v>
      </c>
      <c r="DI15" s="56">
        <v>180</v>
      </c>
      <c r="DJ15" s="56">
        <v>181</v>
      </c>
      <c r="DK15" s="56">
        <v>182</v>
      </c>
      <c r="DL15" s="56">
        <v>183</v>
      </c>
      <c r="DM15" s="56">
        <v>184</v>
      </c>
      <c r="DN15" s="56">
        <v>185</v>
      </c>
      <c r="DO15" s="56">
        <v>186</v>
      </c>
      <c r="DP15" s="56">
        <v>187</v>
      </c>
      <c r="DQ15" s="56">
        <v>188</v>
      </c>
      <c r="DR15" s="56">
        <v>189</v>
      </c>
      <c r="DS15" s="56">
        <v>190</v>
      </c>
      <c r="DT15" s="56">
        <v>191</v>
      </c>
      <c r="DU15" s="57"/>
      <c r="DV15" s="56">
        <v>70</v>
      </c>
      <c r="DW15" s="56">
        <v>71</v>
      </c>
      <c r="DX15" s="56">
        <v>72</v>
      </c>
      <c r="DY15" s="56">
        <v>73</v>
      </c>
      <c r="DZ15" s="56">
        <v>74</v>
      </c>
      <c r="EA15" s="56">
        <v>75</v>
      </c>
      <c r="EB15" s="56">
        <v>76</v>
      </c>
      <c r="EC15" s="56">
        <v>77</v>
      </c>
      <c r="ED15" s="56">
        <v>78</v>
      </c>
      <c r="EE15" s="56">
        <v>79</v>
      </c>
      <c r="EF15" s="56">
        <v>80</v>
      </c>
      <c r="EG15" s="56">
        <v>81</v>
      </c>
      <c r="EH15" s="56">
        <v>82</v>
      </c>
      <c r="EI15" s="56">
        <v>83</v>
      </c>
      <c r="EJ15" s="56">
        <v>84</v>
      </c>
      <c r="EK15" s="56">
        <v>85</v>
      </c>
      <c r="EL15" s="56">
        <v>86</v>
      </c>
      <c r="EM15" s="56">
        <v>87</v>
      </c>
      <c r="EN15" s="56">
        <v>88</v>
      </c>
      <c r="EO15" s="56">
        <v>89</v>
      </c>
      <c r="EP15" s="56">
        <v>90</v>
      </c>
      <c r="EQ15" s="56">
        <v>91</v>
      </c>
      <c r="ER15" s="56">
        <v>92</v>
      </c>
      <c r="ES15" s="56">
        <v>93</v>
      </c>
      <c r="ET15" s="56">
        <v>94</v>
      </c>
      <c r="EU15" s="56">
        <v>95</v>
      </c>
      <c r="EV15" s="56">
        <v>96</v>
      </c>
      <c r="EW15" s="56">
        <v>97</v>
      </c>
      <c r="EX15" s="56">
        <v>98</v>
      </c>
      <c r="EY15" s="56">
        <v>99</v>
      </c>
      <c r="EZ15" s="56">
        <v>100</v>
      </c>
      <c r="FA15" s="56">
        <v>101</v>
      </c>
      <c r="FB15" s="56">
        <v>102</v>
      </c>
      <c r="FC15" s="56">
        <v>103</v>
      </c>
      <c r="FD15" s="56">
        <v>104</v>
      </c>
      <c r="FE15" s="56">
        <v>105</v>
      </c>
      <c r="FF15" s="56">
        <v>106</v>
      </c>
      <c r="FG15" s="56">
        <v>107</v>
      </c>
      <c r="FH15" s="56">
        <v>108</v>
      </c>
      <c r="FI15" s="56">
        <v>109</v>
      </c>
      <c r="FJ15" s="56">
        <v>110</v>
      </c>
      <c r="FK15" s="56">
        <v>111</v>
      </c>
      <c r="FL15" s="56">
        <v>112</v>
      </c>
      <c r="FM15" s="56">
        <v>113</v>
      </c>
      <c r="FN15" s="56">
        <v>114</v>
      </c>
      <c r="FO15" s="56">
        <v>115</v>
      </c>
      <c r="FP15" s="56">
        <v>116</v>
      </c>
      <c r="FQ15" s="56">
        <v>117</v>
      </c>
      <c r="FR15" s="56">
        <v>118</v>
      </c>
      <c r="FS15" s="56">
        <v>119</v>
      </c>
      <c r="FT15" s="56">
        <v>120</v>
      </c>
      <c r="FU15" s="56">
        <v>121</v>
      </c>
      <c r="FV15" s="56">
        <v>122</v>
      </c>
      <c r="FW15" s="56">
        <v>123</v>
      </c>
      <c r="FX15" s="56">
        <v>124</v>
      </c>
      <c r="FY15" s="56">
        <v>125</v>
      </c>
      <c r="FZ15" s="56">
        <v>126</v>
      </c>
      <c r="GA15" s="56">
        <v>127</v>
      </c>
      <c r="GB15" s="56">
        <v>128</v>
      </c>
      <c r="GC15" s="56">
        <v>129</v>
      </c>
      <c r="GD15" s="56">
        <v>130</v>
      </c>
      <c r="GE15" s="56">
        <v>131</v>
      </c>
      <c r="GF15" s="56">
        <v>132</v>
      </c>
      <c r="GG15" s="56">
        <v>133</v>
      </c>
      <c r="GH15" s="56">
        <v>134</v>
      </c>
      <c r="GI15" s="56">
        <v>135</v>
      </c>
      <c r="GJ15" s="56">
        <v>136</v>
      </c>
      <c r="GK15" s="56">
        <v>137</v>
      </c>
      <c r="GL15" s="56">
        <v>138</v>
      </c>
      <c r="GM15" s="56">
        <v>139</v>
      </c>
      <c r="GN15" s="56">
        <v>140</v>
      </c>
      <c r="GO15" s="56">
        <v>141</v>
      </c>
      <c r="GP15" s="56">
        <v>142</v>
      </c>
      <c r="GQ15" s="56">
        <v>143</v>
      </c>
      <c r="GR15" s="56">
        <v>144</v>
      </c>
      <c r="GS15" s="56">
        <v>145</v>
      </c>
      <c r="GT15" s="56">
        <v>146</v>
      </c>
      <c r="GU15" s="56">
        <v>147</v>
      </c>
      <c r="GV15" s="56">
        <v>148</v>
      </c>
      <c r="GW15" s="56">
        <v>149</v>
      </c>
      <c r="GX15" s="56">
        <v>150</v>
      </c>
      <c r="GY15" s="56">
        <v>151</v>
      </c>
      <c r="GZ15" s="56">
        <v>152</v>
      </c>
      <c r="HA15" s="56">
        <v>153</v>
      </c>
      <c r="HB15" s="56">
        <v>154</v>
      </c>
      <c r="HC15" s="56">
        <v>155</v>
      </c>
      <c r="HD15" s="56">
        <v>156</v>
      </c>
      <c r="HE15" s="56">
        <v>157</v>
      </c>
      <c r="HF15" s="56">
        <v>158</v>
      </c>
      <c r="HG15" s="56">
        <v>159</v>
      </c>
      <c r="HH15" s="56">
        <v>160</v>
      </c>
      <c r="HI15" s="56">
        <v>161</v>
      </c>
      <c r="HJ15" s="56">
        <v>162</v>
      </c>
      <c r="HK15" s="56">
        <v>163</v>
      </c>
      <c r="HL15" s="56">
        <v>164</v>
      </c>
      <c r="HM15" s="56">
        <v>165</v>
      </c>
      <c r="HN15" s="56">
        <v>166</v>
      </c>
      <c r="HO15" s="56">
        <v>167</v>
      </c>
      <c r="HP15" s="56">
        <v>168</v>
      </c>
      <c r="HQ15" s="56">
        <v>169</v>
      </c>
      <c r="HR15" s="56">
        <v>170</v>
      </c>
      <c r="HS15" s="56">
        <v>171</v>
      </c>
      <c r="HT15" s="56">
        <v>172</v>
      </c>
      <c r="HU15" s="56">
        <v>173</v>
      </c>
      <c r="HV15" s="56">
        <v>174</v>
      </c>
      <c r="HW15" s="56">
        <v>175</v>
      </c>
      <c r="HX15" s="56">
        <v>176</v>
      </c>
      <c r="HY15" s="56">
        <v>177</v>
      </c>
      <c r="HZ15" s="56">
        <v>178</v>
      </c>
      <c r="IA15" s="56">
        <v>179</v>
      </c>
      <c r="IB15" s="56">
        <v>180</v>
      </c>
      <c r="IC15" s="56">
        <v>181</v>
      </c>
      <c r="ID15" s="56">
        <v>182</v>
      </c>
      <c r="IE15" s="56">
        <v>183</v>
      </c>
      <c r="IF15" s="56">
        <v>184</v>
      </c>
      <c r="IG15" s="56">
        <v>185</v>
      </c>
      <c r="IH15" s="56">
        <v>186</v>
      </c>
      <c r="II15" s="56">
        <v>187</v>
      </c>
      <c r="IJ15" s="56">
        <v>188</v>
      </c>
      <c r="IK15" s="56">
        <v>189</v>
      </c>
      <c r="IL15" s="56">
        <v>190</v>
      </c>
      <c r="IM15" s="56">
        <v>191</v>
      </c>
    </row>
    <row r="16" spans="2:247" x14ac:dyDescent="0.35">
      <c r="B16" s="58">
        <v>0</v>
      </c>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v>3.9620457383961591</v>
      </c>
      <c r="DW16" s="4">
        <v>4.0016925849181426</v>
      </c>
      <c r="DX16" s="4">
        <v>4.041396695522109</v>
      </c>
      <c r="DY16" s="4">
        <v>4.0811742696061053</v>
      </c>
      <c r="DZ16" s="4">
        <v>4.12104440243822</v>
      </c>
      <c r="EA16" s="4">
        <v>4.1610295588184698</v>
      </c>
      <c r="EB16" s="4">
        <v>4.2011561215965427</v>
      </c>
      <c r="EC16" s="4">
        <v>4.2414550253493557</v>
      </c>
      <c r="ED16" s="4">
        <v>4.281962485402488</v>
      </c>
      <c r="EE16" s="4">
        <v>4.3227208305577296</v>
      </c>
      <c r="EF16" s="4">
        <v>4.3637794426001033</v>
      </c>
      <c r="EG16" s="4">
        <v>4.4051957936355297</v>
      </c>
      <c r="EH16" s="4">
        <v>4.447036547683056</v>
      </c>
      <c r="EI16" s="4">
        <v>4.4893786456232254</v>
      </c>
      <c r="EJ16" s="4">
        <v>4.5323102064773408</v>
      </c>
      <c r="EK16" s="4">
        <v>4.5759309308092986</v>
      </c>
      <c r="EL16" s="4">
        <v>4.620351462766294</v>
      </c>
      <c r="EM16" s="4">
        <v>4.6656908644769537</v>
      </c>
      <c r="EN16" s="4">
        <v>4.7120710874867644</v>
      </c>
      <c r="EO16" s="4">
        <v>4.7596074010267193</v>
      </c>
      <c r="EP16" s="4">
        <v>4.8083946819914107</v>
      </c>
      <c r="EQ16" s="4">
        <v>4.8584916238080318</v>
      </c>
      <c r="ER16" s="4">
        <v>4.9099074877074731</v>
      </c>
      <c r="ES16" s="4">
        <v>4.9625967192297873</v>
      </c>
      <c r="ET16" s="4">
        <v>5.0164638474381267</v>
      </c>
      <c r="EU16" s="4">
        <v>5.0713762356775902</v>
      </c>
      <c r="EV16" s="4">
        <v>5.1271793480360639</v>
      </c>
      <c r="EW16" s="4">
        <v>5.1837098968717861</v>
      </c>
      <c r="EX16" s="4">
        <v>5.2408048074555866</v>
      </c>
      <c r="EY16" s="4">
        <v>5.2983060973491378</v>
      </c>
      <c r="EZ16" s="4">
        <v>5.3560627318397289</v>
      </c>
      <c r="FA16" s="4">
        <v>5.4139306274742616</v>
      </c>
      <c r="FB16" s="4">
        <v>5.4717717714621363</v>
      </c>
      <c r="FC16" s="4">
        <v>5.5294532326536796</v>
      </c>
      <c r="FD16" s="4">
        <v>5.5868467831274478</v>
      </c>
      <c r="FE16" s="4">
        <v>5.6438299303387218</v>
      </c>
      <c r="FF16" s="4">
        <v>5.7002892766367612</v>
      </c>
      <c r="FG16" s="4">
        <v>5.7561270200838397</v>
      </c>
      <c r="FH16" s="4">
        <v>5.8112706763335931</v>
      </c>
      <c r="FI16" s="4">
        <v>5.8656844720905532</v>
      </c>
      <c r="FJ16" s="4">
        <v>5.9193789271265107</v>
      </c>
      <c r="FK16" s="4">
        <v>5.9724146164042988</v>
      </c>
      <c r="FL16" s="4">
        <v>6.0248982916940124</v>
      </c>
      <c r="FM16" s="4">
        <v>6.0769731922363839</v>
      </c>
      <c r="FN16" s="4">
        <v>6.1288075615361439</v>
      </c>
      <c r="FO16" s="4">
        <v>6.1805848609349843</v>
      </c>
      <c r="FP16" s="4">
        <v>6.2324972344162806</v>
      </c>
      <c r="FQ16" s="4">
        <v>6.2847421437437756</v>
      </c>
      <c r="FR16" s="4">
        <v>6.3375213459945297</v>
      </c>
      <c r="FS16" s="4">
        <v>6.3910412574110964</v>
      </c>
      <c r="FT16" s="4">
        <v>6.4455138177207907</v>
      </c>
      <c r="FU16" s="4">
        <v>6.5011569696042688</v>
      </c>
      <c r="FV16" s="4">
        <v>6.5581936854647527</v>
      </c>
      <c r="FW16" s="4">
        <v>6.6168481148321501</v>
      </c>
      <c r="FX16" s="4">
        <v>6.6773370727587888</v>
      </c>
      <c r="FY16" s="4">
        <v>6.7398552404459613</v>
      </c>
      <c r="FZ16" s="4">
        <v>6.8045539315439791</v>
      </c>
      <c r="GA16" s="4">
        <v>6.8715166216889916</v>
      </c>
      <c r="GB16" s="4">
        <v>6.94073841936717</v>
      </c>
      <c r="GC16" s="4">
        <v>7.0121177385713356</v>
      </c>
      <c r="GD16" s="4">
        <v>7.0854639248961284</v>
      </c>
      <c r="GE16" s="4">
        <v>7.1605170639764673</v>
      </c>
      <c r="GF16" s="4">
        <v>7.2369716931259003</v>
      </c>
      <c r="GG16" s="4">
        <v>7.3144972215881916</v>
      </c>
      <c r="GH16" s="4">
        <v>7.3927518504593914</v>
      </c>
      <c r="GI16" s="4">
        <v>7.4713901384754768</v>
      </c>
      <c r="GJ16" s="4">
        <v>7.5500658643617182</v>
      </c>
      <c r="GK16" s="4">
        <v>7.628432030164781</v>
      </c>
      <c r="GL16" s="4">
        <v>7.7061395751770352</v>
      </c>
      <c r="GM16" s="4">
        <v>7.7828361451436461</v>
      </c>
      <c r="GN16" s="4">
        <v>7.8581662878364922</v>
      </c>
      <c r="GO16" s="4">
        <v>7.9317747227757494</v>
      </c>
      <c r="GP16" s="4">
        <v>8.0033146484035047</v>
      </c>
      <c r="GQ16" s="4">
        <v>8.0724628524028397</v>
      </c>
      <c r="GR16" s="4">
        <v>8.1389417785697784</v>
      </c>
      <c r="GS16" s="4">
        <v>8.2025450987396233</v>
      </c>
      <c r="GT16" s="4">
        <v>8.2631590537205497</v>
      </c>
      <c r="GU16" s="4">
        <v>8.3207706601165619</v>
      </c>
      <c r="GV16" s="4">
        <v>8.3754587240326366</v>
      </c>
      <c r="GW16" s="4">
        <v>8.4273716869791606</v>
      </c>
      <c r="GX16" s="4">
        <v>8.4767011734399524</v>
      </c>
      <c r="GY16" s="4">
        <v>8.5236589434627401</v>
      </c>
      <c r="GZ16" s="4">
        <v>8.568460673189767</v>
      </c>
      <c r="HA16" s="4">
        <v>8.6113163930940537</v>
      </c>
      <c r="HB16" s="4">
        <v>8.6524258293833949</v>
      </c>
      <c r="HC16" s="4">
        <v>8.6919767560902415</v>
      </c>
      <c r="HD16" s="4">
        <v>8.730144898000038</v>
      </c>
      <c r="HE16" s="4">
        <v>8.7670944132501969</v>
      </c>
      <c r="HF16" s="4">
        <v>8.8029783569781337</v>
      </c>
      <c r="HG16" s="4">
        <v>8.8379387813197141</v>
      </c>
      <c r="HH16" s="4">
        <v>8.87210631335976</v>
      </c>
      <c r="HI16" s="4">
        <v>8.9055992217071953</v>
      </c>
      <c r="HJ16" s="4">
        <v>8.938522157024277</v>
      </c>
      <c r="HK16" s="4">
        <v>8.9709649108242164</v>
      </c>
      <c r="HL16" s="4">
        <v>9.0030016177825587</v>
      </c>
      <c r="HM16" s="4">
        <v>9.034690764863976</v>
      </c>
      <c r="HN16" s="4">
        <v>9.0660761602972606</v>
      </c>
      <c r="HO16" s="4">
        <v>9.0971887407468266</v>
      </c>
      <c r="HP16" s="4">
        <v>9.1280488832480344</v>
      </c>
      <c r="HQ16" s="4">
        <v>9.1586688223565833</v>
      </c>
      <c r="HR16" s="4">
        <v>9.189054844326396</v>
      </c>
      <c r="HS16" s="4">
        <v>9.2192090688450996</v>
      </c>
      <c r="HT16" s="4">
        <v>9.2491307629090542</v>
      </c>
      <c r="HU16" s="4">
        <v>9.2788172229724335</v>
      </c>
      <c r="HV16" s="4">
        <v>9.3082643069003872</v>
      </c>
      <c r="HW16" s="4">
        <v>9.3374667103140396</v>
      </c>
      <c r="HX16" s="4">
        <v>9.3664180791212743</v>
      </c>
      <c r="HY16" s="4">
        <v>9.3951110434242491</v>
      </c>
      <c r="HZ16" s="4">
        <v>9.4235372535598909</v>
      </c>
      <c r="IA16" s="4">
        <v>9.4516874971964775</v>
      </c>
      <c r="IB16" s="4">
        <v>9.479551973019392</v>
      </c>
      <c r="IC16" s="4">
        <v>9.5071207843409802</v>
      </c>
      <c r="ID16" s="4">
        <v>9.5343846874149936</v>
      </c>
      <c r="IE16" s="4">
        <v>9.5613360808052121</v>
      </c>
      <c r="IF16" s="4">
        <v>9.587970158710613</v>
      </c>
      <c r="IG16" s="4">
        <v>9.6142860875590461</v>
      </c>
      <c r="IH16" s="4">
        <v>9.6402880228508856</v>
      </c>
      <c r="II16" s="4">
        <v>9.6659857817523722</v>
      </c>
      <c r="IJ16" s="4">
        <v>9.691395034326769</v>
      </c>
      <c r="IK16" s="4">
        <v>9.7165369631044545</v>
      </c>
      <c r="IL16" s="4">
        <v>9.7414374420169381</v>
      </c>
      <c r="IM16" s="4">
        <v>9.7661258710462633</v>
      </c>
    </row>
    <row r="17" spans="2:247" x14ac:dyDescent="0.35">
      <c r="B17" s="58">
        <v>0.01</v>
      </c>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v>3.7831258624522088</v>
      </c>
      <c r="DW17" s="4">
        <v>3.8227656361724871</v>
      </c>
      <c r="DX17" s="4">
        <v>3.8624462454151152</v>
      </c>
      <c r="DY17" s="4">
        <v>3.9021820626985719</v>
      </c>
      <c r="DZ17" s="4">
        <v>3.9419902239668589</v>
      </c>
      <c r="EA17" s="4">
        <v>3.9818911114495759</v>
      </c>
      <c r="EB17" s="4">
        <v>4.0219089212449157</v>
      </c>
      <c r="EC17" s="4">
        <v>4.0620723309920308</v>
      </c>
      <c r="ED17" s="4">
        <v>4.1024152855238514</v>
      </c>
      <c r="EE17" s="4">
        <v>4.1429779206494972</v>
      </c>
      <c r="EF17" s="4">
        <v>4.183807646144901</v>
      </c>
      <c r="EG17" s="4">
        <v>4.2249604062345538</v>
      </c>
      <c r="EH17" s="4">
        <v>4.2665021241623204</v>
      </c>
      <c r="EI17" s="4">
        <v>4.3085103062252834</v>
      </c>
      <c r="EJ17" s="4">
        <v>4.3510757088825534</v>
      </c>
      <c r="EK17" s="4">
        <v>4.394303821616508</v>
      </c>
      <c r="EL17" s="4">
        <v>4.4383156257413274</v>
      </c>
      <c r="EM17" s="4">
        <v>4.4832465825290333</v>
      </c>
      <c r="EN17" s="4">
        <v>4.5292420875867174</v>
      </c>
      <c r="EO17" s="4">
        <v>4.576447044430096</v>
      </c>
      <c r="EP17" s="4">
        <v>4.6249878353782403</v>
      </c>
      <c r="EQ17" s="4">
        <v>4.6749483944355861</v>
      </c>
      <c r="ER17" s="4">
        <v>4.7263480577335031</v>
      </c>
      <c r="ES17" s="4">
        <v>4.7791321875843664</v>
      </c>
      <c r="ET17" s="4">
        <v>4.8331810487169431</v>
      </c>
      <c r="EU17" s="4">
        <v>4.8883314386056718</v>
      </c>
      <c r="EV17" s="4">
        <v>4.9444000558154864</v>
      </c>
      <c r="EW17" s="4">
        <v>5.0012009100648349</v>
      </c>
      <c r="EX17" s="4">
        <v>5.0585550485585333</v>
      </c>
      <c r="EY17" s="4">
        <v>5.1162943021273861</v>
      </c>
      <c r="EZ17" s="4">
        <v>5.1742613887862374</v>
      </c>
      <c r="FA17" s="4">
        <v>5.2323081517675947</v>
      </c>
      <c r="FB17" s="4">
        <v>5.2902930465024092</v>
      </c>
      <c r="FC17" s="4">
        <v>5.3480785976199812</v>
      </c>
      <c r="FD17" s="4">
        <v>5.4055294745761344</v>
      </c>
      <c r="FE17" s="4">
        <v>5.462512065062592</v>
      </c>
      <c r="FF17" s="4">
        <v>5.5188968930750928</v>
      </c>
      <c r="FG17" s="4">
        <v>5.5745656375927162</v>
      </c>
      <c r="FH17" s="4">
        <v>5.6294240274321501</v>
      </c>
      <c r="FI17" s="4">
        <v>5.6834193097609482</v>
      </c>
      <c r="FJ17" s="4">
        <v>5.736556502166966</v>
      </c>
      <c r="FK17" s="4">
        <v>5.7889051461734358</v>
      </c>
      <c r="FL17" s="4">
        <v>5.8405924367807289</v>
      </c>
      <c r="FM17" s="4">
        <v>5.8917868659638852</v>
      </c>
      <c r="FN17" s="4">
        <v>5.9426806753524426</v>
      </c>
      <c r="FO17" s="4">
        <v>5.9934769222836159</v>
      </c>
      <c r="FP17" s="4">
        <v>6.0443824765427134</v>
      </c>
      <c r="FQ17" s="4">
        <v>6.095605686079578</v>
      </c>
      <c r="FR17" s="4">
        <v>6.1473569640651222</v>
      </c>
      <c r="FS17" s="4">
        <v>6.1998509426199497</v>
      </c>
      <c r="FT17" s="4">
        <v>6.2533092678907636</v>
      </c>
      <c r="FU17" s="4">
        <v>6.30796325960271</v>
      </c>
      <c r="FV17" s="4">
        <v>6.3640554254214274</v>
      </c>
      <c r="FW17" s="4">
        <v>6.4218381482113003</v>
      </c>
      <c r="FX17" s="4">
        <v>6.4815668067447394</v>
      </c>
      <c r="FY17" s="4">
        <v>6.5434837070161826</v>
      </c>
      <c r="FZ17" s="4">
        <v>6.607790177434179</v>
      </c>
      <c r="GA17" s="4">
        <v>6.6746094937929428</v>
      </c>
      <c r="GB17" s="4">
        <v>6.7439525544738581</v>
      </c>
      <c r="GC17" s="4">
        <v>6.815703369270862</v>
      </c>
      <c r="GD17" s="4">
        <v>6.889632862666244</v>
      </c>
      <c r="GE17" s="4">
        <v>6.9654324642636842</v>
      </c>
      <c r="GF17" s="4">
        <v>7.0427503958504971</v>
      </c>
      <c r="GG17" s="4">
        <v>7.1212187065486869</v>
      </c>
      <c r="GH17" s="4">
        <v>7.2004683618252434</v>
      </c>
      <c r="GI17" s="4">
        <v>7.2801350074893971</v>
      </c>
      <c r="GJ17" s="4">
        <v>7.3598590164062054</v>
      </c>
      <c r="GK17" s="4">
        <v>7.4392825702994756</v>
      </c>
      <c r="GL17" s="4">
        <v>7.5180455363737693</v>
      </c>
      <c r="GM17" s="4">
        <v>7.5957813633857603</v>
      </c>
      <c r="GN17" s="4">
        <v>7.6721142555400128</v>
      </c>
      <c r="GO17" s="4">
        <v>7.7466594936234969</v>
      </c>
      <c r="GP17" s="4">
        <v>7.8190298564957308</v>
      </c>
      <c r="GQ17" s="4">
        <v>7.8888520222717151</v>
      </c>
      <c r="GR17" s="4">
        <v>7.9557957698085389</v>
      </c>
      <c r="GS17" s="4">
        <v>8.0196130866890272</v>
      </c>
      <c r="GT17" s="4">
        <v>8.0801743399779049</v>
      </c>
      <c r="GU17" s="4">
        <v>8.1374831360116087</v>
      </c>
      <c r="GV17" s="4">
        <v>8.1916606976318196</v>
      </c>
      <c r="GW17" s="4">
        <v>8.2429088882739308</v>
      </c>
      <c r="GX17" s="4">
        <v>8.291470212202519</v>
      </c>
      <c r="GY17" s="4">
        <v>8.3375975860131817</v>
      </c>
      <c r="GZ17" s="4">
        <v>8.3815367216968859</v>
      </c>
      <c r="HA17" s="4">
        <v>8.4235182444112482</v>
      </c>
      <c r="HB17" s="4">
        <v>8.4637556156892053</v>
      </c>
      <c r="HC17" s="4">
        <v>8.5024458896326411</v>
      </c>
      <c r="HD17" s="4">
        <v>8.5397714999833596</v>
      </c>
      <c r="HE17" s="4">
        <v>8.5759020908243535</v>
      </c>
      <c r="HF17" s="4">
        <v>8.610995861409231</v>
      </c>
      <c r="HG17" s="4">
        <v>8.6452001333121729</v>
      </c>
      <c r="HH17" s="4">
        <v>8.6786509981884912</v>
      </c>
      <c r="HI17" s="4">
        <v>8.7114720672641734</v>
      </c>
      <c r="HJ17" s="4">
        <v>8.7437725726461171</v>
      </c>
      <c r="HK17" s="4">
        <v>8.7756453395563696</v>
      </c>
      <c r="HL17" s="4">
        <v>8.8071653322995083</v>
      </c>
      <c r="HM17" s="4">
        <v>8.8383894117438899</v>
      </c>
      <c r="HN17" s="4">
        <v>8.8693575772566344</v>
      </c>
      <c r="HO17" s="4">
        <v>8.9000954641512049</v>
      </c>
      <c r="HP17" s="4">
        <v>8.9306175039053777</v>
      </c>
      <c r="HQ17" s="4">
        <v>8.9609300907703489</v>
      </c>
      <c r="HR17" s="4">
        <v>8.9910342820263018</v>
      </c>
      <c r="HS17" s="4">
        <v>9.0209278225745351</v>
      </c>
      <c r="HT17" s="4">
        <v>9.0506064938814887</v>
      </c>
      <c r="HU17" s="4">
        <v>9.0800648988393498</v>
      </c>
      <c r="HV17" s="4">
        <v>9.1092968267591381</v>
      </c>
      <c r="HW17" s="4">
        <v>9.1382953332242689</v>
      </c>
      <c r="HX17" s="4">
        <v>9.1670526475829863</v>
      </c>
      <c r="HY17" s="4">
        <v>9.1955600034322238</v>
      </c>
      <c r="HZ17" s="4">
        <v>9.223807481240037</v>
      </c>
      <c r="IA17" s="4">
        <v>9.2517839564658644</v>
      </c>
      <c r="IB17" s="4">
        <v>9.2794772539375359</v>
      </c>
      <c r="IC17" s="4">
        <v>9.3068746069081509</v>
      </c>
      <c r="ID17" s="4">
        <v>9.3339634916960019</v>
      </c>
      <c r="IE17" s="4">
        <v>9.3607328453736258</v>
      </c>
      <c r="IF17" s="4">
        <v>9.3871745778760829</v>
      </c>
      <c r="IG17" s="4">
        <v>9.4132851837393545</v>
      </c>
      <c r="IH17" s="4">
        <v>9.4390671799304133</v>
      </c>
      <c r="II17" s="4">
        <v>9.4645300822915477</v>
      </c>
      <c r="IJ17" s="4">
        <v>9.4896907021843155</v>
      </c>
      <c r="IK17" s="4">
        <v>9.5145726830062589</v>
      </c>
      <c r="IL17" s="4">
        <v>9.5392053596246011</v>
      </c>
      <c r="IM17" s="4">
        <v>9.5636221578114995</v>
      </c>
    </row>
    <row r="18" spans="2:247" x14ac:dyDescent="0.35">
      <c r="B18" s="58">
        <v>0.02</v>
      </c>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v>3.6048960168146609</v>
      </c>
      <c r="DW18" s="4">
        <v>3.6445603075372439</v>
      </c>
      <c r="DX18" s="4">
        <v>3.68425023691095</v>
      </c>
      <c r="DY18" s="4">
        <v>3.7239782775797452</v>
      </c>
      <c r="DZ18" s="4">
        <v>3.7637594908805738</v>
      </c>
      <c r="EA18" s="4">
        <v>3.8036120056303591</v>
      </c>
      <c r="EB18" s="4">
        <v>3.8435575871665839</v>
      </c>
      <c r="EC18" s="4">
        <v>3.883622315551075</v>
      </c>
      <c r="ED18" s="4">
        <v>3.9238373965796729</v>
      </c>
      <c r="EE18" s="4">
        <v>3.964240135211865</v>
      </c>
      <c r="EF18" s="4">
        <v>4.0048751082417349</v>
      </c>
      <c r="EG18" s="4">
        <v>4.0457955808064181</v>
      </c>
      <c r="EH18" s="4">
        <v>4.0870652171923831</v>
      </c>
      <c r="EI18" s="4">
        <v>4.1287601332914639</v>
      </c>
      <c r="EJ18" s="4">
        <v>4.1709713079023123</v>
      </c>
      <c r="EK18" s="4">
        <v>4.2138072696437474</v>
      </c>
      <c r="EL18" s="4">
        <v>4.2573967093838272</v>
      </c>
      <c r="EM18" s="4">
        <v>4.3018900455967142</v>
      </c>
      <c r="EN18" s="4">
        <v>4.3474577142946336</v>
      </c>
      <c r="EO18" s="4">
        <v>4.3942810106912873</v>
      </c>
      <c r="EP18" s="4">
        <v>4.4425300385054918</v>
      </c>
      <c r="EQ18" s="4">
        <v>4.4923272007912782</v>
      </c>
      <c r="ER18" s="4">
        <v>4.5437078786301752</v>
      </c>
      <c r="ES18" s="4">
        <v>4.5966025414132448</v>
      </c>
      <c r="ET18" s="4">
        <v>4.6508541431103829</v>
      </c>
      <c r="EU18" s="4">
        <v>4.7062569269053416</v>
      </c>
      <c r="EV18" s="4">
        <v>4.762592369648047</v>
      </c>
      <c r="EW18" s="4">
        <v>4.8196505917771786</v>
      </c>
      <c r="EX18" s="4">
        <v>4.8772387661636234</v>
      </c>
      <c r="EY18" s="4">
        <v>4.9351819317987484</v>
      </c>
      <c r="EZ18" s="4">
        <v>4.9933203426114083</v>
      </c>
      <c r="FA18" s="4">
        <v>5.0515055393366568</v>
      </c>
      <c r="FB18" s="4">
        <v>5.1095960989461364</v>
      </c>
      <c r="FC18" s="4">
        <v>5.1674534688645188</v>
      </c>
      <c r="FD18" s="4">
        <v>5.2249382268533733</v>
      </c>
      <c r="FE18" s="4">
        <v>5.2819074752974844</v>
      </c>
      <c r="FF18" s="4">
        <v>5.3382149935054031</v>
      </c>
      <c r="FG18" s="4">
        <v>5.3937172321559581</v>
      </c>
      <c r="FH18" s="4">
        <v>5.4482891977700501</v>
      </c>
      <c r="FI18" s="4">
        <v>5.5018513682985084</v>
      </c>
      <c r="FJ18" s="4">
        <v>5.5543988530736694</v>
      </c>
      <c r="FK18" s="4">
        <v>5.6060145448366576</v>
      </c>
      <c r="FL18" s="4">
        <v>5.6568558361831807</v>
      </c>
      <c r="FM18" s="4">
        <v>5.7071253424275081</v>
      </c>
      <c r="FN18" s="4">
        <v>5.7570438989682131</v>
      </c>
      <c r="FO18" s="4">
        <v>5.806834638598275</v>
      </c>
      <c r="FP18" s="4">
        <v>5.8567170305836092</v>
      </c>
      <c r="FQ18" s="4">
        <v>5.9069068616217901</v>
      </c>
      <c r="FR18" s="4">
        <v>5.9576191069871456</v>
      </c>
      <c r="FS18" s="4">
        <v>6.0090721004766952</v>
      </c>
      <c r="FT18" s="4">
        <v>6.0614923116608148</v>
      </c>
      <c r="FU18" s="4">
        <v>6.1151193530313233</v>
      </c>
      <c r="FV18" s="4">
        <v>6.1702106275750159</v>
      </c>
      <c r="FW18" s="4">
        <v>6.2270441379049757</v>
      </c>
      <c r="FX18" s="4">
        <v>6.2859160530276927</v>
      </c>
      <c r="FY18" s="4">
        <v>6.3471266145221614</v>
      </c>
      <c r="FZ18" s="4">
        <v>6.4109459858383389</v>
      </c>
      <c r="GA18" s="4">
        <v>6.4775576526621332</v>
      </c>
      <c r="GB18" s="4">
        <v>6.5469974607043424</v>
      </c>
      <c r="GC18" s="4">
        <v>6.6191259019504143</v>
      </c>
      <c r="GD18" s="4">
        <v>6.6936551403111348</v>
      </c>
      <c r="GE18" s="4">
        <v>6.7702092548495454</v>
      </c>
      <c r="GF18" s="4">
        <v>6.8483800566759099</v>
      </c>
      <c r="GG18" s="4">
        <v>6.9277603563103654</v>
      </c>
      <c r="GH18" s="4">
        <v>7.0079570309171304</v>
      </c>
      <c r="GI18" s="4">
        <v>7.0885922381430682</v>
      </c>
      <c r="GJ18" s="4">
        <v>7.1692991395780439</v>
      </c>
      <c r="GK18" s="4">
        <v>7.2497154847246286</v>
      </c>
      <c r="GL18" s="4">
        <v>7.3294765079275663</v>
      </c>
      <c r="GM18" s="4">
        <v>7.4082077920188087</v>
      </c>
      <c r="GN18" s="4">
        <v>7.4855187832156664</v>
      </c>
      <c r="GO18" s="4">
        <v>7.5609985240507438</v>
      </c>
      <c r="GP18" s="4">
        <v>7.6342172185135819</v>
      </c>
      <c r="GQ18" s="4">
        <v>7.7047404815304184</v>
      </c>
      <c r="GR18" s="4">
        <v>7.7721652549936477</v>
      </c>
      <c r="GS18" s="4">
        <v>7.8361799224924873</v>
      </c>
      <c r="GT18" s="4">
        <v>7.8966291440374876</v>
      </c>
      <c r="GU18" s="4">
        <v>7.9535429442837042</v>
      </c>
      <c r="GV18" s="4">
        <v>8.0071069147384648</v>
      </c>
      <c r="GW18" s="4">
        <v>8.0575966235171048</v>
      </c>
      <c r="GX18" s="4">
        <v>8.1053166490252284</v>
      </c>
      <c r="GY18" s="4">
        <v>8.1505636575320093</v>
      </c>
      <c r="GZ18" s="4">
        <v>8.1936109202453942</v>
      </c>
      <c r="HA18" s="4">
        <v>8.2347051971279939</v>
      </c>
      <c r="HB18" s="4">
        <v>8.2740690237589085</v>
      </c>
      <c r="HC18" s="4">
        <v>8.3119046600807955</v>
      </c>
      <c r="HD18" s="4">
        <v>8.348398022135779</v>
      </c>
      <c r="HE18" s="4">
        <v>8.3837219095212152</v>
      </c>
      <c r="HF18" s="4">
        <v>8.4180382268146055</v>
      </c>
      <c r="HG18" s="4">
        <v>8.4514990068535063</v>
      </c>
      <c r="HH18" s="4">
        <v>8.4842460790615579</v>
      </c>
      <c r="HI18" s="4">
        <v>8.5164093344489302</v>
      </c>
      <c r="HJ18" s="4">
        <v>8.5481038320758085</v>
      </c>
      <c r="HK18" s="4">
        <v>8.5794264703166903</v>
      </c>
      <c r="HL18" s="4">
        <v>8.6104533852085599</v>
      </c>
      <c r="HM18" s="4">
        <v>8.641239237445518</v>
      </c>
      <c r="HN18" s="4">
        <v>8.6718188991911376</v>
      </c>
      <c r="HO18" s="4">
        <v>8.7022110815827869</v>
      </c>
      <c r="HP18" s="4">
        <v>8.7324227967956674</v>
      </c>
      <c r="HQ18" s="4">
        <v>8.7624535545610769</v>
      </c>
      <c r="HR18" s="4">
        <v>8.7922986417865161</v>
      </c>
      <c r="HS18" s="4">
        <v>8.821951323998384</v>
      </c>
      <c r="HT18" s="4">
        <v>8.8514041094730693</v>
      </c>
      <c r="HU18" s="4">
        <v>8.8806493200968628</v>
      </c>
      <c r="HV18" s="4">
        <v>8.909679199101241</v>
      </c>
      <c r="HW18" s="4">
        <v>8.9384857313311059</v>
      </c>
      <c r="HX18" s="4">
        <v>8.9670602998564881</v>
      </c>
      <c r="HY18" s="4">
        <v>8.9953932712637545</v>
      </c>
      <c r="HZ18" s="4">
        <v>9.0234735954767071</v>
      </c>
      <c r="IA18" s="4">
        <v>9.0512885220377637</v>
      </c>
      <c r="IB18" s="4">
        <v>9.0788235635172025</v>
      </c>
      <c r="IC18" s="4">
        <v>9.1060628579231668</v>
      </c>
      <c r="ID18" s="4">
        <v>9.1329900666662649</v>
      </c>
      <c r="IE18" s="4">
        <v>9.1595898664955744</v>
      </c>
      <c r="IF18" s="4">
        <v>9.1858499488082597</v>
      </c>
      <c r="IG18" s="4">
        <v>9.2117632608707591</v>
      </c>
      <c r="IH18" s="4">
        <v>9.2373300765009425</v>
      </c>
      <c r="II18" s="4">
        <v>9.2625594403700777</v>
      </c>
      <c r="IJ18" s="4">
        <v>9.287469630562315</v>
      </c>
      <c r="IK18" s="4">
        <v>9.3120875087484318</v>
      </c>
      <c r="IL18" s="4">
        <v>9.3364468975876918</v>
      </c>
      <c r="IM18" s="4">
        <v>9.3605863398816815</v>
      </c>
    </row>
    <row r="19" spans="2:247" x14ac:dyDescent="0.35">
      <c r="B19" s="58">
        <v>0.03</v>
      </c>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v>3.4273571009646582</v>
      </c>
      <c r="DW19" s="4">
        <v>3.4670798699744401</v>
      </c>
      <c r="DX19" s="4">
        <v>3.5068147386152129</v>
      </c>
      <c r="DY19" s="4">
        <v>3.546572277187225</v>
      </c>
      <c r="DZ19" s="4">
        <v>3.5863654401614271</v>
      </c>
      <c r="EA19" s="4">
        <v>3.6262100298947888</v>
      </c>
      <c r="EB19" s="4">
        <v>3.666125251936982</v>
      </c>
      <c r="EC19" s="4">
        <v>3.7061343824945339</v>
      </c>
      <c r="ED19" s="4">
        <v>3.7462655746531199</v>
      </c>
      <c r="EE19" s="4">
        <v>3.7865528383620251</v>
      </c>
      <c r="EF19" s="4">
        <v>3.827037240984561</v>
      </c>
      <c r="EG19" s="4">
        <v>3.867768391731373</v>
      </c>
      <c r="EH19" s="4">
        <v>3.9088062958345748</v>
      </c>
      <c r="EI19" s="4">
        <v>3.9502236929353218</v>
      </c>
      <c r="EJ19" s="4">
        <v>3.9921090233211962</v>
      </c>
      <c r="EK19" s="4">
        <v>4.0345701710345709</v>
      </c>
      <c r="EL19" s="4">
        <v>4.0777390328238274</v>
      </c>
      <c r="EM19" s="4">
        <v>4.1217765143452887</v>
      </c>
      <c r="EN19" s="4">
        <v>4.1668761313526357</v>
      </c>
      <c r="EO19" s="4">
        <v>4.2132607688084649</v>
      </c>
      <c r="EP19" s="4">
        <v>4.2611608163750443</v>
      </c>
      <c r="EQ19" s="4">
        <v>4.3107602641105593</v>
      </c>
      <c r="ER19" s="4">
        <v>4.3621222398928676</v>
      </c>
      <c r="ES19" s="4">
        <v>4.4151506565245162</v>
      </c>
      <c r="ET19" s="4">
        <v>4.4696280952429754</v>
      </c>
      <c r="EU19" s="4">
        <v>4.5252897745118226</v>
      </c>
      <c r="EV19" s="4">
        <v>4.581876909420048</v>
      </c>
      <c r="EW19" s="4">
        <v>4.6391579485208156</v>
      </c>
      <c r="EX19" s="4">
        <v>4.6969310645079148</v>
      </c>
      <c r="EY19" s="4">
        <v>4.755019628312799</v>
      </c>
      <c r="EZ19" s="4">
        <v>4.8132660446088336</v>
      </c>
      <c r="FA19" s="4">
        <v>4.8715256799294213</v>
      </c>
      <c r="FB19" s="4">
        <v>4.9296611683691207</v>
      </c>
      <c r="FC19" s="4">
        <v>4.9875369275524024</v>
      </c>
      <c r="FD19" s="4">
        <v>5.0450136922064068</v>
      </c>
      <c r="FE19" s="4">
        <v>5.1019432144430796</v>
      </c>
      <c r="FF19" s="4">
        <v>5.1581643800956067</v>
      </c>
      <c r="FG19" s="4">
        <v>5.2135047464649276</v>
      </c>
      <c r="FH19" s="4">
        <v>5.2677962957773108</v>
      </c>
      <c r="FI19" s="4">
        <v>5.32091544731749</v>
      </c>
      <c r="FJ19" s="4">
        <v>5.3728386587581447</v>
      </c>
      <c r="FK19" s="4">
        <v>5.4236709714401119</v>
      </c>
      <c r="FL19" s="4">
        <v>5.4736173085610957</v>
      </c>
      <c r="FM19" s="4">
        <v>5.5229267314211654</v>
      </c>
      <c r="FN19" s="4">
        <v>5.571852315110176</v>
      </c>
      <c r="FO19" s="4">
        <v>5.6206353335307746</v>
      </c>
      <c r="FP19" s="4">
        <v>5.6695037381435283</v>
      </c>
      <c r="FQ19" s="4">
        <v>5.7186761736827858</v>
      </c>
      <c r="FR19" s="4">
        <v>5.768367577098175</v>
      </c>
      <c r="FS19" s="4">
        <v>5.8187951797866697</v>
      </c>
      <c r="FT19" s="4">
        <v>5.8701848517317288</v>
      </c>
      <c r="FU19" s="4">
        <v>5.9227780731315756</v>
      </c>
      <c r="FV19" s="4">
        <v>5.9768397405884777</v>
      </c>
      <c r="FW19" s="4">
        <v>6.0326663175058481</v>
      </c>
      <c r="FX19" s="4">
        <v>6.0905916085029004</v>
      </c>
      <c r="FY19" s="4">
        <v>6.1509817939149247</v>
      </c>
      <c r="FZ19" s="4">
        <v>6.2142015182190784</v>
      </c>
      <c r="GA19" s="4">
        <v>6.2805302751717473</v>
      </c>
      <c r="GB19" s="4">
        <v>6.3500469267008599</v>
      </c>
      <c r="GC19" s="4">
        <v>6.4225702495050756</v>
      </c>
      <c r="GD19" s="4">
        <v>6.4977177413981426</v>
      </c>
      <c r="GE19" s="4">
        <v>6.5750204231292448</v>
      </c>
      <c r="GF19" s="4">
        <v>6.6540057066415539</v>
      </c>
      <c r="GG19" s="4">
        <v>6.7342304515717606</v>
      </c>
      <c r="GH19" s="4">
        <v>6.8152849160443196</v>
      </c>
      <c r="GI19" s="4">
        <v>6.896785741761768</v>
      </c>
      <c r="GJ19" s="4">
        <v>6.9783662500884773</v>
      </c>
      <c r="GK19" s="4">
        <v>7.0596666549957607</v>
      </c>
      <c r="GL19" s="4">
        <v>7.1403245409569092</v>
      </c>
      <c r="GM19" s="4">
        <v>7.2199652500336784</v>
      </c>
      <c r="GN19" s="4">
        <v>7.2981918338026848</v>
      </c>
      <c r="GO19" s="4">
        <v>7.3745749805685676</v>
      </c>
      <c r="GP19" s="4">
        <v>7.4486457477350756</v>
      </c>
      <c r="GQ19" s="4">
        <v>7.5199000176016817</v>
      </c>
      <c r="GR19" s="4">
        <v>7.5878341913694536</v>
      </c>
      <c r="GS19" s="4">
        <v>7.6520343895067189</v>
      </c>
      <c r="GT19" s="4">
        <v>7.7122999451759338</v>
      </c>
      <c r="GU19" s="4">
        <v>7.7687066704593057</v>
      </c>
      <c r="GV19" s="4">
        <v>7.8215429600950976</v>
      </c>
      <c r="GW19" s="4">
        <v>7.8711856233592901</v>
      </c>
      <c r="GX19" s="4">
        <v>7.9180099145732354</v>
      </c>
      <c r="GY19" s="4">
        <v>7.9623529146364067</v>
      </c>
      <c r="GZ19" s="4">
        <v>8.0045079155806</v>
      </c>
      <c r="HA19" s="4">
        <v>8.0447301837200769</v>
      </c>
      <c r="HB19" s="4">
        <v>8.0832450287823541</v>
      </c>
      <c r="HC19" s="4">
        <v>8.1202551313517279</v>
      </c>
      <c r="HD19" s="4">
        <v>8.1559464205022234</v>
      </c>
      <c r="HE19" s="4">
        <v>8.1904924807174346</v>
      </c>
      <c r="HF19" s="4">
        <v>8.2240575407165757</v>
      </c>
      <c r="HG19" s="4">
        <v>8.2567979615372522</v>
      </c>
      <c r="HH19" s="4">
        <v>8.2888619731479629</v>
      </c>
      <c r="HI19" s="4">
        <v>8.3203873720817043</v>
      </c>
      <c r="HJ19" s="4">
        <v>8.3514972162892853</v>
      </c>
      <c r="HK19" s="4">
        <v>8.3822943952861237</v>
      </c>
      <c r="HL19" s="4">
        <v>8.4128570054309719</v>
      </c>
      <c r="HM19" s="4">
        <v>8.4432367660934773</v>
      </c>
      <c r="HN19" s="4">
        <v>8.473461513550447</v>
      </c>
      <c r="HO19" s="4">
        <v>8.5035407904404146</v>
      </c>
      <c r="HP19" s="4">
        <v>8.5334723546259976</v>
      </c>
      <c r="HQ19" s="4">
        <v>8.5632477477131008</v>
      </c>
      <c r="HR19" s="4">
        <v>8.5928561325012396</v>
      </c>
      <c r="HS19" s="4">
        <v>8.6222864763545974</v>
      </c>
      <c r="HT19" s="4">
        <v>8.6515285174772885</v>
      </c>
      <c r="HU19" s="4">
        <v>8.6805729609121496</v>
      </c>
      <c r="HV19" s="4">
        <v>8.7094112309157374</v>
      </c>
      <c r="HW19" s="4">
        <v>8.7380349807126176</v>
      </c>
      <c r="HX19" s="4">
        <v>8.7664354718988715</v>
      </c>
      <c r="HY19" s="4">
        <v>8.7946028901957884</v>
      </c>
      <c r="HZ19" s="4">
        <v>8.8225256598240556</v>
      </c>
      <c r="IA19" s="4">
        <v>8.8501898530566638</v>
      </c>
      <c r="IB19" s="4">
        <v>8.87757885615361</v>
      </c>
      <c r="IC19" s="4">
        <v>8.9046735214874584</v>
      </c>
      <c r="ID19" s="4">
        <v>8.9314530574849709</v>
      </c>
      <c r="IE19" s="4">
        <v>8.95789682396674</v>
      </c>
      <c r="IF19" s="4">
        <v>8.9839869842692792</v>
      </c>
      <c r="IG19" s="4">
        <v>9.0097116622448628</v>
      </c>
      <c r="IH19" s="4">
        <v>9.035067977145637</v>
      </c>
      <c r="II19" s="4">
        <v>9.0600642199137091</v>
      </c>
      <c r="IJ19" s="4">
        <v>9.0847205786067029</v>
      </c>
      <c r="IK19" s="4">
        <v>9.109068195219109</v>
      </c>
      <c r="IL19" s="4">
        <v>9.1331467962724329</v>
      </c>
      <c r="IM19" s="4">
        <v>9.1570014917340004</v>
      </c>
    </row>
    <row r="20" spans="2:247" x14ac:dyDescent="0.35">
      <c r="B20" s="58">
        <v>0.04</v>
      </c>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v>3.2505049055307702</v>
      </c>
      <c r="DW20" s="4">
        <v>3.2903221073888238</v>
      </c>
      <c r="DX20" s="4">
        <v>3.3301399346807088</v>
      </c>
      <c r="DY20" s="4">
        <v>3.3699671271450908</v>
      </c>
      <c r="DZ20" s="4">
        <v>3.4098145897863659</v>
      </c>
      <c r="EA20" s="4">
        <v>3.449695834457668</v>
      </c>
      <c r="EB20" s="4">
        <v>3.4896275112914679</v>
      </c>
      <c r="EC20" s="4">
        <v>3.5296300505170048</v>
      </c>
      <c r="ED20" s="4">
        <v>3.5697284414821722</v>
      </c>
      <c r="EE20" s="4">
        <v>3.6099531847858302</v>
      </c>
      <c r="EF20" s="4">
        <v>3.6503414669530292</v>
      </c>
      <c r="EG20" s="4">
        <v>3.6909386277175789</v>
      </c>
      <c r="EH20" s="4">
        <v>3.7318000220927678</v>
      </c>
      <c r="EI20" s="4">
        <v>3.7729934300365628</v>
      </c>
      <c r="EJ20" s="4">
        <v>3.8146022461592239</v>
      </c>
      <c r="EK20" s="4">
        <v>3.856729802692612</v>
      </c>
      <c r="EL20" s="4">
        <v>3.8995053379247699</v>
      </c>
      <c r="EM20" s="4">
        <v>3.9430922181876209</v>
      </c>
      <c r="EN20" s="4">
        <v>3.9876984989569508</v>
      </c>
      <c r="EO20" s="4">
        <v>4.0335864794096743</v>
      </c>
      <c r="EP20" s="4">
        <v>4.0810648661364786</v>
      </c>
      <c r="EQ20" s="4">
        <v>4.1304210370513896</v>
      </c>
      <c r="ER20" s="4">
        <v>4.1817720184441214</v>
      </c>
      <c r="ES20" s="4">
        <v>4.2349689188266026</v>
      </c>
      <c r="ET20" s="4">
        <v>4.2896920603320297</v>
      </c>
      <c r="EU20" s="4">
        <v>4.3455995435644006</v>
      </c>
      <c r="EV20" s="4">
        <v>4.4023944763676024</v>
      </c>
      <c r="EW20" s="4">
        <v>4.4598322221582301</v>
      </c>
      <c r="EX20" s="4">
        <v>4.5177101358075733</v>
      </c>
      <c r="EY20" s="4">
        <v>4.575856114928567</v>
      </c>
      <c r="EZ20" s="4">
        <v>4.6341192312027752</v>
      </c>
      <c r="FA20" s="4">
        <v>4.692362236312297</v>
      </c>
      <c r="FB20" s="4">
        <v>4.7504551535898827</v>
      </c>
      <c r="FC20" s="4">
        <v>4.8082691704309752</v>
      </c>
      <c r="FD20" s="4">
        <v>4.8656700848855081</v>
      </c>
      <c r="FE20" s="4">
        <v>4.9225106077721366</v>
      </c>
      <c r="FF20" s="4">
        <v>4.9786212941489696</v>
      </c>
      <c r="FG20" s="4">
        <v>5.0338025101065922</v>
      </c>
      <c r="FH20" s="4">
        <v>5.0878296820848794</v>
      </c>
      <c r="FI20" s="4">
        <v>5.1405037500063422</v>
      </c>
      <c r="FJ20" s="4">
        <v>5.1917628752031906</v>
      </c>
      <c r="FK20" s="4">
        <v>5.2417540279732178</v>
      </c>
      <c r="FL20" s="4">
        <v>5.2907612141480982</v>
      </c>
      <c r="FM20" s="4">
        <v>5.3390935932743124</v>
      </c>
      <c r="FN20" s="4">
        <v>5.38703487780095</v>
      </c>
      <c r="FO20" s="4">
        <v>5.4348379813529171</v>
      </c>
      <c r="FP20" s="4">
        <v>5.4827330220156574</v>
      </c>
      <c r="FQ20" s="4">
        <v>5.5309364735081559</v>
      </c>
      <c r="FR20" s="4">
        <v>5.5796591182130566</v>
      </c>
      <c r="FS20" s="4">
        <v>5.6291131187466998</v>
      </c>
      <c r="FT20" s="4">
        <v>5.6795190441423049</v>
      </c>
      <c r="FU20" s="4">
        <v>5.7311138042724696</v>
      </c>
      <c r="FV20" s="4">
        <v>5.7841605749251936</v>
      </c>
      <c r="FW20" s="4">
        <v>5.8389618548934967</v>
      </c>
      <c r="FX20" s="4">
        <v>5.8958759263749387</v>
      </c>
      <c r="FY20" s="4">
        <v>5.9553316300495123</v>
      </c>
      <c r="FZ20" s="4">
        <v>6.0178161206791909</v>
      </c>
      <c r="GA20" s="4">
        <v>6.0837697383754206</v>
      </c>
      <c r="GB20" s="4">
        <v>6.1533548678116521</v>
      </c>
      <c r="GC20" s="4">
        <v>6.226307751602004</v>
      </c>
      <c r="GD20" s="4">
        <v>6.3020860829285699</v>
      </c>
      <c r="GE20" s="4">
        <v>6.3800995214492566</v>
      </c>
      <c r="GF20" s="4">
        <v>6.4598141322697611</v>
      </c>
      <c r="GG20" s="4">
        <v>6.5407638349258983</v>
      </c>
      <c r="GH20" s="4">
        <v>6.622534674733461</v>
      </c>
      <c r="GI20" s="4">
        <v>6.7047471792106297</v>
      </c>
      <c r="GJ20" s="4">
        <v>6.7870417866683681</v>
      </c>
      <c r="GK20" s="4">
        <v>6.8690669265934723</v>
      </c>
      <c r="GL20" s="4">
        <v>6.9504683868864046</v>
      </c>
      <c r="GM20" s="4">
        <v>7.0308785495558332</v>
      </c>
      <c r="GN20" s="4">
        <v>7.1099040577784614</v>
      </c>
      <c r="GO20" s="4">
        <v>7.1871105050826412</v>
      </c>
      <c r="GP20" s="4">
        <v>7.2620037330369138</v>
      </c>
      <c r="GQ20" s="4">
        <v>7.3340131238799398</v>
      </c>
      <c r="GR20" s="4">
        <v>7.4025040618258267</v>
      </c>
      <c r="GS20" s="4">
        <v>7.4668903207876234</v>
      </c>
      <c r="GT20" s="4">
        <v>7.5268819527145894</v>
      </c>
      <c r="GU20" s="4">
        <v>7.5826440088159996</v>
      </c>
      <c r="GV20" s="4">
        <v>7.6346372773889133</v>
      </c>
      <c r="GW20" s="4">
        <v>7.6833698151023828</v>
      </c>
      <c r="GX20" s="4">
        <v>7.7292838950607301</v>
      </c>
      <c r="GY20" s="4">
        <v>7.772742742006324</v>
      </c>
      <c r="GZ20" s="4">
        <v>7.8140462218416973</v>
      </c>
      <c r="HA20" s="4">
        <v>7.8534482036655531</v>
      </c>
      <c r="HB20" s="4">
        <v>7.8911700449430784</v>
      </c>
      <c r="HC20" s="4">
        <v>7.9274103589850586</v>
      </c>
      <c r="HD20" s="4">
        <v>7.9623520672012909</v>
      </c>
      <c r="HE20" s="4">
        <v>7.9961675194313786</v>
      </c>
      <c r="HF20" s="4">
        <v>8.029022084503854</v>
      </c>
      <c r="HG20" s="4">
        <v>8.061076207117722</v>
      </c>
      <c r="HH20" s="4">
        <v>8.0924854956129053</v>
      </c>
      <c r="HI20" s="4">
        <v>8.1233980545133484</v>
      </c>
      <c r="HJ20" s="4">
        <v>8.1539484237749953</v>
      </c>
      <c r="HK20" s="4">
        <v>8.1842488119539851</v>
      </c>
      <c r="HL20" s="4">
        <v>8.2143807753645142</v>
      </c>
      <c r="HM20" s="4">
        <v>8.2443919428546657</v>
      </c>
      <c r="HN20" s="4">
        <v>8.2743001152186331</v>
      </c>
      <c r="HO20" s="4">
        <v>8.3041024627620335</v>
      </c>
      <c r="HP20" s="4">
        <v>8.3337852793435498</v>
      </c>
      <c r="HQ20" s="4">
        <v>8.3633312105645388</v>
      </c>
      <c r="HR20" s="4">
        <v>8.3927233589629164</v>
      </c>
      <c r="HS20" s="4">
        <v>8.4219470271694004</v>
      </c>
      <c r="HT20" s="4">
        <v>8.4509900601045942</v>
      </c>
      <c r="HU20" s="4">
        <v>8.4798424790792186</v>
      </c>
      <c r="HV20" s="4">
        <v>8.5084957990552397</v>
      </c>
      <c r="HW20" s="4">
        <v>8.5369422120619891</v>
      </c>
      <c r="HX20" s="4">
        <v>8.5651737015234115</v>
      </c>
      <c r="HY20" s="4">
        <v>8.5931810984761245</v>
      </c>
      <c r="HZ20" s="4">
        <v>8.6209530889440575</v>
      </c>
      <c r="IA20" s="4">
        <v>8.6484752358786139</v>
      </c>
      <c r="IB20" s="4">
        <v>8.675729194763603</v>
      </c>
      <c r="IC20" s="4">
        <v>8.7026924565207615</v>
      </c>
      <c r="ID20" s="4">
        <v>8.7293390630340113</v>
      </c>
      <c r="IE20" s="4">
        <v>8.7556416822469032</v>
      </c>
      <c r="IF20" s="4">
        <v>8.7815751152888293</v>
      </c>
      <c r="IG20" s="4">
        <v>8.8071207919999601</v>
      </c>
      <c r="IH20" s="4">
        <v>8.8322712965891217</v>
      </c>
      <c r="II20" s="4">
        <v>8.8570337116069293</v>
      </c>
      <c r="IJ20" s="4">
        <v>8.8814307662291654</v>
      </c>
      <c r="IK20" s="4">
        <v>8.9054994139690304</v>
      </c>
      <c r="IL20" s="4">
        <v>8.9292872748424674</v>
      </c>
      <c r="IM20" s="4">
        <v>8.9528479679764743</v>
      </c>
    </row>
    <row r="21" spans="2:247" x14ac:dyDescent="0.35">
      <c r="B21" s="58">
        <v>0.05</v>
      </c>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v>3.074329599031123</v>
      </c>
      <c r="DW21" s="4">
        <v>3.11427869575382</v>
      </c>
      <c r="DX21" s="4">
        <v>3.1542193720696412</v>
      </c>
      <c r="DY21" s="4">
        <v>3.19415868037304</v>
      </c>
      <c r="DZ21" s="4">
        <v>3.234105621241429</v>
      </c>
      <c r="EA21" s="4">
        <v>3.2740715606891762</v>
      </c>
      <c r="EB21" s="4">
        <v>3.3140707343014482</v>
      </c>
      <c r="EC21" s="4">
        <v>3.3541208578544959</v>
      </c>
      <c r="ED21" s="4">
        <v>3.3942438697866808</v>
      </c>
      <c r="EE21" s="4">
        <v>3.4344668392405309</v>
      </c>
      <c r="EF21" s="4">
        <v>3.4748230859935259</v>
      </c>
      <c r="EG21" s="4">
        <v>3.515353578335318</v>
      </c>
      <c r="EH21" s="4">
        <v>3.5561087070843622</v>
      </c>
      <c r="EI21" s="4">
        <v>3.5971505883052579</v>
      </c>
      <c r="EJ21" s="4">
        <v>3.6385561429561619</v>
      </c>
      <c r="EK21" s="4">
        <v>3.680421376897137</v>
      </c>
      <c r="EL21" s="4">
        <v>3.722867617581016</v>
      </c>
      <c r="EM21" s="4">
        <v>3.7660511080563022</v>
      </c>
      <c r="EN21" s="4">
        <v>3.8101785316498318</v>
      </c>
      <c r="EO21" s="4">
        <v>3.8555322298615531</v>
      </c>
      <c r="EP21" s="4">
        <v>3.902501449733907</v>
      </c>
      <c r="EQ21" s="4">
        <v>3.9515485374059289</v>
      </c>
      <c r="ER21" s="4">
        <v>4.0029133130158332</v>
      </c>
      <c r="ES21" s="4">
        <v>4.0563249582327696</v>
      </c>
      <c r="ET21" s="4">
        <v>4.1112897298490081</v>
      </c>
      <c r="EU21" s="4">
        <v>4.1673861649703952</v>
      </c>
      <c r="EV21" s="4">
        <v>4.2242984231528551</v>
      </c>
      <c r="EW21" s="4">
        <v>4.2817845018009288</v>
      </c>
      <c r="EX21" s="4">
        <v>4.3396503705560026</v>
      </c>
      <c r="EY21" s="4">
        <v>4.3977336358295673</v>
      </c>
      <c r="EZ21" s="4">
        <v>4.4558928954935517</v>
      </c>
      <c r="FA21" s="4">
        <v>4.5140000908614342</v>
      </c>
      <c r="FB21" s="4">
        <v>4.5719342623889698</v>
      </c>
      <c r="FC21" s="4">
        <v>4.6295756263852317</v>
      </c>
      <c r="FD21" s="4">
        <v>4.6867989708894777</v>
      </c>
      <c r="FE21" s="4">
        <v>4.7434650580926148</v>
      </c>
      <c r="FF21" s="4">
        <v>4.7994079334837823</v>
      </c>
      <c r="FG21" s="4">
        <v>4.8544152019462112</v>
      </c>
      <c r="FH21" s="4">
        <v>4.9082039504813828</v>
      </c>
      <c r="FI21" s="4">
        <v>4.9604457322137048</v>
      </c>
      <c r="FJ21" s="4">
        <v>5.0109885799183456</v>
      </c>
      <c r="FK21" s="4">
        <v>5.060073437068783</v>
      </c>
      <c r="FL21" s="4">
        <v>5.1081175149962652</v>
      </c>
      <c r="FM21" s="4">
        <v>5.1554920762313312</v>
      </c>
      <c r="FN21" s="4">
        <v>5.2024972668438414</v>
      </c>
      <c r="FO21" s="4">
        <v>5.2493860450026197</v>
      </c>
      <c r="FP21" s="4">
        <v>5.2963838145224802</v>
      </c>
      <c r="FQ21" s="4">
        <v>5.3437011199291966</v>
      </c>
      <c r="FR21" s="4">
        <v>5.3915423994737823</v>
      </c>
      <c r="FS21" s="4">
        <v>5.4401129859742827</v>
      </c>
      <c r="FT21" s="4">
        <v>5.4896258148394219</v>
      </c>
      <c r="FU21" s="4">
        <v>5.5403090885642987</v>
      </c>
      <c r="FV21" s="4">
        <v>5.5924164152437221</v>
      </c>
      <c r="FW21" s="4">
        <v>5.6462418077335634</v>
      </c>
      <c r="FX21" s="4">
        <v>5.7021436773745346</v>
      </c>
      <c r="FY21" s="4">
        <v>5.7605837585478898</v>
      </c>
      <c r="FZ21" s="4">
        <v>5.822175357806179</v>
      </c>
      <c r="GA21" s="4">
        <v>5.8876307558432384</v>
      </c>
      <c r="GB21" s="4">
        <v>5.9573026828151026</v>
      </c>
      <c r="GC21" s="4">
        <v>6.0307375367006486</v>
      </c>
      <c r="GD21" s="4">
        <v>6.1071216243548534</v>
      </c>
      <c r="GE21" s="4">
        <v>6.1857391175462446</v>
      </c>
      <c r="GF21" s="4">
        <v>6.2660240233701092</v>
      </c>
      <c r="GG21" s="4">
        <v>6.3475112113085999</v>
      </c>
      <c r="GH21" s="4">
        <v>6.4297966203992676</v>
      </c>
      <c r="GI21" s="4">
        <v>6.5125121861350586</v>
      </c>
      <c r="GJ21" s="4">
        <v>6.5953094538020292</v>
      </c>
      <c r="GK21" s="4">
        <v>6.6778475959753703</v>
      </c>
      <c r="GL21" s="4">
        <v>6.7597832095479493</v>
      </c>
      <c r="GM21" s="4">
        <v>6.8407599740013989</v>
      </c>
      <c r="GN21" s="4">
        <v>6.9203962137200392</v>
      </c>
      <c r="GO21" s="4">
        <v>6.9982676051227548</v>
      </c>
      <c r="GP21" s="4">
        <v>7.0738804638602453</v>
      </c>
      <c r="GQ21" s="4">
        <v>7.1466291513337836</v>
      </c>
      <c r="GR21" s="4">
        <v>7.2157435719810232</v>
      </c>
      <c r="GS21" s="4">
        <v>7.280345152404502</v>
      </c>
      <c r="GT21" s="4">
        <v>7.3399392225769908</v>
      </c>
      <c r="GU21" s="4">
        <v>7.394894784099332</v>
      </c>
      <c r="GV21" s="4">
        <v>7.4459642804309958</v>
      </c>
      <c r="GW21" s="4">
        <v>7.4937907214438049</v>
      </c>
      <c r="GX21" s="4">
        <v>7.5388511405549341</v>
      </c>
      <c r="GY21" s="4">
        <v>7.5815084184145416</v>
      </c>
      <c r="GZ21" s="4">
        <v>7.6220530200162013</v>
      </c>
      <c r="HA21" s="4">
        <v>7.660728583695505</v>
      </c>
      <c r="HB21" s="4">
        <v>7.6977476840239243</v>
      </c>
      <c r="HC21" s="4">
        <v>7.7333021077423902</v>
      </c>
      <c r="HD21" s="4">
        <v>7.7675700152587597</v>
      </c>
      <c r="HE21" s="4">
        <v>7.8007212475564298</v>
      </c>
      <c r="HF21" s="4">
        <v>7.8329213809520128</v>
      </c>
      <c r="HG21" s="4">
        <v>7.8643345975127623</v>
      </c>
      <c r="HH21" s="4">
        <v>7.8951247763662877</v>
      </c>
      <c r="HI21" s="4">
        <v>7.9254533047884888</v>
      </c>
      <c r="HJ21" s="4">
        <v>7.9554714325628799</v>
      </c>
      <c r="HK21" s="4">
        <v>7.9853063937317463</v>
      </c>
      <c r="HL21" s="4">
        <v>8.0150459567113899</v>
      </c>
      <c r="HM21" s="4">
        <v>8.0447315507780495</v>
      </c>
      <c r="HN21" s="4">
        <v>8.0743658761989998</v>
      </c>
      <c r="HO21" s="4">
        <v>8.1039291385034566</v>
      </c>
      <c r="HP21" s="4">
        <v>8.1333938116921249</v>
      </c>
      <c r="HQ21" s="4">
        <v>8.1627333332554528</v>
      </c>
      <c r="HR21" s="4">
        <v>8.191925590004379</v>
      </c>
      <c r="HS21" s="4">
        <v>8.2209534861913305</v>
      </c>
      <c r="HT21" s="4">
        <v>8.249804262495358</v>
      </c>
      <c r="HU21" s="4">
        <v>8.2784684166413633</v>
      </c>
      <c r="HV21" s="4">
        <v>8.3069385688674373</v>
      </c>
      <c r="HW21" s="4">
        <v>8.3352083646263875</v>
      </c>
      <c r="HX21" s="4">
        <v>8.3632713921498514</v>
      </c>
      <c r="HY21" s="4">
        <v>8.3911200422331778</v>
      </c>
      <c r="HZ21" s="4">
        <v>8.4187442315597369</v>
      </c>
      <c r="IA21" s="4">
        <v>8.446129970167874</v>
      </c>
      <c r="IB21" s="4">
        <v>8.4732579234646757</v>
      </c>
      <c r="IC21" s="4">
        <v>8.5001024143653989</v>
      </c>
      <c r="ID21" s="4">
        <v>8.5266316206949373</v>
      </c>
      <c r="IE21" s="4">
        <v>8.5528097795499605</v>
      </c>
      <c r="IF21" s="4">
        <v>8.5786017712460492</v>
      </c>
      <c r="IG21" s="4">
        <v>8.6039795746151881</v>
      </c>
      <c r="IH21" s="4">
        <v>8.6289291306788378</v>
      </c>
      <c r="II21" s="4">
        <v>8.653455591859375</v>
      </c>
      <c r="IJ21" s="4">
        <v>8.6775851677655798</v>
      </c>
      <c r="IK21" s="4">
        <v>8.7013628918606383</v>
      </c>
      <c r="IL21" s="4">
        <v>8.7248471194892652</v>
      </c>
      <c r="IM21" s="4">
        <v>8.7481025853980992</v>
      </c>
    </row>
    <row r="22" spans="2:247" x14ac:dyDescent="0.35">
      <c r="B22" s="58">
        <v>0.06</v>
      </c>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v>2.8988153006854418</v>
      </c>
      <c r="DW22" s="4">
        <v>2.9389346781168109</v>
      </c>
      <c r="DX22" s="4">
        <v>2.9790393143021561</v>
      </c>
      <c r="DY22" s="4">
        <v>3.0191347792428411</v>
      </c>
      <c r="DZ22" s="4">
        <v>3.0592283903132622</v>
      </c>
      <c r="EA22" s="4">
        <v>3.0993296076556769</v>
      </c>
      <c r="EB22" s="4">
        <v>3.139450514325647</v>
      </c>
      <c r="EC22" s="4">
        <v>3.1796064000422368</v>
      </c>
      <c r="ED22" s="4">
        <v>3.219816472503608</v>
      </c>
      <c r="EE22" s="4">
        <v>3.260104727456079</v>
      </c>
      <c r="EF22" s="4">
        <v>3.3005010193845452</v>
      </c>
      <c r="EG22" s="4">
        <v>3.3410423912042959</v>
      </c>
      <c r="EH22" s="4">
        <v>3.3817747480609111</v>
      </c>
      <c r="EI22" s="4">
        <v>3.4227550057011888</v>
      </c>
      <c r="EJ22" s="4">
        <v>3.4640539248725171</v>
      </c>
      <c r="EK22" s="4">
        <v>3.5057599965519128</v>
      </c>
      <c r="EL22" s="4">
        <v>3.547985054655229</v>
      </c>
      <c r="EM22" s="4">
        <v>3.5908729877926748</v>
      </c>
      <c r="EN22" s="4">
        <v>3.634614666563047</v>
      </c>
      <c r="EO22" s="4">
        <v>3.679477298992607</v>
      </c>
      <c r="EP22" s="4">
        <v>3.7258732640027068</v>
      </c>
      <c r="EQ22" s="4">
        <v>3.7745040289817489</v>
      </c>
      <c r="ER22" s="4">
        <v>3.825946538988326</v>
      </c>
      <c r="ES22" s="4">
        <v>3.8795933800684561</v>
      </c>
      <c r="ET22" s="4">
        <v>3.9347122448786571</v>
      </c>
      <c r="EU22" s="4">
        <v>3.9908591536329472</v>
      </c>
      <c r="EV22" s="4">
        <v>4.0477341070834392</v>
      </c>
      <c r="EW22" s="4">
        <v>4.1051117587794286</v>
      </c>
      <c r="EX22" s="4">
        <v>4.1628114675729293</v>
      </c>
      <c r="EY22" s="4">
        <v>4.2206816347594422</v>
      </c>
      <c r="EZ22" s="4">
        <v>4.2785900464468041</v>
      </c>
      <c r="FA22" s="4">
        <v>4.336417002203266</v>
      </c>
      <c r="FB22" s="4">
        <v>4.3940496930283839</v>
      </c>
      <c r="FC22" s="4">
        <v>4.4513768689374462</v>
      </c>
      <c r="FD22" s="4">
        <v>4.5082829113347138</v>
      </c>
      <c r="FE22" s="4">
        <v>4.5646400538471061</v>
      </c>
      <c r="FF22" s="4">
        <v>4.6202962622725154</v>
      </c>
      <c r="FG22" s="4">
        <v>4.6750524959680284</v>
      </c>
      <c r="FH22" s="4">
        <v>4.7286104358684549</v>
      </c>
      <c r="FI22" s="4">
        <v>4.7804638432958484</v>
      </c>
      <c r="FJ22" s="4">
        <v>4.8302093584176866</v>
      </c>
      <c r="FK22" s="4">
        <v>4.8783434317605803</v>
      </c>
      <c r="FL22" s="4">
        <v>4.9254651663450826</v>
      </c>
      <c r="FM22" s="4">
        <v>4.9719652979706819</v>
      </c>
      <c r="FN22" s="4">
        <v>5.0181346272884353</v>
      </c>
      <c r="FO22" s="4">
        <v>5.0642161060495194</v>
      </c>
      <c r="FP22" s="4">
        <v>5.1104274317617708</v>
      </c>
      <c r="FQ22" s="4">
        <v>5.1569730953521304</v>
      </c>
      <c r="FR22" s="4">
        <v>5.2040522073453079</v>
      </c>
      <c r="FS22" s="4">
        <v>5.2518646690091906</v>
      </c>
      <c r="FT22" s="4">
        <v>5.3006170715949494</v>
      </c>
      <c r="FU22" s="4">
        <v>5.3505294253335229</v>
      </c>
      <c r="FV22" s="4">
        <v>5.4018440720880259</v>
      </c>
      <c r="FW22" s="4">
        <v>5.4548391005052306</v>
      </c>
      <c r="FX22" s="4">
        <v>5.5098512290500281</v>
      </c>
      <c r="FY22" s="4">
        <v>5.5673209905656877</v>
      </c>
      <c r="FZ22" s="4">
        <v>5.6278991387038433</v>
      </c>
      <c r="GA22" s="4">
        <v>5.6926695482552931</v>
      </c>
      <c r="GB22" s="4">
        <v>5.7625076746183161</v>
      </c>
      <c r="GC22" s="4">
        <v>5.8364370576899613</v>
      </c>
      <c r="GD22" s="4">
        <v>5.9132723195895318</v>
      </c>
      <c r="GE22" s="4">
        <v>5.9922601814338217</v>
      </c>
      <c r="GF22" s="4">
        <v>6.0728559860441766</v>
      </c>
      <c r="GG22" s="4">
        <v>6.1546166281155497</v>
      </c>
      <c r="GH22" s="4">
        <v>6.2371545771499992</v>
      </c>
      <c r="GI22" s="4">
        <v>6.3201140145581558</v>
      </c>
      <c r="GJ22" s="4">
        <v>6.4031561673182704</v>
      </c>
      <c r="GK22" s="4">
        <v>6.4859487453428297</v>
      </c>
      <c r="GL22" s="4">
        <v>6.5681569594866769</v>
      </c>
      <c r="GM22" s="4">
        <v>6.6494344186247014</v>
      </c>
      <c r="GN22" s="4">
        <v>6.7294121677458847</v>
      </c>
      <c r="GO22" s="4">
        <v>6.8076832084536107</v>
      </c>
      <c r="GP22" s="4">
        <v>6.8837770607683044</v>
      </c>
      <c r="GQ22" s="4">
        <v>6.9571105022089448</v>
      </c>
      <c r="GR22" s="4">
        <v>7.0268725980990743</v>
      </c>
      <c r="GS22" s="4">
        <v>7.0917845713765866</v>
      </c>
      <c r="GT22" s="4">
        <v>7.1507889652374272</v>
      </c>
      <c r="GU22" s="4">
        <v>7.2048158977570198</v>
      </c>
      <c r="GV22" s="4">
        <v>7.2550163982530123</v>
      </c>
      <c r="GW22" s="4">
        <v>7.3020728081648532</v>
      </c>
      <c r="GX22" s="4">
        <v>7.346438416802699</v>
      </c>
      <c r="GY22" s="4">
        <v>7.3884518414145646</v>
      </c>
      <c r="GZ22" s="4">
        <v>7.4283855541606982</v>
      </c>
      <c r="HA22" s="4">
        <v>7.4664703727523083</v>
      </c>
      <c r="HB22" s="4">
        <v>7.502909674945065</v>
      </c>
      <c r="HC22" s="4">
        <v>7.5378886125872091</v>
      </c>
      <c r="HD22" s="4">
        <v>7.5715807021002206</v>
      </c>
      <c r="HE22" s="4">
        <v>7.6041530118466572</v>
      </c>
      <c r="HF22" s="4">
        <v>7.6357706124770344</v>
      </c>
      <c r="HG22" s="4">
        <v>7.6666005389224079</v>
      </c>
      <c r="HH22" s="4">
        <v>7.6968148391189528</v>
      </c>
      <c r="HI22" s="4">
        <v>7.7265907673109666</v>
      </c>
      <c r="HJ22" s="4">
        <v>7.7561034335376853</v>
      </c>
      <c r="HK22" s="4">
        <v>7.785505057204368</v>
      </c>
      <c r="HL22" s="4">
        <v>7.8148949302986788</v>
      </c>
      <c r="HM22" s="4">
        <v>7.8443038585648637</v>
      </c>
      <c r="HN22" s="4">
        <v>7.8737103879954136</v>
      </c>
      <c r="HO22" s="4">
        <v>7.9030715525118724</v>
      </c>
      <c r="HP22" s="4">
        <v>7.9323444221714174</v>
      </c>
      <c r="HQ22" s="4">
        <v>7.9614944036222663</v>
      </c>
      <c r="HR22" s="4">
        <v>7.9904962188945401</v>
      </c>
      <c r="HS22" s="4">
        <v>8.0193323522291262</v>
      </c>
      <c r="HT22" s="4">
        <v>8.0479910529810468</v>
      </c>
      <c r="HU22" s="4">
        <v>8.0764645400254675</v>
      </c>
      <c r="HV22" s="4">
        <v>8.1047475103351072</v>
      </c>
      <c r="HW22" s="4">
        <v>8.1328358815310597</v>
      </c>
      <c r="HX22" s="4">
        <v>8.1607256408741495</v>
      </c>
      <c r="HY22" s="4">
        <v>8.1884116376288425</v>
      </c>
      <c r="HZ22" s="4">
        <v>8.2158861239880991</v>
      </c>
      <c r="IA22" s="4">
        <v>8.2431368650707277</v>
      </c>
      <c r="IB22" s="4">
        <v>8.2701448196667293</v>
      </c>
      <c r="IC22" s="4">
        <v>8.2968818823584876</v>
      </c>
      <c r="ID22" s="4">
        <v>8.3233098997698871</v>
      </c>
      <c r="IE22" s="4">
        <v>8.3493825823108736</v>
      </c>
      <c r="IF22" s="4">
        <v>8.3750513549932428</v>
      </c>
      <c r="IG22" s="4">
        <v>8.400274667636662</v>
      </c>
      <c r="IH22" s="4">
        <v>8.4250285622692438</v>
      </c>
      <c r="II22" s="4">
        <v>8.4493151121993435</v>
      </c>
      <c r="IJ22" s="4">
        <v>8.4731654650167325</v>
      </c>
      <c r="IK22" s="4">
        <v>8.4966361834544752</v>
      </c>
      <c r="IL22" s="4">
        <v>8.5198004669472134</v>
      </c>
      <c r="IM22" s="4">
        <v>8.5427376382622437</v>
      </c>
    </row>
    <row r="23" spans="2:247" x14ac:dyDescent="0.35">
      <c r="B23" s="58">
        <v>7.0000000000000007E-2</v>
      </c>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v>2.7239397657895532</v>
      </c>
      <c r="DW23" s="4">
        <v>2.7642680694495851</v>
      </c>
      <c r="DX23" s="4">
        <v>2.804578245748782</v>
      </c>
      <c r="DY23" s="4">
        <v>2.8448746331643662</v>
      </c>
      <c r="DZ23" s="4">
        <v>2.8851631432563321</v>
      </c>
      <c r="EA23" s="4">
        <v>2.9254516399237538</v>
      </c>
      <c r="EB23" s="4">
        <v>2.965750403681275</v>
      </c>
      <c r="EC23" s="4">
        <v>3.006072700180193</v>
      </c>
      <c r="ED23" s="4">
        <v>3.0464354771600308</v>
      </c>
      <c r="EE23" s="4">
        <v>3.086860220850538</v>
      </c>
      <c r="EF23" s="4">
        <v>3.1273740126806029</v>
      </c>
      <c r="EG23" s="4">
        <v>3.1680108419980102</v>
      </c>
      <c r="EH23" s="4">
        <v>3.2088132540454781</v>
      </c>
      <c r="EI23" s="4">
        <v>3.249834451660893</v>
      </c>
      <c r="EJ23" s="4">
        <v>3.291141037940887</v>
      </c>
      <c r="EK23" s="4">
        <v>3.3328167146242751</v>
      </c>
      <c r="EL23" s="4">
        <v>3.3749675036666291</v>
      </c>
      <c r="EM23" s="4">
        <v>3.4177296050338581</v>
      </c>
      <c r="EN23" s="4">
        <v>3.4612823283326581</v>
      </c>
      <c r="EO23" s="4">
        <v>3.5058723609035369</v>
      </c>
      <c r="EP23" s="4">
        <v>3.5518703835818348</v>
      </c>
      <c r="EQ23" s="4">
        <v>3.6</v>
      </c>
      <c r="ER23" s="4">
        <v>3.6515605543328551</v>
      </c>
      <c r="ES23" s="4">
        <v>3.7052223508860682</v>
      </c>
      <c r="ET23" s="4">
        <v>3.7602310762726829</v>
      </c>
      <c r="EU23" s="4">
        <v>3.8161846056713169</v>
      </c>
      <c r="EV23" s="4">
        <v>3.87280366013329</v>
      </c>
      <c r="EW23" s="4">
        <v>3.9298747163211059</v>
      </c>
      <c r="EX23" s="4">
        <v>3.9872251720024359</v>
      </c>
      <c r="EY23" s="4">
        <v>4.0447097136969123</v>
      </c>
      <c r="EZ23" s="4">
        <v>4.1022015625716621</v>
      </c>
      <c r="FA23" s="4">
        <v>4.1595860682748436</v>
      </c>
      <c r="FB23" s="4">
        <v>4.2167553906689061</v>
      </c>
      <c r="FC23" s="4">
        <v>4.2736034559563558</v>
      </c>
      <c r="FD23" s="4">
        <v>4.3300204329598149</v>
      </c>
      <c r="FE23" s="4">
        <v>4.3858856892766909</v>
      </c>
      <c r="FF23" s="4">
        <v>4.4410572569395601</v>
      </c>
      <c r="FG23" s="4">
        <v>4.495352998044007</v>
      </c>
      <c r="FH23" s="4">
        <v>4.5485075911439381</v>
      </c>
      <c r="FI23" s="4">
        <v>4.6000000000000014</v>
      </c>
      <c r="FJ23" s="4">
        <v>4.6488855928642021</v>
      </c>
      <c r="FK23" s="4">
        <v>4.6962065035091562</v>
      </c>
      <c r="FL23" s="4">
        <v>4.7425810469953946</v>
      </c>
      <c r="FM23" s="4">
        <v>4.7883713792961116</v>
      </c>
      <c r="FN23" s="4">
        <v>4.8338558135393406</v>
      </c>
      <c r="FO23" s="4">
        <v>4.8792716326507799</v>
      </c>
      <c r="FP23" s="4">
        <v>4.9248337515589551</v>
      </c>
      <c r="FQ23" s="4">
        <v>4.9707451336544022</v>
      </c>
      <c r="FR23" s="4">
        <v>5.0172038133406032</v>
      </c>
      <c r="FS23" s="4">
        <v>5.0644085640837702</v>
      </c>
      <c r="FT23" s="4">
        <v>5.1125643654829824</v>
      </c>
      <c r="FU23" s="4">
        <v>5.1618886142945319</v>
      </c>
      <c r="FV23" s="4">
        <v>5.2126192303762604</v>
      </c>
      <c r="FW23" s="4">
        <v>5.2650265626383446</v>
      </c>
      <c r="FX23" s="4">
        <v>5.3194330054849122</v>
      </c>
      <c r="FY23" s="4">
        <v>5.3762501392697919</v>
      </c>
      <c r="FZ23" s="4">
        <v>5.4360660591127026</v>
      </c>
      <c r="GA23" s="4">
        <v>5.4999999999999991</v>
      </c>
      <c r="GB23" s="4">
        <v>5.5700476278753852</v>
      </c>
      <c r="GC23" s="4">
        <v>5.6441114091938509</v>
      </c>
      <c r="GD23" s="4">
        <v>5.7209697654493921</v>
      </c>
      <c r="GE23" s="4">
        <v>5.7999312819391644</v>
      </c>
      <c r="GF23" s="4">
        <v>5.8804795317812841</v>
      </c>
      <c r="GG23" s="4">
        <v>5.9621851139920494</v>
      </c>
      <c r="GH23" s="4">
        <v>6.044667757571033</v>
      </c>
      <c r="GI23" s="4">
        <v>6.1275757729939322</v>
      </c>
      <c r="GJ23" s="4">
        <v>6.2105729603329092</v>
      </c>
      <c r="GK23" s="4">
        <v>6.2933289479854224</v>
      </c>
      <c r="GL23" s="4">
        <v>6.3755108751996774</v>
      </c>
      <c r="GM23" s="4">
        <v>6.4567749650302471</v>
      </c>
      <c r="GN23" s="4">
        <v>6.536756504709734</v>
      </c>
      <c r="GO23" s="4">
        <v>6.6150560381987429</v>
      </c>
      <c r="GP23" s="4">
        <v>6.6912174739781118</v>
      </c>
      <c r="GQ23" s="4">
        <v>6.7646874966689374</v>
      </c>
      <c r="GR23" s="4">
        <v>6.8347211253885094</v>
      </c>
      <c r="GS23" s="4">
        <v>6.9</v>
      </c>
      <c r="GT23" s="4">
        <v>6.9582607395706946</v>
      </c>
      <c r="GU23" s="4">
        <v>7.0116367329243392</v>
      </c>
      <c r="GV23" s="4">
        <v>7.0613159539689834</v>
      </c>
      <c r="GW23" s="4">
        <v>7.1079121833440944</v>
      </c>
      <c r="GX23" s="4">
        <v>7.1518462480491793</v>
      </c>
      <c r="GY23" s="4">
        <v>7.1934399004725069</v>
      </c>
      <c r="GZ23" s="4">
        <v>7.2329557113670537</v>
      </c>
      <c r="HA23" s="4">
        <v>7.2706180732346732</v>
      </c>
      <c r="HB23" s="4">
        <v>7.3066258382546172</v>
      </c>
      <c r="HC23" s="4">
        <v>7.3411607555027594</v>
      </c>
      <c r="HD23" s="4">
        <v>7.3743936904703071</v>
      </c>
      <c r="HE23" s="4">
        <v>7.4064897435157153</v>
      </c>
      <c r="HF23" s="4">
        <v>7.4376130259886306</v>
      </c>
      <c r="HG23" s="4">
        <v>7.467931695248617</v>
      </c>
      <c r="HH23" s="4">
        <v>7.4976235889107121</v>
      </c>
      <c r="HI23" s="4">
        <v>7.5268815096397068</v>
      </c>
      <c r="HJ23" s="4">
        <v>7.5559120254525673</v>
      </c>
      <c r="HK23" s="4">
        <v>7.5849100613318088</v>
      </c>
      <c r="HL23" s="4">
        <v>7.6139979948990337</v>
      </c>
      <c r="HM23" s="4">
        <v>7.643185494908777</v>
      </c>
      <c r="HN23" s="4">
        <v>7.6724103151379026</v>
      </c>
      <c r="HO23" s="4">
        <v>7.7015998724331123</v>
      </c>
      <c r="HP23" s="4">
        <v>7.7306974157108357</v>
      </c>
      <c r="HQ23" s="4">
        <v>7.7596641278754976</v>
      </c>
      <c r="HR23" s="4">
        <v>7.7884749553401944</v>
      </c>
      <c r="HS23" s="4">
        <v>7.817114396197951</v>
      </c>
      <c r="HT23" s="4">
        <v>7.845573332707005</v>
      </c>
      <c r="HU23" s="4">
        <v>7.8738467717928913</v>
      </c>
      <c r="HV23" s="4">
        <v>7.901932210216394</v>
      </c>
      <c r="HW23" s="4">
        <v>7.9298283876523001</v>
      </c>
      <c r="HX23" s="4">
        <v>7.9575342279429062</v>
      </c>
      <c r="HY23" s="4">
        <v>7.9850477505325959</v>
      </c>
      <c r="HZ23" s="4">
        <v>8.0123646472568968</v>
      </c>
      <c r="IA23" s="4">
        <v>8.0394760972020798</v>
      </c>
      <c r="IB23" s="4">
        <v>8.0663654251259729</v>
      </c>
      <c r="IC23" s="4">
        <v>8.093003846146356</v>
      </c>
      <c r="ID23" s="4">
        <v>8.1193470716187655</v>
      </c>
      <c r="IE23" s="4">
        <v>8.1453359625524993</v>
      </c>
      <c r="IF23" s="4">
        <v>8.1709037087657883</v>
      </c>
      <c r="IG23" s="4">
        <v>8.1959892200769495</v>
      </c>
      <c r="IH23" s="4">
        <v>8.2205535417705722</v>
      </c>
      <c r="II23" s="4">
        <v>8.2445937974429953</v>
      </c>
      <c r="IJ23" s="4">
        <v>8.2681484262122602</v>
      </c>
      <c r="IK23" s="4">
        <v>8.2912908977611117</v>
      </c>
      <c r="IL23" s="4">
        <v>8.314115219515319</v>
      </c>
      <c r="IM23" s="4">
        <v>8.3367198126940902</v>
      </c>
    </row>
    <row r="24" spans="2:247" x14ac:dyDescent="0.35">
      <c r="B24" s="58">
        <v>0.08</v>
      </c>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v>2.5496742058768</v>
      </c>
      <c r="DW24" s="4">
        <v>2.5902496200152521</v>
      </c>
      <c r="DX24" s="4">
        <v>2.6308065639561362</v>
      </c>
      <c r="DY24" s="4">
        <v>2.671348421378096</v>
      </c>
      <c r="DZ24" s="4">
        <v>2.7118800055758379</v>
      </c>
      <c r="EA24" s="4">
        <v>2.7524079291954009</v>
      </c>
      <c r="EB24" s="4">
        <v>2.792941062121741</v>
      </c>
      <c r="EC24" s="4">
        <v>2.8334910985930102</v>
      </c>
      <c r="ED24" s="4">
        <v>2.8740732602166679</v>
      </c>
      <c r="EE24" s="4">
        <v>2.9147071692466868</v>
      </c>
      <c r="EF24" s="4">
        <v>2.955417937500513</v>
      </c>
      <c r="EG24" s="4">
        <v>2.9962375329207211</v>
      </c>
      <c r="EH24" s="4">
        <v>3.03720651227251</v>
      </c>
      <c r="EI24" s="4">
        <v>3.0783762530914092</v>
      </c>
      <c r="EJ24" s="4">
        <v>3.1198118976512181</v>
      </c>
      <c r="EK24" s="4">
        <v>3.161596373066534</v>
      </c>
      <c r="EL24" s="4">
        <v>3.2038361608914419</v>
      </c>
      <c r="EM24" s="4">
        <v>3.246670181496</v>
      </c>
      <c r="EN24" s="4">
        <v>3.290284900416371</v>
      </c>
      <c r="EO24" s="4">
        <v>3.3349438574810599</v>
      </c>
      <c r="EP24" s="4">
        <v>3.3810566553645578</v>
      </c>
      <c r="EQ24" s="4">
        <v>3.429323000554926</v>
      </c>
      <c r="ER24" s="4">
        <v>3.480319173143545</v>
      </c>
      <c r="ES24" s="4">
        <v>3.533438220498109</v>
      </c>
      <c r="ET24" s="4">
        <v>3.5879494005217958</v>
      </c>
      <c r="EU24" s="4">
        <v>3.6434113304050069</v>
      </c>
      <c r="EV24" s="4">
        <v>3.699527525383842</v>
      </c>
      <c r="EW24" s="4">
        <v>3.75607692621722</v>
      </c>
      <c r="EX24" s="4">
        <v>3.8128837897317021</v>
      </c>
      <c r="EY24" s="4">
        <v>3.869801860266048</v>
      </c>
      <c r="EZ24" s="4">
        <v>3.9267045545120132</v>
      </c>
      <c r="FA24" s="4">
        <v>3.98347795005744</v>
      </c>
      <c r="FB24" s="4">
        <v>4.0400150467464071</v>
      </c>
      <c r="FC24" s="4">
        <v>4.0962103440264492</v>
      </c>
      <c r="FD24" s="4">
        <v>4.1519538495246584</v>
      </c>
      <c r="FE24" s="4">
        <v>4.2071232603838666</v>
      </c>
      <c r="FF24" s="4">
        <v>4.2615718243484757</v>
      </c>
      <c r="FG24" s="4">
        <v>4.3151055983888309</v>
      </c>
      <c r="FH24" s="4">
        <v>4.3674311852050653</v>
      </c>
      <c r="FI24" s="4">
        <v>4.418047107045993</v>
      </c>
      <c r="FJ24" s="4">
        <v>4.466554621413529</v>
      </c>
      <c r="FK24" s="4">
        <v>4.5134546684120327</v>
      </c>
      <c r="FL24" s="4">
        <v>4.5593507244059213</v>
      </c>
      <c r="FM24" s="4">
        <v>4.6046377873879356</v>
      </c>
      <c r="FN24" s="4">
        <v>4.6496108063167787</v>
      </c>
      <c r="FO24" s="4">
        <v>4.6945167561176397</v>
      </c>
      <c r="FP24" s="4">
        <v>4.7395772124827529</v>
      </c>
      <c r="FQ24" s="4">
        <v>4.7850003714880387</v>
      </c>
      <c r="FR24" s="4">
        <v>4.8309888403886054</v>
      </c>
      <c r="FS24" s="4">
        <v>4.8777457672649902</v>
      </c>
      <c r="FT24" s="4">
        <v>4.9254806941874882</v>
      </c>
      <c r="FU24" s="4">
        <v>4.9744162373733731</v>
      </c>
      <c r="FV24" s="4">
        <v>5.0247969502771586</v>
      </c>
      <c r="FW24" s="4">
        <v>5.0769026906678256</v>
      </c>
      <c r="FX24" s="4">
        <v>5.1310714593790996</v>
      </c>
      <c r="FY24" s="4">
        <v>5.1877445466682914</v>
      </c>
      <c r="FZ24" s="4">
        <v>5.247572908689218</v>
      </c>
      <c r="GA24" s="4">
        <v>5.3116400480078809</v>
      </c>
      <c r="GB24" s="4">
        <v>5.3808204649009692</v>
      </c>
      <c r="GC24" s="4">
        <v>5.454136165719663</v>
      </c>
      <c r="GD24" s="4">
        <v>5.530399678140439</v>
      </c>
      <c r="GE24" s="4">
        <v>5.6088550983159724</v>
      </c>
      <c r="GF24" s="4">
        <v>5.6889546559956772</v>
      </c>
      <c r="GG24" s="4">
        <v>5.7702516977928404</v>
      </c>
      <c r="GH24" s="4">
        <v>5.8523547721035882</v>
      </c>
      <c r="GI24" s="4">
        <v>5.9349038349628067</v>
      </c>
      <c r="GJ24" s="4">
        <v>6.0175556569186028</v>
      </c>
      <c r="GK24" s="4">
        <v>6.0999733357036776</v>
      </c>
      <c r="GL24" s="4">
        <v>6.1818173893121342</v>
      </c>
      <c r="GM24" s="4">
        <v>6.2627367257172679</v>
      </c>
      <c r="GN24" s="4">
        <v>6.3423577491798584</v>
      </c>
      <c r="GO24" s="4">
        <v>6.4202689427733297</v>
      </c>
      <c r="GP24" s="4">
        <v>6.4959954845119441</v>
      </c>
      <c r="GQ24" s="4">
        <v>6.568950031806164</v>
      </c>
      <c r="GR24" s="4">
        <v>6.6383177871879786</v>
      </c>
      <c r="GS24" s="4">
        <v>6.702816392813598</v>
      </c>
      <c r="GT24" s="4">
        <v>6.7613851065021251</v>
      </c>
      <c r="GU24" s="4">
        <v>6.8149510580408066</v>
      </c>
      <c r="GV24" s="4">
        <v>6.8646625752091293</v>
      </c>
      <c r="GW24" s="4">
        <v>6.9111995620254838</v>
      </c>
      <c r="GX24" s="4">
        <v>6.9550130992855568</v>
      </c>
      <c r="GY24" s="4">
        <v>6.9964397765625908</v>
      </c>
      <c r="GZ24" s="4">
        <v>7.0357501582035482</v>
      </c>
      <c r="HA24" s="4">
        <v>7.0731732010044883</v>
      </c>
      <c r="HB24" s="4">
        <v>7.1089103877920472</v>
      </c>
      <c r="HC24" s="4">
        <v>7.1431448653595293</v>
      </c>
      <c r="HD24" s="4">
        <v>7.1760479995997173</v>
      </c>
      <c r="HE24" s="4">
        <v>7.2077846651584743</v>
      </c>
      <c r="HF24" s="4">
        <v>7.2385181921815116</v>
      </c>
      <c r="HG24" s="4">
        <v>7.268415891355505</v>
      </c>
      <c r="HH24" s="4">
        <v>7.2976564427469883</v>
      </c>
      <c r="HI24" s="4">
        <v>7.3264410427838893</v>
      </c>
      <c r="HJ24" s="4">
        <v>7.3550080770048778</v>
      </c>
      <c r="HK24" s="4">
        <v>7.3836245433619103</v>
      </c>
      <c r="HL24" s="4">
        <v>7.4124659794903396</v>
      </c>
      <c r="HM24" s="4">
        <v>7.4414919441768568</v>
      </c>
      <c r="HN24" s="4">
        <v>7.4705711723843571</v>
      </c>
      <c r="HO24" s="4">
        <v>7.4996023274516332</v>
      </c>
      <c r="HP24" s="4">
        <v>7.5285233479048914</v>
      </c>
      <c r="HQ24" s="4">
        <v>7.5572976933821092</v>
      </c>
      <c r="HR24" s="4">
        <v>7.585904340610746</v>
      </c>
      <c r="HS24" s="4">
        <v>7.6143318667482571</v>
      </c>
      <c r="HT24" s="4">
        <v>7.6425748783874319</v>
      </c>
      <c r="HU24" s="4">
        <v>7.670631733060004</v>
      </c>
      <c r="HV24" s="4">
        <v>7.6985030027939434</v>
      </c>
      <c r="HW24" s="4">
        <v>7.7261903818690403</v>
      </c>
      <c r="HX24" s="4">
        <v>7.7536958476846198</v>
      </c>
      <c r="HY24" s="4">
        <v>7.7810208826737579</v>
      </c>
      <c r="HZ24" s="4">
        <v>7.8081654263063953</v>
      </c>
      <c r="IA24" s="4">
        <v>7.8351258764182754</v>
      </c>
      <c r="IB24" s="4">
        <v>7.861890982541496</v>
      </c>
      <c r="IC24" s="4">
        <v>7.8884347612308972</v>
      </c>
      <c r="ID24" s="4">
        <v>7.9147084402599788</v>
      </c>
      <c r="IE24" s="4">
        <v>7.9406378179531298</v>
      </c>
      <c r="IF24" s="4">
        <v>7.9661316727718212</v>
      </c>
      <c r="IG24" s="4">
        <v>7.9911007256501314</v>
      </c>
      <c r="IH24" s="4">
        <v>8.01548291482362</v>
      </c>
      <c r="II24" s="4">
        <v>8.0392672007625965</v>
      </c>
      <c r="IJ24" s="4">
        <v>8.0625032862712835</v>
      </c>
      <c r="IK24" s="4">
        <v>8.0852901424196624</v>
      </c>
      <c r="IL24" s="4">
        <v>8.1077511198352692</v>
      </c>
      <c r="IM24" s="4">
        <v>8.1300092450375594</v>
      </c>
    </row>
    <row r="25" spans="2:247" x14ac:dyDescent="0.35">
      <c r="B25" s="58">
        <v>0.09</v>
      </c>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v>2.375983259494252</v>
      </c>
      <c r="DW25" s="4">
        <v>2.416842757586092</v>
      </c>
      <c r="DX25" s="4">
        <v>2.4576864864938499</v>
      </c>
      <c r="DY25" s="4">
        <v>2.4985171560414732</v>
      </c>
      <c r="DZ25" s="4">
        <v>2.5393387908287148</v>
      </c>
      <c r="EA25" s="4">
        <v>2.580157095280776</v>
      </c>
      <c r="EB25" s="4">
        <v>2.6209799119753292</v>
      </c>
      <c r="EC25" s="4">
        <v>2.6618177972411852</v>
      </c>
      <c r="ED25" s="4">
        <v>2.7026847448018061</v>
      </c>
      <c r="EE25" s="4">
        <v>2.7435990975629809</v>
      </c>
      <c r="EF25" s="4">
        <v>2.7845847010034581</v>
      </c>
      <c r="EG25" s="4">
        <v>2.8256723717028769</v>
      </c>
      <c r="EH25" s="4">
        <v>2.8669017863187909</v>
      </c>
      <c r="EI25" s="4">
        <v>2.908323949343754</v>
      </c>
      <c r="EJ25" s="4">
        <v>2.9500044910414789</v>
      </c>
      <c r="EK25" s="4">
        <v>2.9920282181593612</v>
      </c>
      <c r="EL25" s="4">
        <v>3.0345056675750279</v>
      </c>
      <c r="EM25" s="4">
        <v>3.0775830510773381</v>
      </c>
      <c r="EN25" s="4">
        <v>3.121458145791888</v>
      </c>
      <c r="EO25" s="4">
        <v>3.166405868437149</v>
      </c>
      <c r="EP25" s="4">
        <v>3.212809842043403</v>
      </c>
      <c r="EQ25" s="4">
        <v>3.2611288442547099</v>
      </c>
      <c r="ER25" s="4">
        <v>3.311601348775842</v>
      </c>
      <c r="ES25" s="4">
        <v>3.3639574754099231</v>
      </c>
      <c r="ET25" s="4">
        <v>3.4177066567790901</v>
      </c>
      <c r="EU25" s="4">
        <v>3.4724326934112719</v>
      </c>
      <c r="EV25" s="4">
        <v>3.527826859151145</v>
      </c>
      <c r="EW25" s="4">
        <v>3.5836558175218269</v>
      </c>
      <c r="EX25" s="4">
        <v>3.6397354229561598</v>
      </c>
      <c r="EY25" s="4">
        <v>3.6959140461252602</v>
      </c>
      <c r="EZ25" s="4">
        <v>3.7520616079475468</v>
      </c>
      <c r="FA25" s="4">
        <v>3.808061648212266</v>
      </c>
      <c r="FB25" s="4">
        <v>3.8638048472722959</v>
      </c>
      <c r="FC25" s="4">
        <v>3.919182923458477</v>
      </c>
      <c r="FD25" s="4">
        <v>3.974081903969124</v>
      </c>
      <c r="FE25" s="4">
        <v>4.0283734517780436</v>
      </c>
      <c r="FF25" s="4">
        <v>4.0819021409170873</v>
      </c>
      <c r="FG25" s="4">
        <v>4.1344657308896009</v>
      </c>
      <c r="FH25" s="4">
        <v>4.185791109909399</v>
      </c>
      <c r="FI25" s="4">
        <v>4.2355593119833461</v>
      </c>
      <c r="FJ25" s="4">
        <v>4.2836275674081552</v>
      </c>
      <c r="FK25" s="4">
        <v>4.3302457673527046</v>
      </c>
      <c r="FL25" s="4">
        <v>4.3758398453348128</v>
      </c>
      <c r="FM25" s="4">
        <v>4.4207895714642964</v>
      </c>
      <c r="FN25" s="4">
        <v>4.4654033795867303</v>
      </c>
      <c r="FO25" s="4">
        <v>4.509942273239699</v>
      </c>
      <c r="FP25" s="4">
        <v>4.5546394190735464</v>
      </c>
      <c r="FQ25" s="4">
        <v>4.5997127851631987</v>
      </c>
      <c r="FR25" s="4">
        <v>4.6453738223881222</v>
      </c>
      <c r="FS25" s="4">
        <v>4.6918343812270837</v>
      </c>
      <c r="FT25" s="4">
        <v>4.7393133264161778</v>
      </c>
      <c r="FU25" s="4">
        <v>4.7880441024018827</v>
      </c>
      <c r="FV25" s="4">
        <v>4.8382847712419803</v>
      </c>
      <c r="FW25" s="4">
        <v>4.8903329140488978</v>
      </c>
      <c r="FX25" s="4">
        <v>4.944549534559469</v>
      </c>
      <c r="FY25" s="4">
        <v>5.0013979057705278</v>
      </c>
      <c r="FZ25" s="4">
        <v>5.0614917578041583</v>
      </c>
      <c r="GA25" s="4">
        <v>5.1255426391608072</v>
      </c>
      <c r="GB25" s="4">
        <v>5.1939013749652982</v>
      </c>
      <c r="GC25" s="4">
        <v>5.2661112939507886</v>
      </c>
      <c r="GD25" s="4">
        <v>5.3413545046864233</v>
      </c>
      <c r="GE25" s="4">
        <v>5.4189099129174556</v>
      </c>
      <c r="GF25" s="4">
        <v>5.4982052777430592</v>
      </c>
      <c r="GG25" s="4">
        <v>5.5787683461232076</v>
      </c>
      <c r="GH25" s="4">
        <v>5.6601871854923003</v>
      </c>
      <c r="GI25" s="4">
        <v>5.7420852497730239</v>
      </c>
      <c r="GJ25" s="4">
        <v>5.8241051407966342</v>
      </c>
      <c r="GK25" s="4">
        <v>5.9058967780406846</v>
      </c>
      <c r="GL25" s="4">
        <v>5.987107347364315</v>
      </c>
      <c r="GM25" s="4">
        <v>6.0673711060478208</v>
      </c>
      <c r="GN25" s="4">
        <v>6.1462970829479886</v>
      </c>
      <c r="GO25" s="4">
        <v>6.2234519110462632</v>
      </c>
      <c r="GP25" s="4">
        <v>6.2983332246687196</v>
      </c>
      <c r="GQ25" s="4">
        <v>6.3703271582066678</v>
      </c>
      <c r="GR25" s="4">
        <v>6.4386559158891146</v>
      </c>
      <c r="GS25" s="4">
        <v>6.5024338022989729</v>
      </c>
      <c r="GT25" s="4">
        <v>6.5611596329579989</v>
      </c>
      <c r="GU25" s="4">
        <v>6.6151965094732992</v>
      </c>
      <c r="GV25" s="4">
        <v>6.665291574054022</v>
      </c>
      <c r="GW25" s="4">
        <v>6.7120830959664826</v>
      </c>
      <c r="GX25" s="4">
        <v>6.7560438687561533</v>
      </c>
      <c r="GY25" s="4">
        <v>6.7975329533551996</v>
      </c>
      <c r="GZ25" s="4">
        <v>6.8368373163466609</v>
      </c>
      <c r="HA25" s="4">
        <v>6.874197307294704</v>
      </c>
      <c r="HB25" s="4">
        <v>6.9098223099031033</v>
      </c>
      <c r="HC25" s="4">
        <v>6.9439009361452637</v>
      </c>
      <c r="HD25" s="4">
        <v>6.9766082060463424</v>
      </c>
      <c r="HE25" s="4">
        <v>7.0081111361908066</v>
      </c>
      <c r="HF25" s="4">
        <v>7.038573718122989</v>
      </c>
      <c r="HG25" s="4">
        <v>7.068162231658933</v>
      </c>
      <c r="HH25" s="4">
        <v>7.0970523297786174</v>
      </c>
      <c r="HI25" s="4">
        <v>7.1254411881213837</v>
      </c>
      <c r="HJ25" s="4">
        <v>7.1535749359162892</v>
      </c>
      <c r="HK25" s="4">
        <v>7.1818137654875844</v>
      </c>
      <c r="HL25" s="4">
        <v>7.2104793832699006</v>
      </c>
      <c r="HM25" s="4">
        <v>7.2393892658637782</v>
      </c>
      <c r="HN25" s="4">
        <v>7.2683230788562714</v>
      </c>
      <c r="HO25" s="4">
        <v>7.2971759477718727</v>
      </c>
      <c r="HP25" s="4">
        <v>7.3258941702328997</v>
      </c>
      <c r="HQ25" s="4">
        <v>7.3544487711131481</v>
      </c>
      <c r="HR25" s="4">
        <v>7.3828245894526638</v>
      </c>
      <c r="HS25" s="4">
        <v>7.4110148012435761</v>
      </c>
      <c r="HT25" s="4">
        <v>7.4390177637103916</v>
      </c>
      <c r="HU25" s="4">
        <v>7.46683501998106</v>
      </c>
      <c r="HV25" s="4">
        <v>7.4944699626514453</v>
      </c>
      <c r="HW25" s="4">
        <v>7.5219269204455346</v>
      </c>
      <c r="HX25" s="4">
        <v>7.5492105512395113</v>
      </c>
      <c r="HY25" s="4">
        <v>7.5763254599286523</v>
      </c>
      <c r="HZ25" s="4">
        <v>7.6032758630996344</v>
      </c>
      <c r="IA25" s="4">
        <v>7.6300646521569666</v>
      </c>
      <c r="IB25" s="4">
        <v>7.6566898373423289</v>
      </c>
      <c r="IC25" s="4">
        <v>7.6831344866638904</v>
      </c>
      <c r="ID25" s="4">
        <v>7.7093498232841267</v>
      </c>
      <c r="IE25" s="4">
        <v>7.7352449145884403</v>
      </c>
      <c r="IF25" s="4">
        <v>7.7606969196916236</v>
      </c>
      <c r="IG25" s="4">
        <v>7.7855769458942152</v>
      </c>
      <c r="IH25" s="4">
        <v>7.8097866710597348</v>
      </c>
      <c r="II25" s="4">
        <v>7.8333007577032241</v>
      </c>
      <c r="IJ25" s="4">
        <v>7.8561873432120599</v>
      </c>
      <c r="IK25" s="4">
        <v>7.8785849821099827</v>
      </c>
      <c r="IL25" s="4">
        <v>7.9006578547187942</v>
      </c>
      <c r="IM25" s="4">
        <v>7.9225593819961269</v>
      </c>
    </row>
    <row r="26" spans="2:247" x14ac:dyDescent="0.35">
      <c r="B26" s="58">
        <v>0.1</v>
      </c>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v>2.2028251215549681</v>
      </c>
      <c r="DW26" s="4">
        <v>2.2440037183965891</v>
      </c>
      <c r="DX26" s="4">
        <v>2.2851721847008331</v>
      </c>
      <c r="DY26" s="4">
        <v>2.326332821317437</v>
      </c>
      <c r="DZ26" s="4">
        <v>2.367489149759987</v>
      </c>
      <c r="EA26" s="4">
        <v>2.4086462733565059</v>
      </c>
      <c r="EB26" s="4">
        <v>2.4498113368300212</v>
      </c>
      <c r="EC26" s="4">
        <v>2.4909941112843388</v>
      </c>
      <c r="ED26" s="4">
        <v>2.5322077394568661</v>
      </c>
      <c r="EE26" s="4">
        <v>2.5734696867801068</v>
      </c>
      <c r="EF26" s="4">
        <v>2.6148029586665071</v>
      </c>
      <c r="EG26" s="4">
        <v>2.6562376658416542</v>
      </c>
      <c r="EH26" s="4">
        <v>2.6978130514491099</v>
      </c>
      <c r="EI26" s="4">
        <v>2.7395801425718238</v>
      </c>
      <c r="EJ26" s="4">
        <v>2.7816052647843832</v>
      </c>
      <c r="EK26" s="4">
        <v>2.8239747731482692</v>
      </c>
      <c r="EL26" s="4">
        <v>2.866801503761208</v>
      </c>
      <c r="EM26" s="4">
        <v>2.910233535777198</v>
      </c>
      <c r="EN26" s="4">
        <v>2.9544653205842342</v>
      </c>
      <c r="EO26" s="4">
        <v>2.9997477941102919</v>
      </c>
      <c r="EP26" s="4">
        <v>3.0463810434728549</v>
      </c>
      <c r="EQ26" s="4">
        <v>3.0946469738803928</v>
      </c>
      <c r="ER26" s="4">
        <v>3.1446605496580951</v>
      </c>
      <c r="ES26" s="4">
        <v>3.1962743266088869</v>
      </c>
      <c r="ET26" s="4">
        <v>3.249173507477209</v>
      </c>
      <c r="EU26" s="4">
        <v>3.3030242666310592</v>
      </c>
      <c r="EV26" s="4">
        <v>3.3575406020568019</v>
      </c>
      <c r="EW26" s="4">
        <v>3.41249111047772</v>
      </c>
      <c r="EX26" s="4">
        <v>3.4676881996585109</v>
      </c>
      <c r="EY26" s="4">
        <v>3.5229761109506721</v>
      </c>
      <c r="EZ26" s="4">
        <v>3.578221055488553</v>
      </c>
      <c r="FA26" s="4">
        <v>3.63330328745411</v>
      </c>
      <c r="FB26" s="4">
        <v>3.6881103431531428</v>
      </c>
      <c r="FC26" s="4">
        <v>3.7425306678808168</v>
      </c>
      <c r="FD26" s="4">
        <v>3.7964468819666051</v>
      </c>
      <c r="FE26" s="4">
        <v>3.8497279786514249</v>
      </c>
      <c r="FF26" s="4">
        <v>3.902220214641634</v>
      </c>
      <c r="FG26" s="4">
        <v>3.9537390841221942</v>
      </c>
      <c r="FH26" s="4">
        <v>4.0040746077583353</v>
      </c>
      <c r="FI26" s="4">
        <v>4.0530418430881783</v>
      </c>
      <c r="FJ26" s="4">
        <v>4.1005926540488442</v>
      </c>
      <c r="FK26" s="4">
        <v>4.1468873534233808</v>
      </c>
      <c r="FL26" s="4">
        <v>4.1922229689814419</v>
      </c>
      <c r="FM26" s="4">
        <v>4.2369213797663274</v>
      </c>
      <c r="FN26" s="4">
        <v>4.2812787080964689</v>
      </c>
      <c r="FO26" s="4">
        <v>4.3255599336051542</v>
      </c>
      <c r="FP26" s="4">
        <v>4.3700068352612309</v>
      </c>
      <c r="FQ26" s="4">
        <v>4.4148470557407782</v>
      </c>
      <c r="FR26" s="4">
        <v>4.4603019448374503</v>
      </c>
      <c r="FS26" s="4">
        <v>4.5065935023526569</v>
      </c>
      <c r="FT26" s="4">
        <v>4.5539512612097388</v>
      </c>
      <c r="FU26" s="4">
        <v>4.602620069909781</v>
      </c>
      <c r="FV26" s="4">
        <v>4.6528698629598786</v>
      </c>
      <c r="FW26" s="4">
        <v>4.7050085674342927</v>
      </c>
      <c r="FX26" s="4">
        <v>4.7593984241314651</v>
      </c>
      <c r="FY26" s="4">
        <v>4.8164706419174994</v>
      </c>
      <c r="FZ26" s="4">
        <v>4.8767130579826814</v>
      </c>
      <c r="GA26" s="4">
        <v>4.9405649452562503</v>
      </c>
      <c r="GB26" s="4">
        <v>5.0081858441236786</v>
      </c>
      <c r="GC26" s="4">
        <v>5.0793073879142847</v>
      </c>
      <c r="GD26" s="4">
        <v>5.1533809485942514</v>
      </c>
      <c r="GE26" s="4">
        <v>5.2298082460360336</v>
      </c>
      <c r="GF26" s="4">
        <v>5.30804591802824</v>
      </c>
      <c r="GG26" s="4">
        <v>5.3876171336098881</v>
      </c>
      <c r="GH26" s="4">
        <v>5.4680960563263188</v>
      </c>
      <c r="GI26" s="4">
        <v>5.5490904133762218</v>
      </c>
      <c r="GJ26" s="4">
        <v>5.630227150477765</v>
      </c>
      <c r="GK26" s="4">
        <v>5.7111407446942399</v>
      </c>
      <c r="GL26" s="4">
        <v>5.7914628031305213</v>
      </c>
      <c r="GM26" s="4">
        <v>5.8708115224510298</v>
      </c>
      <c r="GN26" s="4">
        <v>5.9487795661584748</v>
      </c>
      <c r="GO26" s="4">
        <v>6.0249189452128942</v>
      </c>
      <c r="GP26" s="4">
        <v>6.0987224840396959</v>
      </c>
      <c r="GQ26" s="4">
        <v>6.169607254898601</v>
      </c>
      <c r="GR26" s="4">
        <v>6.2369271517557792</v>
      </c>
      <c r="GS26" s="4">
        <v>6.3000853596814714</v>
      </c>
      <c r="GT26" s="4">
        <v>6.358782293117315</v>
      </c>
      <c r="GU26" s="4">
        <v>6.4131743353101287</v>
      </c>
      <c r="GV26" s="4">
        <v>6.4637145635605737</v>
      </c>
      <c r="GW26" s="4">
        <v>6.5109042390820928</v>
      </c>
      <c r="GX26" s="4">
        <v>6.5551796880286224</v>
      </c>
      <c r="GY26" s="4">
        <v>6.5968989492526191</v>
      </c>
      <c r="GZ26" s="4">
        <v>6.6363573646329943</v>
      </c>
      <c r="HA26" s="4">
        <v>6.6738048454566004</v>
      </c>
      <c r="HB26" s="4">
        <v>6.7094592939424347</v>
      </c>
      <c r="HC26" s="4">
        <v>6.7435163940586076</v>
      </c>
      <c r="HD26" s="4">
        <v>6.7761568824055631</v>
      </c>
      <c r="HE26" s="4">
        <v>6.8075522975055716</v>
      </c>
      <c r="HF26" s="4">
        <v>6.8378700359928599</v>
      </c>
      <c r="HG26" s="4">
        <v>6.8672785507746541</v>
      </c>
      <c r="HH26" s="4">
        <v>6.8959539022460126</v>
      </c>
      <c r="HI26" s="4">
        <v>6.9240902669917537</v>
      </c>
      <c r="HJ26" s="4">
        <v>6.951922697750553</v>
      </c>
      <c r="HK26" s="4">
        <v>6.9798184809464061</v>
      </c>
      <c r="HL26" s="4">
        <v>7.0083427688905209</v>
      </c>
      <c r="HM26" s="4">
        <v>7.0370745414304334</v>
      </c>
      <c r="HN26" s="4">
        <v>7.0657913774590586</v>
      </c>
      <c r="HO26" s="4">
        <v>7.094404607018145</v>
      </c>
      <c r="HP26" s="4">
        <v>7.1228688463832466</v>
      </c>
      <c r="HQ26" s="4">
        <v>7.1511603092901526</v>
      </c>
      <c r="HR26" s="4">
        <v>7.1792676408496536</v>
      </c>
      <c r="HS26" s="4">
        <v>7.207187109688741</v>
      </c>
      <c r="HT26" s="4">
        <v>7.2349197410132824</v>
      </c>
      <c r="HU26" s="4">
        <v>7.2624694580986464</v>
      </c>
      <c r="HV26" s="4">
        <v>7.2898418196575037</v>
      </c>
      <c r="HW26" s="4">
        <v>7.3170431664757931</v>
      </c>
      <c r="HX26" s="4">
        <v>7.3440801160857632</v>
      </c>
      <c r="HY26" s="4">
        <v>7.3709594412109372</v>
      </c>
      <c r="HZ26" s="4">
        <v>7.3976884517611481</v>
      </c>
      <c r="IA26" s="4">
        <v>7.4242759031369214</v>
      </c>
      <c r="IB26" s="4">
        <v>7.4507319820410913</v>
      </c>
      <c r="IC26" s="4">
        <v>7.4770589448794613</v>
      </c>
      <c r="ID26" s="4">
        <v>7.5032179117409044</v>
      </c>
      <c r="IE26" s="4">
        <v>7.5290993214867044</v>
      </c>
      <c r="IF26" s="4">
        <v>7.5545423228293593</v>
      </c>
      <c r="IG26" s="4">
        <v>7.5793674605666563</v>
      </c>
      <c r="IH26" s="4">
        <v>7.6034183789817522</v>
      </c>
      <c r="II26" s="4">
        <v>7.6266415751161052</v>
      </c>
      <c r="IJ26" s="4">
        <v>7.6491383315626802</v>
      </c>
      <c r="IK26" s="4">
        <v>7.6711102119933088</v>
      </c>
      <c r="IL26" s="4">
        <v>7.6927745705597683</v>
      </c>
      <c r="IM26" s="4">
        <v>7.7143191419908899</v>
      </c>
    </row>
    <row r="27" spans="2:247" x14ac:dyDescent="0.35">
      <c r="B27" s="58">
        <v>0.11</v>
      </c>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v>2.0301518308067741</v>
      </c>
      <c r="DW27" s="4">
        <v>2.07168186549894</v>
      </c>
      <c r="DX27" s="4">
        <v>2.1132101414948798</v>
      </c>
      <c r="DY27" s="4">
        <v>2.1547387831465792</v>
      </c>
      <c r="DZ27" s="4">
        <v>2.1962710504479692</v>
      </c>
      <c r="EA27" s="4">
        <v>2.237811691785331</v>
      </c>
      <c r="EB27" s="4">
        <v>2.279367397837937</v>
      </c>
      <c r="EC27" s="4">
        <v>2.3209473854679978</v>
      </c>
      <c r="ED27" s="4">
        <v>2.3625641487439371</v>
      </c>
      <c r="EE27" s="4">
        <v>2.4042344250019192</v>
      </c>
      <c r="EF27" s="4">
        <v>2.4459804378198209</v>
      </c>
      <c r="EG27" s="4">
        <v>2.4878314968450659</v>
      </c>
      <c r="EH27" s="4">
        <v>2.5298260573030431</v>
      </c>
      <c r="EI27" s="4">
        <v>2.572014369017718</v>
      </c>
      <c r="EJ27" s="4">
        <v>2.6144618695786521</v>
      </c>
      <c r="EK27" s="4">
        <v>2.6572534738828351</v>
      </c>
      <c r="EL27" s="4">
        <v>2.7004988007436959</v>
      </c>
      <c r="EM27" s="4">
        <v>2.744337914998868</v>
      </c>
      <c r="EN27" s="4">
        <v>2.788945723524479</v>
      </c>
      <c r="EO27" s="4">
        <v>2.8345295234606369</v>
      </c>
      <c r="EP27" s="4">
        <v>2.881307855779478</v>
      </c>
      <c r="EQ27" s="4">
        <v>2.929457180184921</v>
      </c>
      <c r="ER27" s="4">
        <v>2.9790377931221101</v>
      </c>
      <c r="ES27" s="4">
        <v>3.029955615929921</v>
      </c>
      <c r="ET27" s="4">
        <v>3.0819999657860619</v>
      </c>
      <c r="EU27" s="4">
        <v>3.1349171740580188</v>
      </c>
      <c r="EV27" s="4">
        <v>3.1884633999233492</v>
      </c>
      <c r="EW27" s="4">
        <v>3.2424251873463441</v>
      </c>
      <c r="EX27" s="4">
        <v>3.296621210979402</v>
      </c>
      <c r="EY27" s="4">
        <v>3.350897006953669</v>
      </c>
      <c r="EZ27" s="4">
        <v>3.4051181218297688</v>
      </c>
      <c r="FA27" s="4">
        <v>3.459163450352031</v>
      </c>
      <c r="FB27" s="4">
        <v>3.5129190693546879</v>
      </c>
      <c r="FC27" s="4">
        <v>3.5662724073388401</v>
      </c>
      <c r="FD27" s="4">
        <v>3.6191065514448142</v>
      </c>
      <c r="FE27" s="4">
        <v>3.6712948265278889</v>
      </c>
      <c r="FF27" s="4">
        <v>3.7226968759912729</v>
      </c>
      <c r="FG27" s="4">
        <v>3.7731602276863421</v>
      </c>
      <c r="FH27" s="4">
        <v>3.822536117042564</v>
      </c>
      <c r="FI27" s="4">
        <v>3.870719589778306</v>
      </c>
      <c r="FJ27" s="4">
        <v>3.917705196694703</v>
      </c>
      <c r="FK27" s="4">
        <v>3.9636156205048239</v>
      </c>
      <c r="FL27" s="4">
        <v>4.0086730323282884</v>
      </c>
      <c r="FM27" s="4">
        <v>4.0531433751114392</v>
      </c>
      <c r="FN27" s="4">
        <v>4.0972962306519394</v>
      </c>
      <c r="FO27" s="4">
        <v>4.1413889581946126</v>
      </c>
      <c r="FP27" s="4">
        <v>4.1856650893769984</v>
      </c>
      <c r="FQ27" s="4">
        <v>4.2303582250461824</v>
      </c>
      <c r="FR27" s="4">
        <v>4.2756974840040431</v>
      </c>
      <c r="FS27" s="4">
        <v>4.3219133288400933</v>
      </c>
      <c r="FT27" s="4">
        <v>4.3692437137239377</v>
      </c>
      <c r="FU27" s="4">
        <v>4.4179408470870696</v>
      </c>
      <c r="FV27" s="4">
        <v>4.4682787846352534</v>
      </c>
      <c r="FW27" s="4">
        <v>4.5205613715872666</v>
      </c>
      <c r="FX27" s="4">
        <v>4.5751278238097486</v>
      </c>
      <c r="FY27" s="4">
        <v>4.6323475939658803</v>
      </c>
      <c r="FZ27" s="4">
        <v>4.6925863261934886</v>
      </c>
      <c r="GA27" s="4">
        <v>4.7561221507432858</v>
      </c>
      <c r="GB27" s="4">
        <v>4.8230301625647218</v>
      </c>
      <c r="GC27" s="4">
        <v>4.8931229824460427</v>
      </c>
      <c r="GD27" s="4">
        <v>4.9660096346954568</v>
      </c>
      <c r="GE27" s="4">
        <v>5.0412104761577439</v>
      </c>
      <c r="GF27" s="4">
        <v>5.1182402437918562</v>
      </c>
      <c r="GG27" s="4">
        <v>5.1966413364082964</v>
      </c>
      <c r="GH27" s="4">
        <v>5.2759880284720628</v>
      </c>
      <c r="GI27" s="4">
        <v>5.3558797465135974</v>
      </c>
      <c r="GJ27" s="4">
        <v>5.4359316747297477</v>
      </c>
      <c r="GK27" s="4">
        <v>5.5157652854686514</v>
      </c>
      <c r="GL27" s="4">
        <v>5.5949991329448627</v>
      </c>
      <c r="GM27" s="4">
        <v>5.6732395454725957</v>
      </c>
      <c r="GN27" s="4">
        <v>5.7500708639319331</v>
      </c>
      <c r="GO27" s="4">
        <v>5.8250456301296509</v>
      </c>
      <c r="GP27" s="4">
        <v>5.897677549351739</v>
      </c>
      <c r="GQ27" s="4">
        <v>5.967446141043137</v>
      </c>
      <c r="GR27" s="4">
        <v>6.0338325893373028</v>
      </c>
      <c r="GS27" s="4">
        <v>6.0964090598408429</v>
      </c>
      <c r="GT27" s="4">
        <v>6.1549622690197356</v>
      </c>
      <c r="GU27" s="4">
        <v>6.2095567870793911</v>
      </c>
      <c r="GV27" s="4">
        <v>6.2604711419123911</v>
      </c>
      <c r="GW27" s="4">
        <v>6.3080736196699192</v>
      </c>
      <c r="GX27" s="4">
        <v>6.3527322400823572</v>
      </c>
      <c r="GY27" s="4">
        <v>6.3947780705727926</v>
      </c>
      <c r="GZ27" s="4">
        <v>6.4344995492507566</v>
      </c>
      <c r="HA27" s="4">
        <v>6.4721482215286326</v>
      </c>
      <c r="HB27" s="4">
        <v>6.507946866637158</v>
      </c>
      <c r="HC27" s="4">
        <v>6.5420970509503249</v>
      </c>
      <c r="HD27" s="4">
        <v>6.5747855494288281</v>
      </c>
      <c r="HE27" s="4">
        <v>6.6061898814696081</v>
      </c>
      <c r="HF27" s="4">
        <v>6.636483495030725</v>
      </c>
      <c r="HG27" s="4">
        <v>6.6658413947036026</v>
      </c>
      <c r="HH27" s="4">
        <v>6.6944476382004723</v>
      </c>
      <c r="HI27" s="4">
        <v>6.722508006547911</v>
      </c>
      <c r="HJ27" s="4">
        <v>6.7502768740798889</v>
      </c>
      <c r="HK27" s="4">
        <v>6.7781039140416146</v>
      </c>
      <c r="HL27" s="4">
        <v>6.8062737370057329</v>
      </c>
      <c r="HM27" s="4">
        <v>6.8346514170019406</v>
      </c>
      <c r="HN27" s="4">
        <v>6.8630377571758849</v>
      </c>
      <c r="HO27" s="4">
        <v>6.891330495410525</v>
      </c>
      <c r="HP27" s="4">
        <v>6.9194785528348941</v>
      </c>
      <c r="HQ27" s="4">
        <v>6.9474562976872232</v>
      </c>
      <c r="HR27" s="4">
        <v>6.9752522779100818</v>
      </c>
      <c r="HS27" s="4">
        <v>7.0028635148681619</v>
      </c>
      <c r="HT27" s="4">
        <v>7.0302922127838539</v>
      </c>
      <c r="HU27" s="4">
        <v>7.0575436734368839</v>
      </c>
      <c r="HV27" s="4">
        <v>7.0846248935383809</v>
      </c>
      <c r="HW27" s="4">
        <v>7.1115436109824</v>
      </c>
      <c r="HX27" s="4">
        <v>7.1383077216455106</v>
      </c>
      <c r="HY27" s="4">
        <v>7.1649251232996551</v>
      </c>
      <c r="HZ27" s="4">
        <v>7.1914042632955439</v>
      </c>
      <c r="IA27" s="4">
        <v>7.2177561969827444</v>
      </c>
      <c r="IB27" s="4">
        <v>7.2440001233398732</v>
      </c>
      <c r="IC27" s="4">
        <v>7.2701694323064032</v>
      </c>
      <c r="ID27" s="4">
        <v>7.2962577614236963</v>
      </c>
      <c r="IE27" s="4">
        <v>7.322126541911155</v>
      </c>
      <c r="IF27" s="4">
        <v>7.3475774798113687</v>
      </c>
      <c r="IG27" s="4">
        <v>7.3723847100888378</v>
      </c>
      <c r="IH27" s="4">
        <v>7.3962991065568104</v>
      </c>
      <c r="II27" s="4">
        <v>7.4192007015891299</v>
      </c>
      <c r="IJ27" s="4">
        <v>7.441261411760923</v>
      </c>
      <c r="IK27" s="4">
        <v>7.4627820628788637</v>
      </c>
      <c r="IL27" s="4">
        <v>7.4840347358410906</v>
      </c>
      <c r="IM27" s="4">
        <v>7.5052403032452268</v>
      </c>
    </row>
    <row r="28" spans="2:247" x14ac:dyDescent="0.35">
      <c r="B28" s="58">
        <v>0.12</v>
      </c>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v>1.8579097069841011</v>
      </c>
      <c r="DW28" s="4">
        <v>1.899820182690239</v>
      </c>
      <c r="DX28" s="4">
        <v>1.941739716339318</v>
      </c>
      <c r="DY28" s="4">
        <v>1.983670445165179</v>
      </c>
      <c r="DZ28" s="4">
        <v>2.0256155533596472</v>
      </c>
      <c r="EA28" s="4">
        <v>2.0675796067095149</v>
      </c>
      <c r="EB28" s="4">
        <v>2.1095689864399718</v>
      </c>
      <c r="EC28" s="4">
        <v>2.1515924509471152</v>
      </c>
      <c r="ED28" s="4">
        <v>2.1936618618348569</v>
      </c>
      <c r="EE28" s="4">
        <v>2.235793119929633</v>
      </c>
      <c r="EF28" s="4">
        <v>2.2780073674361021</v>
      </c>
      <c r="EG28" s="4">
        <v>2.3203325229512202</v>
      </c>
      <c r="EH28" s="4">
        <v>2.362805223430406</v>
      </c>
      <c r="EI28" s="4">
        <v>2.405473243291286</v>
      </c>
      <c r="EJ28" s="4">
        <v>2.448398426325229</v>
      </c>
      <c r="EK28" s="4">
        <v>2.4916600564905291</v>
      </c>
      <c r="EL28" s="4">
        <v>2.5353583119893051</v>
      </c>
      <c r="EM28" s="4">
        <v>2.5796168042396062</v>
      </c>
      <c r="EN28" s="4">
        <v>2.62458192357757</v>
      </c>
      <c r="EO28" s="4">
        <v>2.6704147450946101</v>
      </c>
      <c r="EP28" s="4">
        <v>2.717269958447829</v>
      </c>
      <c r="EQ28" s="4">
        <v>2.7652601568679098</v>
      </c>
      <c r="ER28" s="4">
        <v>2.8144170427975812</v>
      </c>
      <c r="ES28" s="4">
        <v>2.8646737320178981</v>
      </c>
      <c r="ET28" s="4">
        <v>2.9158819890834442</v>
      </c>
      <c r="EU28" s="4">
        <v>2.9678505401335809</v>
      </c>
      <c r="EV28" s="4">
        <v>3.020380258469832</v>
      </c>
      <c r="EW28" s="4">
        <v>3.073284639422329</v>
      </c>
      <c r="EX28" s="4">
        <v>3.1263971984012939</v>
      </c>
      <c r="EY28" s="4">
        <v>3.1795712916092098</v>
      </c>
      <c r="EZ28" s="4">
        <v>3.2326765644689122</v>
      </c>
      <c r="FA28" s="4">
        <v>3.2855942658646118</v>
      </c>
      <c r="FB28" s="4">
        <v>3.338212407986858</v>
      </c>
      <c r="FC28" s="4">
        <v>3.390421182884396</v>
      </c>
      <c r="FD28" s="4">
        <v>3.442108964387415</v>
      </c>
      <c r="FE28" s="4">
        <v>3.4931595813750529</v>
      </c>
      <c r="FF28" s="4">
        <v>3.5434524575462198</v>
      </c>
      <c r="FG28" s="4">
        <v>3.592868671471356</v>
      </c>
      <c r="FH28" s="4">
        <v>3.6413069552783099</v>
      </c>
      <c r="FI28" s="4">
        <v>3.6887107462097291</v>
      </c>
      <c r="FJ28" s="4">
        <v>3.735097481284384</v>
      </c>
      <c r="FK28" s="4">
        <v>3.7805718642356081</v>
      </c>
      <c r="FL28" s="4">
        <v>3.8253126632211059</v>
      </c>
      <c r="FM28" s="4">
        <v>3.8695434720001929</v>
      </c>
      <c r="FN28" s="4">
        <v>3.9135056974729059</v>
      </c>
      <c r="FO28" s="4">
        <v>3.9574425773304158</v>
      </c>
      <c r="FP28" s="4">
        <v>4.0015931107584786</v>
      </c>
      <c r="FQ28" s="4">
        <v>4.0461918856084047</v>
      </c>
      <c r="FR28" s="4">
        <v>4.0914717553560838</v>
      </c>
      <c r="FS28" s="4">
        <v>4.1376677809170239</v>
      </c>
      <c r="FT28" s="4">
        <v>4.1850217536197842</v>
      </c>
      <c r="FU28" s="4">
        <v>4.2337869310894636</v>
      </c>
      <c r="FV28" s="4">
        <v>4.2842324071066358</v>
      </c>
      <c r="FW28" s="4">
        <v>4.3366456483973472</v>
      </c>
      <c r="FX28" s="4">
        <v>4.391329807249237</v>
      </c>
      <c r="FY28" s="4">
        <v>4.4485894050026564</v>
      </c>
      <c r="FZ28" s="4">
        <v>4.5086960030794359</v>
      </c>
      <c r="GA28" s="4">
        <v>4.5718314812014471</v>
      </c>
      <c r="GB28" s="4">
        <v>4.6380270186376196</v>
      </c>
      <c r="GC28" s="4">
        <v>4.7071353959100577</v>
      </c>
      <c r="GD28" s="4">
        <v>4.7788581105897023</v>
      </c>
      <c r="GE28" s="4">
        <v>4.8528057840823617</v>
      </c>
      <c r="GF28" s="4">
        <v>4.9285542103888567</v>
      </c>
      <c r="GG28" s="4">
        <v>5.0056779151947843</v>
      </c>
      <c r="GH28" s="4">
        <v>5.0837635636854834</v>
      </c>
      <c r="GI28" s="4">
        <v>5.1624115511646247</v>
      </c>
      <c r="GJ28" s="4">
        <v>5.2412321261219219</v>
      </c>
      <c r="GK28" s="4">
        <v>5.3198393833713942</v>
      </c>
      <c r="GL28" s="4">
        <v>5.3978445671958557</v>
      </c>
      <c r="GM28" s="4">
        <v>5.4748493269326772</v>
      </c>
      <c r="GN28" s="4">
        <v>5.5504395996685822</v>
      </c>
      <c r="GO28" s="4">
        <v>5.6241816785255949</v>
      </c>
      <c r="GP28" s="4">
        <v>5.6956240740398716</v>
      </c>
      <c r="GQ28" s="4">
        <v>5.7643120157298409</v>
      </c>
      <c r="GR28" s="4">
        <v>5.8298235727398247</v>
      </c>
      <c r="GS28" s="4">
        <v>5.891829924201744</v>
      </c>
      <c r="GT28" s="4">
        <v>5.9501603010991087</v>
      </c>
      <c r="GU28" s="4">
        <v>6.0048311359017754</v>
      </c>
      <c r="GV28" s="4">
        <v>6.0560162858951214</v>
      </c>
      <c r="GW28" s="4">
        <v>6.1039814325012562</v>
      </c>
      <c r="GX28" s="4">
        <v>6.1490230860338304</v>
      </c>
      <c r="GY28" s="4">
        <v>6.1914316350274374</v>
      </c>
      <c r="GZ28" s="4">
        <v>6.2314758641747172</v>
      </c>
      <c r="HA28" s="4">
        <v>6.2693999112555252</v>
      </c>
      <c r="HB28" s="4">
        <v>6.3054257666962634</v>
      </c>
      <c r="HC28" s="4">
        <v>6.3397576822134472</v>
      </c>
      <c r="HD28" s="4">
        <v>6.3725869844427532</v>
      </c>
      <c r="HE28" s="4">
        <v>6.4040968923655823</v>
      </c>
      <c r="HF28" s="4">
        <v>6.4344675047184241</v>
      </c>
      <c r="HG28" s="4">
        <v>6.4638815217480676</v>
      </c>
      <c r="HH28" s="4">
        <v>6.4925317047353239</v>
      </c>
      <c r="HI28" s="4">
        <v>6.5206313031671836</v>
      </c>
      <c r="HJ28" s="4">
        <v>6.5484251538477283</v>
      </c>
      <c r="HK28" s="4">
        <v>6.5761743069024723</v>
      </c>
      <c r="HL28" s="4">
        <v>6.6040501426803937</v>
      </c>
      <c r="HM28" s="4">
        <v>6.6320368111503276</v>
      </c>
      <c r="HN28" s="4">
        <v>6.6600296236536041</v>
      </c>
      <c r="HO28" s="4">
        <v>6.6879418154310919</v>
      </c>
      <c r="HP28" s="4">
        <v>6.7157208996328714</v>
      </c>
      <c r="HQ28" s="4">
        <v>6.7433387091935817</v>
      </c>
      <c r="HR28" s="4">
        <v>6.7707823439535773</v>
      </c>
      <c r="HS28" s="4">
        <v>6.7980484057073056</v>
      </c>
      <c r="HT28" s="4">
        <v>6.8251393915745124</v>
      </c>
      <c r="HU28" s="4">
        <v>6.8520613431531192</v>
      </c>
      <c r="HV28" s="4">
        <v>6.8788222468102624</v>
      </c>
      <c r="HW28" s="4">
        <v>6.9054309262710314</v>
      </c>
      <c r="HX28" s="4">
        <v>6.9318963188399856</v>
      </c>
      <c r="HY28" s="4">
        <v>6.958227150557212</v>
      </c>
      <c r="HZ28" s="4">
        <v>6.9844322091263411</v>
      </c>
      <c r="IA28" s="4">
        <v>7.0105218887212928</v>
      </c>
      <c r="IB28" s="4">
        <v>7.0365136048699934</v>
      </c>
      <c r="IC28" s="4">
        <v>7.0624595267353474</v>
      </c>
      <c r="ID28" s="4">
        <v>7.0884392298800396</v>
      </c>
      <c r="IE28" s="4">
        <v>7.1142400616203609</v>
      </c>
      <c r="IF28" s="4">
        <v>7.1396562376231021</v>
      </c>
      <c r="IG28" s="4">
        <v>7.1644582935651906</v>
      </c>
      <c r="IH28" s="4">
        <v>7.1882792980547201</v>
      </c>
      <c r="II28" s="4">
        <v>7.2108103345503238</v>
      </c>
      <c r="IJ28" s="4">
        <v>7.2324125411029687</v>
      </c>
      <c r="IK28" s="4">
        <v>7.2535076740821669</v>
      </c>
      <c r="IL28" s="4">
        <v>7.2743852793387536</v>
      </c>
      <c r="IM28" s="4">
        <v>7.2952949127994309</v>
      </c>
    </row>
    <row r="29" spans="2:247" x14ac:dyDescent="0.35">
      <c r="B29" s="58">
        <v>0.13</v>
      </c>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v>1.686039922570624</v>
      </c>
      <c r="DW29" s="4">
        <v>1.7283559237113679</v>
      </c>
      <c r="DX29" s="4">
        <v>1.7706938894944171</v>
      </c>
      <c r="DY29" s="4">
        <v>1.8130561118108719</v>
      </c>
      <c r="DZ29" s="4">
        <v>1.855445825954092</v>
      </c>
      <c r="EA29" s="4">
        <v>1.8978675135149881</v>
      </c>
      <c r="EB29" s="4">
        <v>1.9403272964446641</v>
      </c>
      <c r="EC29" s="4">
        <v>1.9828334484242891</v>
      </c>
      <c r="ED29" s="4">
        <v>2.025397055967503</v>
      </c>
      <c r="EE29" s="4">
        <v>2.068032868292931</v>
      </c>
      <c r="EF29" s="4">
        <v>2.1107603806393969</v>
      </c>
      <c r="EG29" s="4">
        <v>2.1536051974422761</v>
      </c>
      <c r="EH29" s="4">
        <v>2.196600713589953</v>
      </c>
      <c r="EI29" s="4">
        <v>2.2397901218229652</v>
      </c>
      <c r="EJ29" s="4">
        <v>2.2832286793896852</v>
      </c>
      <c r="EK29" s="4">
        <v>2.3269860065779411</v>
      </c>
      <c r="EL29" s="4">
        <v>2.3711478794323519</v>
      </c>
      <c r="EM29" s="4">
        <v>2.4158164452778741</v>
      </c>
      <c r="EN29" s="4">
        <v>2.4611070388815319</v>
      </c>
      <c r="EO29" s="4">
        <v>2.5071391561739191</v>
      </c>
      <c r="EP29" s="4">
        <v>2.554019736567184</v>
      </c>
      <c r="EQ29" s="4">
        <v>2.601820316608233</v>
      </c>
      <c r="ER29" s="4">
        <v>2.6505555988096621</v>
      </c>
      <c r="ES29" s="4">
        <v>2.7001743381672991</v>
      </c>
      <c r="ET29" s="4">
        <v>2.7505679917827091</v>
      </c>
      <c r="EU29" s="4">
        <v>2.8015916692168958</v>
      </c>
      <c r="EV29" s="4">
        <v>2.8530864635754352</v>
      </c>
      <c r="EW29" s="4">
        <v>2.904895601216305</v>
      </c>
      <c r="EX29" s="4">
        <v>2.956872828861274</v>
      </c>
      <c r="EY29" s="4">
        <v>3.0088848707486999</v>
      </c>
      <c r="EZ29" s="4">
        <v>3.060810390994789</v>
      </c>
      <c r="FA29" s="4">
        <v>3.1125372981166008</v>
      </c>
      <c r="FB29" s="4">
        <v>3.163959530687531</v>
      </c>
      <c r="FC29" s="4">
        <v>3.214974041458758</v>
      </c>
      <c r="FD29" s="4">
        <v>3.2654786053184681</v>
      </c>
      <c r="FE29" s="4">
        <v>3.315371295580603</v>
      </c>
      <c r="FF29" s="4">
        <v>3.364552935764757</v>
      </c>
      <c r="FG29" s="4">
        <v>3.4129342425577329</v>
      </c>
      <c r="FH29" s="4">
        <v>3.4604488976785128</v>
      </c>
      <c r="FI29" s="4">
        <v>3.5070712125715069</v>
      </c>
      <c r="FJ29" s="4">
        <v>3.552832567667521</v>
      </c>
      <c r="FK29" s="4">
        <v>3.597828321928648</v>
      </c>
      <c r="FL29" s="4">
        <v>3.6422110511981942</v>
      </c>
      <c r="FM29" s="4">
        <v>3.686174243040881</v>
      </c>
      <c r="FN29" s="4">
        <v>3.729934738201409</v>
      </c>
      <c r="FO29" s="4">
        <v>3.7737197219924639</v>
      </c>
      <c r="FP29" s="4">
        <v>3.8177595852593762</v>
      </c>
      <c r="FQ29" s="4">
        <v>3.8622853978668359</v>
      </c>
      <c r="FR29" s="4">
        <v>3.9075292534292649</v>
      </c>
      <c r="FS29" s="4">
        <v>3.95372613838743</v>
      </c>
      <c r="FT29" s="4">
        <v>4.0011164093035791</v>
      </c>
      <c r="FU29" s="4">
        <v>4.0499481123207737</v>
      </c>
      <c r="FV29" s="4">
        <v>4.1004781477650223</v>
      </c>
      <c r="FW29" s="4">
        <v>4.1529706124884829</v>
      </c>
      <c r="FX29" s="4">
        <v>4.2076895966147374</v>
      </c>
      <c r="FY29" s="4">
        <v>4.2648828288789042</v>
      </c>
      <c r="FZ29" s="4">
        <v>4.3247535407687989</v>
      </c>
      <c r="GA29" s="4">
        <v>4.387423230883619</v>
      </c>
      <c r="GB29" s="4">
        <v>4.4528972626593184</v>
      </c>
      <c r="GC29" s="4">
        <v>4.5210503674764171</v>
      </c>
      <c r="GD29" s="4">
        <v>4.5916405576214316</v>
      </c>
      <c r="GE29" s="4">
        <v>4.6643429200961402</v>
      </c>
      <c r="GF29" s="4">
        <v>4.7387861938813396</v>
      </c>
      <c r="GG29" s="4">
        <v>4.8145801708366873</v>
      </c>
      <c r="GH29" s="4">
        <v>4.8913312114460794</v>
      </c>
      <c r="GI29" s="4">
        <v>4.9686484800103337</v>
      </c>
      <c r="GJ29" s="4">
        <v>5.0461444898212129</v>
      </c>
      <c r="GK29" s="4">
        <v>5.1234326939313899</v>
      </c>
      <c r="GL29" s="4">
        <v>5.2001238657451143</v>
      </c>
      <c r="GM29" s="4">
        <v>5.275822480314015</v>
      </c>
      <c r="GN29" s="4">
        <v>5.3501243429677343</v>
      </c>
      <c r="GO29" s="4">
        <v>5.4226173250107266</v>
      </c>
      <c r="GP29" s="4">
        <v>5.4928881519680406</v>
      </c>
      <c r="GQ29" s="4">
        <v>5.5605391181319064</v>
      </c>
      <c r="GR29" s="4">
        <v>5.6252175445617763</v>
      </c>
      <c r="GS29" s="4">
        <v>5.6866550855912052</v>
      </c>
      <c r="GT29" s="4">
        <v>5.7447040416076982</v>
      </c>
      <c r="GU29" s="4">
        <v>5.7993523089279391</v>
      </c>
      <c r="GV29" s="4">
        <v>5.8507078034025488</v>
      </c>
      <c r="GW29" s="4">
        <v>5.8989614998722333</v>
      </c>
      <c r="GX29" s="4">
        <v>5.944347435191859</v>
      </c>
      <c r="GY29" s="4">
        <v>5.9871124960175344</v>
      </c>
      <c r="GZ29" s="4">
        <v>6.0274988685190394</v>
      </c>
      <c r="HA29" s="4">
        <v>6.0657363258833534</v>
      </c>
      <c r="HB29" s="4">
        <v>6.1020405008748382</v>
      </c>
      <c r="HC29" s="4">
        <v>6.1366142832842652</v>
      </c>
      <c r="HD29" s="4">
        <v>6.1696507046605191</v>
      </c>
      <c r="HE29" s="4">
        <v>6.2013365585317306</v>
      </c>
      <c r="HF29" s="4">
        <v>6.2318565409396118</v>
      </c>
      <c r="HG29" s="4">
        <v>6.2613979572622469</v>
      </c>
      <c r="HH29" s="4">
        <v>6.2901559015760444</v>
      </c>
      <c r="HI29" s="4">
        <v>6.3183374691220422</v>
      </c>
      <c r="HJ29" s="4">
        <v>6.3461587577949006</v>
      </c>
      <c r="HK29" s="4">
        <v>6.3738198174314613</v>
      </c>
      <c r="HL29" s="4">
        <v>6.4014520052571964</v>
      </c>
      <c r="HM29" s="4">
        <v>6.4290853097651057</v>
      </c>
      <c r="HN29" s="4">
        <v>6.4566818628941354</v>
      </c>
      <c r="HO29" s="4">
        <v>6.4841894592246696</v>
      </c>
      <c r="HP29" s="4">
        <v>6.5115675601745533</v>
      </c>
      <c r="HQ29" s="4">
        <v>6.5387913677991492</v>
      </c>
      <c r="HR29" s="4">
        <v>6.5658488543873563</v>
      </c>
      <c r="HS29" s="4">
        <v>6.5927370343104688</v>
      </c>
      <c r="HT29" s="4">
        <v>6.6194589443855669</v>
      </c>
      <c r="HU29" s="4">
        <v>6.6460214076506112</v>
      </c>
      <c r="HV29" s="4">
        <v>6.6724334062476878</v>
      </c>
      <c r="HW29" s="4">
        <v>6.6987049157555152</v>
      </c>
      <c r="HX29" s="4">
        <v>6.7248461344292778</v>
      </c>
      <c r="HY29" s="4">
        <v>6.7508671509801168</v>
      </c>
      <c r="HZ29" s="4">
        <v>6.7767782993712729</v>
      </c>
      <c r="IA29" s="4">
        <v>6.8025920201414642</v>
      </c>
      <c r="IB29" s="4">
        <v>6.8283293196714894</v>
      </c>
      <c r="IC29" s="4">
        <v>6.8540430128072707</v>
      </c>
      <c r="ID29" s="4">
        <v>6.8797739963549471</v>
      </c>
      <c r="IE29" s="4">
        <v>6.9053536434204741</v>
      </c>
      <c r="IF29" s="4">
        <v>6.9305841462724587</v>
      </c>
      <c r="IG29" s="4">
        <v>6.9552510388705588</v>
      </c>
      <c r="IH29" s="4">
        <v>6.9789796560522026</v>
      </c>
      <c r="II29" s="4">
        <v>7.0011428560184203</v>
      </c>
      <c r="IJ29" s="4">
        <v>7.0224162952029623</v>
      </c>
      <c r="IK29" s="4">
        <v>7.0432242046360543</v>
      </c>
      <c r="IL29" s="4">
        <v>7.063833545059488</v>
      </c>
      <c r="IM29" s="4">
        <v>7.0845120917735418</v>
      </c>
    </row>
    <row r="30" spans="2:247" x14ac:dyDescent="0.35">
      <c r="B30" s="58">
        <v>0.14000000000000001</v>
      </c>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v>1.514479189400858</v>
      </c>
      <c r="DW30" s="4">
        <v>1.5572213908367041</v>
      </c>
      <c r="DX30" s="4">
        <v>1.6000001510570641</v>
      </c>
      <c r="DY30" s="4">
        <v>1.642818011830478</v>
      </c>
      <c r="DZ30" s="4">
        <v>1.6856783323414359</v>
      </c>
      <c r="EA30" s="4">
        <v>1.7285855449289791</v>
      </c>
      <c r="EB30" s="4">
        <v>1.771545487495918</v>
      </c>
      <c r="EC30" s="4">
        <v>1.8145658339777071</v>
      </c>
      <c r="ED30" s="4">
        <v>1.8576566486148229</v>
      </c>
      <c r="EE30" s="4">
        <v>1.9008310934393251</v>
      </c>
      <c r="EF30" s="4">
        <v>1.944106319482962</v>
      </c>
      <c r="EG30" s="4">
        <v>1.987504567058211</v>
      </c>
      <c r="EH30" s="4">
        <v>2.0310544822721619</v>
      </c>
      <c r="EI30" s="4">
        <v>2.0747926139959239</v>
      </c>
      <c r="EJ30" s="4">
        <v>2.118764969223585</v>
      </c>
      <c r="EK30" s="4">
        <v>2.1630283495266092</v>
      </c>
      <c r="EL30" s="4">
        <v>2.207650942444253</v>
      </c>
      <c r="EM30" s="4">
        <v>2.252711304978352</v>
      </c>
      <c r="EN30" s="4">
        <v>2.2982945594125601</v>
      </c>
      <c r="EO30" s="4">
        <v>2.3444846404762441</v>
      </c>
      <c r="EP30" s="4">
        <v>2.3913523255890139</v>
      </c>
      <c r="EQ30" s="4">
        <v>2.4389409012986438</v>
      </c>
      <c r="ER30" s="4">
        <v>2.4872538927280048</v>
      </c>
      <c r="ES30" s="4">
        <v>2.5362500356141311</v>
      </c>
      <c r="ET30" s="4">
        <v>2.585847856718996</v>
      </c>
      <c r="EU30" s="4">
        <v>2.6359374861391349</v>
      </c>
      <c r="EV30" s="4">
        <v>2.6863945119173822</v>
      </c>
      <c r="EW30" s="4">
        <v>2.7370914419926442</v>
      </c>
      <c r="EX30" s="4">
        <v>2.7879049164930869</v>
      </c>
      <c r="EY30" s="4">
        <v>2.83871894380141</v>
      </c>
      <c r="EZ30" s="4">
        <v>2.8894253447145428</v>
      </c>
      <c r="FA30" s="4">
        <v>2.9399226426664939</v>
      </c>
      <c r="FB30" s="4">
        <v>2.9901143846291189</v>
      </c>
      <c r="FC30" s="4">
        <v>3.0399076497214681</v>
      </c>
      <c r="FD30" s="4">
        <v>3.0892124241780921</v>
      </c>
      <c r="FE30" s="4">
        <v>3.1379425917192898</v>
      </c>
      <c r="FF30" s="4">
        <v>3.1860194024552229</v>
      </c>
      <c r="FG30" s="4">
        <v>3.233378182606959</v>
      </c>
      <c r="FH30" s="4">
        <v>3.2799783179224549</v>
      </c>
      <c r="FI30" s="4">
        <v>3.3258149207490821</v>
      </c>
      <c r="FJ30" s="4">
        <v>3.370928664408003</v>
      </c>
      <c r="FK30" s="4">
        <v>3.415409750809896</v>
      </c>
      <c r="FL30" s="4">
        <v>3.4593941728613502</v>
      </c>
      <c r="FM30" s="4">
        <v>3.503054090694615</v>
      </c>
      <c r="FN30" s="4">
        <v>3.5465863346058759</v>
      </c>
      <c r="FO30" s="4">
        <v>3.590202526107126</v>
      </c>
      <c r="FP30" s="4">
        <v>3.634122375771049</v>
      </c>
      <c r="FQ30" s="4">
        <v>3.6785700833975619</v>
      </c>
      <c r="FR30" s="4">
        <v>3.723773020366909</v>
      </c>
      <c r="FS30" s="4">
        <v>3.7699617470231979</v>
      </c>
      <c r="FT30" s="4">
        <v>3.817370489497542</v>
      </c>
      <c r="FU30" s="4">
        <v>3.8662372027811389</v>
      </c>
      <c r="FV30" s="4">
        <v>3.9168021667456259</v>
      </c>
      <c r="FW30" s="4">
        <v>3.969303705706642</v>
      </c>
      <c r="FX30" s="4">
        <v>4.0239692716828319</v>
      </c>
      <c r="FY30" s="4">
        <v>4.0810002841297717</v>
      </c>
      <c r="FZ30" s="4">
        <v>4.1405506014871927</v>
      </c>
      <c r="GA30" s="4">
        <v>4.2027018425134406</v>
      </c>
      <c r="GB30" s="4">
        <v>4.2674427524077574</v>
      </c>
      <c r="GC30" s="4">
        <v>4.3346608857541584</v>
      </c>
      <c r="GD30" s="4">
        <v>4.4041503628370142</v>
      </c>
      <c r="GE30" s="4">
        <v>4.4756319259228627</v>
      </c>
      <c r="GF30" s="4">
        <v>4.5487770071603606</v>
      </c>
      <c r="GG30" s="4">
        <v>4.623228598521318</v>
      </c>
      <c r="GH30" s="4">
        <v>4.6986156957241576</v>
      </c>
      <c r="GI30" s="4">
        <v>4.774561440984777</v>
      </c>
      <c r="GJ30" s="4">
        <v>4.8506865935079819</v>
      </c>
      <c r="GK30" s="4">
        <v>4.9266101513870773</v>
      </c>
      <c r="GL30" s="4">
        <v>5.001948675792784</v>
      </c>
      <c r="GM30" s="4">
        <v>5.0763156459610501</v>
      </c>
      <c r="GN30" s="4">
        <v>5.1493222025738561</v>
      </c>
      <c r="GO30" s="4">
        <v>5.2205809164310297</v>
      </c>
      <c r="GP30" s="4">
        <v>5.2897145372941541</v>
      </c>
      <c r="GQ30" s="4">
        <v>5.3563714825566198</v>
      </c>
      <c r="GR30" s="4">
        <v>5.4202482155765654</v>
      </c>
      <c r="GS30" s="4">
        <v>5.4811150613496453</v>
      </c>
      <c r="GT30" s="4">
        <v>5.5388377258551724</v>
      </c>
      <c r="GU30" s="4">
        <v>5.5933856221511329</v>
      </c>
      <c r="GV30" s="4">
        <v>5.6448229549549733</v>
      </c>
      <c r="GW30" s="4">
        <v>5.6932866052147126</v>
      </c>
      <c r="GX30" s="4">
        <v>5.7389597069166749</v>
      </c>
      <c r="GY30" s="4">
        <v>5.7820486504657973</v>
      </c>
      <c r="GZ30" s="4">
        <v>5.8227669770431403</v>
      </c>
      <c r="HA30" s="4">
        <v>5.8613260489864834</v>
      </c>
      <c r="HB30" s="4">
        <v>5.8979308149845986</v>
      </c>
      <c r="HC30" s="4">
        <v>5.9327788733300926</v>
      </c>
      <c r="HD30" s="4">
        <v>5.9660614926028606</v>
      </c>
      <c r="HE30" s="4">
        <v>5.9979657493065446</v>
      </c>
      <c r="HF30" s="4">
        <v>6.0286772744835107</v>
      </c>
      <c r="HG30" s="4">
        <v>6.0583831585087458</v>
      </c>
      <c r="HH30" s="4">
        <v>6.0872741493625053</v>
      </c>
      <c r="HI30" s="4">
        <v>6.1155440175459583</v>
      </c>
      <c r="HJ30" s="4">
        <v>6.1433818246077232</v>
      </c>
      <c r="HK30" s="4">
        <v>6.1709526567404698</v>
      </c>
      <c r="HL30" s="4">
        <v>6.1983714960907177</v>
      </c>
      <c r="HM30" s="4">
        <v>6.2256901878236306</v>
      </c>
      <c r="HN30" s="4">
        <v>6.2529112715826898</v>
      </c>
      <c r="HO30" s="4">
        <v>6.2800149326921613</v>
      </c>
      <c r="HP30" s="4">
        <v>6.3069791381582831</v>
      </c>
      <c r="HQ30" s="4">
        <v>6.3337883050441004</v>
      </c>
      <c r="HR30" s="4">
        <v>6.3604349524805404</v>
      </c>
      <c r="HS30" s="4">
        <v>6.3869185958263586</v>
      </c>
      <c r="HT30" s="4">
        <v>6.4132439690015124</v>
      </c>
      <c r="HU30" s="4">
        <v>6.4394193276059344</v>
      </c>
      <c r="HV30" s="4">
        <v>6.4654550402516353</v>
      </c>
      <c r="HW30" s="4">
        <v>6.4913625083421831</v>
      </c>
      <c r="HX30" s="4">
        <v>6.517153443779522</v>
      </c>
      <c r="HY30" s="4">
        <v>6.5428396083189266</v>
      </c>
      <c r="HZ30" s="4">
        <v>6.5684332941971064</v>
      </c>
      <c r="IA30" s="4">
        <v>6.5939491526675997</v>
      </c>
      <c r="IB30" s="4">
        <v>6.6194078299378836</v>
      </c>
      <c r="IC30" s="4">
        <v>6.6448335153353746</v>
      </c>
      <c r="ID30" s="4">
        <v>6.6702076502358967</v>
      </c>
      <c r="IE30" s="4">
        <v>6.6954115962418097</v>
      </c>
      <c r="IF30" s="4">
        <v>6.7202629768924158</v>
      </c>
      <c r="IG30" s="4">
        <v>6.744525089554827</v>
      </c>
      <c r="IH30" s="4">
        <v>6.7678476846577222</v>
      </c>
      <c r="II30" s="4">
        <v>6.7899744947421592</v>
      </c>
      <c r="IJ30" s="4">
        <v>6.811208461395907</v>
      </c>
      <c r="IK30" s="4">
        <v>6.8319475013655993</v>
      </c>
      <c r="IL30" s="4">
        <v>6.852482056433411</v>
      </c>
      <c r="IM30" s="4">
        <v>6.8730909438694674</v>
      </c>
    </row>
    <row r="31" spans="2:247" x14ac:dyDescent="0.35">
      <c r="B31" s="58">
        <v>0.15</v>
      </c>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v>1.343160537789384</v>
      </c>
      <c r="DW31" s="4">
        <v>1.3863448145407089</v>
      </c>
      <c r="DX31" s="4">
        <v>1.429581498297843</v>
      </c>
      <c r="DY31" s="4">
        <v>1.47287343443957</v>
      </c>
      <c r="DZ31" s="4">
        <v>1.516224134619637</v>
      </c>
      <c r="EA31" s="4">
        <v>1.5596379705833909</v>
      </c>
      <c r="EB31" s="4">
        <v>1.6031204243735979</v>
      </c>
      <c r="EC31" s="4">
        <v>1.6466784098898919</v>
      </c>
      <c r="ED31" s="4">
        <v>1.690320683145125</v>
      </c>
      <c r="EE31" s="4">
        <v>1.734058359743452</v>
      </c>
      <c r="EF31" s="4">
        <v>1.7779055562466231</v>
      </c>
      <c r="EG31" s="4">
        <v>1.8218801638530731</v>
      </c>
      <c r="EH31" s="4">
        <v>1.8660047425581341</v>
      </c>
      <c r="EI31" s="4">
        <v>1.9103074830283859</v>
      </c>
      <c r="EJ31" s="4">
        <v>1.9548231102709319</v>
      </c>
      <c r="EK31" s="4">
        <v>1.9995934865957821</v>
      </c>
      <c r="EL31" s="4">
        <v>2.04466751086234</v>
      </c>
      <c r="EM31" s="4">
        <v>2.0900997396617669</v>
      </c>
      <c r="EN31" s="4">
        <v>2.1359470750884029</v>
      </c>
      <c r="EO31" s="4">
        <v>2.1822630616587002</v>
      </c>
      <c r="EP31" s="4">
        <v>2.2290900169988799</v>
      </c>
      <c r="EQ31" s="4">
        <v>2.2764503689626721</v>
      </c>
      <c r="ER31" s="4">
        <v>2.324339648741899</v>
      </c>
      <c r="ES31" s="4">
        <v>2.3727236566325969</v>
      </c>
      <c r="ET31" s="4">
        <v>2.421540884826519</v>
      </c>
      <c r="EU31" s="4">
        <v>2.4707091096211991</v>
      </c>
      <c r="EV31" s="4">
        <v>2.5201336348806951</v>
      </c>
      <c r="EW31" s="4">
        <v>2.569714739708854</v>
      </c>
      <c r="EX31" s="4">
        <v>2.6193529677932439</v>
      </c>
      <c r="EY31" s="4">
        <v>2.6689520573142329</v>
      </c>
      <c r="EZ31" s="4">
        <v>2.7184200151334612</v>
      </c>
      <c r="FA31" s="4">
        <v>2.7676690741313781</v>
      </c>
      <c r="FB31" s="4">
        <v>2.8166152495586361</v>
      </c>
      <c r="FC31" s="4">
        <v>2.8651781223928001</v>
      </c>
      <c r="FD31" s="4">
        <v>2.9132814217359031</v>
      </c>
      <c r="FE31" s="4">
        <v>2.9608549577561338</v>
      </c>
      <c r="FF31" s="4">
        <v>3.0078383928288202</v>
      </c>
      <c r="FG31" s="4">
        <v>3.0541870823659991</v>
      </c>
      <c r="FH31" s="4">
        <v>3.0998796158873851</v>
      </c>
      <c r="FI31" s="4">
        <v>3.1449257707756981</v>
      </c>
      <c r="FJ31" s="4">
        <v>3.189372779068842</v>
      </c>
      <c r="FK31" s="4">
        <v>3.2333078185039539</v>
      </c>
      <c r="FL31" s="4">
        <v>3.276855831036511</v>
      </c>
      <c r="FM31" s="4">
        <v>3.3201735409306781</v>
      </c>
      <c r="FN31" s="4">
        <v>3.363441733470184</v>
      </c>
      <c r="FO31" s="4">
        <v>3.4068578597050281</v>
      </c>
      <c r="FP31" s="4">
        <v>3.4506302098152299</v>
      </c>
      <c r="FQ31" s="4">
        <v>3.4949739633010459</v>
      </c>
      <c r="FR31" s="4">
        <v>3.5401087997435821</v>
      </c>
      <c r="FS31" s="4">
        <v>3.586257464879282</v>
      </c>
      <c r="FT31" s="4">
        <v>3.63364457917223</v>
      </c>
      <c r="FU31" s="4">
        <v>3.6824949020850801</v>
      </c>
      <c r="FV31" s="4">
        <v>3.7330301552858729</v>
      </c>
      <c r="FW31" s="4">
        <v>3.78546339320043</v>
      </c>
      <c r="FX31" s="4">
        <v>3.8399899464710261</v>
      </c>
      <c r="FY31" s="4">
        <v>3.896774442059594</v>
      </c>
      <c r="FZ31" s="4">
        <v>3.9559346203120782</v>
      </c>
      <c r="GA31" s="4">
        <v>4.0175245555044157</v>
      </c>
      <c r="GB31" s="4">
        <v>4.0815215625158281</v>
      </c>
      <c r="GC31" s="4">
        <v>4.147821056015121</v>
      </c>
      <c r="GD31" s="4">
        <v>4.2162411785907734</v>
      </c>
      <c r="GE31" s="4">
        <v>4.2865353739480474</v>
      </c>
      <c r="GF31" s="4">
        <v>4.3584086330432417</v>
      </c>
      <c r="GG31" s="4">
        <v>4.431533128898832</v>
      </c>
      <c r="GH31" s="4">
        <v>4.5055606401657613</v>
      </c>
      <c r="GI31" s="4">
        <v>4.5801310648357472</v>
      </c>
      <c r="GJ31" s="4">
        <v>4.6548775687109254</v>
      </c>
      <c r="GK31" s="4">
        <v>4.7294294360832918</v>
      </c>
      <c r="GL31" s="4">
        <v>4.8034137978975071</v>
      </c>
      <c r="GM31" s="4">
        <v>4.876457400626367</v>
      </c>
      <c r="GN31" s="4">
        <v>4.948189598925663</v>
      </c>
      <c r="GO31" s="4">
        <v>5.0182478019705066</v>
      </c>
      <c r="GP31" s="4">
        <v>5.0862865120594041</v>
      </c>
      <c r="GQ31" s="4">
        <v>5.1519905482485804</v>
      </c>
      <c r="GR31" s="4">
        <v>5.2150917207253862</v>
      </c>
      <c r="GS31" s="4">
        <v>5.2753861815892646</v>
      </c>
      <c r="GT31" s="4">
        <v>5.332747866633281</v>
      </c>
      <c r="GU31" s="4">
        <v>5.3871334521939902</v>
      </c>
      <c r="GV31" s="4">
        <v>5.4385768777325403</v>
      </c>
      <c r="GW31" s="4">
        <v>5.4871753928648417</v>
      </c>
      <c r="GX31" s="4">
        <v>5.533071717943411</v>
      </c>
      <c r="GY31" s="4">
        <v>5.5764369254919686</v>
      </c>
      <c r="GZ31" s="4">
        <v>5.6174568548823478</v>
      </c>
      <c r="HA31" s="4">
        <v>5.6563228604636278</v>
      </c>
      <c r="HB31" s="4">
        <v>5.6932264121527849</v>
      </c>
      <c r="HC31" s="4">
        <v>5.7283565933129514</v>
      </c>
      <c r="HD31" s="4">
        <v>5.7618995527547838</v>
      </c>
      <c r="HE31" s="4">
        <v>5.7940391428611129</v>
      </c>
      <c r="HF31" s="4">
        <v>5.8249581041605722</v>
      </c>
      <c r="HG31" s="4">
        <v>5.8548391042706402</v>
      </c>
      <c r="HH31" s="4">
        <v>5.8838646037824862</v>
      </c>
      <c r="HI31" s="4">
        <v>5.9122139206977096</v>
      </c>
      <c r="HJ31" s="4">
        <v>5.9400555441236591</v>
      </c>
      <c r="HK31" s="4">
        <v>5.9675342971199079</v>
      </c>
      <c r="HL31" s="4">
        <v>5.9947576680783072</v>
      </c>
      <c r="HM31" s="4">
        <v>6.0217898854937859</v>
      </c>
      <c r="HN31" s="4">
        <v>6.0486585616197708</v>
      </c>
      <c r="HO31" s="4">
        <v>6.0753690858354652</v>
      </c>
      <c r="HP31" s="4">
        <v>6.1019181960893274</v>
      </c>
      <c r="HQ31" s="4">
        <v>6.1283024048313504</v>
      </c>
      <c r="HR31" s="4">
        <v>6.1545216608342734</v>
      </c>
      <c r="HS31" s="4">
        <v>6.1805801510834399</v>
      </c>
      <c r="HT31" s="4">
        <v>6.206485780054896</v>
      </c>
      <c r="HU31" s="4">
        <v>6.2322491863623766</v>
      </c>
      <c r="HV31" s="4">
        <v>6.2578827017387262</v>
      </c>
      <c r="HW31" s="4">
        <v>6.283399433118845</v>
      </c>
      <c r="HX31" s="4">
        <v>6.308812564276673</v>
      </c>
      <c r="HY31" s="4">
        <v>6.3341349553429342</v>
      </c>
      <c r="HZ31" s="4">
        <v>6.3593790800662884</v>
      </c>
      <c r="IA31" s="4">
        <v>6.3845569948430683</v>
      </c>
      <c r="IB31" s="4">
        <v>6.4096783048888941</v>
      </c>
      <c r="IC31" s="4">
        <v>6.4347392546332589</v>
      </c>
      <c r="ID31" s="4">
        <v>6.4596962052905376</v>
      </c>
      <c r="IE31" s="4">
        <v>6.484443072032926</v>
      </c>
      <c r="IF31" s="4">
        <v>6.5088160591995923</v>
      </c>
      <c r="IG31" s="4">
        <v>6.5326039600842041</v>
      </c>
      <c r="IH31" s="4">
        <v>6.5555790044045796</v>
      </c>
      <c r="II31" s="4">
        <v>6.5776386192003287</v>
      </c>
      <c r="IJ31" s="4">
        <v>6.5989351667837752</v>
      </c>
      <c r="IK31" s="4">
        <v>6.6197499855085553</v>
      </c>
      <c r="IL31" s="4">
        <v>6.6403598877798391</v>
      </c>
      <c r="IM31" s="4">
        <v>6.6610169888346107</v>
      </c>
    </row>
    <row r="32" spans="2:247" x14ac:dyDescent="0.35">
      <c r="B32" s="58">
        <v>0.16</v>
      </c>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v>1.1720141653288401</v>
      </c>
      <c r="DW32" s="4">
        <v>1.215651306310868</v>
      </c>
      <c r="DX32" s="4">
        <v>1.2593575068139049</v>
      </c>
      <c r="DY32" s="4">
        <v>1.303135935135231</v>
      </c>
      <c r="DZ32" s="4">
        <v>1.34699025179173</v>
      </c>
      <c r="EA32" s="4">
        <v>1.3909247295550871</v>
      </c>
      <c r="EB32" s="4">
        <v>1.4349444052795759</v>
      </c>
      <c r="EC32" s="4">
        <v>1.4790552710503551</v>
      </c>
      <c r="ED32" s="4">
        <v>1.523264512816052</v>
      </c>
      <c r="EE32" s="4">
        <v>1.5675808041868371</v>
      </c>
      <c r="EF32" s="4">
        <v>1.6120146602172289</v>
      </c>
      <c r="EG32" s="4">
        <v>1.65657884860742</v>
      </c>
      <c r="EH32" s="4">
        <v>1.7012888405009501</v>
      </c>
      <c r="EI32" s="4">
        <v>1.74616325528793</v>
      </c>
      <c r="EJ32" s="4">
        <v>1.7912242084139121</v>
      </c>
      <c r="EK32" s="4">
        <v>1.8364974054728791</v>
      </c>
      <c r="EL32" s="4">
        <v>1.8820117464689481</v>
      </c>
      <c r="EM32" s="4">
        <v>1.9277981384428089</v>
      </c>
      <c r="EN32" s="4">
        <v>1.9738872218932271</v>
      </c>
      <c r="EO32" s="4">
        <v>2.0203058812576229</v>
      </c>
      <c r="EP32" s="4">
        <v>2.0670727909705202</v>
      </c>
      <c r="EQ32" s="4">
        <v>2.114193778275657</v>
      </c>
      <c r="ER32" s="4">
        <v>2.1616581956454479</v>
      </c>
      <c r="ES32" s="4">
        <v>2.2094374349004551</v>
      </c>
      <c r="ET32" s="4">
        <v>2.257486054658457</v>
      </c>
      <c r="EU32" s="4">
        <v>2.3057450538214539</v>
      </c>
      <c r="EV32" s="4">
        <v>2.3541461657890852</v>
      </c>
      <c r="EW32" s="4">
        <v>2.402615992704745</v>
      </c>
      <c r="EX32" s="4">
        <v>2.4510792200639142</v>
      </c>
      <c r="EY32" s="4">
        <v>2.4994606966088311</v>
      </c>
      <c r="EZ32" s="4">
        <v>2.547686568393607</v>
      </c>
      <c r="FA32" s="4">
        <v>2.5956848535458641</v>
      </c>
      <c r="FB32" s="4">
        <v>2.6433858956245588</v>
      </c>
      <c r="FC32" s="4">
        <v>2.6907231204184958</v>
      </c>
      <c r="FD32" s="4">
        <v>2.7376344902629679</v>
      </c>
      <c r="FE32" s="4">
        <v>2.7840649988762052</v>
      </c>
      <c r="FF32" s="4">
        <v>2.829970432442098</v>
      </c>
      <c r="FG32" s="4">
        <v>2.8753223728468198</v>
      </c>
      <c r="FH32" s="4">
        <v>2.9201140035600681</v>
      </c>
      <c r="FI32" s="4">
        <v>2.9643657807511579</v>
      </c>
      <c r="FJ32" s="4">
        <v>3.0081296966795912</v>
      </c>
      <c r="FK32" s="4">
        <v>3.0514909877555541</v>
      </c>
      <c r="FL32" s="4">
        <v>3.0945668125123649</v>
      </c>
      <c r="FM32" s="4">
        <v>3.1375023457292022</v>
      </c>
      <c r="FN32" s="4">
        <v>3.180465403747355</v>
      </c>
      <c r="FO32" s="4">
        <v>3.2236408328356561</v>
      </c>
      <c r="FP32" s="4">
        <v>3.2672255429755168</v>
      </c>
      <c r="FQ32" s="4">
        <v>3.311424551000766</v>
      </c>
      <c r="FR32" s="4">
        <v>3.3564479532940141</v>
      </c>
      <c r="FS32" s="4">
        <v>3.402508461994604</v>
      </c>
      <c r="FT32" s="4">
        <v>3.4498189791299358</v>
      </c>
      <c r="FU32" s="4">
        <v>3.498589591919012</v>
      </c>
      <c r="FV32" s="4">
        <v>3.5490233223269478</v>
      </c>
      <c r="FW32" s="4">
        <v>3.601309986003522</v>
      </c>
      <c r="FX32" s="4">
        <v>3.6556177055002101</v>
      </c>
      <c r="FY32" s="4">
        <v>3.712082108786189</v>
      </c>
      <c r="FZ32" s="4">
        <v>3.7707940862670002</v>
      </c>
      <c r="GA32" s="4">
        <v>3.831788000572188</v>
      </c>
      <c r="GB32" s="4">
        <v>3.895032935245835</v>
      </c>
      <c r="GC32" s="4">
        <v>3.9604293135512081</v>
      </c>
      <c r="GD32" s="4">
        <v>4.0278118362821917</v>
      </c>
      <c r="GE32" s="4">
        <v>4.0969577921792686</v>
      </c>
      <c r="GF32" s="4">
        <v>4.167598414655366</v>
      </c>
      <c r="GG32" s="4">
        <v>4.2394307091008514</v>
      </c>
      <c r="GH32" s="4">
        <v>4.3121278767912328</v>
      </c>
      <c r="GI32" s="4">
        <v>4.3853474989098791</v>
      </c>
      <c r="GJ32" s="4">
        <v>4.4587375122658219</v>
      </c>
      <c r="GK32" s="4">
        <v>4.5319405330026674</v>
      </c>
      <c r="GL32" s="4">
        <v>4.6045973276923888</v>
      </c>
      <c r="GM32" s="4">
        <v>4.6763503185145847</v>
      </c>
      <c r="GN32" s="4">
        <v>4.7468480215797619</v>
      </c>
      <c r="GO32" s="4">
        <v>4.8157512498976311</v>
      </c>
      <c r="GP32" s="4">
        <v>4.8827416734153806</v>
      </c>
      <c r="GQ32" s="4">
        <v>4.9475327810472027</v>
      </c>
      <c r="GR32" s="4">
        <v>5.00988236699955</v>
      </c>
      <c r="GS32" s="4">
        <v>5.0696045531687988</v>
      </c>
      <c r="GT32" s="4">
        <v>5.1265786046074142</v>
      </c>
      <c r="GU32" s="4">
        <v>5.1807520587429696</v>
      </c>
      <c r="GV32" s="4">
        <v>5.2321371655836257</v>
      </c>
      <c r="GW32" s="4">
        <v>5.2808016665539359</v>
      </c>
      <c r="GX32" s="4">
        <v>5.3268564207938196</v>
      </c>
      <c r="GY32" s="4">
        <v>5.3704426615328389</v>
      </c>
      <c r="GZ32" s="4">
        <v>5.4117209275435307</v>
      </c>
      <c r="HA32" s="4">
        <v>5.4508626307373911</v>
      </c>
      <c r="HB32" s="4">
        <v>5.4880443368167908</v>
      </c>
      <c r="HC32" s="4">
        <v>5.5234443395602053</v>
      </c>
      <c r="HD32" s="4">
        <v>5.5572409289917664</v>
      </c>
      <c r="HE32" s="4">
        <v>5.5896117328116803</v>
      </c>
      <c r="HF32" s="4">
        <v>5.6207335100646407</v>
      </c>
      <c r="HG32" s="4">
        <v>5.6507817060735501</v>
      </c>
      <c r="HH32" s="4">
        <v>5.6799289197142402</v>
      </c>
      <c r="HI32" s="4">
        <v>5.7083413172711657</v>
      </c>
      <c r="HJ32" s="4">
        <v>5.7361723455315126</v>
      </c>
      <c r="HK32" s="4">
        <v>5.7635543949451016</v>
      </c>
      <c r="HL32" s="4">
        <v>5.7905911930163434</v>
      </c>
      <c r="HM32" s="4">
        <v>5.8173548283636736</v>
      </c>
      <c r="HN32" s="4">
        <v>5.8438893290979754</v>
      </c>
      <c r="HO32" s="4">
        <v>5.8702188596400653</v>
      </c>
      <c r="HP32" s="4">
        <v>5.8963566187129492</v>
      </c>
      <c r="HQ32" s="4">
        <v>5.9223116312375206</v>
      </c>
      <c r="HR32" s="4">
        <v>5.9480927379785049</v>
      </c>
      <c r="HS32" s="4">
        <v>5.973710355183198</v>
      </c>
      <c r="HT32" s="4">
        <v>5.9991768486322758</v>
      </c>
      <c r="HU32" s="4">
        <v>6.0245061814978236</v>
      </c>
      <c r="HV32" s="4">
        <v>6.049713243649073</v>
      </c>
      <c r="HW32" s="4">
        <v>6.0748130840658057</v>
      </c>
      <c r="HX32" s="4">
        <v>6.0998201478612959</v>
      </c>
      <c r="HY32" s="4">
        <v>6.1247475126589404</v>
      </c>
      <c r="HZ32" s="4">
        <v>6.1496059186867171</v>
      </c>
      <c r="IA32" s="4">
        <v>6.1744018741774704</v>
      </c>
      <c r="IB32" s="4">
        <v>6.1991330472293757</v>
      </c>
      <c r="IC32" s="4">
        <v>6.2237783483701392</v>
      </c>
      <c r="ID32" s="4">
        <v>6.2482834482964922</v>
      </c>
      <c r="IE32" s="4">
        <v>6.2725507541533574</v>
      </c>
      <c r="IF32" s="4">
        <v>6.2964426558996456</v>
      </c>
      <c r="IG32" s="4">
        <v>6.3197993912774102</v>
      </c>
      <c r="IH32" s="4">
        <v>6.3424821002997804</v>
      </c>
      <c r="II32" s="4">
        <v>6.3644473480169541</v>
      </c>
      <c r="IJ32" s="4">
        <v>6.3857930054472876</v>
      </c>
      <c r="IK32" s="4">
        <v>6.4067161956764149</v>
      </c>
      <c r="IL32" s="4">
        <v>6.4274424330812394</v>
      </c>
      <c r="IM32" s="4">
        <v>6.448179547078837</v>
      </c>
    </row>
    <row r="33" spans="2:247" x14ac:dyDescent="0.35">
      <c r="B33" s="58">
        <v>0.17</v>
      </c>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v>1.00096833346513</v>
      </c>
      <c r="DW33" s="4">
        <v>1.045063859086764</v>
      </c>
      <c r="DX33" s="4">
        <v>1.0892454457479199</v>
      </c>
      <c r="DY33" s="4">
        <v>1.1335165765483071</v>
      </c>
      <c r="DZ33" s="4">
        <v>1.1778810362159271</v>
      </c>
      <c r="EA33" s="4">
        <v>1.222342950119313</v>
      </c>
      <c r="EB33" s="4">
        <v>1.266906828121773</v>
      </c>
      <c r="EC33" s="4">
        <v>1.311577612977644</v>
      </c>
      <c r="ED33" s="4">
        <v>1.356360732149452</v>
      </c>
      <c r="EE33" s="4">
        <v>1.401262150486122</v>
      </c>
      <c r="EF33" s="4">
        <v>1.446288418795183</v>
      </c>
      <c r="EG33" s="4">
        <v>1.491446709467211</v>
      </c>
      <c r="EH33" s="4">
        <v>1.536744824344858</v>
      </c>
      <c r="EI33" s="4">
        <v>1.5821911513499021</v>
      </c>
      <c r="EJ33" s="4">
        <v>1.6277945347589271</v>
      </c>
      <c r="EK33" s="4">
        <v>1.6735640104554721</v>
      </c>
      <c r="EL33" s="4">
        <v>1.719508345667504</v>
      </c>
      <c r="EM33" s="4">
        <v>1.76563532069243</v>
      </c>
      <c r="EN33" s="4">
        <v>1.811950710810184</v>
      </c>
      <c r="EO33" s="4">
        <v>1.8584569836138021</v>
      </c>
      <c r="EP33" s="4">
        <v>1.905151822965417</v>
      </c>
      <c r="EQ33" s="4">
        <v>1.952026701133351</v>
      </c>
      <c r="ER33" s="4">
        <v>1.9990657890202601</v>
      </c>
      <c r="ES33" s="4">
        <v>2.046245459919791</v>
      </c>
      <c r="ET33" s="4">
        <v>2.0935344924501691</v>
      </c>
      <c r="EU33" s="4">
        <v>2.140894878088381</v>
      </c>
      <c r="EV33" s="4">
        <v>2.188282991702494</v>
      </c>
      <c r="EW33" s="4">
        <v>2.2356508548740042</v>
      </c>
      <c r="EX33" s="4">
        <v>2.282947299784853</v>
      </c>
      <c r="EY33" s="4">
        <v>2.330118966052519</v>
      </c>
      <c r="EZ33" s="4">
        <v>2.377111178575658</v>
      </c>
      <c r="FA33" s="4">
        <v>2.4238688367241781</v>
      </c>
      <c r="FB33" s="4">
        <v>2.4703374948002108</v>
      </c>
      <c r="FC33" s="4">
        <v>2.5164648381927068</v>
      </c>
      <c r="FD33" s="4">
        <v>2.5622027588640131</v>
      </c>
      <c r="FE33" s="4">
        <v>2.6075101935996381</v>
      </c>
      <c r="FF33" s="4">
        <v>2.6523567837008968</v>
      </c>
      <c r="FG33" s="4">
        <v>2.6967272243755711</v>
      </c>
      <c r="FH33" s="4">
        <v>2.7406259073177059</v>
      </c>
      <c r="FI33" s="4">
        <v>2.7840811945631159</v>
      </c>
      <c r="FJ33" s="4">
        <v>2.8271485293147518</v>
      </c>
      <c r="FK33" s="4">
        <v>2.8699117162267438</v>
      </c>
      <c r="FL33" s="4">
        <v>2.9124821002496288</v>
      </c>
      <c r="FM33" s="4">
        <v>2.9549958848306859</v>
      </c>
      <c r="FN33" s="4">
        <v>2.9976102223056409</v>
      </c>
      <c r="FO33" s="4">
        <v>3.0404988264633839</v>
      </c>
      <c r="FP33" s="4">
        <v>3.083847709184667</v>
      </c>
      <c r="FQ33" s="4">
        <v>3.127851354683219</v>
      </c>
      <c r="FR33" s="4">
        <v>3.172709348830415</v>
      </c>
      <c r="FS33" s="4">
        <v>3.218623251292128</v>
      </c>
      <c r="FT33" s="4">
        <v>3.2657933498126628</v>
      </c>
      <c r="FU33" s="4">
        <v>3.3144148585626061</v>
      </c>
      <c r="FV33" s="4">
        <v>3.3646731131682039</v>
      </c>
      <c r="FW33" s="4">
        <v>3.4167373963385219</v>
      </c>
      <c r="FX33" s="4">
        <v>3.4707532454151959</v>
      </c>
      <c r="FY33" s="4">
        <v>3.5268334863093811</v>
      </c>
      <c r="FZ33" s="4">
        <v>3.585048782687692</v>
      </c>
      <c r="GA33" s="4">
        <v>3.6454190341692638</v>
      </c>
      <c r="GB33" s="4">
        <v>3.7079072293039208</v>
      </c>
      <c r="GC33" s="4">
        <v>3.772417099467944</v>
      </c>
      <c r="GD33" s="4">
        <v>3.838795105840167</v>
      </c>
      <c r="GE33" s="4">
        <v>3.9068362391901861</v>
      </c>
      <c r="GF33" s="4">
        <v>3.9762923009000541</v>
      </c>
      <c r="GG33" s="4">
        <v>4.0468810797661838</v>
      </c>
      <c r="GH33" s="4">
        <v>4.1182951208451062</v>
      </c>
      <c r="GI33" s="4">
        <v>4.1902093423630973</v>
      </c>
      <c r="GJ33" s="4">
        <v>4.2622873223759106</v>
      </c>
      <c r="GK33" s="4">
        <v>4.3341864983046916</v>
      </c>
      <c r="GL33" s="4">
        <v>4.4055627736724592</v>
      </c>
      <c r="GM33" s="4">
        <v>4.4760751405829868</v>
      </c>
      <c r="GN33" s="4">
        <v>4.5453909344022003</v>
      </c>
      <c r="GO33" s="4">
        <v>4.6131922349859984</v>
      </c>
      <c r="GP33" s="4">
        <v>4.6791836787713672</v>
      </c>
      <c r="GQ33" s="4">
        <v>4.7431015094909199</v>
      </c>
      <c r="GR33" s="4">
        <v>4.8047230984543319</v>
      </c>
      <c r="GS33" s="4">
        <v>4.8638755687244988</v>
      </c>
      <c r="GT33" s="4">
        <v>4.9204418534987644</v>
      </c>
      <c r="GU33" s="4">
        <v>4.9743627853133807</v>
      </c>
      <c r="GV33" s="4">
        <v>5.0256346747598268</v>
      </c>
      <c r="GW33" s="4">
        <v>5.074302958019949</v>
      </c>
      <c r="GX33" s="4">
        <v>5.120453359286059</v>
      </c>
      <c r="GY33" s="4">
        <v>5.1642022901811364</v>
      </c>
      <c r="GZ33" s="4">
        <v>5.2056879196583674</v>
      </c>
      <c r="HA33" s="4">
        <v>5.2450627726937196</v>
      </c>
      <c r="HB33" s="4">
        <v>5.2824881461588378</v>
      </c>
      <c r="HC33" s="4">
        <v>5.3181302225640366</v>
      </c>
      <c r="HD33" s="4">
        <v>5.3521575337317433</v>
      </c>
      <c r="HE33" s="4">
        <v>5.3847393186689434</v>
      </c>
      <c r="HF33" s="4">
        <v>5.4160442624359044</v>
      </c>
      <c r="HG33" s="4">
        <v>5.4462390525844189</v>
      </c>
      <c r="HH33" s="4">
        <v>5.4754861613015811</v>
      </c>
      <c r="HI33" s="4">
        <v>5.5039403571367744</v>
      </c>
      <c r="HJ33" s="4">
        <v>5.5317438516122328</v>
      </c>
      <c r="HK33" s="4">
        <v>5.5590207985069711</v>
      </c>
      <c r="HL33" s="4">
        <v>5.5858727889802688</v>
      </c>
      <c r="HM33" s="4">
        <v>5.6123772227639286</v>
      </c>
      <c r="HN33" s="4">
        <v>5.6385893989049132</v>
      </c>
      <c r="HO33" s="4">
        <v>5.6645474529102691</v>
      </c>
      <c r="HP33" s="4">
        <v>5.6902782250987922</v>
      </c>
      <c r="HQ33" s="4">
        <v>5.7158023706660694</v>
      </c>
      <c r="HR33" s="4">
        <v>5.7411379284252941</v>
      </c>
      <c r="HS33" s="4">
        <v>5.7663023490824248</v>
      </c>
      <c r="HT33" s="4">
        <v>5.7913133447647711</v>
      </c>
      <c r="HU33" s="4">
        <v>5.8161889632924257</v>
      </c>
      <c r="HV33" s="4">
        <v>5.8409471963241764</v>
      </c>
      <c r="HW33" s="4">
        <v>5.8656053097975578</v>
      </c>
      <c r="HX33" s="4">
        <v>5.8901789684546646</v>
      </c>
      <c r="HY33" s="4">
        <v>5.9146810929451643</v>
      </c>
      <c r="HZ33" s="4">
        <v>5.9391201856372291</v>
      </c>
      <c r="IA33" s="4">
        <v>5.9634975477995518</v>
      </c>
      <c r="IB33" s="4">
        <v>5.9878025352527544</v>
      </c>
      <c r="IC33" s="4">
        <v>6.0120054770708968</v>
      </c>
      <c r="ID33" s="4">
        <v>6.0360501261461401</v>
      </c>
      <c r="IE33" s="4">
        <v>6.0598504814233394</v>
      </c>
      <c r="IF33" s="4">
        <v>6.0832970515840419</v>
      </c>
      <c r="IG33" s="4">
        <v>6.1062758399156998</v>
      </c>
      <c r="IH33" s="4">
        <v>6.1287018963854329</v>
      </c>
      <c r="II33" s="4">
        <v>6.1505593357247417</v>
      </c>
      <c r="IJ33" s="4">
        <v>6.1719214224792562</v>
      </c>
      <c r="IK33" s="4">
        <v>6.1929324764138869</v>
      </c>
      <c r="IL33" s="4">
        <v>6.213768122681369</v>
      </c>
      <c r="IM33" s="4">
        <v>6.2345971859041338</v>
      </c>
    </row>
    <row r="34" spans="2:247" x14ac:dyDescent="0.35">
      <c r="B34" s="58">
        <v>0.18</v>
      </c>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v>0.8299502917808832</v>
      </c>
      <c r="DW34" s="4">
        <v>0.87450437321800223</v>
      </c>
      <c r="DX34" s="4">
        <v>0.91916141318551636</v>
      </c>
      <c r="DY34" s="4">
        <v>0.96392517929299792</v>
      </c>
      <c r="DZ34" s="4">
        <v>1.0087995426286991</v>
      </c>
      <c r="EA34" s="4">
        <v>1.0537884340861661</v>
      </c>
      <c r="EB34" s="4">
        <v>1.0988957783948941</v>
      </c>
      <c r="EC34" s="4">
        <v>1.1441253978662751</v>
      </c>
      <c r="ED34" s="4">
        <v>1.189480875746918</v>
      </c>
      <c r="EE34" s="4">
        <v>1.2349653669513321</v>
      </c>
      <c r="EF34" s="4">
        <v>1.2805813424256871</v>
      </c>
      <c r="EG34" s="4">
        <v>1.326330253662048</v>
      </c>
      <c r="EH34" s="4">
        <v>1.3722121080132701</v>
      </c>
      <c r="EI34" s="4">
        <v>1.418224956645028</v>
      </c>
      <c r="EJ34" s="4">
        <v>1.464364319281992</v>
      </c>
      <c r="EK34" s="4">
        <v>1.510622606826969</v>
      </c>
      <c r="EL34" s="4">
        <v>1.556988653364495</v>
      </c>
      <c r="EM34" s="4">
        <v>1.6034475203480281</v>
      </c>
      <c r="EN34" s="4">
        <v>1.6499807562949</v>
      </c>
      <c r="EO34" s="4">
        <v>1.696567236655516</v>
      </c>
      <c r="EP34" s="4">
        <v>1.7431845329238991</v>
      </c>
      <c r="EQ34" s="4">
        <v>1.7898104958097429</v>
      </c>
      <c r="ER34" s="4">
        <v>1.836424518493232</v>
      </c>
      <c r="ES34" s="4">
        <v>1.883007955868955</v>
      </c>
      <c r="ET34" s="4">
        <v>1.92954348370346</v>
      </c>
      <c r="EU34" s="4">
        <v>1.9760136300723881</v>
      </c>
      <c r="EV34" s="4">
        <v>2.02239902220014</v>
      </c>
      <c r="EW34" s="4">
        <v>2.0686769073652682</v>
      </c>
      <c r="EX34" s="4">
        <v>2.1148202965961551</v>
      </c>
      <c r="EY34" s="4">
        <v>2.1607978279177038</v>
      </c>
      <c r="EZ34" s="4">
        <v>2.2065742858155728</v>
      </c>
      <c r="FA34" s="4">
        <v>2.2521116724049079</v>
      </c>
      <c r="FB34" s="4">
        <v>2.2973707625056741</v>
      </c>
      <c r="FC34" s="4">
        <v>2.342313134528879</v>
      </c>
      <c r="FD34" s="4">
        <v>2.3869037095003889</v>
      </c>
      <c r="FE34" s="4">
        <v>2.431113824859811</v>
      </c>
      <c r="FF34" s="4">
        <v>2.4749248033641891</v>
      </c>
      <c r="FG34" s="4">
        <v>2.518331850962674</v>
      </c>
      <c r="FH34" s="4">
        <v>2.5613479556509748</v>
      </c>
      <c r="FI34" s="4">
        <v>2.6040073176293981</v>
      </c>
      <c r="FJ34" s="4">
        <v>2.646367794120005</v>
      </c>
      <c r="FK34" s="4">
        <v>2.6885119458636701</v>
      </c>
      <c r="FL34" s="4">
        <v>2.7305465187008289</v>
      </c>
      <c r="FM34" s="4">
        <v>2.7726004977919518</v>
      </c>
      <c r="FN34" s="4">
        <v>2.814822113843761</v>
      </c>
      <c r="FO34" s="4">
        <v>2.8573752746932288</v>
      </c>
      <c r="FP34" s="4">
        <v>2.9004358327950852</v>
      </c>
      <c r="FQ34" s="4">
        <v>2.944187934015714</v>
      </c>
      <c r="FR34" s="4">
        <v>2.988820498676509</v>
      </c>
      <c r="FS34" s="4">
        <v>3.0345237169314272</v>
      </c>
      <c r="FT34" s="4">
        <v>3.0814853243332818</v>
      </c>
      <c r="FU34" s="4">
        <v>3.1298863693075871</v>
      </c>
      <c r="FV34" s="4">
        <v>3.179896199232993</v>
      </c>
      <c r="FW34" s="4">
        <v>3.2316664890355931</v>
      </c>
      <c r="FX34" s="4">
        <v>3.2853243308984199</v>
      </c>
      <c r="FY34" s="4">
        <v>3.3409646949965288</v>
      </c>
      <c r="FZ34" s="4">
        <v>3.3986429147937169</v>
      </c>
      <c r="GA34" s="4">
        <v>3.458368141136035</v>
      </c>
      <c r="GB34" s="4">
        <v>3.5200988025951871</v>
      </c>
      <c r="GC34" s="4">
        <v>3.5837408960720039</v>
      </c>
      <c r="GD34" s="4">
        <v>3.6491494286768669</v>
      </c>
      <c r="GE34" s="4">
        <v>3.7161327099081158</v>
      </c>
      <c r="GF34" s="4">
        <v>3.784458692651524</v>
      </c>
      <c r="GG34" s="4">
        <v>3.8538623532686529</v>
      </c>
      <c r="GH34" s="4">
        <v>3.9240532024762058</v>
      </c>
      <c r="GI34" s="4">
        <v>3.994722320985943</v>
      </c>
      <c r="GJ34" s="4">
        <v>4.065548672399629</v>
      </c>
      <c r="GK34" s="4">
        <v>4.1362047543935434</v>
      </c>
      <c r="GL34" s="4">
        <v>4.2063618604672257</v>
      </c>
      <c r="GM34" s="4">
        <v>4.2756953311603558</v>
      </c>
      <c r="GN34" s="4">
        <v>4.3438901798086906</v>
      </c>
      <c r="GO34" s="4">
        <v>4.4106473812745408</v>
      </c>
      <c r="GP34" s="4">
        <v>4.475690904227589</v>
      </c>
      <c r="GQ34" s="4">
        <v>4.5387752531032923</v>
      </c>
      <c r="GR34" s="4">
        <v>4.5996929129381838</v>
      </c>
      <c r="GS34" s="4">
        <v>4.6582807708737146</v>
      </c>
      <c r="GT34" s="4">
        <v>4.7144244764709713</v>
      </c>
      <c r="GU34" s="4">
        <v>4.7680599165509552</v>
      </c>
      <c r="GV34" s="4">
        <v>4.8191715026644557</v>
      </c>
      <c r="GW34" s="4">
        <v>4.8677876208448199</v>
      </c>
      <c r="GX34" s="4">
        <v>4.9139741198936404</v>
      </c>
      <c r="GY34" s="4">
        <v>4.9578269363880976</v>
      </c>
      <c r="GZ34" s="4">
        <v>4.9994648551864271</v>
      </c>
      <c r="HA34" s="4">
        <v>5.0390230999379391</v>
      </c>
      <c r="HB34" s="4">
        <v>5.0766480907633493</v>
      </c>
      <c r="HC34" s="4">
        <v>5.1124934026990134</v>
      </c>
      <c r="HD34" s="4">
        <v>5.1467167474389566</v>
      </c>
      <c r="HE34" s="4">
        <v>5.1794776725482388</v>
      </c>
      <c r="HF34" s="4">
        <v>5.2109356007334151</v>
      </c>
      <c r="HG34" s="4">
        <v>5.2412478029885818</v>
      </c>
      <c r="HH34" s="4">
        <v>5.2705669309222332</v>
      </c>
      <c r="HI34" s="4">
        <v>5.2990378786970567</v>
      </c>
      <c r="HJ34" s="4">
        <v>5.3267940616990126</v>
      </c>
      <c r="HK34" s="4">
        <v>5.3539536613347876</v>
      </c>
      <c r="HL34" s="4">
        <v>5.3806167851569588</v>
      </c>
      <c r="HM34" s="4">
        <v>5.4068644928149547</v>
      </c>
      <c r="HN34" s="4">
        <v>5.4327600806835301</v>
      </c>
      <c r="HO34" s="4">
        <v>5.458352187805219</v>
      </c>
      <c r="HP34" s="4">
        <v>5.4836787228300441</v>
      </c>
      <c r="HQ34" s="4">
        <v>5.5087706019219098</v>
      </c>
      <c r="HR34" s="4">
        <v>5.5336546699807041</v>
      </c>
      <c r="HS34" s="4">
        <v>5.5583556152298073</v>
      </c>
      <c r="HT34" s="4">
        <v>5.5828969718719224</v>
      </c>
      <c r="HU34" s="4">
        <v>5.6073014122660219</v>
      </c>
      <c r="HV34" s="4">
        <v>5.6315905207185661</v>
      </c>
      <c r="HW34" s="4">
        <v>5.6557841771338726</v>
      </c>
      <c r="HX34" s="4">
        <v>5.6798995915062216</v>
      </c>
      <c r="HY34" s="4">
        <v>5.703949924630682</v>
      </c>
      <c r="HZ34" s="4">
        <v>5.7279423074589246</v>
      </c>
      <c r="IA34" s="4">
        <v>5.7518749759817869</v>
      </c>
      <c r="IB34" s="4">
        <v>5.7757333424338482</v>
      </c>
      <c r="IC34" s="4">
        <v>5.7994854483429084</v>
      </c>
      <c r="ID34" s="4">
        <v>5.823078525136081</v>
      </c>
      <c r="IE34" s="4">
        <v>5.846439642321835</v>
      </c>
      <c r="IF34" s="4">
        <v>5.8694834948218606</v>
      </c>
      <c r="IG34" s="4">
        <v>5.8921289723343833</v>
      </c>
      <c r="IH34" s="4">
        <v>5.9143229562655613</v>
      </c>
      <c r="II34" s="4">
        <v>5.9360636939743596</v>
      </c>
      <c r="IJ34" s="4">
        <v>5.9574111004926351</v>
      </c>
      <c r="IK34" s="4">
        <v>5.9784767804759582</v>
      </c>
      <c r="IL34" s="4">
        <v>5.9993996188855654</v>
      </c>
      <c r="IM34" s="4">
        <v>6.0203185608329326</v>
      </c>
    </row>
    <row r="35" spans="2:247" x14ac:dyDescent="0.35">
      <c r="B35" s="58">
        <v>0.19</v>
      </c>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v>0.6588872119187954</v>
      </c>
      <c r="DW35" s="4">
        <v>0.70389468921774689</v>
      </c>
      <c r="DX35" s="4">
        <v>0.74902147330075985</v>
      </c>
      <c r="DY35" s="4">
        <v>0.79427156627041828</v>
      </c>
      <c r="DZ35" s="4">
        <v>0.83964887764997309</v>
      </c>
      <c r="EA35" s="4">
        <v>0.8851571020650506</v>
      </c>
      <c r="EB35" s="4">
        <v>0.93079954944541621</v>
      </c>
      <c r="EC35" s="4">
        <v>0.97657891267847674</v>
      </c>
      <c r="ED35" s="4">
        <v>1.0224969542230591</v>
      </c>
      <c r="EE35" s="4">
        <v>1.0685540901592909</v>
      </c>
      <c r="EF35" s="4">
        <v>1.114748848841113</v>
      </c>
      <c r="EG35" s="4">
        <v>1.161077184262957</v>
      </c>
      <c r="EH35" s="4">
        <v>1.207531635826653</v>
      </c>
      <c r="EI35" s="4">
        <v>1.2541003531921271</v>
      </c>
      <c r="EJ35" s="4">
        <v>1.3007660563398129</v>
      </c>
      <c r="EK35" s="4">
        <v>1.3475050854862001</v>
      </c>
      <c r="EL35" s="4">
        <v>1.394286813264658</v>
      </c>
      <c r="EM35" s="4">
        <v>1.4410738178121449</v>
      </c>
      <c r="EN35" s="4">
        <v>1.4878232776796181</v>
      </c>
      <c r="EO35" s="4">
        <v>1.5344899199801489</v>
      </c>
      <c r="EP35" s="4">
        <v>1.5810304041652701</v>
      </c>
      <c r="EQ35" s="4">
        <v>1.6274082852567131</v>
      </c>
      <c r="ER35" s="4">
        <v>1.673598028174313</v>
      </c>
      <c r="ES35" s="4">
        <v>1.719586516957756</v>
      </c>
      <c r="ET35" s="4">
        <v>1.76537139699724</v>
      </c>
      <c r="EU35" s="4">
        <v>1.810956931808704</v>
      </c>
      <c r="EV35" s="4">
        <v>1.856348952676377</v>
      </c>
      <c r="EW35" s="4">
        <v>1.901550456628633</v>
      </c>
      <c r="EX35" s="4">
        <v>1.946558743544706</v>
      </c>
      <c r="EY35" s="4">
        <v>1.9913642544683201</v>
      </c>
      <c r="EZ35" s="4">
        <v>2.035950835593598</v>
      </c>
      <c r="FA35" s="4">
        <v>2.0802970340720441</v>
      </c>
      <c r="FB35" s="4">
        <v>2.124378101568237</v>
      </c>
      <c r="FC35" s="4">
        <v>2.168168505854061</v>
      </c>
      <c r="FD35" s="4">
        <v>2.2116448493956971</v>
      </c>
      <c r="FE35" s="4">
        <v>2.2547891334466592</v>
      </c>
      <c r="FF35" s="4">
        <v>2.2975922813012359</v>
      </c>
      <c r="FG35" s="4">
        <v>2.3400577575686961</v>
      </c>
      <c r="FH35" s="4">
        <v>2.3822050201833149</v>
      </c>
      <c r="FI35" s="4">
        <v>2.4240724613397688</v>
      </c>
      <c r="FJ35" s="4">
        <v>2.4657194792197799</v>
      </c>
      <c r="FK35" s="4">
        <v>2.507227403025905</v>
      </c>
      <c r="FL35" s="4">
        <v>2.54869915933233</v>
      </c>
      <c r="FM35" s="4">
        <v>2.590257766274036</v>
      </c>
      <c r="FN35" s="4">
        <v>2.6320439035355072</v>
      </c>
      <c r="FO35" s="4">
        <v>2.6742128781198908</v>
      </c>
      <c r="FP35" s="4">
        <v>2.716931277256259</v>
      </c>
      <c r="FQ35" s="4">
        <v>2.7603734975484508</v>
      </c>
      <c r="FR35" s="4">
        <v>2.804718207725597</v>
      </c>
      <c r="FS35" s="4">
        <v>2.85014468124003</v>
      </c>
      <c r="FT35" s="4">
        <v>2.896828850999134</v>
      </c>
      <c r="FU35" s="4">
        <v>2.944938906323646</v>
      </c>
      <c r="FV35" s="4">
        <v>2.994630280441458</v>
      </c>
      <c r="FW35" s="4">
        <v>3.046039971379916</v>
      </c>
      <c r="FX35" s="4">
        <v>3.099280299908699</v>
      </c>
      <c r="FY35" s="4">
        <v>3.1544324193911071</v>
      </c>
      <c r="FZ35" s="4">
        <v>3.211540111758838</v>
      </c>
      <c r="GA35" s="4">
        <v>3.270604561494066</v>
      </c>
      <c r="GB35" s="4">
        <v>3.3315808175212309</v>
      </c>
      <c r="GC35" s="4">
        <v>3.394376484777029</v>
      </c>
      <c r="GD35" s="4">
        <v>3.4588528563629031</v>
      </c>
      <c r="GE35" s="4">
        <v>3.524828301931537</v>
      </c>
      <c r="GF35" s="4">
        <v>3.592083399174741</v>
      </c>
      <c r="GG35" s="4">
        <v>3.6603671312853709</v>
      </c>
      <c r="GH35" s="4">
        <v>3.729403497371663</v>
      </c>
      <c r="GI35" s="4">
        <v>3.7988980481497991</v>
      </c>
      <c r="GJ35" s="4">
        <v>3.868544087000267</v>
      </c>
      <c r="GK35" s="4">
        <v>3.9380284950255819</v>
      </c>
      <c r="GL35" s="4">
        <v>4.0070373026458768</v>
      </c>
      <c r="GM35" s="4">
        <v>4.07526121870767</v>
      </c>
      <c r="GN35" s="4">
        <v>4.1424013342763377</v>
      </c>
      <c r="GO35" s="4">
        <v>4.2081751411555457</v>
      </c>
      <c r="GP35" s="4">
        <v>4.2723228494418048</v>
      </c>
      <c r="GQ35" s="4">
        <v>4.3346137732806511</v>
      </c>
      <c r="GR35" s="4">
        <v>4.3948523244718896</v>
      </c>
      <c r="GS35" s="4">
        <v>4.4528829827378402</v>
      </c>
      <c r="GT35" s="4">
        <v>4.5085935812434403</v>
      </c>
      <c r="GU35" s="4">
        <v>4.5619164064007238</v>
      </c>
      <c r="GV35" s="4">
        <v>4.6128269400235862</v>
      </c>
      <c r="GW35" s="4">
        <v>4.6613404696203098</v>
      </c>
      <c r="GX35" s="4">
        <v>4.7075071251678944</v>
      </c>
      <c r="GY35" s="4">
        <v>4.7514060678657</v>
      </c>
      <c r="GZ35" s="4">
        <v>4.793139535184344</v>
      </c>
      <c r="HA35" s="4">
        <v>4.8328272853299739</v>
      </c>
      <c r="HB35" s="4">
        <v>4.8706017617799713</v>
      </c>
      <c r="HC35" s="4">
        <v>4.9066040826462416</v>
      </c>
      <c r="HD35" s="4">
        <v>4.9409807877083702</v>
      </c>
      <c r="HE35" s="4">
        <v>4.9738811580124551</v>
      </c>
      <c r="HF35" s="4">
        <v>5.0054548559983951</v>
      </c>
      <c r="HG35" s="4">
        <v>5.0358496177168623</v>
      </c>
      <c r="HH35" s="4">
        <v>5.065208774127254</v>
      </c>
      <c r="HI35" s="4">
        <v>5.0936685054661526</v>
      </c>
      <c r="HJ35" s="4">
        <v>5.1213549465996353</v>
      </c>
      <c r="HK35" s="4">
        <v>5.1483815147601488</v>
      </c>
      <c r="HL35" s="4">
        <v>5.1748470039711618</v>
      </c>
      <c r="HM35" s="4">
        <v>5.200834941769652</v>
      </c>
      <c r="HN35" s="4">
        <v>5.2264143946063539</v>
      </c>
      <c r="HO35" s="4">
        <v>5.2516419796537317</v>
      </c>
      <c r="HP35" s="4">
        <v>5.2765645266866033</v>
      </c>
      <c r="HQ35" s="4">
        <v>5.3012217752669892</v>
      </c>
      <c r="HR35" s="4">
        <v>5.3256486506971754</v>
      </c>
      <c r="HS35" s="4">
        <v>5.3498768963918399</v>
      </c>
      <c r="HT35" s="4">
        <v>5.3739360313898601</v>
      </c>
      <c r="HU35" s="4">
        <v>5.3978537048735147</v>
      </c>
      <c r="HV35" s="4">
        <v>5.4216555450433672</v>
      </c>
      <c r="HW35" s="4">
        <v>5.4453645754166029</v>
      </c>
      <c r="HX35" s="4">
        <v>5.4690002211492912</v>
      </c>
      <c r="HY35" s="4">
        <v>5.4925768685928604</v>
      </c>
      <c r="HZ35" s="4">
        <v>5.5161018973653944</v>
      </c>
      <c r="IA35" s="4">
        <v>5.5395731317646808</v>
      </c>
      <c r="IB35" s="4">
        <v>5.562975862578293</v>
      </c>
      <c r="IC35" s="4">
        <v>5.5862800795655616</v>
      </c>
      <c r="ID35" s="4">
        <v>5.6094392761295371</v>
      </c>
      <c r="IE35" s="4">
        <v>5.632392771874799</v>
      </c>
      <c r="IF35" s="4">
        <v>5.6550734026662699</v>
      </c>
      <c r="IG35" s="4">
        <v>5.677421203717878</v>
      </c>
      <c r="IH35" s="4">
        <v>5.6994010085063236</v>
      </c>
      <c r="II35" s="4">
        <v>5.7210181802009004</v>
      </c>
      <c r="IJ35" s="4">
        <v>5.7423249415576016</v>
      </c>
      <c r="IK35" s="4">
        <v>5.7634134266344272</v>
      </c>
      <c r="IL35" s="4">
        <v>5.7843986041101942</v>
      </c>
      <c r="IM35" s="4">
        <v>5.8053983530090392</v>
      </c>
    </row>
    <row r="36" spans="2:247" x14ac:dyDescent="0.35">
      <c r="B36" s="58">
        <v>0.2</v>
      </c>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v>0.48770711468114619</v>
      </c>
      <c r="DW36" s="4">
        <v>0.53315761110435256</v>
      </c>
      <c r="DX36" s="4">
        <v>0.5787427806540979</v>
      </c>
      <c r="DY36" s="4">
        <v>0.62446678959566215</v>
      </c>
      <c r="DZ36" s="4">
        <v>0.67033352599410456</v>
      </c>
      <c r="EA36" s="4">
        <v>0.71634640780020309</v>
      </c>
      <c r="EB36" s="4">
        <v>0.76250812213107899</v>
      </c>
      <c r="EC36" s="4">
        <v>0.80882027468120965</v>
      </c>
      <c r="ED36" s="4">
        <v>0.85528292339293843</v>
      </c>
      <c r="EE36" s="4">
        <v>0.90189396603664029</v>
      </c>
      <c r="EF36" s="4">
        <v>0.94864834881844562</v>
      </c>
      <c r="EG36" s="4">
        <v>0.99553706572901079</v>
      </c>
      <c r="EH36" s="4">
        <v>1.0425459318540591</v>
      </c>
      <c r="EI36" s="4">
        <v>1.0896541479911011</v>
      </c>
      <c r="EJ36" s="4">
        <v>1.1368327433604559</v>
      </c>
      <c r="EK36" s="4">
        <v>1.184043106575738</v>
      </c>
      <c r="EL36" s="4">
        <v>1.2312360067763299</v>
      </c>
      <c r="EM36" s="4">
        <v>1.2783517527819761</v>
      </c>
      <c r="EN36" s="4">
        <v>1.3253223454184631</v>
      </c>
      <c r="EO36" s="4">
        <v>1.3720764144258291</v>
      </c>
      <c r="EP36" s="4">
        <v>1.4185470504054909</v>
      </c>
      <c r="EQ36" s="4">
        <v>1.464681184375809</v>
      </c>
      <c r="ER36" s="4">
        <v>1.5104475259091401</v>
      </c>
      <c r="ES36" s="4">
        <v>1.55583968663603</v>
      </c>
      <c r="ET36" s="4">
        <v>1.6008729782936491</v>
      </c>
      <c r="EU36" s="4">
        <v>1.6455764172518541</v>
      </c>
      <c r="EV36" s="4">
        <v>1.689983331899223</v>
      </c>
      <c r="EW36" s="4">
        <v>1.734123589168578</v>
      </c>
      <c r="EX36" s="4">
        <v>1.7780188208666521</v>
      </c>
      <c r="EY36" s="4">
        <v>1.821680580077691</v>
      </c>
      <c r="EZ36" s="4">
        <v>1.865110685065456</v>
      </c>
      <c r="FA36" s="4">
        <v>1.9083029513373031</v>
      </c>
      <c r="FB36" s="4">
        <v>1.9512457226669291</v>
      </c>
      <c r="FC36" s="4">
        <v>1.993924852029711</v>
      </c>
      <c r="FD36" s="4">
        <v>2.036326954905229</v>
      </c>
      <c r="FE36" s="4">
        <v>2.0784428403165802</v>
      </c>
      <c r="FF36" s="4">
        <v>2.120271030819985</v>
      </c>
      <c r="FG36" s="4">
        <v>2.1618212343723631</v>
      </c>
      <c r="FH36" s="4">
        <v>2.2031175590114729</v>
      </c>
      <c r="FI36" s="4">
        <v>2.2442012025927029</v>
      </c>
      <c r="FJ36" s="4">
        <v>2.2851323411787261</v>
      </c>
      <c r="FK36" s="4">
        <v>2.32599100287718</v>
      </c>
      <c r="FL36" s="4">
        <v>2.3668768411062571</v>
      </c>
      <c r="FM36" s="4">
        <v>2.4079078732936949</v>
      </c>
      <c r="FN36" s="4">
        <v>2.4492183750777401</v>
      </c>
      <c r="FO36" s="4">
        <v>2.490956176610823</v>
      </c>
      <c r="FP36" s="4">
        <v>2.5332795877310139</v>
      </c>
      <c r="FQ36" s="4">
        <v>2.576354102541603</v>
      </c>
      <c r="FR36" s="4">
        <v>2.6203489348602829</v>
      </c>
      <c r="FS36" s="4">
        <v>2.6654333457261732</v>
      </c>
      <c r="FT36" s="4">
        <v>2.7117726649755398</v>
      </c>
      <c r="FU36" s="4">
        <v>2.7595238938121471</v>
      </c>
      <c r="FV36" s="4">
        <v>2.8088308108536322</v>
      </c>
      <c r="FW36" s="4">
        <v>2.8598185915645571</v>
      </c>
      <c r="FX36" s="4">
        <v>2.9125880837149571</v>
      </c>
      <c r="FY36" s="4">
        <v>2.967210040155341</v>
      </c>
      <c r="FZ36" s="4">
        <v>3.0237197591771778</v>
      </c>
      <c r="GA36" s="4">
        <v>3.0821126740307041</v>
      </c>
      <c r="GB36" s="4">
        <v>3.1423414211743159</v>
      </c>
      <c r="GC36" s="4">
        <v>3.204314780651818</v>
      </c>
      <c r="GD36" s="4">
        <v>3.2678986433144939</v>
      </c>
      <c r="GE36" s="4">
        <v>3.3329188815421711</v>
      </c>
      <c r="GF36" s="4">
        <v>3.399165763030028</v>
      </c>
      <c r="GG36" s="4">
        <v>3.46639941402097</v>
      </c>
      <c r="GH36" s="4">
        <v>3.534355830306823</v>
      </c>
      <c r="GI36" s="4">
        <v>3.6027530296855952</v>
      </c>
      <c r="GJ36" s="4">
        <v>3.6712970913442562</v>
      </c>
      <c r="GK36" s="4">
        <v>3.73968798575283</v>
      </c>
      <c r="GL36" s="4">
        <v>3.8076252246785329</v>
      </c>
      <c r="GM36" s="4">
        <v>3.8748134321821102</v>
      </c>
      <c r="GN36" s="4">
        <v>3.9409679444249859</v>
      </c>
      <c r="GO36" s="4">
        <v>4.0058204890007341</v>
      </c>
      <c r="GP36" s="4">
        <v>4.0691248827850854</v>
      </c>
      <c r="GQ36" s="4">
        <v>4.1306625424884302</v>
      </c>
      <c r="GR36" s="4">
        <v>4.19024746024109</v>
      </c>
      <c r="GS36" s="4">
        <v>4.2477302048039043</v>
      </c>
      <c r="GT36" s="4">
        <v>4.3030005121537327</v>
      </c>
      <c r="GU36" s="4">
        <v>4.3559881487004457</v>
      </c>
      <c r="GV36" s="4">
        <v>4.4066619473528919</v>
      </c>
      <c r="GW36" s="4">
        <v>4.4550271726249964</v>
      </c>
      <c r="GX36" s="4">
        <v>4.5011215908400892</v>
      </c>
      <c r="GY36" s="4">
        <v>4.5450107463350662</v>
      </c>
      <c r="GZ36" s="4">
        <v>4.58678295439395</v>
      </c>
      <c r="HA36" s="4">
        <v>4.6265444359237957</v>
      </c>
      <c r="HB36" s="4">
        <v>4.6644148791998248</v>
      </c>
      <c r="HC36" s="4">
        <v>4.7005235628724673</v>
      </c>
      <c r="HD36" s="4">
        <v>4.7350060420515634</v>
      </c>
      <c r="HE36" s="4">
        <v>4.7680013013382316</v>
      </c>
      <c r="HF36" s="4">
        <v>4.7996492215495294</v>
      </c>
      <c r="HG36" s="4">
        <v>4.8300881946685186</v>
      </c>
      <c r="HH36" s="4">
        <v>4.8594527596434816</v>
      </c>
      <c r="HI36" s="4">
        <v>4.8878712230664147</v>
      </c>
      <c r="HJ36" s="4">
        <v>4.9154633622409314</v>
      </c>
      <c r="HK36" s="4">
        <v>4.9423384447132168</v>
      </c>
      <c r="HL36" s="4">
        <v>4.9685938726676424</v>
      </c>
      <c r="HM36" s="4">
        <v>4.9943147125000316</v>
      </c>
      <c r="HN36" s="4">
        <v>5.0195741939544414</v>
      </c>
      <c r="HO36" s="4">
        <v>5.0444350309701287</v>
      </c>
      <c r="HP36" s="4">
        <v>5.0689512363355984</v>
      </c>
      <c r="HQ36" s="4">
        <v>5.0931700460952598</v>
      </c>
      <c r="HR36" s="4">
        <v>5.1171336324613357</v>
      </c>
      <c r="HS36" s="4">
        <v>5.1408804065890461</v>
      </c>
      <c r="HT36" s="4">
        <v>5.1644458315859731</v>
      </c>
      <c r="HU36" s="4">
        <v>5.1878627458617697</v>
      </c>
      <c r="HV36" s="4">
        <v>5.2111612313437092</v>
      </c>
      <c r="HW36" s="4">
        <v>5.2343680607914793</v>
      </c>
      <c r="HX36" s="4">
        <v>5.2575057393033848</v>
      </c>
      <c r="HY36" s="4">
        <v>5.2805911353115613</v>
      </c>
      <c r="HZ36" s="4">
        <v>5.3036337012909129</v>
      </c>
      <c r="IA36" s="4">
        <v>5.3266333534752661</v>
      </c>
      <c r="IB36" s="4">
        <v>5.3495782621958146</v>
      </c>
      <c r="IC36" s="4">
        <v>5.3724431253546303</v>
      </c>
      <c r="ID36" s="4">
        <v>5.3951889008645901</v>
      </c>
      <c r="IE36" s="4">
        <v>5.4177652977664827</v>
      </c>
      <c r="IF36" s="4">
        <v>5.4401173407981718</v>
      </c>
      <c r="IG36" s="4">
        <v>5.4621966789614902</v>
      </c>
      <c r="IH36" s="4">
        <v>5.4839763683417928</v>
      </c>
      <c r="II36" s="4">
        <v>5.5054644466717901</v>
      </c>
      <c r="IJ36" s="4">
        <v>5.5267093546894106</v>
      </c>
      <c r="IK36" s="4">
        <v>5.5477935088452268</v>
      </c>
      <c r="IL36" s="4">
        <v>5.5688184190155212</v>
      </c>
      <c r="IM36" s="4">
        <v>5.5898882918069894</v>
      </c>
    </row>
    <row r="37" spans="2:247" x14ac:dyDescent="0.35">
      <c r="B37" s="58">
        <v>0.21</v>
      </c>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v>0.31633977469635122</v>
      </c>
      <c r="DW37" s="4">
        <v>0.36221790526039888</v>
      </c>
      <c r="DX37" s="4">
        <v>0.4082446785487166</v>
      </c>
      <c r="DY37" s="4">
        <v>0.45442433127634763</v>
      </c>
      <c r="DZ37" s="4">
        <v>0.50076065212387189</v>
      </c>
      <c r="EA37" s="4">
        <v>0.54725673286328913</v>
      </c>
      <c r="EB37" s="4">
        <v>0.59391463466286876</v>
      </c>
      <c r="EC37" s="4">
        <v>0.64073494408058851</v>
      </c>
      <c r="ED37" s="4">
        <v>0.68771618709505544</v>
      </c>
      <c r="EE37" s="4">
        <v>0.73485406314397661</v>
      </c>
      <c r="EF37" s="4">
        <v>0.78214045589559156</v>
      </c>
      <c r="EG37" s="4">
        <v>0.82956217625055606</v>
      </c>
      <c r="EH37" s="4">
        <v>0.87709940157275179</v>
      </c>
      <c r="EI37" s="4">
        <v>0.92472380409173294</v>
      </c>
      <c r="EJ37" s="4">
        <v>0.97239642986386432</v>
      </c>
      <c r="EK37" s="4">
        <v>1.020065528857317</v>
      </c>
      <c r="EL37" s="4">
        <v>1.067664790094998</v>
      </c>
      <c r="EM37" s="4">
        <v>1.115112840075599</v>
      </c>
      <c r="EN37" s="4">
        <v>1.1623153732572511</v>
      </c>
      <c r="EO37" s="4">
        <v>1.209171598772155</v>
      </c>
      <c r="EP37" s="4">
        <v>1.2555860543670589</v>
      </c>
      <c r="EQ37" s="4">
        <v>1.301484355355746</v>
      </c>
      <c r="ER37" s="4">
        <v>1.3468275998464769</v>
      </c>
      <c r="ES37" s="4">
        <v>1.3916183153314421</v>
      </c>
      <c r="ET37" s="4">
        <v>1.435894497812634</v>
      </c>
      <c r="EU37" s="4">
        <v>1.479715213146249</v>
      </c>
      <c r="EV37" s="4">
        <v>1.5231448979548681</v>
      </c>
      <c r="EW37" s="4">
        <v>1.566241664385325</v>
      </c>
      <c r="EX37" s="4">
        <v>1.609051070934687</v>
      </c>
      <c r="EY37" s="4">
        <v>1.651604343829685</v>
      </c>
      <c r="EZ37" s="4">
        <v>1.693919406021664</v>
      </c>
      <c r="FA37" s="4">
        <v>1.736003390966518</v>
      </c>
      <c r="FB37" s="4">
        <v>1.777855830460062</v>
      </c>
      <c r="FC37" s="4">
        <v>1.819472105169226</v>
      </c>
      <c r="FD37" s="4">
        <v>1.860846984064964</v>
      </c>
      <c r="FE37" s="4">
        <v>1.9019781863466669</v>
      </c>
      <c r="FF37" s="4">
        <v>1.942869916029911</v>
      </c>
      <c r="FG37" s="4">
        <v>1.983536276923856</v>
      </c>
      <c r="FH37" s="4">
        <v>2.0240044036712468</v>
      </c>
      <c r="FI37" s="4">
        <v>2.064317077555486</v>
      </c>
      <c r="FJ37" s="4">
        <v>2.10453457309531</v>
      </c>
      <c r="FK37" s="4">
        <v>2.1447355320828181</v>
      </c>
      <c r="FL37" s="4">
        <v>2.185016783088046</v>
      </c>
      <c r="FM37" s="4">
        <v>2.2254921748013099</v>
      </c>
      <c r="FN37" s="4">
        <v>2.2662906109697838</v>
      </c>
      <c r="FO37" s="4">
        <v>2.3075535211304952</v>
      </c>
      <c r="FP37" s="4">
        <v>2.3494319716632939</v>
      </c>
      <c r="FQ37" s="4">
        <v>2.3920835435475549</v>
      </c>
      <c r="FR37" s="4">
        <v>2.4356690127673408</v>
      </c>
      <c r="FS37" s="4">
        <v>2.48034879476536</v>
      </c>
      <c r="FT37" s="4">
        <v>2.5262790719952721</v>
      </c>
      <c r="FU37" s="4">
        <v>2.5736075212383782</v>
      </c>
      <c r="FV37" s="4">
        <v>2.6224685979113671</v>
      </c>
      <c r="FW37" s="4">
        <v>2.6729784169097708</v>
      </c>
      <c r="FX37" s="4">
        <v>2.7252293856971348</v>
      </c>
      <c r="FY37" s="4">
        <v>2.7792848770101921</v>
      </c>
      <c r="FZ37" s="4">
        <v>2.835174345454202</v>
      </c>
      <c r="GA37" s="4">
        <v>2.8928893567655458</v>
      </c>
      <c r="GB37" s="4">
        <v>2.9523809775490029</v>
      </c>
      <c r="GC37" s="4">
        <v>3.013558854304287</v>
      </c>
      <c r="GD37" s="4">
        <v>3.0762921128224612</v>
      </c>
      <c r="GE37" s="4">
        <v>3.1404119814379281</v>
      </c>
      <c r="GF37" s="4">
        <v>3.2057158450702339</v>
      </c>
      <c r="GG37" s="4">
        <v>3.271972320054136</v>
      </c>
      <c r="GH37" s="4">
        <v>3.3389269210445982</v>
      </c>
      <c r="GI37" s="4">
        <v>3.4063079571083179</v>
      </c>
      <c r="GJ37" s="4">
        <v>3.4738324097099889</v>
      </c>
      <c r="GK37" s="4">
        <v>3.5412116707733041</v>
      </c>
      <c r="GL37" s="4">
        <v>3.6081571215345232</v>
      </c>
      <c r="GM37" s="4">
        <v>3.6743855919995192</v>
      </c>
      <c r="GN37" s="4">
        <v>3.7396247481247271</v>
      </c>
      <c r="GO37" s="4">
        <v>3.8036184112732969</v>
      </c>
      <c r="GP37" s="4">
        <v>3.866131733034718</v>
      </c>
      <c r="GQ37" s="4">
        <v>3.9269560480743708</v>
      </c>
      <c r="GR37" s="4">
        <v>3.985913136223989</v>
      </c>
      <c r="GS37" s="4">
        <v>4.0428585740358809</v>
      </c>
      <c r="GT37" s="4">
        <v>4.0976838715502328</v>
      </c>
      <c r="GU37" s="4">
        <v>4.1503171814203181</v>
      </c>
      <c r="GV37" s="4">
        <v>4.2007225199593066</v>
      </c>
      <c r="GW37" s="4">
        <v>4.2488976162837888</v>
      </c>
      <c r="GX37" s="4">
        <v>4.2948706606612257</v>
      </c>
      <c r="GY37" s="4">
        <v>4.3386963191120866</v>
      </c>
      <c r="GZ37" s="4">
        <v>4.3804514023559289</v>
      </c>
      <c r="HA37" s="4">
        <v>4.4202305308222014</v>
      </c>
      <c r="HB37" s="4">
        <v>4.4581420468562998</v>
      </c>
      <c r="HC37" s="4">
        <v>4.4943043179980808</v>
      </c>
      <c r="HD37" s="4">
        <v>4.5288424744956446</v>
      </c>
      <c r="HE37" s="4">
        <v>4.5618855454964189</v>
      </c>
      <c r="HF37" s="4">
        <v>4.5935639103678332</v>
      </c>
      <c r="HG37" s="4">
        <v>4.6240069689715906</v>
      </c>
      <c r="HH37" s="4">
        <v>4.6533409591554058</v>
      </c>
      <c r="HI37" s="4">
        <v>4.6816869078731882</v>
      </c>
      <c r="HJ37" s="4">
        <v>4.7091587808770337</v>
      </c>
      <c r="HK37" s="4">
        <v>4.7358619682133254</v>
      </c>
      <c r="HL37" s="4">
        <v>4.7618922739499974</v>
      </c>
      <c r="HM37" s="4">
        <v>4.7873355423460762</v>
      </c>
      <c r="HN37" s="4">
        <v>4.8122679514515303</v>
      </c>
      <c r="HO37" s="4">
        <v>4.8367568758464756</v>
      </c>
      <c r="HP37" s="4">
        <v>4.8608621156226421</v>
      </c>
      <c r="HQ37" s="4">
        <v>4.884637246078408</v>
      </c>
      <c r="HR37" s="4">
        <v>4.9081308651478084</v>
      </c>
      <c r="HS37" s="4">
        <v>4.9313875784579571</v>
      </c>
      <c r="HT37" s="4">
        <v>4.954448632644878</v>
      </c>
      <c r="HU37" s="4">
        <v>4.9773521631516919</v>
      </c>
      <c r="HV37" s="4">
        <v>5.0001330549690506</v>
      </c>
      <c r="HW37" s="4">
        <v>5.0228224269829287</v>
      </c>
      <c r="HX37" s="4">
        <v>5.0454467525891564</v>
      </c>
      <c r="HY37" s="4">
        <v>5.0680266346563378</v>
      </c>
      <c r="HZ37" s="4">
        <v>5.0905752789957122</v>
      </c>
      <c r="IA37" s="4">
        <v>5.1130967768180939</v>
      </c>
      <c r="IB37" s="4">
        <v>5.1355844276843232</v>
      </c>
      <c r="IC37" s="4">
        <v>5.1580195049516471</v>
      </c>
      <c r="ID37" s="4">
        <v>5.1803710560426897</v>
      </c>
      <c r="IE37" s="4">
        <v>5.2025975284269714</v>
      </c>
      <c r="IF37" s="4">
        <v>5.2246513113901516</v>
      </c>
      <c r="IG37" s="4">
        <v>5.2464877424723193</v>
      </c>
      <c r="IH37" s="4">
        <v>5.2680796610222282</v>
      </c>
      <c r="II37" s="4">
        <v>5.2894339424014412</v>
      </c>
      <c r="IJ37" s="4">
        <v>5.3105990821367444</v>
      </c>
      <c r="IK37" s="4">
        <v>5.3316565154042657</v>
      </c>
      <c r="IL37" s="4">
        <v>5.3527029058091724</v>
      </c>
      <c r="IM37" s="4">
        <v>5.3738344016530109</v>
      </c>
    </row>
    <row r="38" spans="2:247" x14ac:dyDescent="0.35">
      <c r="B38" s="58">
        <v>0.22</v>
      </c>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v>0.14471758705450591</v>
      </c>
      <c r="DW38" s="4">
        <v>0.19100325938107909</v>
      </c>
      <c r="DX38" s="4">
        <v>0.23744975737844601</v>
      </c>
      <c r="DY38" s="4">
        <v>0.284061266819569</v>
      </c>
      <c r="DZ38" s="4">
        <v>0.33084137264274283</v>
      </c>
      <c r="EA38" s="4">
        <v>0.37779276737422851</v>
      </c>
      <c r="EB38" s="4">
        <v>0.42491686479454138</v>
      </c>
      <c r="EC38" s="4">
        <v>0.47221329090960529</v>
      </c>
      <c r="ED38" s="4">
        <v>0.51967921708525511</v>
      </c>
      <c r="EE38" s="4">
        <v>0.56730849194958566</v>
      </c>
      <c r="EF38" s="4">
        <v>0.61509051998643383</v>
      </c>
      <c r="EG38" s="4">
        <v>0.66300882729229516</v>
      </c>
      <c r="EH38" s="4">
        <v>0.71103925257981926</v>
      </c>
      <c r="EI38" s="4">
        <v>0.75914771264895986</v>
      </c>
      <c r="EJ38" s="4">
        <v>0.80728753440758361</v>
      </c>
      <c r="EK38" s="4">
        <v>0.85539645812479392</v>
      </c>
      <c r="EL38" s="4">
        <v>0.90339367375660906</v>
      </c>
      <c r="EM38" s="4">
        <v>0.95117778144221132</v>
      </c>
      <c r="EN38" s="4">
        <v>0.99862750998283589</v>
      </c>
      <c r="EO38" s="4">
        <v>1.04560826567707</v>
      </c>
      <c r="EP38" s="4">
        <v>1.091987972137296</v>
      </c>
      <c r="EQ38" s="4">
        <v>1.1376623655219991</v>
      </c>
      <c r="ER38" s="4">
        <v>1.1825812306195269</v>
      </c>
      <c r="ES38" s="4">
        <v>1.226759996473278</v>
      </c>
      <c r="ET38" s="4">
        <v>1.270268183052234</v>
      </c>
      <c r="EU38" s="4">
        <v>1.3132032266913931</v>
      </c>
      <c r="EV38" s="4">
        <v>1.355665285925975</v>
      </c>
      <c r="EW38" s="4">
        <v>1.397741564719345</v>
      </c>
      <c r="EX38" s="4">
        <v>1.4395000141312131</v>
      </c>
      <c r="EY38" s="4">
        <v>1.4809889810401879</v>
      </c>
      <c r="EZ38" s="4">
        <v>1.5222397648900889</v>
      </c>
      <c r="FA38" s="4">
        <v>1.56327028583005</v>
      </c>
      <c r="FB38" s="4">
        <v>1.604089012869601</v>
      </c>
      <c r="FC38" s="4">
        <v>1.6446988293582461</v>
      </c>
      <c r="FD38" s="4">
        <v>1.6851007633673769</v>
      </c>
      <c r="FE38" s="4">
        <v>1.7252976045105159</v>
      </c>
      <c r="FF38" s="4">
        <v>1.7652974332730109</v>
      </c>
      <c r="FG38" s="4">
        <v>1.8051170341631499</v>
      </c>
      <c r="FH38" s="4">
        <v>1.8447850685807889</v>
      </c>
      <c r="FI38" s="4">
        <v>1.884344777726854</v>
      </c>
      <c r="FJ38" s="4">
        <v>1.9238559235746731</v>
      </c>
      <c r="FK38" s="4">
        <v>1.963395713820395</v>
      </c>
      <c r="FL38" s="4">
        <v>2.0030586070874441</v>
      </c>
      <c r="FM38" s="4">
        <v>2.0429550949441251</v>
      </c>
      <c r="FN38" s="4">
        <v>2.0832097067335038</v>
      </c>
      <c r="FO38" s="4">
        <v>2.1239585193099408</v>
      </c>
      <c r="FP38" s="4">
        <v>2.1653463887769431</v>
      </c>
      <c r="FQ38" s="4">
        <v>2.2075240118103121</v>
      </c>
      <c r="FR38" s="4">
        <v>2.2506448220721249</v>
      </c>
      <c r="FS38" s="4">
        <v>2.2948616583644639</v>
      </c>
      <c r="FT38" s="4">
        <v>2.3403231113415481</v>
      </c>
      <c r="FU38" s="4">
        <v>2.3871694636220111</v>
      </c>
      <c r="FV38" s="4">
        <v>2.4355281829819102</v>
      </c>
      <c r="FW38" s="4">
        <v>2.4855090089902778</v>
      </c>
      <c r="FX38" s="4">
        <v>2.5371987847440409</v>
      </c>
      <c r="FY38" s="4">
        <v>2.5906563124119439</v>
      </c>
      <c r="FZ38" s="4">
        <v>2.6459076266115291</v>
      </c>
      <c r="GA38" s="4">
        <v>2.7029421462686618</v>
      </c>
      <c r="GB38" s="4">
        <v>2.7617101487948341</v>
      </c>
      <c r="GC38" s="4">
        <v>2.8221218948921201</v>
      </c>
      <c r="GD38" s="4">
        <v>2.8840485358630401</v>
      </c>
      <c r="GE38" s="4">
        <v>2.947324707803646</v>
      </c>
      <c r="GF38" s="4">
        <v>3.0117525215824652</v>
      </c>
      <c r="GG38" s="4">
        <v>3.0771065435333251</v>
      </c>
      <c r="GH38" s="4">
        <v>3.1431393463319508</v>
      </c>
      <c r="GI38" s="4">
        <v>3.2095872760063129</v>
      </c>
      <c r="GJ38" s="4">
        <v>3.2761761927787152</v>
      </c>
      <c r="GK38" s="4">
        <v>3.342627061005198</v>
      </c>
      <c r="GL38" s="4">
        <v>3.408661356626312</v>
      </c>
      <c r="GM38" s="4">
        <v>3.4740063123579339</v>
      </c>
      <c r="GN38" s="4">
        <v>3.538400026529926</v>
      </c>
      <c r="GO38" s="4">
        <v>3.6015964255781681</v>
      </c>
      <c r="GP38" s="4">
        <v>3.6633700045972519</v>
      </c>
      <c r="GQ38" s="4">
        <v>3.7235201931006361</v>
      </c>
      <c r="GR38" s="4">
        <v>3.7818751266722872</v>
      </c>
      <c r="GS38" s="4">
        <v>3.8382945725567872</v>
      </c>
      <c r="GT38" s="4">
        <v>3.8926717756998159</v>
      </c>
      <c r="GU38" s="4">
        <v>3.9449340659148122</v>
      </c>
      <c r="GV38" s="4">
        <v>3.99504218469886</v>
      </c>
      <c r="GW38" s="4">
        <v>4.0429884253567927</v>
      </c>
      <c r="GX38" s="4">
        <v>4.0887938003196531</v>
      </c>
      <c r="GY38" s="4">
        <v>4.1325045280953301</v>
      </c>
      <c r="GZ38" s="4">
        <v>4.1741881563162284</v>
      </c>
      <c r="HA38" s="4">
        <v>4.2139296099821717</v>
      </c>
      <c r="HB38" s="4">
        <v>4.2518273902101757</v>
      </c>
      <c r="HC38" s="4">
        <v>4.2879900683267547</v>
      </c>
      <c r="HD38" s="4">
        <v>4.3225331411956516</v>
      </c>
      <c r="HE38" s="4">
        <v>4.3555762496259449</v>
      </c>
      <c r="HF38" s="4">
        <v>4.3872407205576627</v>
      </c>
      <c r="HG38" s="4">
        <v>4.417647379012708</v>
      </c>
      <c r="HH38" s="4">
        <v>4.4469145871849189</v>
      </c>
      <c r="HI38" s="4">
        <v>4.475156500639156</v>
      </c>
      <c r="HJ38" s="4">
        <v>4.5024815746139168</v>
      </c>
      <c r="HK38" s="4">
        <v>4.5289913902931378</v>
      </c>
      <c r="HL38" s="4">
        <v>4.554779883350105</v>
      </c>
      <c r="HM38" s="4">
        <v>4.5799330333592803</v>
      </c>
      <c r="HN38" s="4">
        <v>4.6045290158170156</v>
      </c>
      <c r="HO38" s="4">
        <v>4.6286387473473392</v>
      </c>
      <c r="HP38" s="4">
        <v>4.6523266950405837</v>
      </c>
      <c r="HQ38" s="4">
        <v>4.6756517920506164</v>
      </c>
      <c r="HR38" s="4">
        <v>4.6986683075079334</v>
      </c>
      <c r="HS38" s="4">
        <v>4.7214265494342591</v>
      </c>
      <c r="HT38" s="4">
        <v>4.7439733189526487</v>
      </c>
      <c r="HU38" s="4">
        <v>4.7663520697755573</v>
      </c>
      <c r="HV38" s="4">
        <v>4.7886027528050956</v>
      </c>
      <c r="HW38" s="4">
        <v>4.81076134262302</v>
      </c>
      <c r="HX38" s="4">
        <v>4.8328590563496006</v>
      </c>
      <c r="HY38" s="4">
        <v>4.8549212939528479</v>
      </c>
      <c r="HZ38" s="4">
        <v>4.876966360873924</v>
      </c>
      <c r="IA38" s="4">
        <v>4.8990040833200306</v>
      </c>
      <c r="IB38" s="4">
        <v>4.9210344877451417</v>
      </c>
      <c r="IC38" s="4">
        <v>4.9430467657557324</v>
      </c>
      <c r="ID38" s="4">
        <v>4.9650187529092404</v>
      </c>
      <c r="IE38" s="4">
        <v>4.9869171454850463</v>
      </c>
      <c r="IF38" s="4">
        <v>5.0086989986948742</v>
      </c>
      <c r="IG38" s="4">
        <v>5.0303168153708384</v>
      </c>
      <c r="IH38" s="4">
        <v>5.0517334306011392</v>
      </c>
      <c r="II38" s="4">
        <v>5.0729491827727129</v>
      </c>
      <c r="IJ38" s="4">
        <v>5.0940182729888832</v>
      </c>
      <c r="IK38" s="4">
        <v>5.1150313419979669</v>
      </c>
      <c r="IL38" s="4">
        <v>5.1360872552848056</v>
      </c>
      <c r="IM38" s="4">
        <v>5.1572772782954246</v>
      </c>
    </row>
    <row r="39" spans="2:247" x14ac:dyDescent="0.35">
      <c r="B39" s="58">
        <v>0.23</v>
      </c>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v>-2.7223620331909171E-2</v>
      </c>
      <c r="DW39" s="4">
        <v>1.944518452059496E-2</v>
      </c>
      <c r="DX39" s="4">
        <v>6.6284855887640326E-2</v>
      </c>
      <c r="DY39" s="4">
        <v>0.1132993757169571</v>
      </c>
      <c r="DZ39" s="4">
        <v>0.1604919862103005</v>
      </c>
      <c r="EA39" s="4">
        <v>0.20786486921100431</v>
      </c>
      <c r="EB39" s="4">
        <v>0.25541872687359918</v>
      </c>
      <c r="EC39" s="4">
        <v>0.30315223537642361</v>
      </c>
      <c r="ED39" s="4">
        <v>0.35106133582267368</v>
      </c>
      <c r="EE39" s="4">
        <v>0.39913831704279001</v>
      </c>
      <c r="EF39" s="4">
        <v>0.44737063349631973</v>
      </c>
      <c r="EG39" s="4">
        <v>0.49573938781024612</v>
      </c>
      <c r="EH39" s="4">
        <v>0.54421739233430033</v>
      </c>
      <c r="EI39" s="4">
        <v>0.59276671031875239</v>
      </c>
      <c r="EJ39" s="4">
        <v>0.6413355743546969</v>
      </c>
      <c r="EK39" s="4">
        <v>0.68985461543313509</v>
      </c>
      <c r="EL39" s="4">
        <v>0.73823248773333283</v>
      </c>
      <c r="EM39" s="4">
        <v>0.78635144106726385</v>
      </c>
      <c r="EN39" s="4">
        <v>0.83406461710582613</v>
      </c>
      <c r="EO39" s="4">
        <v>0.88119948409509696</v>
      </c>
      <c r="EP39" s="4">
        <v>0.92757549334587708</v>
      </c>
      <c r="EQ39" s="4">
        <v>0.97304300341476324</v>
      </c>
      <c r="ER39" s="4">
        <v>1.017532983389051</v>
      </c>
      <c r="ES39" s="4">
        <v>1.0610814961402699</v>
      </c>
      <c r="ET39" s="4">
        <v>1.103805305863925</v>
      </c>
      <c r="EU39" s="4">
        <v>1.145852282242894</v>
      </c>
      <c r="EV39" s="4">
        <v>1.1873626176220999</v>
      </c>
      <c r="EW39" s="4">
        <v>1.228451364201921</v>
      </c>
      <c r="EX39" s="4">
        <v>1.2692052654399091</v>
      </c>
      <c r="EY39" s="4">
        <v>1.3096858206684261</v>
      </c>
      <c r="EZ39" s="4">
        <v>1.349934193227625</v>
      </c>
      <c r="FA39" s="4">
        <v>1.3899762144324941</v>
      </c>
      <c r="FB39" s="4">
        <v>1.4298269643691079</v>
      </c>
      <c r="FC39" s="4">
        <v>1.469494883012032</v>
      </c>
      <c r="FD39" s="4">
        <v>1.5089855226923521</v>
      </c>
      <c r="FE39" s="4">
        <v>1.548305089636957</v>
      </c>
      <c r="FF39" s="4">
        <v>1.5874639028583899</v>
      </c>
      <c r="FG39" s="4">
        <v>1.6264798287537059</v>
      </c>
      <c r="FH39" s="4">
        <v>1.665381616891825</v>
      </c>
      <c r="FI39" s="4">
        <v>1.704211879667979</v>
      </c>
      <c r="FJ39" s="4">
        <v>1.743029306324779</v>
      </c>
      <c r="FK39" s="4">
        <v>1.781909710359425</v>
      </c>
      <c r="FL39" s="4">
        <v>1.820945740338157</v>
      </c>
      <c r="FM39" s="4">
        <v>1.8602454228254379</v>
      </c>
      <c r="FN39" s="4">
        <v>1.8999299369496541</v>
      </c>
      <c r="FO39" s="4">
        <v>1.9401310285196129</v>
      </c>
      <c r="FP39" s="4">
        <v>1.9809883199044831</v>
      </c>
      <c r="FQ39" s="4">
        <v>2.022646591038995</v>
      </c>
      <c r="FR39" s="4">
        <v>2.065252978470828</v>
      </c>
      <c r="FS39" s="4">
        <v>2.1089539764404939</v>
      </c>
      <c r="FT39" s="4">
        <v>2.15389210942479</v>
      </c>
      <c r="FU39" s="4">
        <v>2.2002021640302449</v>
      </c>
      <c r="FV39" s="4">
        <v>2.2480069155544462</v>
      </c>
      <c r="FW39" s="4">
        <v>2.2974123644197331</v>
      </c>
      <c r="FX39" s="4">
        <v>2.3485026126514308</v>
      </c>
      <c r="FY39" s="4">
        <v>2.401334652849402</v>
      </c>
      <c r="FZ39" s="4">
        <v>2.4559334855075292</v>
      </c>
      <c r="GA39" s="4">
        <v>2.512288079612286</v>
      </c>
      <c r="GB39" s="4">
        <v>2.570348694454236</v>
      </c>
      <c r="GC39" s="4">
        <v>2.630025956322195</v>
      </c>
      <c r="GD39" s="4">
        <v>2.6911918481949022</v>
      </c>
      <c r="GE39" s="4">
        <v>2.7536824908088922</v>
      </c>
      <c r="GF39" s="4">
        <v>2.8173023588872419</v>
      </c>
      <c r="GG39" s="4">
        <v>2.881829453614805</v>
      </c>
      <c r="GH39" s="4">
        <v>2.9470209568375032</v>
      </c>
      <c r="GI39" s="4">
        <v>3.012618991413536</v>
      </c>
      <c r="GJ39" s="4">
        <v>3.078356251860372</v>
      </c>
      <c r="GK39" s="4">
        <v>3.1439614016072528</v>
      </c>
      <c r="GL39" s="4">
        <v>3.209164228101991</v>
      </c>
      <c r="GM39" s="4">
        <v>3.2737005936300472</v>
      </c>
      <c r="GN39" s="4">
        <v>3.3373172195364438</v>
      </c>
      <c r="GO39" s="4">
        <v>3.399776303297783</v>
      </c>
      <c r="GP39" s="4">
        <v>3.4608599046727382</v>
      </c>
      <c r="GQ39" s="4">
        <v>3.5203739657017308</v>
      </c>
      <c r="GR39" s="4">
        <v>3.5781517692004972</v>
      </c>
      <c r="GS39" s="4">
        <v>3.634056611282805</v>
      </c>
      <c r="GT39" s="4">
        <v>3.6879834800402289</v>
      </c>
      <c r="GU39" s="4">
        <v>3.739859598545205</v>
      </c>
      <c r="GV39" s="4">
        <v>3.789643795108927</v>
      </c>
      <c r="GW39" s="4">
        <v>3.8373247838987332</v>
      </c>
      <c r="GX39" s="4">
        <v>3.8829185462187379</v>
      </c>
      <c r="GY39" s="4">
        <v>3.9264650734843252</v>
      </c>
      <c r="GZ39" s="4">
        <v>3.9680247560228161</v>
      </c>
      <c r="HA39" s="4">
        <v>4.007674680203916</v>
      </c>
      <c r="HB39" s="4">
        <v>4.0455050432068518</v>
      </c>
      <c r="HC39" s="4">
        <v>4.081615827098581</v>
      </c>
      <c r="HD39" s="4">
        <v>4.1161138074079249</v>
      </c>
      <c r="HE39" s="4">
        <v>4.1491099170607866</v>
      </c>
      <c r="HF39" s="4">
        <v>4.1807169503183781</v>
      </c>
      <c r="HG39" s="4">
        <v>4.2110475748380036</v>
      </c>
      <c r="HH39" s="4">
        <v>4.2402126213566023</v>
      </c>
      <c r="HI39" s="4">
        <v>4.2683196350457981</v>
      </c>
      <c r="HJ39" s="4">
        <v>4.295471692874627</v>
      </c>
      <c r="HK39" s="4">
        <v>4.3217665080956724</v>
      </c>
      <c r="HL39" s="4">
        <v>4.3472958474615799</v>
      </c>
      <c r="HM39" s="4">
        <v>4.3721452741078082</v>
      </c>
      <c r="HN39" s="4">
        <v>4.3963942010429369</v>
      </c>
      <c r="HO39" s="4">
        <v>4.4201162053266474</v>
      </c>
      <c r="HP39" s="4">
        <v>4.4433795226397486</v>
      </c>
      <c r="HQ39" s="4">
        <v>4.4662476249417606</v>
      </c>
      <c r="HR39" s="4">
        <v>4.488779783051009</v>
      </c>
      <c r="HS39" s="4">
        <v>4.5110315280125972</v>
      </c>
      <c r="HT39" s="4">
        <v>4.5330549437709742</v>
      </c>
      <c r="HU39" s="4">
        <v>4.5548987432653574</v>
      </c>
      <c r="HV39" s="4">
        <v>4.5766080978539767</v>
      </c>
      <c r="HW39" s="4">
        <v>4.5982242065879664</v>
      </c>
      <c r="HX39" s="4">
        <v>4.619783610492763</v>
      </c>
      <c r="HY39" s="4">
        <v>4.6413172816768977</v>
      </c>
      <c r="HZ39" s="4">
        <v>4.6628495498636999</v>
      </c>
      <c r="IA39" s="4">
        <v>4.6843969657928293</v>
      </c>
      <c r="IB39" s="4">
        <v>4.7059672258014018</v>
      </c>
      <c r="IC39" s="4">
        <v>4.7275582601760417</v>
      </c>
      <c r="ID39" s="4">
        <v>4.7491574627133382</v>
      </c>
      <c r="IE39" s="4">
        <v>4.7707407444202774</v>
      </c>
      <c r="IF39" s="4">
        <v>4.7922707055934737</v>
      </c>
      <c r="IG39" s="4">
        <v>4.8136941917243794</v>
      </c>
      <c r="IH39" s="4">
        <v>4.8349503746520517</v>
      </c>
      <c r="II39" s="4">
        <v>4.8560211073337491</v>
      </c>
      <c r="IJ39" s="4">
        <v>4.8769786458302891</v>
      </c>
      <c r="IK39" s="4">
        <v>4.8979369258626768</v>
      </c>
      <c r="IL39" s="4">
        <v>4.9190002679505858</v>
      </c>
      <c r="IM39" s="4">
        <v>4.9402545023633992</v>
      </c>
    </row>
    <row r="40" spans="2:247" x14ac:dyDescent="0.35">
      <c r="B40" s="58">
        <v>0.24</v>
      </c>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v>-0.19954384577851991</v>
      </c>
      <c r="DW40" s="4">
        <v>-0.15252015889550161</v>
      </c>
      <c r="DX40" s="4">
        <v>-0.10531801585110399</v>
      </c>
      <c r="DY40" s="4">
        <v>-5.7933824395714151E-2</v>
      </c>
      <c r="DZ40" s="4">
        <v>-1.036486394152725E-2</v>
      </c>
      <c r="EA40" s="4">
        <v>3.7390375812319299E-2</v>
      </c>
      <c r="EB40" s="4">
        <v>8.5331758506161037E-2</v>
      </c>
      <c r="EC40" s="4">
        <v>0.13345694036963479</v>
      </c>
      <c r="ED40" s="4">
        <v>0.18176065122834159</v>
      </c>
      <c r="EE40" s="4">
        <v>0.23023377397330161</v>
      </c>
      <c r="EF40" s="4">
        <v>0.27886216664521779</v>
      </c>
      <c r="EG40" s="4">
        <v>0.32762515409290888</v>
      </c>
      <c r="EH40" s="4">
        <v>0.37649359190111609</v>
      </c>
      <c r="EI40" s="4">
        <v>0.42542737030421313</v>
      </c>
      <c r="EJ40" s="4">
        <v>0.47437217581793778</v>
      </c>
      <c r="EK40" s="4">
        <v>0.52325526315674065</v>
      </c>
      <c r="EL40" s="4">
        <v>0.57197993538716041</v>
      </c>
      <c r="EM40" s="4">
        <v>0.62041852244230578</v>
      </c>
      <c r="EN40" s="4">
        <v>0.66840442807475098</v>
      </c>
      <c r="EO40" s="4">
        <v>0.71572704226583106</v>
      </c>
      <c r="EP40" s="4">
        <v>0.76214269469839824</v>
      </c>
      <c r="EQ40" s="4">
        <v>0.80742790370785222</v>
      </c>
      <c r="ER40" s="4">
        <v>0.8514783119812237</v>
      </c>
      <c r="ES40" s="4">
        <v>0.89436729986174335</v>
      </c>
      <c r="ET40" s="4">
        <v>0.93628750354590995</v>
      </c>
      <c r="EU40" s="4">
        <v>0.97745202448037727</v>
      </c>
      <c r="EV40" s="4">
        <v>1.018041352833897</v>
      </c>
      <c r="EW40" s="4">
        <v>1.058192627762478</v>
      </c>
      <c r="EX40" s="4">
        <v>1.0980049944065191</v>
      </c>
      <c r="EY40" s="4">
        <v>1.1375478969284889</v>
      </c>
      <c r="EZ40" s="4">
        <v>1.176868526597088</v>
      </c>
      <c r="FA40" s="4">
        <v>1.2159978733785539</v>
      </c>
      <c r="FB40" s="4">
        <v>1.2549556150773129</v>
      </c>
      <c r="FC40" s="4">
        <v>1.2937541816998279</v>
      </c>
      <c r="FD40" s="4">
        <v>1.3324022982874419</v>
      </c>
      <c r="FE40" s="4">
        <v>1.3709082726647921</v>
      </c>
      <c r="FF40" s="4">
        <v>1.4092832678348961</v>
      </c>
      <c r="FG40" s="4">
        <v>1.447544741746023</v>
      </c>
      <c r="FH40" s="4">
        <v>1.485720076469351</v>
      </c>
      <c r="FI40" s="4">
        <v>1.523850107151647</v>
      </c>
      <c r="FJ40" s="4">
        <v>1.561991905055893</v>
      </c>
      <c r="FK40" s="4">
        <v>1.600220076717902</v>
      </c>
      <c r="FL40" s="4">
        <v>1.6386262457299701</v>
      </c>
      <c r="FM40" s="4">
        <v>1.677317054740332</v>
      </c>
      <c r="FN40" s="4">
        <v>1.7164114298464219</v>
      </c>
      <c r="FO40" s="4">
        <v>1.7560377577874151</v>
      </c>
      <c r="FP40" s="4">
        <v>1.796331271964517</v>
      </c>
      <c r="FQ40" s="4">
        <v>1.8374316360484619</v>
      </c>
      <c r="FR40" s="4">
        <v>1.8794805633907139</v>
      </c>
      <c r="FS40" s="4">
        <v>1.9226192746234421</v>
      </c>
      <c r="FT40" s="4">
        <v>1.966985609265828</v>
      </c>
      <c r="FU40" s="4">
        <v>2.0127106365753318</v>
      </c>
      <c r="FV40" s="4">
        <v>2.0599146544069189</v>
      </c>
      <c r="FW40" s="4">
        <v>2.1087025374767818</v>
      </c>
      <c r="FX40" s="4">
        <v>2.1591585164999461</v>
      </c>
      <c r="FY40" s="4">
        <v>2.2113406441250572</v>
      </c>
      <c r="FZ40" s="4">
        <v>2.2652754103687691</v>
      </c>
      <c r="GA40" s="4">
        <v>2.3209531462861239</v>
      </c>
      <c r="GB40" s="4">
        <v>2.378324908017317</v>
      </c>
      <c r="GC40" s="4">
        <v>2.4373013914127961</v>
      </c>
      <c r="GD40" s="4">
        <v>2.4977540982564812</v>
      </c>
      <c r="GE40" s="4">
        <v>2.5595185683099619</v>
      </c>
      <c r="GF40" s="4">
        <v>2.622399163389328</v>
      </c>
      <c r="GG40" s="4">
        <v>2.686174749812213</v>
      </c>
      <c r="GH40" s="4">
        <v>2.7506046812746949</v>
      </c>
      <c r="GI40" s="4">
        <v>2.8154346616494101</v>
      </c>
      <c r="GJ40" s="4">
        <v>2.8804022724724918</v>
      </c>
      <c r="GK40" s="4">
        <v>2.945242116805797</v>
      </c>
      <c r="GL40" s="4">
        <v>3.009690633080397</v>
      </c>
      <c r="GM40" s="4">
        <v>3.0734906704752629</v>
      </c>
      <c r="GN40" s="4">
        <v>3.1363959039953428</v>
      </c>
      <c r="GO40" s="4">
        <v>3.198175117224149</v>
      </c>
      <c r="GP40" s="4">
        <v>3.258616307800243</v>
      </c>
      <c r="GQ40" s="4">
        <v>3.317530490272357</v>
      </c>
      <c r="GR40" s="4">
        <v>3.3747550014930789</v>
      </c>
      <c r="GS40" s="4">
        <v>3.4301560756230969</v>
      </c>
      <c r="GT40" s="4">
        <v>3.4836304665753559</v>
      </c>
      <c r="GU40" s="4">
        <v>3.535105961757246</v>
      </c>
      <c r="GV40" s="4">
        <v>3.5845407416224089</v>
      </c>
      <c r="GW40" s="4">
        <v>3.631921668113089</v>
      </c>
      <c r="GX40" s="4">
        <v>3.6772616982546089</v>
      </c>
      <c r="GY40" s="4">
        <v>3.720596690317016</v>
      </c>
      <c r="GZ40" s="4">
        <v>3.7619818885285849</v>
      </c>
      <c r="HA40" s="4">
        <v>3.8014883447158629</v>
      </c>
      <c r="HB40" s="4">
        <v>3.8391994784687129</v>
      </c>
      <c r="HC40" s="4">
        <v>3.8752079106014818</v>
      </c>
      <c r="HD40" s="4">
        <v>3.9096126428467128</v>
      </c>
      <c r="HE40" s="4">
        <v>3.942516608516601</v>
      </c>
      <c r="HF40" s="4">
        <v>3.974024587099025</v>
      </c>
      <c r="HG40" s="4">
        <v>4.0042414591496458</v>
      </c>
      <c r="HH40" s="4">
        <v>4.0332707728456603</v>
      </c>
      <c r="HI40" s="4">
        <v>4.0612135957039159</v>
      </c>
      <c r="HJ40" s="4">
        <v>4.0881676298281846</v>
      </c>
      <c r="HK40" s="4">
        <v>4.1142265730612939</v>
      </c>
      <c r="HL40" s="4">
        <v>4.1394797093493301</v>
      </c>
      <c r="HM40" s="4">
        <v>4.1640117087491886</v>
      </c>
      <c r="HN40" s="4">
        <v>4.1879026113569431</v>
      </c>
      <c r="HO40" s="4">
        <v>4.211227961328631</v>
      </c>
      <c r="HP40" s="4">
        <v>4.2340590487892982</v>
      </c>
      <c r="HQ40" s="4">
        <v>4.2564632104456566</v>
      </c>
      <c r="HR40" s="4">
        <v>4.2785041354257221</v>
      </c>
      <c r="HS40" s="4">
        <v>4.3002421219036746</v>
      </c>
      <c r="HT40" s="4">
        <v>4.3217342324086792</v>
      </c>
      <c r="HU40" s="4">
        <v>4.3430343010974646</v>
      </c>
      <c r="HV40" s="4">
        <v>4.3641927548407153</v>
      </c>
      <c r="HW40" s="4">
        <v>4.3852562228221936</v>
      </c>
      <c r="HX40" s="4">
        <v>4.4062669284338742</v>
      </c>
      <c r="HY40" s="4">
        <v>4.4272618843336309</v>
      </c>
      <c r="HZ40" s="4">
        <v>4.44827194581379</v>
      </c>
      <c r="IA40" s="4">
        <v>4.4693208120309356</v>
      </c>
      <c r="IB40" s="4">
        <v>4.4904240812117608</v>
      </c>
      <c r="IC40" s="4">
        <v>4.5115884305845952</v>
      </c>
      <c r="ID40" s="4">
        <v>4.5328108443527411</v>
      </c>
      <c r="IE40" s="4">
        <v>4.5540774279558303</v>
      </c>
      <c r="IF40" s="4">
        <v>4.5753603503143117</v>
      </c>
      <c r="IG40" s="4">
        <v>4.5966085008940301</v>
      </c>
      <c r="IH40" s="4">
        <v>4.617725565961468</v>
      </c>
      <c r="II40" s="4">
        <v>4.638639266375475</v>
      </c>
      <c r="IJ40" s="4">
        <v>4.6594760109948901</v>
      </c>
      <c r="IK40" s="4">
        <v>4.6803852882573223</v>
      </c>
      <c r="IL40" s="4">
        <v>4.7014695513486373</v>
      </c>
      <c r="IM40" s="4">
        <v>4.7228054264085291</v>
      </c>
    </row>
    <row r="41" spans="2:247" x14ac:dyDescent="0.35">
      <c r="B41" s="58">
        <v>0.25</v>
      </c>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v>-0.37229826199991128</v>
      </c>
      <c r="DW41" s="4">
        <v>-0.3249512320802399</v>
      </c>
      <c r="DX41" s="4">
        <v>-0.27742085686590601</v>
      </c>
      <c r="DY41" s="4">
        <v>-0.2297041502960333</v>
      </c>
      <c r="DZ41" s="4">
        <v>-0.18179913201792219</v>
      </c>
      <c r="EA41" s="4">
        <v>-0.13370517710344171</v>
      </c>
      <c r="EB41" s="4">
        <v>-8.5423459430316928E-2</v>
      </c>
      <c r="EC41" s="4">
        <v>-3.6957512519749443E-2</v>
      </c>
      <c r="ED41" s="4">
        <v>1.1686062149497189E-2</v>
      </c>
      <c r="EE41" s="4">
        <v>6.0496701029556288E-2</v>
      </c>
      <c r="EF41" s="4">
        <v>0.1094587487423291</v>
      </c>
      <c r="EG41" s="4">
        <v>0.15855002594959799</v>
      </c>
      <c r="EH41" s="4">
        <v>0.2077400020011195</v>
      </c>
      <c r="EI41" s="4">
        <v>0.25698743665157098</v>
      </c>
      <c r="EJ41" s="4">
        <v>0.30623728127528288</v>
      </c>
      <c r="EK41" s="4">
        <v>0.3554164979158867</v>
      </c>
      <c r="EL41" s="4">
        <v>0.40442821487744629</v>
      </c>
      <c r="EM41" s="4">
        <v>0.45314322068168972</v>
      </c>
      <c r="EN41" s="4">
        <v>0.5013872441601368</v>
      </c>
      <c r="EO41" s="4">
        <v>0.54892296031175514</v>
      </c>
      <c r="EP41" s="4">
        <v>0.59543534294795419</v>
      </c>
      <c r="EQ41" s="4">
        <v>0.64057610086524486</v>
      </c>
      <c r="ER41" s="4">
        <v>0.68416392651965818</v>
      </c>
      <c r="ES41" s="4">
        <v>0.72635125651170407</v>
      </c>
      <c r="ET41" s="4">
        <v>0.7674576761902574</v>
      </c>
      <c r="EU41" s="4">
        <v>0.80776984654782291</v>
      </c>
      <c r="EV41" s="4">
        <v>0.84749726431258976</v>
      </c>
      <c r="EW41" s="4">
        <v>0.88678713591010982</v>
      </c>
      <c r="EX41" s="4">
        <v>0.92574263730241446</v>
      </c>
      <c r="EY41" s="4">
        <v>0.96443594628059914</v>
      </c>
      <c r="EZ41" s="4">
        <v>1.002917114177031</v>
      </c>
      <c r="FA41" s="4">
        <v>1.0412203361130929</v>
      </c>
      <c r="FB41" s="4">
        <v>1.0793686290334279</v>
      </c>
      <c r="FC41" s="4">
        <v>1.117377523165183</v>
      </c>
      <c r="FD41" s="4">
        <v>1.155258163949513</v>
      </c>
      <c r="FE41" s="4">
        <v>1.1930201487091061</v>
      </c>
      <c r="FF41" s="4">
        <v>1.230674436428328</v>
      </c>
      <c r="FG41" s="4">
        <v>1.2682366977148121</v>
      </c>
      <c r="FH41" s="4">
        <v>1.3057313561792541</v>
      </c>
      <c r="FI41" s="4">
        <v>1.3431960895202999</v>
      </c>
      <c r="FJ41" s="4">
        <v>1.3806857401189769</v>
      </c>
      <c r="FK41" s="4">
        <v>1.418274134451267</v>
      </c>
      <c r="FL41" s="4">
        <v>1.456053066359597</v>
      </c>
      <c r="FM41" s="4">
        <v>1.4941291987019609</v>
      </c>
      <c r="FN41" s="4">
        <v>1.532620393748465</v>
      </c>
      <c r="FO41" s="4">
        <v>1.5716525325919519</v>
      </c>
      <c r="FP41" s="4">
        <v>1.6113570665000461</v>
      </c>
      <c r="FQ41" s="4">
        <v>1.6518690633210851</v>
      </c>
      <c r="FR41" s="4">
        <v>1.6933254043927479</v>
      </c>
      <c r="FS41" s="4">
        <v>1.735862836357527</v>
      </c>
      <c r="FT41" s="4">
        <v>1.7796156444006259</v>
      </c>
      <c r="FU41" s="4">
        <v>1.824712749130541</v>
      </c>
      <c r="FV41" s="4">
        <v>1.8712740524203799</v>
      </c>
      <c r="FW41" s="4">
        <v>1.919405903410681</v>
      </c>
      <c r="FX41" s="4">
        <v>1.969195668551869</v>
      </c>
      <c r="FY41" s="4">
        <v>2.0207056057135659</v>
      </c>
      <c r="FZ41" s="4">
        <v>2.0739665581980562</v>
      </c>
      <c r="GA41" s="4">
        <v>2.128972314559602</v>
      </c>
      <c r="GB41" s="4">
        <v>2.1856756530335559</v>
      </c>
      <c r="GC41" s="4">
        <v>2.2439869321851509</v>
      </c>
      <c r="GD41" s="4">
        <v>2.303775577345808</v>
      </c>
      <c r="GE41" s="4">
        <v>2.3648741456741291</v>
      </c>
      <c r="GF41" s="4">
        <v>2.4270841421377609</v>
      </c>
      <c r="GG41" s="4">
        <v>2.4901826043879431</v>
      </c>
      <c r="GH41" s="4">
        <v>2.5539286512918431</v>
      </c>
      <c r="GI41" s="4">
        <v>2.6180695241037402</v>
      </c>
      <c r="GJ41" s="4">
        <v>2.682345967941651</v>
      </c>
      <c r="GK41" s="4">
        <v>2.746497016040967</v>
      </c>
      <c r="GL41" s="4">
        <v>2.8102643410643822</v>
      </c>
      <c r="GM41" s="4">
        <v>2.8733963543495769</v>
      </c>
      <c r="GN41" s="4">
        <v>2.9356521962566542</v>
      </c>
      <c r="GO41" s="4">
        <v>2.9968056896265249</v>
      </c>
      <c r="GP41" s="4">
        <v>3.056649236127742</v>
      </c>
      <c r="GQ41" s="4">
        <v>3.114997533165293</v>
      </c>
      <c r="GR41" s="4">
        <v>3.1716908943093811</v>
      </c>
      <c r="GS41" s="4">
        <v>3.2265978943535409</v>
      </c>
      <c r="GT41" s="4">
        <v>3.2796170584724709</v>
      </c>
      <c r="GU41" s="4">
        <v>3.3306773886434078</v>
      </c>
      <c r="GV41" s="4">
        <v>3.3797376587117212</v>
      </c>
      <c r="GW41" s="4">
        <v>3.4267845739561911</v>
      </c>
      <c r="GX41" s="4">
        <v>3.471830031701125</v>
      </c>
      <c r="GY41" s="4">
        <v>3.5149077985019521</v>
      </c>
      <c r="GZ41" s="4">
        <v>3.5560699265611651</v>
      </c>
      <c r="HA41" s="4">
        <v>3.5953831834070642</v>
      </c>
      <c r="HB41" s="4">
        <v>3.6329256928849332</v>
      </c>
      <c r="HC41" s="4">
        <v>3.6687839081752278</v>
      </c>
      <c r="HD41" s="4">
        <v>3.7030499747189052</v>
      </c>
      <c r="HE41" s="4">
        <v>3.7358194978427841</v>
      </c>
      <c r="HF41" s="4">
        <v>3.7671897044706091</v>
      </c>
      <c r="HG41" s="4">
        <v>3.7972579749525011</v>
      </c>
      <c r="HH41" s="4">
        <v>3.8261207134519988</v>
      </c>
      <c r="HI41" s="4">
        <v>3.8538725186199678</v>
      </c>
      <c r="HJ41" s="4">
        <v>3.8806056085434881</v>
      </c>
      <c r="HK41" s="4">
        <v>3.9064094468844051</v>
      </c>
      <c r="HL41" s="4">
        <v>3.9313705149234899</v>
      </c>
      <c r="HM41" s="4">
        <v>3.9555721805530881</v>
      </c>
      <c r="HN41" s="4">
        <v>3.9790946297480501</v>
      </c>
      <c r="HO41" s="4">
        <v>4.0020148432633684</v>
      </c>
      <c r="HP41" s="4">
        <v>4.0244066135619088</v>
      </c>
      <c r="HQ41" s="4">
        <v>4.0463405990115566</v>
      </c>
      <c r="HR41" s="4">
        <v>4.0678844042719691</v>
      </c>
      <c r="HS41" s="4">
        <v>4.0891026620349562</v>
      </c>
      <c r="HT41" s="4">
        <v>4.1100570776983343</v>
      </c>
      <c r="HU41" s="4">
        <v>4.1308063895949862</v>
      </c>
      <c r="HV41" s="4">
        <v>4.1514061955228696</v>
      </c>
      <c r="HW41" s="4">
        <v>4.1719086028880952</v>
      </c>
      <c r="HX41" s="4">
        <v>4.1923616760667306</v>
      </c>
      <c r="HY41" s="4">
        <v>4.2128086816939572</v>
      </c>
      <c r="HZ41" s="4">
        <v>4.2332871693945746</v>
      </c>
      <c r="IA41" s="4">
        <v>4.2538279648998012</v>
      </c>
      <c r="IB41" s="4">
        <v>4.2744541769274216</v>
      </c>
      <c r="IC41" s="4">
        <v>4.2951802966544674</v>
      </c>
      <c r="ID41" s="4">
        <v>4.3160113481768008</v>
      </c>
      <c r="IE41" s="4">
        <v>4.3369417368250556</v>
      </c>
      <c r="IF41" s="4">
        <v>4.3579526665467716</v>
      </c>
      <c r="IG41" s="4">
        <v>4.3790044093401654</v>
      </c>
      <c r="IH41" s="4">
        <v>4.3999999999999977</v>
      </c>
      <c r="II41" s="4">
        <v>4.4207493607109276</v>
      </c>
      <c r="IJ41" s="4">
        <v>4.4414971918854667</v>
      </c>
      <c r="IK41" s="4">
        <v>4.4623941363608761</v>
      </c>
      <c r="IL41" s="4">
        <v>4.4835317954583296</v>
      </c>
      <c r="IM41" s="4">
        <v>4.5049783452261662</v>
      </c>
    </row>
    <row r="42" spans="2:247" x14ac:dyDescent="0.35">
      <c r="B42" s="58">
        <v>0.26</v>
      </c>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v>-0.54553667077238543</v>
      </c>
      <c r="DW42" s="4">
        <v>-0.49790050755549498</v>
      </c>
      <c r="DX42" s="4">
        <v>-0.45007898657075662</v>
      </c>
      <c r="DY42" s="4">
        <v>-0.402069967916721</v>
      </c>
      <c r="DZ42" s="4">
        <v>-0.35387246281187462</v>
      </c>
      <c r="EA42" s="4">
        <v>-0.3054869920672183</v>
      </c>
      <c r="EB42" s="4">
        <v>-0.2569160331912026</v>
      </c>
      <c r="EC42" s="4">
        <v>-0.20816457684189871</v>
      </c>
      <c r="ED42" s="4">
        <v>-0.1592408183816465</v>
      </c>
      <c r="EE42" s="4">
        <v>-0.1101570170152999</v>
      </c>
      <c r="EF42" s="4">
        <v>-6.0930564432001073E-2</v>
      </c>
      <c r="EG42" s="4">
        <v>-1.158531893258807E-2</v>
      </c>
      <c r="EH42" s="4">
        <v>3.7846716620681058E-2</v>
      </c>
      <c r="EI42" s="4">
        <v>8.7323256790275305E-2</v>
      </c>
      <c r="EJ42" s="4">
        <v>0.1367889508380391</v>
      </c>
      <c r="EK42" s="4">
        <v>0.18617163926837449</v>
      </c>
      <c r="EL42" s="4">
        <v>0.2353770637338681</v>
      </c>
      <c r="EM42" s="4">
        <v>0.2842808448010361</v>
      </c>
      <c r="EN42" s="4">
        <v>0.33271508414623158</v>
      </c>
      <c r="EO42" s="4">
        <v>0.38044312165061678</v>
      </c>
      <c r="EP42" s="4">
        <v>0.42710750958444388</v>
      </c>
      <c r="EQ42" s="4">
        <v>0.47216886293260041</v>
      </c>
      <c r="ER42" s="4">
        <v>0.51524448260268407</v>
      </c>
      <c r="ES42" s="4">
        <v>0.55669036041071918</v>
      </c>
      <c r="ET42" s="4">
        <v>0.59701936629576968</v>
      </c>
      <c r="EU42" s="4">
        <v>0.63656282497589478</v>
      </c>
      <c r="EV42" s="4">
        <v>0.67553188023385458</v>
      </c>
      <c r="EW42" s="4">
        <v>0.71406975594884958</v>
      </c>
      <c r="EX42" s="4">
        <v>0.75227725870241668</v>
      </c>
      <c r="EY42" s="4">
        <v>0.79022646085611692</v>
      </c>
      <c r="EZ42" s="4">
        <v>0.82796903126914101</v>
      </c>
      <c r="FA42" s="4">
        <v>0.86554185141112283</v>
      </c>
      <c r="FB42" s="4">
        <v>0.90297109589711644</v>
      </c>
      <c r="FC42" s="4">
        <v>0.9402753645184192</v>
      </c>
      <c r="FD42" s="4">
        <v>0.97746821239021653</v>
      </c>
      <c r="FE42" s="4">
        <v>1.0145603709448721</v>
      </c>
      <c r="FF42" s="4">
        <v>1.0515620481651271</v>
      </c>
      <c r="FG42" s="4">
        <v>1.088485917734207</v>
      </c>
      <c r="FH42" s="4">
        <v>1.1253515546074331</v>
      </c>
      <c r="FI42" s="4">
        <v>1.1621915340011411</v>
      </c>
      <c r="FJ42" s="4">
        <v>1.199057609676849</v>
      </c>
      <c r="FK42" s="4">
        <v>1.2360236757044001</v>
      </c>
      <c r="FL42" s="4">
        <v>1.273183632246234</v>
      </c>
      <c r="FM42" s="4">
        <v>1.310646050790194</v>
      </c>
      <c r="FN42" s="4">
        <v>1.3485289508436029</v>
      </c>
      <c r="FO42" s="4">
        <v>1.3869562887823981</v>
      </c>
      <c r="FP42" s="4">
        <v>1.426055958860557</v>
      </c>
      <c r="FQ42" s="4">
        <v>1.4659585664947701</v>
      </c>
      <c r="FR42" s="4">
        <v>1.506796383664591</v>
      </c>
      <c r="FS42" s="4">
        <v>1.548702124777054</v>
      </c>
      <c r="FT42" s="4">
        <v>1.5918073017523291</v>
      </c>
      <c r="FU42" s="4">
        <v>1.636239938729817</v>
      </c>
      <c r="FV42" s="4">
        <v>1.6821213992868871</v>
      </c>
      <c r="FW42" s="4">
        <v>1.729562060751429</v>
      </c>
      <c r="FX42" s="4">
        <v>1.7786556374649189</v>
      </c>
      <c r="FY42" s="4">
        <v>1.8294721995181651</v>
      </c>
      <c r="FZ42" s="4">
        <v>1.882050411250014</v>
      </c>
      <c r="GA42" s="4">
        <v>1.936390135955437</v>
      </c>
      <c r="GB42" s="4">
        <v>1.992447006317452</v>
      </c>
      <c r="GC42" s="4">
        <v>2.0501304302015462</v>
      </c>
      <c r="GD42" s="4">
        <v>2.109305643492402</v>
      </c>
      <c r="GE42" s="4">
        <v>2.1697992262105901</v>
      </c>
      <c r="GF42" s="4">
        <v>2.2314066419991399</v>
      </c>
      <c r="GG42" s="4">
        <v>2.2939002348803741</v>
      </c>
      <c r="GH42" s="4">
        <v>2.3570365758822089</v>
      </c>
      <c r="GI42" s="4">
        <v>2.4205626817790811</v>
      </c>
      <c r="GJ42" s="4">
        <v>2.4842211147054121</v>
      </c>
      <c r="GK42" s="4">
        <v>2.5477542241837372</v>
      </c>
      <c r="GL42" s="4">
        <v>2.6109078632251679</v>
      </c>
      <c r="GM42" s="4">
        <v>2.6734348792565319</v>
      </c>
      <c r="GN42" s="4">
        <v>2.7350986050029351</v>
      </c>
      <c r="GO42" s="4">
        <v>2.7956764773425111</v>
      </c>
      <c r="GP42" s="4">
        <v>2.8549637965621821</v>
      </c>
      <c r="GQ42" s="4">
        <v>2.912777504561086</v>
      </c>
      <c r="GR42" s="4">
        <v>2.9689597216639489</v>
      </c>
      <c r="GS42" s="4">
        <v>3.023380672943508</v>
      </c>
      <c r="GT42" s="4">
        <v>3.0759406059893348</v>
      </c>
      <c r="GU42" s="4">
        <v>3.126570390088621</v>
      </c>
      <c r="GV42" s="4">
        <v>3.1752306835662449</v>
      </c>
      <c r="GW42" s="4">
        <v>3.221909798100548</v>
      </c>
      <c r="GX42" s="4">
        <v>3.2666205877198529</v>
      </c>
      <c r="GY42" s="4">
        <v>3.309396782984559</v>
      </c>
      <c r="GZ42" s="4">
        <v>3.350289170536016</v>
      </c>
      <c r="HA42" s="4">
        <v>3.389361923913174</v>
      </c>
      <c r="HB42" s="4">
        <v>3.4266892757914831</v>
      </c>
      <c r="HC42" s="4">
        <v>3.4623526230397261</v>
      </c>
      <c r="HD42" s="4">
        <v>3.496438090028148</v>
      </c>
      <c r="HE42" s="4">
        <v>3.5290345408705699</v>
      </c>
      <c r="HF42" s="4">
        <v>3.560232017645617</v>
      </c>
      <c r="HG42" s="4">
        <v>3.5901205770665889</v>
      </c>
      <c r="HH42" s="4">
        <v>3.6187894921221182</v>
      </c>
      <c r="HI42" s="4">
        <v>3.646326771432475</v>
      </c>
      <c r="HJ42" s="4">
        <v>3.6728189273303702</v>
      </c>
      <c r="HK42" s="4">
        <v>3.698350901649905</v>
      </c>
      <c r="HL42" s="4">
        <v>3.7230060491495709</v>
      </c>
      <c r="HM42" s="4">
        <v>3.7468660937137672</v>
      </c>
      <c r="HN42" s="4">
        <v>3.7700110119209942</v>
      </c>
      <c r="HO42" s="4">
        <v>3.7925188475836888</v>
      </c>
      <c r="HP42" s="4">
        <v>3.8144654980239832</v>
      </c>
      <c r="HQ42" s="4">
        <v>3.835924523444056</v>
      </c>
      <c r="HR42" s="4">
        <v>3.8569670146789981</v>
      </c>
      <c r="HS42" s="4">
        <v>3.8776615233059739</v>
      </c>
      <c r="HT42" s="4">
        <v>3.8980740253833281</v>
      </c>
      <c r="HU42" s="4">
        <v>3.918267865349454</v>
      </c>
      <c r="HV42" s="4">
        <v>3.9383036133648361</v>
      </c>
      <c r="HW42" s="4">
        <v>3.9582387679848141</v>
      </c>
      <c r="HX42" s="4">
        <v>3.9781272468145001</v>
      </c>
      <c r="HY42" s="4">
        <v>3.9980186322729758</v>
      </c>
      <c r="HZ42" s="4">
        <v>4.0179571788207511</v>
      </c>
      <c r="IA42" s="4">
        <v>4.0379806372490084</v>
      </c>
      <c r="IB42" s="4">
        <v>4.0581189924392804</v>
      </c>
      <c r="IC42" s="4">
        <v>4.0783932029655396</v>
      </c>
      <c r="ID42" s="4">
        <v>4.0988139030969766</v>
      </c>
      <c r="IE42" s="4">
        <v>4.1193796471183983</v>
      </c>
      <c r="IF42" s="4">
        <v>4.1400732732352159</v>
      </c>
      <c r="IG42" s="4">
        <v>4.1608520081280638</v>
      </c>
      <c r="IH42" s="4">
        <v>4.1816250644330601</v>
      </c>
      <c r="II42" s="4">
        <v>4.2023225401566</v>
      </c>
      <c r="IJ42" s="4">
        <v>4.223069940135094</v>
      </c>
      <c r="IK42" s="4">
        <v>4.2440126743475046</v>
      </c>
      <c r="IL42" s="4">
        <v>4.2652462684736134</v>
      </c>
      <c r="IM42" s="4">
        <v>4.2868380565847399</v>
      </c>
    </row>
    <row r="43" spans="2:247" x14ac:dyDescent="0.35">
      <c r="B43" s="58">
        <v>0.27</v>
      </c>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v>-0.71930307971823293</v>
      </c>
      <c r="DW43" s="4">
        <v>-0.67141399777228017</v>
      </c>
      <c r="DX43" s="4">
        <v>-0.62334051382576883</v>
      </c>
      <c r="DY43" s="4">
        <v>-0.57508158572179902</v>
      </c>
      <c r="DZ43" s="4">
        <v>-0.52663748626863738</v>
      </c>
      <c r="EA43" s="4">
        <v>-0.47801017207207641</v>
      </c>
      <c r="EB43" s="4">
        <v>-0.4292037369447379</v>
      </c>
      <c r="EC43" s="4">
        <v>-0.38022496823808088</v>
      </c>
      <c r="ED43" s="4">
        <v>-0.3310840286515937</v>
      </c>
      <c r="EE43" s="4">
        <v>-0.28179529170169149</v>
      </c>
      <c r="EF43" s="4">
        <v>-0.23237836695866809</v>
      </c>
      <c r="EG43" s="4">
        <v>-0.1828593629977622</v>
      </c>
      <c r="EH43" s="4">
        <v>-0.13327245478156249</v>
      </c>
      <c r="EI43" s="4">
        <v>-8.366185372819368E-2</v>
      </c>
      <c r="EJ43" s="4">
        <v>-3.4084334728413428E-2</v>
      </c>
      <c r="EK43" s="4">
        <v>1.5387420293706541E-2</v>
      </c>
      <c r="EL43" s="4">
        <v>6.4660191037109183E-2</v>
      </c>
      <c r="EM43" s="4">
        <v>0.1136133653402629</v>
      </c>
      <c r="EN43" s="4">
        <v>0.1620877873281481</v>
      </c>
      <c r="EO43" s="4">
        <v>0.20986485808814639</v>
      </c>
      <c r="EP43" s="4">
        <v>0.25661684341751329</v>
      </c>
      <c r="EQ43" s="4">
        <v>0.30169991922740952</v>
      </c>
      <c r="ER43" s="4">
        <v>0.34417793411868919</v>
      </c>
      <c r="ES43" s="4">
        <v>0.3849624986871123</v>
      </c>
      <c r="ET43" s="4">
        <v>0.42467310938976288</v>
      </c>
      <c r="EU43" s="4">
        <v>0.46361360449247568</v>
      </c>
      <c r="EV43" s="4">
        <v>0.50197934712268166</v>
      </c>
      <c r="EW43" s="4">
        <v>0.53990715885726104</v>
      </c>
      <c r="EX43" s="4">
        <v>0.57749647350930156</v>
      </c>
      <c r="EY43" s="4">
        <v>0.6148207528011338</v>
      </c>
      <c r="EZ43" s="4">
        <v>0.65193460364259925</v>
      </c>
      <c r="FA43" s="4">
        <v>0.68887865658538372</v>
      </c>
      <c r="FB43" s="4">
        <v>0.72568311497037952</v>
      </c>
      <c r="FC43" s="4">
        <v>0.76237041551608664</v>
      </c>
      <c r="FD43" s="4">
        <v>0.79895723771256888</v>
      </c>
      <c r="FE43" s="4">
        <v>0.83545604959491149</v>
      </c>
      <c r="FF43" s="4">
        <v>0.87187651034359748</v>
      </c>
      <c r="FG43" s="4">
        <v>0.90822750806380226</v>
      </c>
      <c r="FH43" s="4">
        <v>0.9445214521236851</v>
      </c>
      <c r="FI43" s="4">
        <v>0.98078265110725349</v>
      </c>
      <c r="FJ43" s="4">
        <v>1.017058219327077</v>
      </c>
      <c r="FK43" s="4">
        <v>1.0534238136506739</v>
      </c>
      <c r="FL43" s="4">
        <v>1.0899787543557271</v>
      </c>
      <c r="FM43" s="4">
        <v>1.1268360001647411</v>
      </c>
      <c r="FN43" s="4">
        <v>1.1641147003981549</v>
      </c>
      <c r="FO43" s="4">
        <v>1.2019369074404891</v>
      </c>
      <c r="FP43" s="4">
        <v>1.240426646200536</v>
      </c>
      <c r="FQ43" s="4">
        <v>1.279709749871095</v>
      </c>
      <c r="FR43" s="4">
        <v>1.319913711589338</v>
      </c>
      <c r="FS43" s="4">
        <v>1.361167256602192</v>
      </c>
      <c r="FT43" s="4">
        <v>1.403599470415146</v>
      </c>
      <c r="FU43" s="4">
        <v>1.447338283588997</v>
      </c>
      <c r="FV43" s="4">
        <v>1.4925079985295471</v>
      </c>
      <c r="FW43" s="4">
        <v>1.5392254077413861</v>
      </c>
      <c r="FX43" s="4">
        <v>1.587593995404986</v>
      </c>
      <c r="FY43" s="4">
        <v>1.6376959134296989</v>
      </c>
      <c r="FZ43" s="4">
        <v>1.6895820905983949</v>
      </c>
      <c r="GA43" s="4">
        <v>1.7432619819343751</v>
      </c>
      <c r="GB43" s="4">
        <v>1.7986955744104549</v>
      </c>
      <c r="GC43" s="4">
        <v>1.8557903417653181</v>
      </c>
      <c r="GD43" s="4">
        <v>1.914404320460908</v>
      </c>
      <c r="GE43" s="4">
        <v>1.974354156625135</v>
      </c>
      <c r="GF43" s="4">
        <v>2.03542545503714</v>
      </c>
      <c r="GG43" s="4">
        <v>2.0973828420171881</v>
      </c>
      <c r="GH43" s="4">
        <v>2.159978269985686</v>
      </c>
      <c r="GI43" s="4">
        <v>2.222957250388661</v>
      </c>
      <c r="GJ43" s="4">
        <v>2.2860633838307192</v>
      </c>
      <c r="GK43" s="4">
        <v>2.3490417746585548</v>
      </c>
      <c r="GL43" s="4">
        <v>2.41164188125141</v>
      </c>
      <c r="GM43" s="4">
        <v>2.4736202341812912</v>
      </c>
      <c r="GN43" s="4">
        <v>2.534743330828082</v>
      </c>
      <c r="GO43" s="4">
        <v>2.5947908982192698</v>
      </c>
      <c r="GP43" s="4">
        <v>2.6535595847565481</v>
      </c>
      <c r="GQ43" s="4">
        <v>2.7108669718372131</v>
      </c>
      <c r="GR43" s="4">
        <v>2.7665555885387718</v>
      </c>
      <c r="GS43" s="4">
        <v>2.820496415116438</v>
      </c>
      <c r="GT43" s="4">
        <v>2.8725912689734812</v>
      </c>
      <c r="GU43" s="4">
        <v>2.922773570877427</v>
      </c>
      <c r="GV43" s="4">
        <v>2.97100729598501</v>
      </c>
      <c r="GW43" s="4">
        <v>3.0172843085711309</v>
      </c>
      <c r="GX43" s="4">
        <v>3.0616205874759208</v>
      </c>
      <c r="GY43" s="4">
        <v>3.1040519567215168</v>
      </c>
      <c r="GZ43" s="4">
        <v>3.1446298504956252</v>
      </c>
      <c r="HA43" s="4">
        <v>3.183417457348551</v>
      </c>
      <c r="HB43" s="4">
        <v>3.2204864043513011</v>
      </c>
      <c r="HC43" s="4">
        <v>3.255914013326854</v>
      </c>
      <c r="HD43" s="4">
        <v>3.289781096959191</v>
      </c>
      <c r="HE43" s="4">
        <v>3.322170246031003</v>
      </c>
      <c r="HF43" s="4">
        <v>3.3531645672689101</v>
      </c>
      <c r="HG43" s="4">
        <v>3.382846843861135</v>
      </c>
      <c r="HH43" s="4">
        <v>3.411299091903425</v>
      </c>
      <c r="HI43" s="4">
        <v>3.4386024659277821</v>
      </c>
      <c r="HJ43" s="4">
        <v>3.4648374250946201</v>
      </c>
      <c r="HK43" s="4">
        <v>3.490084023210319</v>
      </c>
      <c r="HL43" s="4">
        <v>3.5144221589512878</v>
      </c>
      <c r="HM43" s="4">
        <v>3.5379316454025478</v>
      </c>
      <c r="HN43" s="4">
        <v>3.560692034288401</v>
      </c>
      <c r="HO43" s="4">
        <v>3.5827822293126141</v>
      </c>
      <c r="HP43" s="4">
        <v>3.6042799970863348</v>
      </c>
      <c r="HQ43" s="4">
        <v>3.6252615021190628</v>
      </c>
      <c r="HR43" s="4">
        <v>3.6458009577011712</v>
      </c>
      <c r="HS43" s="4">
        <v>3.6659704242325208</v>
      </c>
      <c r="HT43" s="4">
        <v>3.6858397282883559</v>
      </c>
      <c r="HU43" s="4">
        <v>3.7054764338805541</v>
      </c>
      <c r="HV43" s="4">
        <v>3.7249457735729661</v>
      </c>
      <c r="HW43" s="4">
        <v>3.7443104375740619</v>
      </c>
      <c r="HX43" s="4">
        <v>3.763630121551806</v>
      </c>
      <c r="HY43" s="4">
        <v>3.782960751702249</v>
      </c>
      <c r="HZ43" s="4">
        <v>3.8023533454964649</v>
      </c>
      <c r="IA43" s="4">
        <v>3.8218525321845398</v>
      </c>
      <c r="IB43" s="4">
        <v>3.8414948347805331</v>
      </c>
      <c r="IC43" s="4">
        <v>3.8613068574033651</v>
      </c>
      <c r="ID43" s="4">
        <v>3.8813034432036502</v>
      </c>
      <c r="IE43" s="4">
        <v>3.901485578447657</v>
      </c>
      <c r="IF43" s="4">
        <v>3.921837402078773</v>
      </c>
      <c r="IG43" s="4">
        <v>3.9423226370086919</v>
      </c>
      <c r="IH43" s="4">
        <v>3.9628916713706972</v>
      </c>
      <c r="II43" s="4">
        <v>3.98353118704236</v>
      </c>
      <c r="IJ43" s="4">
        <v>4.0043115917474967</v>
      </c>
      <c r="IK43" s="4">
        <v>4.0253385239989283</v>
      </c>
      <c r="IL43" s="4">
        <v>4.0467022524381342</v>
      </c>
      <c r="IM43" s="4">
        <v>4.0684698126727579</v>
      </c>
    </row>
    <row r="44" spans="2:247" x14ac:dyDescent="0.35">
      <c r="B44" s="58">
        <v>0.28000000000000003</v>
      </c>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v>-0.8936354134333353</v>
      </c>
      <c r="DW44" s="4">
        <v>-0.84553093916979361</v>
      </c>
      <c r="DX44" s="4">
        <v>-0.79724598652541934</v>
      </c>
      <c r="DY44" s="4">
        <v>-0.74878085874484501</v>
      </c>
      <c r="DZ44" s="4">
        <v>-0.70013735932496557</v>
      </c>
      <c r="EA44" s="4">
        <v>-0.65131917511927329</v>
      </c>
      <c r="EB44" s="4">
        <v>-0.60233234207000619</v>
      </c>
      <c r="EC44" s="4">
        <v>-0.55318581078351947</v>
      </c>
      <c r="ED44" s="4">
        <v>-0.50389213321258364</v>
      </c>
      <c r="EE44" s="4">
        <v>-0.4544682972809162</v>
      </c>
      <c r="EF44" s="4">
        <v>-0.40493674436543481</v>
      </c>
      <c r="EG44" s="4">
        <v>-0.35532661692754969</v>
      </c>
      <c r="EH44" s="4">
        <v>-0.30567530358242401</v>
      </c>
      <c r="EI44" s="4">
        <v>-0.2560303829123538</v>
      </c>
      <c r="EJ44" s="4">
        <v>-0.20645212826206419</v>
      </c>
      <c r="EK44" s="4">
        <v>-0.15701685127611811</v>
      </c>
      <c r="EL44" s="4">
        <v>-0.10782159662988321</v>
      </c>
      <c r="EM44" s="4">
        <v>-5.8991222627609467E-2</v>
      </c>
      <c r="EN44" s="4">
        <v>-1.069022116984009E-2</v>
      </c>
      <c r="EO44" s="4">
        <v>3.6854366137962107E-2</v>
      </c>
      <c r="EP44" s="4">
        <v>8.3296678359249032E-2</v>
      </c>
      <c r="EQ44" s="4">
        <v>0.1279971067621877</v>
      </c>
      <c r="ER44" s="4">
        <v>0.17029772277436089</v>
      </c>
      <c r="ES44" s="4">
        <v>0.21083403319957619</v>
      </c>
      <c r="ET44" s="4">
        <v>0.25022345292651021</v>
      </c>
      <c r="EU44" s="4">
        <v>0.2887901084790836</v>
      </c>
      <c r="EV44" s="4">
        <v>0.32674000431801309</v>
      </c>
      <c r="EW44" s="4">
        <v>0.36421753762564979</v>
      </c>
      <c r="EX44" s="4">
        <v>0.40132866494354102</v>
      </c>
      <c r="EY44" s="4">
        <v>0.43815297157367322</v>
      </c>
      <c r="EZ44" s="4">
        <v>0.47475098732947479</v>
      </c>
      <c r="FA44" s="4">
        <v>0.51116907907276543</v>
      </c>
      <c r="FB44" s="4">
        <v>0.54744291723333616</v>
      </c>
      <c r="FC44" s="4">
        <v>0.58359997085741488</v>
      </c>
      <c r="FD44" s="4">
        <v>0.61966122525596967</v>
      </c>
      <c r="FE44" s="4">
        <v>0.65564218382714268</v>
      </c>
      <c r="FF44" s="4">
        <v>0.69155322249121065</v>
      </c>
      <c r="FG44" s="4">
        <v>0.72739979555552692</v>
      </c>
      <c r="FH44" s="4">
        <v>0.76318474381774637</v>
      </c>
      <c r="FI44" s="4">
        <v>0.79891849607269316</v>
      </c>
      <c r="FJ44" s="4">
        <v>0.83464008007243295</v>
      </c>
      <c r="FK44" s="4">
        <v>0.87043063746781968</v>
      </c>
      <c r="FL44" s="4">
        <v>0.90640080103230369</v>
      </c>
      <c r="FM44" s="4">
        <v>0.9426706087991521</v>
      </c>
      <c r="FN44" s="4">
        <v>0.97936029557424398</v>
      </c>
      <c r="FO44" s="4">
        <v>1.0165890847993111</v>
      </c>
      <c r="FP44" s="4">
        <v>1.0544762343733101</v>
      </c>
      <c r="FQ44" s="4">
        <v>1.093142137209163</v>
      </c>
      <c r="FR44" s="4">
        <v>1.132709035848573</v>
      </c>
      <c r="FS44" s="4">
        <v>1.173301345015527</v>
      </c>
      <c r="FT44" s="4">
        <v>1.2150455829488109</v>
      </c>
      <c r="FU44" s="4">
        <v>1.2580697812060539</v>
      </c>
      <c r="FV44" s="4">
        <v>1.3025020228949029</v>
      </c>
      <c r="FW44" s="4">
        <v>1.348467456275124</v>
      </c>
      <c r="FX44" s="4">
        <v>1.396082817391832</v>
      </c>
      <c r="FY44" s="4">
        <v>1.445447440934323</v>
      </c>
      <c r="FZ44" s="4">
        <v>1.496630478437925</v>
      </c>
      <c r="GA44" s="4">
        <v>1.5496560435118101</v>
      </c>
      <c r="GB44" s="4">
        <v>1.604490639619967</v>
      </c>
      <c r="GC44" s="4">
        <v>1.66103814904459</v>
      </c>
      <c r="GD44" s="4">
        <v>1.71914484398147</v>
      </c>
      <c r="GE44" s="4">
        <v>1.7786119734787691</v>
      </c>
      <c r="GF44" s="4">
        <v>1.83921066402593</v>
      </c>
      <c r="GG44" s="4">
        <v>1.9006947986884719</v>
      </c>
      <c r="GH44" s="4">
        <v>1.962810182663645</v>
      </c>
      <c r="GI44" s="4">
        <v>2.0253003155321938</v>
      </c>
      <c r="GJ44" s="4">
        <v>2.0879098491801571</v>
      </c>
      <c r="GK44" s="4">
        <v>2.150386784416126</v>
      </c>
      <c r="GL44" s="4">
        <v>2.2124841868422238</v>
      </c>
      <c r="GM44" s="4">
        <v>2.2739619525037682</v>
      </c>
      <c r="GN44" s="4">
        <v>2.334588989976778</v>
      </c>
      <c r="GO44" s="4">
        <v>2.3941460775503538</v>
      </c>
      <c r="GP44" s="4">
        <v>2.452429537360667</v>
      </c>
      <c r="GQ44" s="4">
        <v>2.509255673720431</v>
      </c>
      <c r="GR44" s="4">
        <v>2.5644656153951249</v>
      </c>
      <c r="GS44" s="4">
        <v>2.6179298377677078</v>
      </c>
      <c r="GT44" s="4">
        <v>2.6695514000308869</v>
      </c>
      <c r="GU44" s="4">
        <v>2.719267035299989</v>
      </c>
      <c r="GV44" s="4">
        <v>2.7670457418014092</v>
      </c>
      <c r="GW44" s="4">
        <v>2.8128852190379172</v>
      </c>
      <c r="GX44" s="4">
        <v>2.856807003274942</v>
      </c>
      <c r="GY44" s="4">
        <v>2.8988512604141619</v>
      </c>
      <c r="GZ44" s="4">
        <v>2.9390719567284278</v>
      </c>
      <c r="HA44" s="4">
        <v>2.9775327724355201</v>
      </c>
      <c r="HB44" s="4">
        <v>3.0143038342607742</v>
      </c>
      <c r="HC44" s="4">
        <v>3.0494591867187708</v>
      </c>
      <c r="HD44" s="4">
        <v>3.0830748777753998</v>
      </c>
      <c r="HE44" s="4">
        <v>3.1152275556030822</v>
      </c>
      <c r="HF44" s="4">
        <v>3.1459935183044712</v>
      </c>
      <c r="HG44" s="4">
        <v>3.1754481994992112</v>
      </c>
      <c r="HH44" s="4">
        <v>3.203666088992593</v>
      </c>
      <c r="HI44" s="4">
        <v>3.230721063132084</v>
      </c>
      <c r="HJ44" s="4">
        <v>3.2566870280635838</v>
      </c>
      <c r="HK44" s="4">
        <v>3.2816386808063038</v>
      </c>
      <c r="HL44" s="4">
        <v>3.305652122565522</v>
      </c>
      <c r="HM44" s="4">
        <v>3.328805082233028</v>
      </c>
      <c r="HN44" s="4">
        <v>3.3511766461953441</v>
      </c>
      <c r="HO44" s="4">
        <v>3.3728465808237349</v>
      </c>
      <c r="HP44" s="4">
        <v>3.3938944703525249</v>
      </c>
      <c r="HQ44" s="4">
        <v>3.414398912169486</v>
      </c>
      <c r="HR44" s="4">
        <v>3.4344369332987599</v>
      </c>
      <c r="HS44" s="4">
        <v>3.4540836804110291</v>
      </c>
      <c r="HT44" s="4">
        <v>3.4734123431163741</v>
      </c>
      <c r="HU44" s="4">
        <v>3.4924942134633139</v>
      </c>
      <c r="HV44" s="4">
        <v>3.5113987556378068</v>
      </c>
      <c r="HW44" s="4">
        <v>3.5301935449482542</v>
      </c>
      <c r="HX44" s="4">
        <v>3.5489439269600629</v>
      </c>
      <c r="HY44" s="4">
        <v>3.5677122510398518</v>
      </c>
      <c r="HZ44" s="4">
        <v>3.5865565656693241</v>
      </c>
      <c r="IA44" s="4">
        <v>3.6055287499991211</v>
      </c>
      <c r="IB44" s="4">
        <v>3.624672206241407</v>
      </c>
      <c r="IC44" s="4">
        <v>3.644019411467958</v>
      </c>
      <c r="ID44" s="4">
        <v>3.6635897319976158</v>
      </c>
      <c r="IE44" s="4">
        <v>3.68338789831295</v>
      </c>
      <c r="IF44" s="4">
        <v>3.7034037643442042</v>
      </c>
      <c r="IG44" s="4">
        <v>3.723615672850324</v>
      </c>
      <c r="IH44" s="4">
        <v>3.7440037232023178</v>
      </c>
      <c r="II44" s="4">
        <v>3.764575702400272</v>
      </c>
      <c r="IJ44" s="4">
        <v>3.7853829291249008</v>
      </c>
      <c r="IK44" s="4">
        <v>3.8065032221935708</v>
      </c>
      <c r="IL44" s="4">
        <v>3.8280138610045329</v>
      </c>
      <c r="IM44" s="4">
        <v>3.849977399333159</v>
      </c>
    </row>
    <row r="45" spans="2:247" x14ac:dyDescent="0.35">
      <c r="B45" s="58">
        <v>0.28999999999999998</v>
      </c>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v>-1.0685653661513641</v>
      </c>
      <c r="DW45" s="4">
        <v>-1.020283641922711</v>
      </c>
      <c r="DX45" s="4">
        <v>-0.97182823661188267</v>
      </c>
      <c r="DY45" s="4">
        <v>-0.92320102526793035</v>
      </c>
      <c r="DZ45" s="4">
        <v>-0.87440558783190014</v>
      </c>
      <c r="EA45" s="4">
        <v>-0.82544761056705096</v>
      </c>
      <c r="EB45" s="4">
        <v>-0.77633537030069832</v>
      </c>
      <c r="EC45" s="4">
        <v>-0.72708031870370671</v>
      </c>
      <c r="ED45" s="4">
        <v>-0.67769778828228744</v>
      </c>
      <c r="EE45" s="4">
        <v>-0.62820784811892438</v>
      </c>
      <c r="EF45" s="4">
        <v>-0.57863634693799892</v>
      </c>
      <c r="EG45" s="4">
        <v>-0.52901619606351069</v>
      </c>
      <c r="EH45" s="4">
        <v>-0.47938896947442888</v>
      </c>
      <c r="EI45" s="4">
        <v>-0.42980694046195073</v>
      </c>
      <c r="EJ45" s="4">
        <v>-0.38033575031140948</v>
      </c>
      <c r="EK45" s="4">
        <v>-0.33105804734999073</v>
      </c>
      <c r="EL45" s="4">
        <v>-0.28207871813357821</v>
      </c>
      <c r="EM45" s="4">
        <v>-0.2335329247583067</v>
      </c>
      <c r="EN45" s="4">
        <v>-0.18559943551911931</v>
      </c>
      <c r="EO45" s="4">
        <v>-0.13852416481654251</v>
      </c>
      <c r="EP45" s="4">
        <v>-9.2658302021793926E-2</v>
      </c>
      <c r="EQ45" s="4">
        <v>-4.8459329747186697E-2</v>
      </c>
      <c r="ER45" s="4">
        <v>-6.2014786173296699E-3</v>
      </c>
      <c r="ES45" s="4">
        <v>3.436908858378418E-2</v>
      </c>
      <c r="ET45" s="4">
        <v>7.3689697144659672E-2</v>
      </c>
      <c r="EU45" s="4">
        <v>0.11209185350430011</v>
      </c>
      <c r="EV45" s="4">
        <v>0.14980250549217319</v>
      </c>
      <c r="EW45" s="4">
        <v>0.18698241660507259</v>
      </c>
      <c r="EX45" s="4">
        <v>0.22374995178259069</v>
      </c>
      <c r="EY45" s="4">
        <v>0.26019464713762691</v>
      </c>
      <c r="EZ45" s="4">
        <v>0.29638546580099012</v>
      </c>
      <c r="FA45" s="4">
        <v>0.33237620334870899</v>
      </c>
      <c r="FB45" s="4">
        <v>0.36820921700346482</v>
      </c>
      <c r="FC45" s="4">
        <v>0.40391803348387118</v>
      </c>
      <c r="FD45" s="4">
        <v>0.43952905839587858</v>
      </c>
      <c r="FE45" s="4">
        <v>0.47506237658649791</v>
      </c>
      <c r="FF45" s="4">
        <v>0.51053139529124536</v>
      </c>
      <c r="FG45" s="4">
        <v>0.54594087682177417</v>
      </c>
      <c r="FH45" s="4">
        <v>0.58128389263588387</v>
      </c>
      <c r="FI45" s="4">
        <v>0.61654738159504907</v>
      </c>
      <c r="FJ45" s="4">
        <v>0.65175307261567683</v>
      </c>
      <c r="FK45" s="4">
        <v>0.68699717786520997</v>
      </c>
      <c r="FL45" s="4">
        <v>0.72241162660939873</v>
      </c>
      <c r="FM45" s="4">
        <v>0.75812411146065761</v>
      </c>
      <c r="FN45" s="4">
        <v>0.79425358637699617</v>
      </c>
      <c r="FO45" s="4">
        <v>0.83091450925876531</v>
      </c>
      <c r="FP45" s="4">
        <v>0.86822021134549576</v>
      </c>
      <c r="FQ45" s="4">
        <v>0.90628494353883449</v>
      </c>
      <c r="FR45" s="4">
        <v>0.94522515730063494</v>
      </c>
      <c r="FS45" s="4">
        <v>0.9851604004373109</v>
      </c>
      <c r="FT45" s="4">
        <v>1.0262140024046911</v>
      </c>
      <c r="FU45" s="4">
        <v>1.0685135259247771</v>
      </c>
      <c r="FV45" s="4">
        <v>1.1121906822333489</v>
      </c>
      <c r="FW45" s="4">
        <v>1.1573799398514399</v>
      </c>
      <c r="FX45" s="4">
        <v>1.204214342359037</v>
      </c>
      <c r="FY45" s="4">
        <v>1.252816313895402</v>
      </c>
      <c r="FZ45" s="4">
        <v>1.3032814585985359</v>
      </c>
      <c r="GA45" s="4">
        <v>1.3556563574497389</v>
      </c>
      <c r="GB45" s="4">
        <v>1.409917451617442</v>
      </c>
      <c r="GC45" s="4">
        <v>1.4659620881284621</v>
      </c>
      <c r="GD45" s="4">
        <v>1.5236174476326929</v>
      </c>
      <c r="GE45" s="4">
        <v>1.5826616414534229</v>
      </c>
      <c r="GF45" s="4">
        <v>1.642845910317893</v>
      </c>
      <c r="GG45" s="4">
        <v>1.70391084693127</v>
      </c>
      <c r="GH45" s="4">
        <v>1.765595656137293</v>
      </c>
      <c r="GI45" s="4">
        <v>1.8276424745990869</v>
      </c>
      <c r="GJ45" s="4">
        <v>1.8897980187587851</v>
      </c>
      <c r="GK45" s="4">
        <v>1.951814126080557</v>
      </c>
      <c r="GL45" s="4">
        <v>2.0134480942381452</v>
      </c>
      <c r="GM45" s="4">
        <v>2.0744633395679668</v>
      </c>
      <c r="GN45" s="4">
        <v>2.1346307383598848</v>
      </c>
      <c r="GO45" s="4">
        <v>2.1937309752351291</v>
      </c>
      <c r="GP45" s="4">
        <v>2.2515581840336241</v>
      </c>
      <c r="GQ45" s="4">
        <v>2.307924992551535</v>
      </c>
      <c r="GR45" s="4">
        <v>2.362668651575679</v>
      </c>
      <c r="GS45" s="4">
        <v>2.4156572597199881</v>
      </c>
      <c r="GT45" s="4">
        <v>2.4667945031796532</v>
      </c>
      <c r="GU45" s="4">
        <v>2.5160213468280199</v>
      </c>
      <c r="GV45" s="4">
        <v>2.563314006832381</v>
      </c>
      <c r="GW45" s="4">
        <v>2.608678857182996</v>
      </c>
      <c r="GX45" s="4">
        <v>2.652145815139022</v>
      </c>
      <c r="GY45" s="4">
        <v>2.693761765989517</v>
      </c>
      <c r="GZ45" s="4">
        <v>2.7335849934187371</v>
      </c>
      <c r="HA45" s="4">
        <v>2.7716809134582769</v>
      </c>
      <c r="HB45" s="4">
        <v>2.808118986662445</v>
      </c>
      <c r="HC45" s="4">
        <v>2.8429705328626849</v>
      </c>
      <c r="HD45" s="4">
        <v>2.876307192588516</v>
      </c>
      <c r="HE45" s="4">
        <v>2.908199868059111</v>
      </c>
      <c r="HF45" s="4">
        <v>2.938718075879672</v>
      </c>
      <c r="HG45" s="4">
        <v>2.967929725117155</v>
      </c>
      <c r="HH45" s="4">
        <v>2.995901378145672</v>
      </c>
      <c r="HI45" s="4">
        <v>3.022699031073357</v>
      </c>
      <c r="HJ45" s="4">
        <v>3.0483893394905031</v>
      </c>
      <c r="HK45" s="4">
        <v>3.073041024941721</v>
      </c>
      <c r="HL45" s="4">
        <v>3.096726022949928</v>
      </c>
      <c r="HM45" s="4">
        <v>3.119519931974911</v>
      </c>
      <c r="HN45" s="4">
        <v>3.141501573696337</v>
      </c>
      <c r="HO45" s="4">
        <v>3.1627518496637022</v>
      </c>
      <c r="HP45" s="4">
        <v>3.1833523292948591</v>
      </c>
      <c r="HQ45" s="4">
        <v>3.2033839999650291</v>
      </c>
      <c r="HR45" s="4">
        <v>3.2229264293373441</v>
      </c>
      <c r="HS45" s="4">
        <v>3.2420573878319079</v>
      </c>
      <c r="HT45" s="4">
        <v>3.260852845903544</v>
      </c>
      <c r="HU45" s="4">
        <v>3.2793872014717649</v>
      </c>
      <c r="HV45" s="4">
        <v>3.297733573324745</v>
      </c>
      <c r="HW45" s="4">
        <v>3.315963983737972</v>
      </c>
      <c r="HX45" s="4">
        <v>3.334149231854282</v>
      </c>
      <c r="HY45" s="4">
        <v>3.3523582340896469</v>
      </c>
      <c r="HZ45" s="4">
        <v>3.3706566114852881</v>
      </c>
      <c r="IA45" s="4">
        <v>3.389104398030399</v>
      </c>
      <c r="IB45" s="4">
        <v>3.407752994694587</v>
      </c>
      <c r="IC45" s="4">
        <v>3.426641898423906</v>
      </c>
      <c r="ID45" s="4">
        <v>3.4457961439439151</v>
      </c>
      <c r="IE45" s="4">
        <v>3.465225594107578</v>
      </c>
      <c r="IF45" s="4">
        <v>3.484927243854103</v>
      </c>
      <c r="IG45" s="4">
        <v>3.5048919131997578</v>
      </c>
      <c r="IH45" s="4">
        <v>3.5251163897215871</v>
      </c>
      <c r="II45" s="4">
        <v>3.545617928370238</v>
      </c>
      <c r="IJ45" s="4">
        <v>3.5664409402515069</v>
      </c>
      <c r="IK45" s="4">
        <v>3.587648971112563</v>
      </c>
      <c r="IL45" s="4">
        <v>3.6093089021261289</v>
      </c>
      <c r="IM45" s="4">
        <v>3.6314776603952201</v>
      </c>
    </row>
    <row r="46" spans="2:247" x14ac:dyDescent="0.35">
      <c r="B46" s="58">
        <v>0.3</v>
      </c>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v>-1.244118396872673</v>
      </c>
      <c r="DW46" s="4">
        <v>-1.1956975074848559</v>
      </c>
      <c r="DX46" s="4">
        <v>-1.1471124246203701</v>
      </c>
      <c r="DY46" s="4">
        <v>-1.09836678352076</v>
      </c>
      <c r="DZ46" s="4">
        <v>-1.0494661411944211</v>
      </c>
      <c r="EA46" s="4">
        <v>-1.0004183982716219</v>
      </c>
      <c r="EB46" s="4">
        <v>-0.95123430499207839</v>
      </c>
      <c r="EC46" s="4">
        <v>-0.90192806904080647</v>
      </c>
      <c r="ED46" s="4">
        <v>-0.85251808788678107</v>
      </c>
      <c r="EE46" s="4">
        <v>-0.80302783543138401</v>
      </c>
      <c r="EF46" s="4">
        <v>-0.75348694351822609</v>
      </c>
      <c r="EG46" s="4">
        <v>-0.70393253553739821</v>
      </c>
      <c r="EH46" s="4">
        <v>-0.65441089600907332</v>
      </c>
      <c r="EI46" s="4">
        <v>-0.60497960361379666</v>
      </c>
      <c r="EJ46" s="4">
        <v>-0.55571032745392057</v>
      </c>
      <c r="EK46" s="4">
        <v>-0.50669260597335364</v>
      </c>
      <c r="EL46" s="4">
        <v>-0.45803911627632132</v>
      </c>
      <c r="EM46" s="4">
        <v>-0.40989317902639982</v>
      </c>
      <c r="EN46" s="4">
        <v>-0.36243921979497129</v>
      </c>
      <c r="EO46" s="4">
        <v>-0.31591483987840879</v>
      </c>
      <c r="EP46" s="4">
        <v>-0.27061186590071351</v>
      </c>
      <c r="EQ46" s="4">
        <v>-0.22682172315295809</v>
      </c>
      <c r="ER46" s="4">
        <v>-0.18468349652341101</v>
      </c>
      <c r="ES46" s="4">
        <v>-0.14407659060772279</v>
      </c>
      <c r="ET46" s="4">
        <v>-0.1047278323320722</v>
      </c>
      <c r="EU46" s="4">
        <v>-6.636317169337147E-2</v>
      </c>
      <c r="EV46" s="4">
        <v>-2.8762068659437649E-2</v>
      </c>
      <c r="EW46" s="4">
        <v>8.2437965260671042E-3</v>
      </c>
      <c r="EX46" s="4">
        <v>4.4782831077730727E-2</v>
      </c>
      <c r="EY46" s="4">
        <v>8.0954217581739485E-2</v>
      </c>
      <c r="EZ46" s="4">
        <v>0.1168356224249569</v>
      </c>
      <c r="FA46" s="4">
        <v>0.15248862448502629</v>
      </c>
      <c r="FB46" s="4">
        <v>0.18796257454591639</v>
      </c>
      <c r="FC46" s="4">
        <v>0.2232973348801579</v>
      </c>
      <c r="FD46" s="4">
        <v>0.25852511506403042</v>
      </c>
      <c r="FE46" s="4">
        <v>0.29367140366758893</v>
      </c>
      <c r="FF46" s="4">
        <v>0.32875468431513788</v>
      </c>
      <c r="FG46" s="4">
        <v>0.36378388770541831</v>
      </c>
      <c r="FH46" s="4">
        <v>0.39875021661631038</v>
      </c>
      <c r="FI46" s="4">
        <v>0.43360853160092733</v>
      </c>
      <c r="FJ46" s="4">
        <v>0.46833430461698278</v>
      </c>
      <c r="FK46" s="4">
        <v>0.50306821541938884</v>
      </c>
      <c r="FL46" s="4">
        <v>0.53797251184055073</v>
      </c>
      <c r="FM46" s="4">
        <v>0.57317506157163223</v>
      </c>
      <c r="FN46" s="4">
        <v>0.60878907433966667</v>
      </c>
      <c r="FO46" s="4">
        <v>0.64492255156926515</v>
      </c>
      <c r="FP46" s="4">
        <v>0.68168235769575514</v>
      </c>
      <c r="FQ46" s="4">
        <v>0.71917638453351573</v>
      </c>
      <c r="FR46" s="4">
        <v>0.75751500383825521</v>
      </c>
      <c r="FS46" s="4">
        <v>0.79681231894318127</v>
      </c>
      <c r="FT46" s="4">
        <v>0.83718748158120082</v>
      </c>
      <c r="FU46" s="4">
        <v>0.87876618978079923</v>
      </c>
      <c r="FV46" s="4">
        <v>0.92168225746862209</v>
      </c>
      <c r="FW46" s="4">
        <v>0.96607864092313633</v>
      </c>
      <c r="FX46" s="4">
        <v>1.0121061975916721</v>
      </c>
      <c r="FY46" s="4">
        <v>1.059916474841065</v>
      </c>
      <c r="FZ46" s="4">
        <v>1.109642903976904</v>
      </c>
      <c r="GA46" s="4">
        <v>1.161367381276853</v>
      </c>
      <c r="GB46" s="4">
        <v>1.2150823003882989</v>
      </c>
      <c r="GC46" s="4">
        <v>1.270672885833342</v>
      </c>
      <c r="GD46" s="4">
        <v>1.327934816584726</v>
      </c>
      <c r="GE46" s="4">
        <v>1.386612150452168</v>
      </c>
      <c r="GF46" s="4">
        <v>1.446430699725713</v>
      </c>
      <c r="GG46" s="4">
        <v>1.5071167953439919</v>
      </c>
      <c r="GH46" s="4">
        <v>1.568404462915878</v>
      </c>
      <c r="GI46" s="4">
        <v>1.63003664794326</v>
      </c>
      <c r="GJ46" s="4">
        <v>1.691764221012777</v>
      </c>
      <c r="GK46" s="4">
        <v>1.753344546330309</v>
      </c>
      <c r="GL46" s="4">
        <v>1.8145403442025929</v>
      </c>
      <c r="GM46" s="4">
        <v>1.875119173345982</v>
      </c>
      <c r="GN46" s="4">
        <v>1.9348538019881469</v>
      </c>
      <c r="GO46" s="4">
        <v>1.993523848414136</v>
      </c>
      <c r="GP46" s="4">
        <v>2.0509192133172571</v>
      </c>
      <c r="GQ46" s="4">
        <v>2.1068457927597661</v>
      </c>
      <c r="GR46" s="4">
        <v>2.1611334461050822</v>
      </c>
      <c r="GS46" s="4">
        <v>2.2136450055633672</v>
      </c>
      <c r="GT46" s="4">
        <v>2.264283694928733</v>
      </c>
      <c r="GU46" s="4">
        <v>2.3129959485420271</v>
      </c>
      <c r="GV46" s="4">
        <v>2.3597682579347419</v>
      </c>
      <c r="GW46" s="4">
        <v>2.4046193946767929</v>
      </c>
      <c r="GX46" s="4">
        <v>2.4475909920362202</v>
      </c>
      <c r="GY46" s="4">
        <v>2.4887390868640589</v>
      </c>
      <c r="GZ46" s="4">
        <v>2.528127797273569</v>
      </c>
      <c r="HA46" s="4">
        <v>2.5658251157859211</v>
      </c>
      <c r="HB46" s="4">
        <v>2.601900275831031</v>
      </c>
      <c r="HC46" s="4">
        <v>2.6364221154185921</v>
      </c>
      <c r="HD46" s="4">
        <v>2.669458024819841</v>
      </c>
      <c r="HE46" s="4">
        <v>2.701073255975003</v>
      </c>
      <c r="HF46" s="4">
        <v>2.7313305340048468</v>
      </c>
      <c r="HG46" s="4">
        <v>2.7602900397857271</v>
      </c>
      <c r="HH46" s="4">
        <v>2.7880099214932681</v>
      </c>
      <c r="HI46" s="4">
        <v>2.8145475043032202</v>
      </c>
      <c r="HJ46" s="4">
        <v>2.8399612245004038</v>
      </c>
      <c r="HK46" s="4">
        <v>2.8643129677842372</v>
      </c>
      <c r="HL46" s="4">
        <v>2.8876700736212699</v>
      </c>
      <c r="HM46" s="4">
        <v>2.910106150504888</v>
      </c>
      <c r="HN46" s="4">
        <v>2.9317003144300542</v>
      </c>
      <c r="HO46" s="4">
        <v>2.9525352457773502</v>
      </c>
      <c r="HP46" s="4">
        <v>2.9726949273219652</v>
      </c>
      <c r="HQ46" s="4">
        <v>2.9922628086342749</v>
      </c>
      <c r="HR46" s="4">
        <v>3.0113207217449749</v>
      </c>
      <c r="HS46" s="4">
        <v>3.029948519150806</v>
      </c>
      <c r="HT46" s="4">
        <v>3.0482242447983201</v>
      </c>
      <c r="HU46" s="4">
        <v>3.0662246231397949</v>
      </c>
      <c r="HV46" s="4">
        <v>3.0840256694860839</v>
      </c>
      <c r="HW46" s="4">
        <v>3.1017032283534172</v>
      </c>
      <c r="HX46" s="4">
        <v>3.11933321040673</v>
      </c>
      <c r="HY46" s="4">
        <v>3.1369912240823759</v>
      </c>
      <c r="HZ46" s="4">
        <v>3.154751224326632</v>
      </c>
      <c r="IA46" s="4">
        <v>3.1726828365638342</v>
      </c>
      <c r="IB46" s="4">
        <v>3.1908473417835062</v>
      </c>
      <c r="IC46" s="4">
        <v>3.209293056271751</v>
      </c>
      <c r="ID46" s="4">
        <v>3.2280517743745101</v>
      </c>
      <c r="IE46" s="4">
        <v>3.2471383523051149</v>
      </c>
      <c r="IF46" s="4">
        <v>3.266554824137252</v>
      </c>
      <c r="IG46" s="4">
        <v>3.286298976533351</v>
      </c>
      <c r="IH46" s="4">
        <v>3.306375609785468</v>
      </c>
      <c r="II46" s="4">
        <v>3.3268066450897589</v>
      </c>
      <c r="IJ46" s="4">
        <v>3.3476349104120451</v>
      </c>
      <c r="IK46" s="4">
        <v>3.3689189097026802</v>
      </c>
      <c r="IL46" s="4">
        <v>3.390721180622239</v>
      </c>
      <c r="IM46" s="4">
        <v>3.4130955125036961</v>
      </c>
    </row>
    <row r="47" spans="2:247" x14ac:dyDescent="0.35">
      <c r="B47" s="58">
        <v>0.31</v>
      </c>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v>-1.4203138610351229</v>
      </c>
      <c r="DW47" s="4">
        <v>-1.371791206957544</v>
      </c>
      <c r="DX47" s="4">
        <v>-1.3231162755860559</v>
      </c>
      <c r="DY47" s="4">
        <v>-1.274294598830511</v>
      </c>
      <c r="DZ47" s="4">
        <v>-1.225333848458604</v>
      </c>
      <c r="EA47" s="4">
        <v>-1.176244277056719</v>
      </c>
      <c r="EB47" s="4">
        <v>-1.1270392439855319</v>
      </c>
      <c r="EC47" s="4">
        <v>-1.077735844108882</v>
      </c>
      <c r="ED47" s="4">
        <v>-1.028355662027937</v>
      </c>
      <c r="EE47" s="4">
        <v>-0.97892568155505977</v>
      </c>
      <c r="EF47" s="4">
        <v>-0.92947939024771831</v>
      </c>
      <c r="EG47" s="4">
        <v>-0.88005813349566564</v>
      </c>
      <c r="EH47" s="4">
        <v>-0.83071279389949426</v>
      </c>
      <c r="EI47" s="4">
        <v>-0.78150590146856036</v>
      </c>
      <c r="EJ47" s="4">
        <v>-0.73251431805417866</v>
      </c>
      <c r="EK47" s="4">
        <v>-0.68383267370922418</v>
      </c>
      <c r="EL47" s="4">
        <v>-0.63557771092121307</v>
      </c>
      <c r="EM47" s="4">
        <v>-0.58789343087115631</v>
      </c>
      <c r="EN47" s="4">
        <v>-0.54095587302406534</v>
      </c>
      <c r="EO47" s="4">
        <v>-0.49497312587483222</v>
      </c>
      <c r="EP47" s="4">
        <v>-0.45016917124135419</v>
      </c>
      <c r="EQ47" s="4">
        <v>-0.40673502453803317</v>
      </c>
      <c r="ER47" s="4">
        <v>-0.36475353594625259</v>
      </c>
      <c r="ES47" s="4">
        <v>-0.32415858749545651</v>
      </c>
      <c r="ET47" s="4">
        <v>-0.28477566452816211</v>
      </c>
      <c r="EU47" s="4">
        <v>-0.24639682317396441</v>
      </c>
      <c r="EV47" s="4">
        <v>-0.20882931954950029</v>
      </c>
      <c r="EW47" s="4">
        <v>-0.17191153782463031</v>
      </c>
      <c r="EX47" s="4">
        <v>-0.13551275893841291</v>
      </c>
      <c r="EY47" s="4">
        <v>-9.9528175045316303E-2</v>
      </c>
      <c r="EZ47" s="4">
        <v>-6.3873564167234775E-2</v>
      </c>
      <c r="FA47" s="4">
        <v>-2.848081334586805E-2</v>
      </c>
      <c r="FB47" s="4">
        <v>6.705572686350969E-3</v>
      </c>
      <c r="FC47" s="4">
        <v>4.1731082422714387E-2</v>
      </c>
      <c r="FD47" s="4">
        <v>7.6633018328538416E-2</v>
      </c>
      <c r="FE47" s="4">
        <v>0.11144150730200281</v>
      </c>
      <c r="FF47" s="4">
        <v>0.14617946149064351</v>
      </c>
      <c r="FG47" s="4">
        <v>0.18086070000768961</v>
      </c>
      <c r="FH47" s="4">
        <v>0.2154834169596973</v>
      </c>
      <c r="FI47" s="4">
        <v>0.24999999999999911</v>
      </c>
      <c r="FJ47" s="4">
        <v>0.28428747397528559</v>
      </c>
      <c r="FK47" s="4">
        <v>0.31858364998291577</v>
      </c>
      <c r="FL47" s="4">
        <v>0.35305195217617769</v>
      </c>
      <c r="FM47" s="4">
        <v>0.38781200186995962</v>
      </c>
      <c r="FN47" s="4">
        <v>0.42297093600962032</v>
      </c>
      <c r="FO47" s="4">
        <v>0.45863125457816167</v>
      </c>
      <c r="FP47" s="4">
        <v>0.49489428156106108</v>
      </c>
      <c r="FQ47" s="4">
        <v>0.53186217319536233</v>
      </c>
      <c r="FR47" s="4">
        <v>0.56963942667751155</v>
      </c>
      <c r="FS47" s="4">
        <v>0.60833435488338372</v>
      </c>
      <c r="FT47" s="4">
        <v>0.64806085257213608</v>
      </c>
      <c r="FU47" s="4">
        <v>0.68894074157906227</v>
      </c>
      <c r="FV47" s="4">
        <v>0.7311069296373458</v>
      </c>
      <c r="FW47" s="4">
        <v>0.77470734853629475</v>
      </c>
      <c r="FX47" s="4">
        <v>0.81990860013268385</v>
      </c>
      <c r="FY47" s="4">
        <v>0.86689510389181024</v>
      </c>
      <c r="FZ47" s="4">
        <v>0.9158527653944688</v>
      </c>
      <c r="GA47" s="4">
        <v>0.9669212048120146</v>
      </c>
      <c r="GB47" s="4">
        <v>1.020120730975006</v>
      </c>
      <c r="GC47" s="4">
        <v>1.0753128338832041</v>
      </c>
      <c r="GD47" s="4">
        <v>1.1322396472810641</v>
      </c>
      <c r="GE47" s="4">
        <v>1.1905969235353311</v>
      </c>
      <c r="GF47" s="4">
        <v>1.2500817414483869</v>
      </c>
      <c r="GG47" s="4">
        <v>1.3104087543990139</v>
      </c>
      <c r="GH47" s="4">
        <v>1.3713109330378519</v>
      </c>
      <c r="GI47" s="4">
        <v>1.4325357788820821</v>
      </c>
      <c r="GJ47" s="4">
        <v>1.4938412192612589</v>
      </c>
      <c r="GK47" s="4">
        <v>1.5549922803746401</v>
      </c>
      <c r="GL47" s="4">
        <v>1.6157586457266879</v>
      </c>
      <c r="GM47" s="4">
        <v>1.6759130382342751</v>
      </c>
      <c r="GN47" s="4">
        <v>1.7352305077163399</v>
      </c>
      <c r="GO47" s="4">
        <v>1.7934890237591561</v>
      </c>
      <c r="GP47" s="4">
        <v>1.8504722137134739</v>
      </c>
      <c r="GQ47" s="4">
        <v>1.9059754444563191</v>
      </c>
      <c r="GR47" s="4">
        <v>1.959816122710345</v>
      </c>
      <c r="GS47" s="4">
        <v>2.0118471946699921</v>
      </c>
      <c r="GT47" s="4">
        <v>2.0619695067911219</v>
      </c>
      <c r="GU47" s="4">
        <v>2.1101368488217429</v>
      </c>
      <c r="GV47" s="4">
        <v>2.1563505943927401</v>
      </c>
      <c r="GW47" s="4">
        <v>2.2006469965223929</v>
      </c>
      <c r="GX47" s="4">
        <v>2.2430832865164789</v>
      </c>
      <c r="GY47" s="4">
        <v>2.2837268774364721</v>
      </c>
      <c r="GZ47" s="4">
        <v>2.3226486438598348</v>
      </c>
      <c r="HA47" s="4">
        <v>2.3599193401564369</v>
      </c>
      <c r="HB47" s="4">
        <v>2.3956078744206901</v>
      </c>
      <c r="HC47" s="4">
        <v>2.4297804870913309</v>
      </c>
      <c r="HD47" s="4">
        <v>2.462500294451043</v>
      </c>
      <c r="HE47" s="4">
        <v>2.4938269631978538</v>
      </c>
      <c r="HF47" s="4">
        <v>2.5238164909501202</v>
      </c>
      <c r="HG47" s="4">
        <v>2.5525212316313568</v>
      </c>
      <c r="HH47" s="4">
        <v>2.5799904584055389</v>
      </c>
      <c r="HI47" s="4">
        <v>2.6062718662605069</v>
      </c>
      <c r="HJ47" s="4">
        <v>2.6314143182799752</v>
      </c>
      <c r="HK47" s="4">
        <v>2.6554715813868728</v>
      </c>
      <c r="HL47" s="4">
        <v>2.678505823526105</v>
      </c>
      <c r="HM47" s="4">
        <v>2.700589100157758</v>
      </c>
      <c r="HN47" s="4">
        <v>2.721801949432646</v>
      </c>
      <c r="HO47" s="4">
        <v>2.7422299941855788</v>
      </c>
      <c r="HP47" s="4">
        <v>2.761960341783817</v>
      </c>
      <c r="HQ47" s="4">
        <v>2.7810790312066618</v>
      </c>
      <c r="HR47" s="4">
        <v>2.79966980540727</v>
      </c>
      <c r="HS47" s="4">
        <v>2.8178139290839792</v>
      </c>
      <c r="HT47" s="4">
        <v>2.8355906673939288</v>
      </c>
      <c r="HU47" s="4">
        <v>2.8530781275083239</v>
      </c>
      <c r="HV47" s="4">
        <v>2.8703542601180878</v>
      </c>
      <c r="HW47" s="4">
        <v>2.8874978534666051</v>
      </c>
      <c r="HX47" s="4">
        <v>2.904589306730013</v>
      </c>
      <c r="HY47" s="4">
        <v>2.921710830669237</v>
      </c>
      <c r="HZ47" s="4">
        <v>2.938945504390825</v>
      </c>
      <c r="IA47" s="4">
        <v>2.956374440282548</v>
      </c>
      <c r="IB47" s="4">
        <v>2.974071540545125</v>
      </c>
      <c r="IC47" s="4">
        <v>2.9920965067333629</v>
      </c>
      <c r="ID47" s="4">
        <v>3.0104888143447779</v>
      </c>
      <c r="IE47" s="4">
        <v>3.029266562967365</v>
      </c>
      <c r="IF47" s="4">
        <v>3.0484323453505722</v>
      </c>
      <c r="IG47" s="4">
        <v>3.067984472884083</v>
      </c>
      <c r="IH47" s="4">
        <v>3.0879293792749092</v>
      </c>
      <c r="II47" s="4">
        <v>3.1082909299132981</v>
      </c>
      <c r="IJ47" s="4">
        <v>3.1291134993542631</v>
      </c>
      <c r="IK47" s="4">
        <v>3.1504574862424879</v>
      </c>
      <c r="IL47" s="4">
        <v>3.1723882280869451</v>
      </c>
      <c r="IM47" s="4">
        <v>3.1949614613857449</v>
      </c>
    </row>
    <row r="48" spans="2:247" x14ac:dyDescent="0.35">
      <c r="B48" s="58">
        <v>0.32</v>
      </c>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v>-1.597165266170975</v>
      </c>
      <c r="DW48" s="4">
        <v>-1.54857700449143</v>
      </c>
      <c r="DX48" s="4">
        <v>-1.4998504861953981</v>
      </c>
      <c r="DY48" s="4">
        <v>-1.4509932151595271</v>
      </c>
      <c r="DZ48" s="4">
        <v>-1.4020150413636341</v>
      </c>
      <c r="EA48" s="4">
        <v>-1.3529286157208149</v>
      </c>
      <c r="EB48" s="4">
        <v>-1.3037499286938179</v>
      </c>
      <c r="EC48" s="4">
        <v>-1.2544989493537539</v>
      </c>
      <c r="ED48" s="4">
        <v>-1.20520038568248</v>
      </c>
      <c r="EE48" s="4">
        <v>-1.155884592349913</v>
      </c>
      <c r="EF48" s="4">
        <v>-1.10658865918305</v>
      </c>
      <c r="EG48" s="4">
        <v>-1.0573577220362571</v>
      </c>
      <c r="EH48" s="4">
        <v>-1.008246546640321</v>
      </c>
      <c r="EI48" s="4">
        <v>-0.9593214409958577</v>
      </c>
      <c r="EJ48" s="4">
        <v>-0.91066254046712469</v>
      </c>
      <c r="EK48" s="4">
        <v>-0.86236644876854029</v>
      </c>
      <c r="EL48" s="4">
        <v>-0.81454902616122471</v>
      </c>
      <c r="EM48" s="4">
        <v>-0.7673476131976309</v>
      </c>
      <c r="EN48" s="4">
        <v>-0.7209208420465294</v>
      </c>
      <c r="EO48" s="4">
        <v>-0.67544215042703559</v>
      </c>
      <c r="EP48" s="4">
        <v>-0.63108113347624251</v>
      </c>
      <c r="EQ48" s="4">
        <v>-0.58796957152495377</v>
      </c>
      <c r="ER48" s="4">
        <v>-0.54616250524116827</v>
      </c>
      <c r="ES48" s="4">
        <v>-0.50562002506144132</v>
      </c>
      <c r="ET48" s="4">
        <v>-0.46622526246142199</v>
      </c>
      <c r="EU48" s="4">
        <v>-0.42782309686393472</v>
      </c>
      <c r="EV48" s="4">
        <v>-0.39025391323592817</v>
      </c>
      <c r="EW48" s="4">
        <v>-0.35337204219489449</v>
      </c>
      <c r="EX48" s="4">
        <v>-0.31705205008161208</v>
      </c>
      <c r="EY48" s="4">
        <v>-0.28118875239458152</v>
      </c>
      <c r="EZ48" s="4">
        <v>-0.2456948492611559</v>
      </c>
      <c r="FA48" s="4">
        <v>-0.21049805238156161</v>
      </c>
      <c r="FB48" s="4">
        <v>-0.17553844934338961</v>
      </c>
      <c r="FC48" s="4">
        <v>-0.14076637086188629</v>
      </c>
      <c r="FD48" s="4">
        <v>-0.10614087867793209</v>
      </c>
      <c r="FE48" s="4">
        <v>-7.1629026676701457E-2</v>
      </c>
      <c r="FF48" s="4">
        <v>-3.7206274352600037E-2</v>
      </c>
      <c r="FG48" s="4">
        <v>-2.8591294477777751E-3</v>
      </c>
      <c r="FH48" s="4">
        <v>3.1406606888892068E-2</v>
      </c>
      <c r="FI48" s="4">
        <v>6.5547177790972633E-2</v>
      </c>
      <c r="FJ48" s="4">
        <v>9.9537799294935336E-2</v>
      </c>
      <c r="FK48" s="4">
        <v>0.1335172563517264</v>
      </c>
      <c r="FL48" s="4">
        <v>0.167644288644651</v>
      </c>
      <c r="FM48" s="4">
        <v>0.20204169442390499</v>
      </c>
      <c r="FN48" s="4">
        <v>0.23681613143122249</v>
      </c>
      <c r="FO48" s="4">
        <v>0.27206767278886851</v>
      </c>
      <c r="FP48" s="4">
        <v>0.30789401565489882</v>
      </c>
      <c r="FQ48" s="4">
        <v>0.34439282514069802</v>
      </c>
      <c r="FR48" s="4">
        <v>0.38166343676058823</v>
      </c>
      <c r="FS48" s="4">
        <v>0.41980849381627611</v>
      </c>
      <c r="FT48" s="4">
        <v>0.45893593252258968</v>
      </c>
      <c r="FU48" s="4">
        <v>0.49916175237154281</v>
      </c>
      <c r="FV48" s="4">
        <v>0.54061415192212081</v>
      </c>
      <c r="FW48" s="4">
        <v>0.58343982107757464</v>
      </c>
      <c r="FX48" s="4">
        <v>0.6278131470498316</v>
      </c>
      <c r="FY48" s="4">
        <v>0.6739470834187431</v>
      </c>
      <c r="FZ48" s="4">
        <v>0.72209350862347499</v>
      </c>
      <c r="GA48" s="4">
        <v>0.77248991115837873</v>
      </c>
      <c r="GB48" s="4">
        <v>0.82521214949248733</v>
      </c>
      <c r="GC48" s="4">
        <v>0.88007059067624116</v>
      </c>
      <c r="GD48" s="4">
        <v>0.93671394007738584</v>
      </c>
      <c r="GE48" s="4">
        <v>0.99477643994397713</v>
      </c>
      <c r="GF48" s="4">
        <v>1.0539311218587131</v>
      </c>
      <c r="GG48" s="4">
        <v>1.1138893519451509</v>
      </c>
      <c r="GH48" s="4">
        <v>1.1743898155165691</v>
      </c>
      <c r="GI48" s="4">
        <v>1.2351890958913669</v>
      </c>
      <c r="GJ48" s="4">
        <v>1.296055078219351</v>
      </c>
      <c r="GK48" s="4">
        <v>1.3567624078563389</v>
      </c>
      <c r="GL48" s="4">
        <v>1.4170892252845959</v>
      </c>
      <c r="GM48" s="4">
        <v>1.476814685902373</v>
      </c>
      <c r="GN48" s="4">
        <v>1.5357171058738841</v>
      </c>
      <c r="GO48" s="4">
        <v>1.5935730412120479</v>
      </c>
      <c r="GP48" s="4">
        <v>1.6501583819848671</v>
      </c>
      <c r="GQ48" s="4">
        <v>1.7052536759078081</v>
      </c>
      <c r="GR48" s="4">
        <v>1.758656636216646</v>
      </c>
      <c r="GS48" s="4">
        <v>1.8102026440152901</v>
      </c>
      <c r="GT48" s="4">
        <v>1.859786691148881</v>
      </c>
      <c r="GU48" s="4">
        <v>1.9073731858183429</v>
      </c>
      <c r="GV48" s="4">
        <v>1.9529858572599019</v>
      </c>
      <c r="GW48" s="4">
        <v>1.9966854954014579</v>
      </c>
      <c r="GX48" s="4">
        <v>2.0385490721727271</v>
      </c>
      <c r="GY48" s="4">
        <v>2.078656760133831</v>
      </c>
      <c r="GZ48" s="4">
        <v>2.1170859878205328</v>
      </c>
      <c r="HA48" s="4">
        <v>2.1539095074558099</v>
      </c>
      <c r="HB48" s="4">
        <v>2.1891951620071959</v>
      </c>
      <c r="HC48" s="4">
        <v>2.2230061260039662</v>
      </c>
      <c r="HD48" s="4">
        <v>2.2554011004483532</v>
      </c>
      <c r="HE48" s="4">
        <v>2.2864343048374849</v>
      </c>
      <c r="HF48" s="4">
        <v>2.316155299744763</v>
      </c>
      <c r="HG48" s="4">
        <v>2.344608828240164</v>
      </c>
      <c r="HH48" s="4">
        <v>2.3718350826398562</v>
      </c>
      <c r="HI48" s="4">
        <v>2.3978711179223562</v>
      </c>
      <c r="HJ48" s="4">
        <v>2.4227543335470751</v>
      </c>
      <c r="HK48" s="4">
        <v>2.4465283082778901</v>
      </c>
      <c r="HL48" s="4">
        <v>2.4692491195526398</v>
      </c>
      <c r="HM48" s="4">
        <v>2.490988226616595</v>
      </c>
      <c r="HN48" s="4">
        <v>2.511829679239495</v>
      </c>
      <c r="HO48" s="4">
        <v>2.5318639146651858</v>
      </c>
      <c r="HP48" s="4">
        <v>2.5511820906479992</v>
      </c>
      <c r="HQ48" s="4">
        <v>2.5698728553100141</v>
      </c>
      <c r="HR48" s="4">
        <v>2.5880213091368458</v>
      </c>
      <c r="HS48" s="4">
        <v>2.605709286652401</v>
      </c>
      <c r="HT48" s="4">
        <v>2.623016294431908</v>
      </c>
      <c r="HU48" s="4">
        <v>2.6400207586112439</v>
      </c>
      <c r="HV48" s="4">
        <v>2.6568014316166311</v>
      </c>
      <c r="HW48" s="4">
        <v>2.6734388791729131</v>
      </c>
      <c r="HX48" s="4">
        <v>2.6900169282471582</v>
      </c>
      <c r="HY48" s="4">
        <v>2.7066237732072662</v>
      </c>
      <c r="HZ48" s="4">
        <v>2.7233520362176491</v>
      </c>
      <c r="IA48" s="4">
        <v>2.7402964499294229</v>
      </c>
      <c r="IB48" s="4">
        <v>2.7575474335424608</v>
      </c>
      <c r="IC48" s="4">
        <v>2.775180154487122</v>
      </c>
      <c r="ID48" s="4">
        <v>2.7932430920363518</v>
      </c>
      <c r="IE48" s="4">
        <v>2.811754330462183</v>
      </c>
      <c r="IF48" s="4">
        <v>2.8307103393525228</v>
      </c>
      <c r="IG48" s="4">
        <v>2.8501026129201281</v>
      </c>
      <c r="IH48" s="4">
        <v>2.869933631898129</v>
      </c>
      <c r="II48" s="4">
        <v>2.890227101048545</v>
      </c>
      <c r="IJ48" s="4">
        <v>2.9110311492150691</v>
      </c>
      <c r="IK48" s="4">
        <v>2.932414123271601</v>
      </c>
      <c r="IL48" s="4">
        <v>2.9544524528839688</v>
      </c>
      <c r="IM48" s="4">
        <v>2.9772115541636341</v>
      </c>
    </row>
    <row r="49" spans="2:247" x14ac:dyDescent="0.35">
      <c r="B49" s="58">
        <v>0.33</v>
      </c>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v>-1.774680633361811</v>
      </c>
      <c r="DW49" s="4">
        <v>-1.726061202533349</v>
      </c>
      <c r="DX49" s="4">
        <v>-1.6773192731998381</v>
      </c>
      <c r="DY49" s="4">
        <v>-1.62846433161674</v>
      </c>
      <c r="DZ49" s="4">
        <v>-1.579508391542124</v>
      </c>
      <c r="EA49" s="4">
        <v>-1.5304664542630391</v>
      </c>
      <c r="EB49" s="4">
        <v>-1.4813570480077369</v>
      </c>
      <c r="EC49" s="4">
        <v>-1.432202860766745</v>
      </c>
      <c r="ED49" s="4">
        <v>-1.3830314830692061</v>
      </c>
      <c r="EE49" s="4">
        <v>-1.3338762798978969</v>
      </c>
      <c r="EF49" s="4">
        <v>-1.2847774130467351</v>
      </c>
      <c r="EG49" s="4">
        <v>-1.2357830352206061</v>
      </c>
      <c r="EH49" s="4">
        <v>-1.18695067130946</v>
      </c>
      <c r="EI49" s="4">
        <v>-1.1383487822737119</v>
      </c>
      <c r="EJ49" s="4">
        <v>-1.090058455547007</v>
      </c>
      <c r="EK49" s="4">
        <v>-1.042175048255547</v>
      </c>
      <c r="EL49" s="4">
        <v>-0.99480936407212606</v>
      </c>
      <c r="EM49" s="4">
        <v>-0.94808748327071535</v>
      </c>
      <c r="EN49" s="4">
        <v>-0.90214763907307227</v>
      </c>
      <c r="EO49" s="4">
        <v>-0.857131779953346</v>
      </c>
      <c r="EP49" s="4">
        <v>-0.81316970030882874</v>
      </c>
      <c r="EQ49" s="4">
        <v>-0.77035672894042917</v>
      </c>
      <c r="ER49" s="4">
        <v>-0.72873226624565057</v>
      </c>
      <c r="ES49" s="4">
        <v>-0.68827059495619269</v>
      </c>
      <c r="ET49" s="4">
        <v>-0.64888986717274988</v>
      </c>
      <c r="EU49" s="4">
        <v>-0.6104733675680396</v>
      </c>
      <c r="EV49" s="4">
        <v>-0.5728916311923109</v>
      </c>
      <c r="EW49" s="4">
        <v>-0.5360181296079054</v>
      </c>
      <c r="EX49" s="4">
        <v>-0.49973754280805038</v>
      </c>
      <c r="EY49" s="4">
        <v>-0.46394874493954918</v>
      </c>
      <c r="EZ49" s="4">
        <v>-0.42856488004865029</v>
      </c>
      <c r="FA49" s="4">
        <v>-0.39351215930373362</v>
      </c>
      <c r="FB49" s="4">
        <v>-0.35872829904431608</v>
      </c>
      <c r="FC49" s="4">
        <v>-0.32416108291982138</v>
      </c>
      <c r="FD49" s="4">
        <v>-0.28976733235442159</v>
      </c>
      <c r="FE49" s="4">
        <v>-0.25551254044562022</v>
      </c>
      <c r="FF49" s="4">
        <v>-0.2213715327105272</v>
      </c>
      <c r="FG49" s="4">
        <v>-0.1873306595383952</v>
      </c>
      <c r="FH49" s="4">
        <v>-0.1533910089675814</v>
      </c>
      <c r="FI49" s="4">
        <v>-0.1195629626616799</v>
      </c>
      <c r="FJ49" s="4">
        <v>-8.5825334219534088E-2</v>
      </c>
      <c r="FK49" s="4">
        <v>-5.2085681081577302E-2</v>
      </c>
      <c r="FL49" s="4">
        <v>-1.8219017586182051E-2</v>
      </c>
      <c r="FM49" s="4">
        <v>1.5892343965072889E-2</v>
      </c>
      <c r="FN49" s="4">
        <v>5.0354464571034097E-2</v>
      </c>
      <c r="FO49" s="4">
        <v>8.5266257534673429E-2</v>
      </c>
      <c r="FP49" s="4">
        <v>0.12072316567484349</v>
      </c>
      <c r="FQ49" s="4">
        <v>0.156819608832067</v>
      </c>
      <c r="FR49" s="4">
        <v>0.19365081059034181</v>
      </c>
      <c r="FS49" s="4">
        <v>0.2313144963039053</v>
      </c>
      <c r="FT49" s="4">
        <v>0.26991287259401631</v>
      </c>
      <c r="FU49" s="4">
        <v>0.30955535313540322</v>
      </c>
      <c r="FV49" s="4">
        <v>0.35036272807380581</v>
      </c>
      <c r="FW49" s="4">
        <v>0.39247402624852018</v>
      </c>
      <c r="FX49" s="4">
        <v>0.43605853949867018</v>
      </c>
      <c r="FY49" s="4">
        <v>0.48133781992464192</v>
      </c>
      <c r="FZ49" s="4">
        <v>0.5286219349172252</v>
      </c>
      <c r="GA49" s="4">
        <v>0.57831000425396395</v>
      </c>
      <c r="GB49" s="4">
        <v>0.63060985335250441</v>
      </c>
      <c r="GC49" s="4">
        <v>0.68520442655926184</v>
      </c>
      <c r="GD49" s="4">
        <v>0.74158536787491203</v>
      </c>
      <c r="GE49" s="4">
        <v>0.79933335043775111</v>
      </c>
      <c r="GF49" s="4">
        <v>0.85811749807175852</v>
      </c>
      <c r="GG49" s="4">
        <v>0.9176590487927454</v>
      </c>
      <c r="GH49" s="4">
        <v>0.977709214858971</v>
      </c>
      <c r="GI49" s="4">
        <v>1.038036926207577</v>
      </c>
      <c r="GJ49" s="4">
        <v>1.0984216087732599</v>
      </c>
      <c r="GK49" s="4">
        <v>1.1586484808619639</v>
      </c>
      <c r="GL49" s="4">
        <v>1.218505066115624</v>
      </c>
      <c r="GM49" s="4">
        <v>1.277778192806871</v>
      </c>
      <c r="GN49" s="4">
        <v>1.3362510816075079</v>
      </c>
      <c r="GO49" s="4">
        <v>1.3937005153198709</v>
      </c>
      <c r="GP49" s="4">
        <v>1.4498949564278589</v>
      </c>
      <c r="GQ49" s="4">
        <v>1.504596548221053</v>
      </c>
      <c r="GR49" s="4">
        <v>1.557573502141637</v>
      </c>
      <c r="GS49" s="4">
        <v>1.6086303066593659</v>
      </c>
      <c r="GT49" s="4">
        <v>1.6576492997849259</v>
      </c>
      <c r="GU49" s="4">
        <v>1.704611917865589</v>
      </c>
      <c r="GV49" s="4">
        <v>1.7495771824038391</v>
      </c>
      <c r="GW49" s="4">
        <v>1.7926398366515881</v>
      </c>
      <c r="GX49" s="4">
        <v>1.8338997896934119</v>
      </c>
      <c r="GY49" s="4">
        <v>1.873449289468472</v>
      </c>
      <c r="GZ49" s="4">
        <v>1.9113703413153409</v>
      </c>
      <c r="HA49" s="4">
        <v>1.9477358024528031</v>
      </c>
      <c r="HB49" s="4">
        <v>1.982611119574923</v>
      </c>
      <c r="HC49" s="4">
        <v>2.0160556976011952</v>
      </c>
      <c r="HD49" s="4">
        <v>2.0481236777365308</v>
      </c>
      <c r="HE49" s="4">
        <v>2.078864150842711</v>
      </c>
      <c r="HF49" s="4">
        <v>2.1083209023419132</v>
      </c>
      <c r="HG49" s="4">
        <v>2.1365318522413399</v>
      </c>
      <c r="HH49" s="4">
        <v>2.163528566286578</v>
      </c>
      <c r="HI49" s="4">
        <v>2.1893367844412368</v>
      </c>
      <c r="HJ49" s="4">
        <v>2.2139799266425428</v>
      </c>
      <c r="HK49" s="4">
        <v>2.2374877895631462</v>
      </c>
      <c r="HL49" s="4">
        <v>2.2599085948403279</v>
      </c>
      <c r="HM49" s="4">
        <v>2.281315202480684</v>
      </c>
      <c r="HN49" s="4">
        <v>2.3017989850768341</v>
      </c>
      <c r="HO49" s="4">
        <v>2.3214578951848179</v>
      </c>
      <c r="HP49" s="4">
        <v>2.3403879435061872</v>
      </c>
      <c r="HQ49" s="4">
        <v>2.358679965845718</v>
      </c>
      <c r="HR49" s="4">
        <v>2.376419515032921</v>
      </c>
      <c r="HS49" s="4">
        <v>2.3936879846822041</v>
      </c>
      <c r="HT49" s="4">
        <v>2.4105641087783281</v>
      </c>
      <c r="HU49" s="4">
        <v>2.427125581005614</v>
      </c>
      <c r="HV49" s="4">
        <v>2.443450781289652</v>
      </c>
      <c r="HW49" s="4">
        <v>2.4596206752595799</v>
      </c>
      <c r="HX49" s="4">
        <v>2.4757209406844471</v>
      </c>
      <c r="HY49" s="4">
        <v>2.491844233217011</v>
      </c>
      <c r="HZ49" s="4">
        <v>2.5080920381856799</v>
      </c>
      <c r="IA49" s="4">
        <v>2.5245743654441668</v>
      </c>
      <c r="IB49" s="4">
        <v>2.5414034643460481</v>
      </c>
      <c r="IC49" s="4">
        <v>2.5586772199329189</v>
      </c>
      <c r="ID49" s="4">
        <v>2.5764561656403351</v>
      </c>
      <c r="IE49" s="4">
        <v>2.5947530271848609</v>
      </c>
      <c r="IF49" s="4">
        <v>2.613548196641307</v>
      </c>
      <c r="IG49" s="4">
        <v>2.6328178187964659</v>
      </c>
      <c r="IH49" s="4">
        <v>2.65255545211649</v>
      </c>
      <c r="II49" s="4">
        <v>2.6727828696885712</v>
      </c>
      <c r="IJ49" s="4">
        <v>2.6935532135267368</v>
      </c>
      <c r="IK49" s="4">
        <v>2.7149478979653501</v>
      </c>
      <c r="IL49" s="4">
        <v>2.7370642576312232</v>
      </c>
      <c r="IM49" s="4">
        <v>2.75998930440965</v>
      </c>
    </row>
    <row r="50" spans="2:247" x14ac:dyDescent="0.35">
      <c r="B50" s="58">
        <v>0.34</v>
      </c>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v>-1.9528629422886821</v>
      </c>
      <c r="DW50" s="4">
        <v>-1.9042446806439861</v>
      </c>
      <c r="DX50" s="4">
        <v>-1.8555210266240261</v>
      </c>
      <c r="DY50" s="4">
        <v>-1.806703396222878</v>
      </c>
      <c r="DZ50" s="4">
        <v>-1.757805878425668</v>
      </c>
      <c r="EA50" s="4">
        <v>-1.7088456895241819</v>
      </c>
      <c r="EB50" s="4">
        <v>-1.6598436988704921</v>
      </c>
      <c r="EC50" s="4">
        <v>-1.610825036111323</v>
      </c>
      <c r="ED50" s="4">
        <v>-1.561819790360842</v>
      </c>
      <c r="EE50" s="4">
        <v>-1.5128638110723991</v>
      </c>
      <c r="EF50" s="4">
        <v>-1.463999617239736</v>
      </c>
      <c r="EG50" s="4">
        <v>-1.415277413436935</v>
      </c>
      <c r="EH50" s="4">
        <v>-1.366756193265279</v>
      </c>
      <c r="EI50" s="4">
        <v>-1.3185048742781751</v>
      </c>
      <c r="EJ50" s="4">
        <v>-1.2706033384953299</v>
      </c>
      <c r="EK50" s="4">
        <v>-1.2231431265029249</v>
      </c>
      <c r="EL50" s="4">
        <v>-1.1762273241577239</v>
      </c>
      <c r="EM50" s="4">
        <v>-1.1299688807951089</v>
      </c>
      <c r="EN50" s="4">
        <v>-1.0844862824093671</v>
      </c>
      <c r="EO50" s="4">
        <v>-1.039895453340852</v>
      </c>
      <c r="EP50" s="4">
        <v>-0.99629753158132317</v>
      </c>
      <c r="EQ50" s="4">
        <v>-0.95376423950583078</v>
      </c>
      <c r="ER50" s="4">
        <v>-0.91232530800900014</v>
      </c>
      <c r="ES50" s="4">
        <v>-0.87196338047346966</v>
      </c>
      <c r="ET50" s="4">
        <v>-0.83261892649517577</v>
      </c>
      <c r="EU50" s="4">
        <v>-0.79420263917215284</v>
      </c>
      <c r="EV50" s="4">
        <v>-0.75660989390228206</v>
      </c>
      <c r="EW50" s="4">
        <v>-0.7197328164451009</v>
      </c>
      <c r="EX50" s="4">
        <v>-0.68346824642523263</v>
      </c>
      <c r="EY50" s="4">
        <v>-0.6477219626134838</v>
      </c>
      <c r="EZ50" s="4">
        <v>-0.61241031311565575</v>
      </c>
      <c r="FA50" s="4">
        <v>-0.5774603515280452</v>
      </c>
      <c r="FB50" s="4">
        <v>-0.54280927654877242</v>
      </c>
      <c r="FC50" s="4">
        <v>-0.50840368982692574</v>
      </c>
      <c r="FD50" s="4">
        <v>-0.47419900030661699</v>
      </c>
      <c r="FE50" s="4">
        <v>-0.44015919081131599</v>
      </c>
      <c r="FF50" s="4">
        <v>-0.40625702180123341</v>
      </c>
      <c r="FG50" s="4">
        <v>-0.37247424400401302</v>
      </c>
      <c r="FH50" s="4">
        <v>-0.33879960044458768</v>
      </c>
      <c r="FI50" s="4">
        <v>-0.30521883763916069</v>
      </c>
      <c r="FJ50" s="4">
        <v>-0.27169381108969759</v>
      </c>
      <c r="FK50" s="4">
        <v>-0.2381489880477097</v>
      </c>
      <c r="FL50" s="4">
        <v>-0.2044839862278689</v>
      </c>
      <c r="FM50" s="4">
        <v>-0.17059347136171521</v>
      </c>
      <c r="FN50" s="4">
        <v>-0.13637607035871019</v>
      </c>
      <c r="FO50" s="4">
        <v>-0.1017351711434151</v>
      </c>
      <c r="FP50" s="4">
        <v>-6.6577340765080262E-2</v>
      </c>
      <c r="FQ50" s="4">
        <v>-3.081052731200495E-2</v>
      </c>
      <c r="FR50" s="4">
        <v>5.6575841154309359E-3</v>
      </c>
      <c r="FS50" s="4">
        <v>4.2921194593350982E-2</v>
      </c>
      <c r="FT50" s="4">
        <v>8.107826150271169E-2</v>
      </c>
      <c r="FU50" s="4">
        <v>0.12023298686965141</v>
      </c>
      <c r="FV50" s="4">
        <v>0.16049950520692399</v>
      </c>
      <c r="FW50" s="4">
        <v>0.20200784479999451</v>
      </c>
      <c r="FX50" s="4">
        <v>0.24491450391007061</v>
      </c>
      <c r="FY50" s="4">
        <v>0.28942384974300678</v>
      </c>
      <c r="FZ50" s="4">
        <v>0.33584192392310808</v>
      </c>
      <c r="GA50" s="4">
        <v>0.38474522374434889</v>
      </c>
      <c r="GB50" s="4">
        <v>0.43671401572751473</v>
      </c>
      <c r="GC50" s="4">
        <v>0.49106332185035129</v>
      </c>
      <c r="GD50" s="4">
        <v>0.54711195920236522</v>
      </c>
      <c r="GE50" s="4">
        <v>0.60444924145268741</v>
      </c>
      <c r="GF50" s="4">
        <v>0.66276618928997699</v>
      </c>
      <c r="GG50" s="4">
        <v>0.72180167735098122</v>
      </c>
      <c r="GH50" s="4">
        <v>0.78132092649413565</v>
      </c>
      <c r="GI50" s="4">
        <v>0.84110472641942069</v>
      </c>
      <c r="GJ50" s="4">
        <v>0.9009431349047583</v>
      </c>
      <c r="GK50" s="4">
        <v>0.96063124357903718</v>
      </c>
      <c r="GL50" s="4">
        <v>1.019965832526053</v>
      </c>
      <c r="GM50" s="4">
        <v>1.078742176107192</v>
      </c>
      <c r="GN50" s="4">
        <v>1.1367504038389651</v>
      </c>
      <c r="GO50" s="4">
        <v>1.193770882082871</v>
      </c>
      <c r="GP50" s="4">
        <v>1.24956843718003</v>
      </c>
      <c r="GQ50" s="4">
        <v>1.303887194533925</v>
      </c>
      <c r="GR50" s="4">
        <v>1.35645511537576</v>
      </c>
      <c r="GS50" s="4">
        <v>1.407021922834965</v>
      </c>
      <c r="GT50" s="4">
        <v>1.4554423230951039</v>
      </c>
      <c r="GU50" s="4">
        <v>1.501729223745667</v>
      </c>
      <c r="GV50" s="4">
        <v>1.546000264934404</v>
      </c>
      <c r="GW50" s="4">
        <v>1.5883943226270989</v>
      </c>
      <c r="GX50" s="4">
        <v>1.629033253977439</v>
      </c>
      <c r="GY50" s="4">
        <v>1.668016945067639</v>
      </c>
      <c r="GZ50" s="4">
        <v>1.7054279249859079</v>
      </c>
      <c r="HA50" s="4">
        <v>1.7413364031629179</v>
      </c>
      <c r="HB50" s="4">
        <v>1.775803866835318</v>
      </c>
      <c r="HC50" s="4">
        <v>1.808885284502179</v>
      </c>
      <c r="HD50" s="4">
        <v>1.8406302396505481</v>
      </c>
      <c r="HE50" s="4">
        <v>1.871083244448245</v>
      </c>
      <c r="HF50" s="4">
        <v>1.900283366456673</v>
      </c>
      <c r="HG50" s="4">
        <v>1.928263215990369</v>
      </c>
      <c r="HH50" s="4">
        <v>1.9550473795842911</v>
      </c>
      <c r="HI50" s="4">
        <v>1.9806509115488979</v>
      </c>
      <c r="HJ50" s="4">
        <v>2.0050805931877012</v>
      </c>
      <c r="HK50" s="4">
        <v>2.028345899149715</v>
      </c>
      <c r="HL50" s="4">
        <v>2.050483169916602</v>
      </c>
      <c r="HM50" s="4">
        <v>2.071571121238041</v>
      </c>
      <c r="HN50" s="4">
        <v>2.091715411170159</v>
      </c>
      <c r="HO50" s="4">
        <v>2.1110245725505599</v>
      </c>
      <c r="HP50" s="4">
        <v>2.1295992121221881</v>
      </c>
      <c r="HQ50" s="4">
        <v>2.1475310169511639</v>
      </c>
      <c r="HR50" s="4">
        <v>2.1649046812372399</v>
      </c>
      <c r="HS50" s="4">
        <v>2.1818001169732222</v>
      </c>
      <c r="HT50" s="4">
        <v>2.1982944412864889</v>
      </c>
      <c r="HU50" s="4">
        <v>2.2144638090872339</v>
      </c>
      <c r="HV50" s="4">
        <v>2.2303852735450311</v>
      </c>
      <c r="HW50" s="4">
        <v>2.246138885128929</v>
      </c>
      <c r="HX50" s="4">
        <v>2.2618102720279869</v>
      </c>
      <c r="HY50" s="4">
        <v>2.2774939641131939</v>
      </c>
      <c r="HZ50" s="4">
        <v>2.2932975463973562</v>
      </c>
      <c r="IA50" s="4">
        <v>2.3093455962263869</v>
      </c>
      <c r="IB50" s="4">
        <v>2.3257780506505541</v>
      </c>
      <c r="IC50" s="4">
        <v>2.3427290117282982</v>
      </c>
      <c r="ID50" s="4">
        <v>2.3602790080094942</v>
      </c>
      <c r="IE50" s="4">
        <v>2.3784254528684738</v>
      </c>
      <c r="IF50" s="4">
        <v>2.3971168522305248</v>
      </c>
      <c r="IG50" s="4">
        <v>2.41630534883596</v>
      </c>
      <c r="IH50" s="4">
        <v>2.4359729791580902</v>
      </c>
      <c r="II50" s="4">
        <v>2.456138707758635</v>
      </c>
      <c r="IJ50" s="4">
        <v>2.4768601086745901</v>
      </c>
      <c r="IK50" s="4">
        <v>2.4982336008331392</v>
      </c>
      <c r="IL50" s="4">
        <v>2.5203874854767352</v>
      </c>
      <c r="IM50" s="4">
        <v>2.543449937086907</v>
      </c>
    </row>
    <row r="51" spans="2:247" x14ac:dyDescent="0.35">
      <c r="B51" s="58">
        <v>0.35</v>
      </c>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v>-2.1317106356142301</v>
      </c>
      <c r="DW51" s="4">
        <v>-2.0831234972855759</v>
      </c>
      <c r="DX51" s="4">
        <v>-2.0344490287725372</v>
      </c>
      <c r="DY51" s="4">
        <v>-1.9857004666813149</v>
      </c>
      <c r="DZ51" s="4">
        <v>-1.9368938223549479</v>
      </c>
      <c r="EA51" s="4">
        <v>-1.8880483188668691</v>
      </c>
      <c r="EB51" s="4">
        <v>-1.839186888359069</v>
      </c>
      <c r="EC51" s="4">
        <v>-1.790336734968182</v>
      </c>
      <c r="ED51" s="4">
        <v>-1.7415299668561779</v>
      </c>
      <c r="EE51" s="4">
        <v>-1.6928042970731769</v>
      </c>
      <c r="EF51" s="4">
        <v>-1.6442038055218591</v>
      </c>
      <c r="EG51" s="4">
        <v>-1.5957797404529059</v>
      </c>
      <c r="EH51" s="4">
        <v>-1.547591313315811</v>
      </c>
      <c r="EI51" s="4">
        <v>-1.499706398780156</v>
      </c>
      <c r="EJ51" s="4">
        <v>-1.452201983465313</v>
      </c>
      <c r="EK51" s="4">
        <v>-1.405164103614682</v>
      </c>
      <c r="EL51" s="4">
        <v>-1.3586868733707449</v>
      </c>
      <c r="EM51" s="4">
        <v>-1.312870059952632</v>
      </c>
      <c r="EN51" s="4">
        <v>-1.267814601638906</v>
      </c>
      <c r="EO51" s="4">
        <v>-1.223615671657756</v>
      </c>
      <c r="EP51" s="4">
        <v>-1.1803535849289111</v>
      </c>
      <c r="EQ51" s="4">
        <v>-1.138084039517925</v>
      </c>
      <c r="ER51" s="4">
        <v>-1.096830343136014</v>
      </c>
      <c r="ES51" s="4">
        <v>-1.056580370441542</v>
      </c>
      <c r="ET51" s="4">
        <v>-1.0172894438483859</v>
      </c>
      <c r="EU51" s="4">
        <v>-0.97888794958800029</v>
      </c>
      <c r="EV51" s="4">
        <v>-0.94129094829045967</v>
      </c>
      <c r="EW51" s="4">
        <v>-0.90440713595738864</v>
      </c>
      <c r="EX51" s="4">
        <v>-0.86814567156551603</v>
      </c>
      <c r="EY51" s="4">
        <v>-0.83242058519162732</v>
      </c>
      <c r="EZ51" s="4">
        <v>-0.79715317809815534</v>
      </c>
      <c r="FA51" s="4">
        <v>-0.76227303804333313</v>
      </c>
      <c r="FB51" s="4">
        <v>-0.72771823740431052</v>
      </c>
      <c r="FC51" s="4">
        <v>-0.69343513778168409</v>
      </c>
      <c r="FD51" s="4">
        <v>-0.65937807312837271</v>
      </c>
      <c r="FE51" s="4">
        <v>-0.62550901961760697</v>
      </c>
      <c r="FF51" s="4">
        <v>-0.59179709863856078</v>
      </c>
      <c r="FG51" s="4">
        <v>-0.55821722412560093</v>
      </c>
      <c r="FH51" s="4">
        <v>-0.52474631881692413</v>
      </c>
      <c r="FI51" s="4">
        <v>-0.49135528642180598</v>
      </c>
      <c r="FJ51" s="4">
        <v>-0.45799830115522</v>
      </c>
      <c r="FK51" s="4">
        <v>-0.42460711126734679</v>
      </c>
      <c r="FL51" s="4">
        <v>-0.39109579944100048</v>
      </c>
      <c r="FM51" s="4">
        <v>-0.35737052614355708</v>
      </c>
      <c r="FN51" s="4">
        <v>-0.32333652771153337</v>
      </c>
      <c r="FO51" s="4">
        <v>-0.28890077528613028</v>
      </c>
      <c r="FP51" s="4">
        <v>-0.25397207471529798</v>
      </c>
      <c r="FQ51" s="4">
        <v>-0.21846015082302639</v>
      </c>
      <c r="FR51" s="4">
        <v>-0.1822743765087749</v>
      </c>
      <c r="FS51" s="4">
        <v>-0.14532227939358039</v>
      </c>
      <c r="FT51" s="4">
        <v>-0.1075077057568956</v>
      </c>
      <c r="FU51" s="4">
        <v>-6.8728352946480165E-2</v>
      </c>
      <c r="FV51" s="4">
        <v>-2.887215711510871E-2</v>
      </c>
      <c r="FW51" s="4">
        <v>1.218842966362965E-2</v>
      </c>
      <c r="FX51" s="4">
        <v>5.4606343747840569E-2</v>
      </c>
      <c r="FY51" s="4">
        <v>9.8579327616515666E-2</v>
      </c>
      <c r="FZ51" s="4">
        <v>0.14439734183054659</v>
      </c>
      <c r="GA51" s="4">
        <v>0.19264230368591309</v>
      </c>
      <c r="GB51" s="4">
        <v>0.24416485167236779</v>
      </c>
      <c r="GC51" s="4">
        <v>0.29801398492778519</v>
      </c>
      <c r="GD51" s="4">
        <v>0.35350747945991312</v>
      </c>
      <c r="GE51" s="4">
        <v>0.41025516974705889</v>
      </c>
      <c r="GF51" s="4">
        <v>0.46795923544678519</v>
      </c>
      <c r="GG51" s="4">
        <v>0.52636677980316415</v>
      </c>
      <c r="GH51" s="4">
        <v>0.58525034738136883</v>
      </c>
      <c r="GI51" s="4">
        <v>0.64439787077718114</v>
      </c>
      <c r="GJ51" s="4">
        <v>0.70360666904333602</v>
      </c>
      <c r="GK51" s="4">
        <v>0.76267935370520101</v>
      </c>
      <c r="GL51" s="4">
        <v>0.82142055202844944</v>
      </c>
      <c r="GM51" s="4">
        <v>0.87963371114470323</v>
      </c>
      <c r="GN51" s="4">
        <v>0.93711726977695164</v>
      </c>
      <c r="GO51" s="4">
        <v>0.99365923076315577</v>
      </c>
      <c r="GP51" s="4">
        <v>1.049028571076263</v>
      </c>
      <c r="GQ51" s="4">
        <v>1.102961296629261</v>
      </c>
      <c r="GR51" s="4">
        <v>1.1551431199789399</v>
      </c>
      <c r="GS51" s="4">
        <v>1.205228415288933</v>
      </c>
      <c r="GT51" s="4">
        <v>1.2530053224224791</v>
      </c>
      <c r="GU51" s="4">
        <v>1.2985565228511691</v>
      </c>
      <c r="GV51" s="4">
        <v>1.3420982083239701</v>
      </c>
      <c r="GW51" s="4">
        <v>1.3838146965459179</v>
      </c>
      <c r="GX51" s="4">
        <v>1.423839143735703</v>
      </c>
      <c r="GY51" s="4">
        <v>1.462270449011045</v>
      </c>
      <c r="GZ51" s="4">
        <v>1.4991866531600859</v>
      </c>
      <c r="HA51" s="4">
        <v>1.534652794492199</v>
      </c>
      <c r="HB51" s="4">
        <v>1.5687253291558929</v>
      </c>
      <c r="HC51" s="4">
        <v>1.6014545505191879</v>
      </c>
      <c r="HD51" s="4">
        <v>1.632885770755476</v>
      </c>
      <c r="HE51" s="4">
        <v>1.6630596377219651</v>
      </c>
      <c r="HF51" s="4">
        <v>1.6920117179209151</v>
      </c>
      <c r="HG51" s="4">
        <v>1.7197712712220139</v>
      </c>
      <c r="HH51" s="4">
        <v>1.7463588964224821</v>
      </c>
      <c r="HI51" s="4">
        <v>1.7717825006313479</v>
      </c>
      <c r="HJ51" s="4">
        <v>1.796032231522144</v>
      </c>
      <c r="HK51" s="4">
        <v>1.819085950037701</v>
      </c>
      <c r="HL51" s="4">
        <v>1.840957228062033</v>
      </c>
      <c r="HM51" s="4">
        <v>1.8617421380742549</v>
      </c>
      <c r="HN51" s="4">
        <v>1.8815725319765111</v>
      </c>
      <c r="HO51" s="4">
        <v>1.900568139115953</v>
      </c>
      <c r="HP51" s="4">
        <v>1.9188312469227251</v>
      </c>
      <c r="HQ51" s="4">
        <v>1.9364520170888859</v>
      </c>
      <c r="HR51" s="4">
        <v>1.9535129092100101</v>
      </c>
      <c r="HS51" s="4">
        <v>1.97009164195204</v>
      </c>
      <c r="HT51" s="4">
        <v>1.9862633396035809</v>
      </c>
      <c r="HU51" s="4">
        <v>2.0021023383587671</v>
      </c>
      <c r="HV51" s="4">
        <v>2.0176839704012139</v>
      </c>
      <c r="HW51" s="4">
        <v>2.033086600804288</v>
      </c>
      <c r="HX51" s="4">
        <v>2.0483942532644051</v>
      </c>
      <c r="HY51" s="4">
        <v>2.0637003519307489</v>
      </c>
      <c r="HZ51" s="4">
        <v>2.0791134874784221</v>
      </c>
      <c r="IA51" s="4">
        <v>2.0947665102735531</v>
      </c>
      <c r="IB51" s="4">
        <v>2.1108277990495958</v>
      </c>
      <c r="IC51" s="4">
        <v>2.127491227950506</v>
      </c>
      <c r="ID51" s="4">
        <v>2.1448797283744439</v>
      </c>
      <c r="IE51" s="4">
        <v>2.1629517387929269</v>
      </c>
      <c r="IF51" s="4">
        <v>2.1815988751911002</v>
      </c>
      <c r="IG51" s="4">
        <v>2.200746658420345</v>
      </c>
      <c r="IH51" s="4">
        <v>2.2203692591354129</v>
      </c>
      <c r="II51" s="4">
        <v>2.240483863354449</v>
      </c>
      <c r="IJ51" s="4">
        <v>2.2611491582035228</v>
      </c>
      <c r="IK51" s="4">
        <v>2.282470699090124</v>
      </c>
      <c r="IL51" s="4">
        <v>2.3046104154968501</v>
      </c>
      <c r="IM51" s="4">
        <v>2.3277693238069559</v>
      </c>
    </row>
    <row r="52" spans="2:247" x14ac:dyDescent="0.35">
      <c r="B52" s="58">
        <v>0.36</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v>-2.3112181583567648</v>
      </c>
      <c r="DW52" s="4">
        <v>-2.2626895243822731</v>
      </c>
      <c r="DX52" s="4">
        <v>-2.2140922013119182</v>
      </c>
      <c r="DY52" s="4">
        <v>-2.1654410907148911</v>
      </c>
      <c r="DZ52" s="4">
        <v>-2.1167539228891372</v>
      </c>
      <c r="EA52" s="4">
        <v>-2.0680516656821371</v>
      </c>
      <c r="EB52" s="4">
        <v>-2.019358980366146</v>
      </c>
      <c r="EC52" s="4">
        <v>-1.970704724863563</v>
      </c>
      <c r="ED52" s="4">
        <v>-1.922122501111224</v>
      </c>
      <c r="EE52" s="4">
        <v>-1.8736512372921501</v>
      </c>
      <c r="EF52" s="4">
        <v>-1.825335785535728</v>
      </c>
      <c r="EG52" s="4">
        <v>-1.77722749926021</v>
      </c>
      <c r="EH52" s="4">
        <v>-1.7293847285412629</v>
      </c>
      <c r="EI52" s="4">
        <v>-1.6818731330889971</v>
      </c>
      <c r="EJ52" s="4">
        <v>-1.634765657596928</v>
      </c>
      <c r="EK52" s="4">
        <v>-1.5881419443956279</v>
      </c>
      <c r="EL52" s="4">
        <v>-1.542086885577475</v>
      </c>
      <c r="EM52" s="4">
        <v>-1.496687975426312</v>
      </c>
      <c r="EN52" s="4">
        <v>-1.4520311810151181</v>
      </c>
      <c r="EO52" s="4">
        <v>-1.408195295140283</v>
      </c>
      <c r="EP52" s="4">
        <v>-1.365245228667159</v>
      </c>
      <c r="EQ52" s="4">
        <v>-1.3232253480459659</v>
      </c>
      <c r="ER52" s="4">
        <v>-1.282154444707065</v>
      </c>
      <c r="ES52" s="4">
        <v>-1.2420238078088359</v>
      </c>
      <c r="ET52" s="4">
        <v>-1.202799008288193</v>
      </c>
      <c r="EU52" s="4">
        <v>-1.164424790893225</v>
      </c>
      <c r="EV52" s="4">
        <v>-1.126831607763058</v>
      </c>
      <c r="EW52" s="4">
        <v>-1.0899422126953111</v>
      </c>
      <c r="EX52" s="4">
        <v>-1.0536772173677931</v>
      </c>
      <c r="EY52" s="4">
        <v>-1.0179591608769689</v>
      </c>
      <c r="EZ52" s="4">
        <v>-0.98271513812754985</v>
      </c>
      <c r="FA52" s="4">
        <v>-0.94787827901945021</v>
      </c>
      <c r="FB52" s="4">
        <v>-0.91338842383892849</v>
      </c>
      <c r="FC52" s="4">
        <v>-0.87919228573818597</v>
      </c>
      <c r="FD52" s="4">
        <v>-0.84524328246520342</v>
      </c>
      <c r="FE52" s="4">
        <v>-0.81150106515500187</v>
      </c>
      <c r="FF52" s="4">
        <v>-0.77793054627181024</v>
      </c>
      <c r="FG52" s="4">
        <v>-0.74449992508957519</v>
      </c>
      <c r="FH52" s="4">
        <v>-0.71117700946018014</v>
      </c>
      <c r="FI52" s="4">
        <v>-0.67792364172219322</v>
      </c>
      <c r="FJ52" s="4">
        <v>-0.64468982019160959</v>
      </c>
      <c r="FK52" s="4">
        <v>-0.6114108110708647</v>
      </c>
      <c r="FL52" s="4">
        <v>-0.57800912636141155</v>
      </c>
      <c r="FM52" s="4">
        <v>-0.54439946745616274</v>
      </c>
      <c r="FN52" s="4">
        <v>-0.51049331489821648</v>
      </c>
      <c r="FO52" s="4">
        <v>-0.47620154847780388</v>
      </c>
      <c r="FP52" s="4">
        <v>-0.44143526622446178</v>
      </c>
      <c r="FQ52" s="4">
        <v>-0.40610548140378139</v>
      </c>
      <c r="FR52" s="4">
        <v>-0.3701221783959574</v>
      </c>
      <c r="FS52" s="4">
        <v>-0.33339290246836167</v>
      </c>
      <c r="FT52" s="4">
        <v>-0.29582081552003808</v>
      </c>
      <c r="FU52" s="4">
        <v>-0.2573019310269542</v>
      </c>
      <c r="FV52" s="4">
        <v>-0.21772093621958979</v>
      </c>
      <c r="FW52" s="4">
        <v>-0.17694440803170999</v>
      </c>
      <c r="FX52" s="4">
        <v>-0.1348088081887715</v>
      </c>
      <c r="FY52" s="4">
        <v>-9.1096936757916858E-2</v>
      </c>
      <c r="FZ52" s="4">
        <v>-4.548833154390941E-2</v>
      </c>
      <c r="GA52" s="4">
        <v>2.499358869414436E-3</v>
      </c>
      <c r="GB52" s="4">
        <v>5.3182498967892837E-2</v>
      </c>
      <c r="GC52" s="4">
        <v>0.1061484120860379</v>
      </c>
      <c r="GD52" s="4">
        <v>0.16081850969198411</v>
      </c>
      <c r="GE52" s="4">
        <v>0.21677623385091579</v>
      </c>
      <c r="GF52" s="4">
        <v>0.27370847776015189</v>
      </c>
      <c r="GG52" s="4">
        <v>0.33135600084182482</v>
      </c>
      <c r="GH52" s="4">
        <v>0.38948984802285791</v>
      </c>
      <c r="GI52" s="4">
        <v>0.44789923356451622</v>
      </c>
      <c r="GJ52" s="4">
        <v>0.50638452647324961</v>
      </c>
      <c r="GK52" s="4">
        <v>0.56475265327441715</v>
      </c>
      <c r="GL52" s="4">
        <v>0.62281360389740525</v>
      </c>
      <c r="GM52" s="4">
        <v>0.68037722654354482</v>
      </c>
      <c r="GN52" s="4">
        <v>0.73724959005312396</v>
      </c>
      <c r="GO52" s="4">
        <v>0.79322793647236756</v>
      </c>
      <c r="GP52" s="4">
        <v>0.84809234264783973</v>
      </c>
      <c r="GQ52" s="4">
        <v>0.90158940387544773</v>
      </c>
      <c r="GR52" s="4">
        <v>0.95339387304896661</v>
      </c>
      <c r="GS52" s="4">
        <v>1.003028309842799</v>
      </c>
      <c r="GT52" s="4">
        <v>1.050094072001553</v>
      </c>
      <c r="GU52" s="4">
        <v>1.0948631633238159</v>
      </c>
      <c r="GV52" s="4">
        <v>1.137686103992307</v>
      </c>
      <c r="GW52" s="4">
        <v>1.178760631419689</v>
      </c>
      <c r="GX52" s="4">
        <v>1.2182116880691991</v>
      </c>
      <c r="GY52" s="4">
        <v>1.25612932916003</v>
      </c>
      <c r="GZ52" s="4">
        <v>1.2925844501477699</v>
      </c>
      <c r="HA52" s="4">
        <v>1.327636337580711</v>
      </c>
      <c r="HB52" s="4">
        <v>1.36133663874958</v>
      </c>
      <c r="HC52" s="4">
        <v>1.3937314914213459</v>
      </c>
      <c r="HD52" s="4">
        <v>1.4248625657809231</v>
      </c>
      <c r="HE52" s="4">
        <v>1.4547673554390119</v>
      </c>
      <c r="HF52" s="4">
        <v>1.4834788267949159</v>
      </c>
      <c r="HG52" s="4">
        <v>1.5110243345684291</v>
      </c>
      <c r="HH52" s="4">
        <v>1.5374233797429551</v>
      </c>
      <c r="HI52" s="4">
        <v>1.5626829304004239</v>
      </c>
      <c r="HJ52" s="4">
        <v>1.5867862737806939</v>
      </c>
      <c r="HK52" s="4">
        <v>1.609669642268488</v>
      </c>
      <c r="HL52" s="4">
        <v>1.631289393147394</v>
      </c>
      <c r="HM52" s="4">
        <v>1.6517941648594801</v>
      </c>
      <c r="HN52" s="4">
        <v>1.671352794505752</v>
      </c>
      <c r="HO52" s="4">
        <v>1.690087237649057</v>
      </c>
      <c r="HP52" s="4">
        <v>1.7080960962435929</v>
      </c>
      <c r="HQ52" s="4">
        <v>1.7254660094038019</v>
      </c>
      <c r="HR52" s="4">
        <v>1.7422767091431921</v>
      </c>
      <c r="HS52" s="4">
        <v>1.758603834215209</v>
      </c>
      <c r="HT52" s="4">
        <v>1.774520869893621</v>
      </c>
      <c r="HU52" s="4">
        <v>1.7901007702990239</v>
      </c>
      <c r="HV52" s="4">
        <v>1.8054175655913991</v>
      </c>
      <c r="HW52" s="4">
        <v>1.820548197473864</v>
      </c>
      <c r="HX52" s="4">
        <v>1.835574883273781</v>
      </c>
      <c r="HY52" s="4">
        <v>1.850588519309124</v>
      </c>
      <c r="HZ52" s="4">
        <v>1.8656942051164009</v>
      </c>
      <c r="IA52" s="4">
        <v>1.88102165733254</v>
      </c>
      <c r="IB52" s="4">
        <v>1.8967488612626171</v>
      </c>
      <c r="IC52" s="4">
        <v>1.9131508070631531</v>
      </c>
      <c r="ID52" s="4">
        <v>1.930463810145969</v>
      </c>
      <c r="IE52" s="4">
        <v>1.9485360877807849</v>
      </c>
      <c r="IF52" s="4">
        <v>1.967180734856514</v>
      </c>
      <c r="IG52" s="4">
        <v>1.986315098611281</v>
      </c>
      <c r="IH52" s="4">
        <v>2.0059161214708578</v>
      </c>
      <c r="II52" s="4">
        <v>2.0260016810563868</v>
      </c>
      <c r="IJ52" s="4">
        <v>2.0466273745259729</v>
      </c>
      <c r="IK52" s="4">
        <v>2.0678939129164888</v>
      </c>
      <c r="IL52" s="4">
        <v>2.0899730957932801</v>
      </c>
      <c r="IM52" s="4">
        <v>2.1131665678791061</v>
      </c>
    </row>
    <row r="53" spans="2:247" x14ac:dyDescent="0.35">
      <c r="B53" s="58">
        <v>0.37</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v>-2.491376509578481</v>
      </c>
      <c r="DW53" s="4">
        <v>-2.4429310871599492</v>
      </c>
      <c r="DX53" s="4">
        <v>-2.3944358470250249</v>
      </c>
      <c r="DY53" s="4">
        <v>-2.345907165368355</v>
      </c>
      <c r="DZ53" s="4">
        <v>-2.297364253082959</v>
      </c>
      <c r="EA53" s="4">
        <v>-2.2488295274419419</v>
      </c>
      <c r="EB53" s="4">
        <v>-2.2003290165472502</v>
      </c>
      <c r="EC53" s="4">
        <v>-2.1518927923495408</v>
      </c>
      <c r="ED53" s="4">
        <v>-2.1035554233573501</v>
      </c>
      <c r="EE53" s="4">
        <v>-2.0553564308754151</v>
      </c>
      <c r="EF53" s="4">
        <v>-2.0073407215810448</v>
      </c>
      <c r="EG53" s="4">
        <v>-1.95955895299961</v>
      </c>
      <c r="EH53" s="4">
        <v>-1.9120677654101921</v>
      </c>
      <c r="EI53" s="4">
        <v>-1.8649297828560669</v>
      </c>
      <c r="EJ53" s="4">
        <v>-1.8182132481752371</v>
      </c>
      <c r="EK53" s="4">
        <v>-1.771991117908233</v>
      </c>
      <c r="EL53" s="4">
        <v>-1.726339416940081</v>
      </c>
      <c r="EM53" s="4">
        <v>-1.681334666869249</v>
      </c>
      <c r="EN53" s="4">
        <v>-1.6370502951535351</v>
      </c>
      <c r="EO53" s="4">
        <v>-1.593552139680934</v>
      </c>
      <c r="EP53" s="4">
        <v>-1.550893482260751</v>
      </c>
      <c r="EQ53" s="4">
        <v>-1.5091103880050429</v>
      </c>
      <c r="ER53" s="4">
        <v>-1.4682183194790981</v>
      </c>
      <c r="ES53" s="4">
        <v>-1.428210855247495</v>
      </c>
      <c r="ET53" s="4">
        <v>-1.389060843369494</v>
      </c>
      <c r="EU53" s="4">
        <v>-1.35072366352054</v>
      </c>
      <c r="EV53" s="4">
        <v>-1.313141772529133</v>
      </c>
      <c r="EW53" s="4">
        <v>-1.276249569174253</v>
      </c>
      <c r="EX53" s="4">
        <v>-1.239977806264553</v>
      </c>
      <c r="EY53" s="4">
        <v>-1.204257121369231</v>
      </c>
      <c r="EZ53" s="4">
        <v>-1.169020575159287</v>
      </c>
      <c r="FA53" s="4">
        <v>-1.134205290032952</v>
      </c>
      <c r="FB53" s="4">
        <v>-1.0997533653447411</v>
      </c>
      <c r="FC53" s="4">
        <v>-1.065612239440453</v>
      </c>
      <c r="FD53" s="4">
        <v>-1.031734603066812</v>
      </c>
      <c r="FE53" s="4">
        <v>-0.99807786068763393</v>
      </c>
      <c r="FF53" s="4">
        <v>-0.96460300072970595</v>
      </c>
      <c r="FG53" s="4">
        <v>-0.9312726248307075</v>
      </c>
      <c r="FH53" s="4">
        <v>-0.89804794697333667</v>
      </c>
      <c r="FI53" s="4">
        <v>-0.86488502126629996</v>
      </c>
      <c r="FJ53" s="4">
        <v>-0.83173125549487237</v>
      </c>
      <c r="FK53" s="4">
        <v>-0.79852370874658218</v>
      </c>
      <c r="FL53" s="4">
        <v>-0.76518991306472683</v>
      </c>
      <c r="FM53" s="4">
        <v>-0.73165045932916239</v>
      </c>
      <c r="FN53" s="4">
        <v>-0.69782182933945558</v>
      </c>
      <c r="FO53" s="4">
        <v>-0.66361839746416074</v>
      </c>
      <c r="FP53" s="4">
        <v>-0.62895332360273981</v>
      </c>
      <c r="FQ53" s="4">
        <v>-0.59373850599924127</v>
      </c>
      <c r="FR53" s="4">
        <v>-0.55788381846887303</v>
      </c>
      <c r="FS53" s="4">
        <v>-0.52129573064003587</v>
      </c>
      <c r="FT53" s="4">
        <v>-0.48387523410888228</v>
      </c>
      <c r="FU53" s="4">
        <v>-0.44551479204012168</v>
      </c>
      <c r="FV53" s="4">
        <v>-0.40609374798169462</v>
      </c>
      <c r="FW53" s="4">
        <v>-0.36547119498538461</v>
      </c>
      <c r="FX53" s="4">
        <v>-0.32347475023544708</v>
      </c>
      <c r="FY53" s="4">
        <v>-0.27988414445505899</v>
      </c>
      <c r="FZ53" s="4">
        <v>-0.23441789687931219</v>
      </c>
      <c r="GA53" s="4">
        <v>-0.18677693042826471</v>
      </c>
      <c r="GB53" s="4">
        <v>-0.1368386494395977</v>
      </c>
      <c r="GC53" s="4">
        <v>-8.4818309998075936E-2</v>
      </c>
      <c r="GD53" s="4">
        <v>-3.110757175091949E-2</v>
      </c>
      <c r="GE53" s="4">
        <v>2.3919648480050348E-2</v>
      </c>
      <c r="GF53" s="4">
        <v>7.9950840755827368E-2</v>
      </c>
      <c r="GG53" s="4">
        <v>0.1367215924889349</v>
      </c>
      <c r="GH53" s="4">
        <v>0.19399914088861611</v>
      </c>
      <c r="GI53" s="4">
        <v>0.25157102981101298</v>
      </c>
      <c r="GJ53" s="4">
        <v>0.30923773603060001</v>
      </c>
      <c r="GK53" s="4">
        <v>0.36680763804708327</v>
      </c>
      <c r="GL53" s="4">
        <v>0.42409320610467832</v>
      </c>
      <c r="GM53" s="4">
        <v>0.480907632502797</v>
      </c>
      <c r="GN53" s="4">
        <v>0.53706121941301532</v>
      </c>
      <c r="GO53" s="4">
        <v>0.59235667052170005</v>
      </c>
      <c r="GP53" s="4">
        <v>0.64658176902744025</v>
      </c>
      <c r="GQ53" s="4">
        <v>0.69949583303618601</v>
      </c>
      <c r="GR53" s="4">
        <v>0.75079812949067515</v>
      </c>
      <c r="GS53" s="4">
        <v>0.79999999999999893</v>
      </c>
      <c r="GT53" s="4">
        <v>0.84630031892246427</v>
      </c>
      <c r="GU53" s="4">
        <v>0.89037547689938235</v>
      </c>
      <c r="GV53" s="4">
        <v>0.93258907122356804</v>
      </c>
      <c r="GW53" s="4">
        <v>0.973116092918628</v>
      </c>
      <c r="GX53" s="4">
        <v>1.0120703855322191</v>
      </c>
      <c r="GY53" s="4">
        <v>1.0495357167958641</v>
      </c>
      <c r="GZ53" s="4">
        <v>1.085578659624344</v>
      </c>
      <c r="HA53" s="4">
        <v>1.1202550319718081</v>
      </c>
      <c r="HB53" s="4">
        <v>1.1536134037799819</v>
      </c>
      <c r="HC53" s="4">
        <v>1.18569703555922</v>
      </c>
      <c r="HD53" s="4">
        <v>1.2165448600372919</v>
      </c>
      <c r="HE53" s="4">
        <v>1.246191789932519</v>
      </c>
      <c r="HF53" s="4">
        <v>1.2746684493098539</v>
      </c>
      <c r="HG53" s="4">
        <v>1.302000262661998</v>
      </c>
      <c r="HH53" s="4">
        <v>1.328205579039454</v>
      </c>
      <c r="HI53" s="4">
        <v>1.3532918625442989</v>
      </c>
      <c r="HJ53" s="4">
        <v>1.3772465694832201</v>
      </c>
      <c r="HK53" s="4">
        <v>1.399999999999999</v>
      </c>
      <c r="HL53" s="4">
        <v>1.421389124726713</v>
      </c>
      <c r="HM53" s="4">
        <v>1.441678180277586</v>
      </c>
      <c r="HN53" s="4">
        <v>1.4610381733569719</v>
      </c>
      <c r="HO53" s="4">
        <v>1.479583179358549</v>
      </c>
      <c r="HP53" s="4">
        <v>1.4974076698046219</v>
      </c>
      <c r="HQ53" s="4">
        <v>1.514595901709378</v>
      </c>
      <c r="HR53" s="4">
        <v>1.5312261239798211</v>
      </c>
      <c r="HS53" s="4">
        <v>1.5473730384435069</v>
      </c>
      <c r="HT53" s="4">
        <v>1.5631095659559471</v>
      </c>
      <c r="HU53" s="4">
        <v>1.5785083610703949</v>
      </c>
      <c r="HV53" s="4">
        <v>1.5936433284191689</v>
      </c>
      <c r="HW53" s="4">
        <v>1.608591350400314</v>
      </c>
      <c r="HX53" s="4">
        <v>1.623434482033344</v>
      </c>
      <c r="HY53" s="4">
        <v>1.638263033124181</v>
      </c>
      <c r="HZ53" s="4">
        <v>1.653180390124307</v>
      </c>
      <c r="IA53" s="4">
        <v>1.668311695244574</v>
      </c>
      <c r="IB53" s="4">
        <v>1.683823385740123</v>
      </c>
      <c r="IC53" s="4">
        <v>1.699999999999998</v>
      </c>
      <c r="ID53" s="4">
        <v>1.7173191890640691</v>
      </c>
      <c r="IE53" s="4">
        <v>1.7353916053452301</v>
      </c>
      <c r="IF53" s="4">
        <v>1.754024170965343</v>
      </c>
      <c r="IG53" s="4">
        <v>1.7731483544166089</v>
      </c>
      <c r="IH53" s="4">
        <v>1.792746998812824</v>
      </c>
      <c r="II53" s="4">
        <v>1.8128392089209251</v>
      </c>
      <c r="IJ53" s="4">
        <v>1.8334779185519781</v>
      </c>
      <c r="IK53" s="4">
        <v>1.854755825414625</v>
      </c>
      <c r="IL53" s="4">
        <v>1.87682657954517</v>
      </c>
      <c r="IM53" s="4">
        <v>1.9000000000000019</v>
      </c>
    </row>
    <row r="54" spans="2:247" x14ac:dyDescent="0.35">
      <c r="B54" s="58">
        <v>0.38</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v>-2.6721737866773081</v>
      </c>
      <c r="DW54" s="4">
        <v>-2.623833586096437</v>
      </c>
      <c r="DX54" s="4">
        <v>-2.575462359132783</v>
      </c>
      <c r="DY54" s="4">
        <v>-2.527077743846752</v>
      </c>
      <c r="DZ54" s="4">
        <v>-2.4787001738513732</v>
      </c>
      <c r="EA54" s="4">
        <v>-2.4303532064315401</v>
      </c>
      <c r="EB54" s="4">
        <v>-2.3820638693160321</v>
      </c>
      <c r="EC54" s="4">
        <v>-2.3338630182929121</v>
      </c>
      <c r="ED54" s="4">
        <v>-2.2857856926431648</v>
      </c>
      <c r="EE54" s="4">
        <v>-2.2378714478684452</v>
      </c>
      <c r="EF54" s="4">
        <v>-2.190164634681512</v>
      </c>
      <c r="EG54" s="4">
        <v>-2.14271457902217</v>
      </c>
      <c r="EH54" s="4">
        <v>-2.095575599608194</v>
      </c>
      <c r="EI54" s="4">
        <v>-2.048806777890035</v>
      </c>
      <c r="EJ54" s="4">
        <v>-2.0024713730443779</v>
      </c>
      <c r="EK54" s="4">
        <v>-1.956635758362576</v>
      </c>
      <c r="EL54" s="4">
        <v>-1.911367756997123</v>
      </c>
      <c r="EM54" s="4">
        <v>-1.866734291968098</v>
      </c>
      <c r="EN54" s="4">
        <v>-1.8227983564223471</v>
      </c>
      <c r="EO54" s="4">
        <v>-1.7796154640744151</v>
      </c>
      <c r="EP54" s="4">
        <v>-1.7372299371480331</v>
      </c>
      <c r="EQ54" s="4">
        <v>-1.6956715686715249</v>
      </c>
      <c r="ER54" s="4">
        <v>-1.654953265132207</v>
      </c>
      <c r="ES54" s="4">
        <v>-1.615070158440455</v>
      </c>
      <c r="ET54" s="4">
        <v>-1.5760003768085811</v>
      </c>
      <c r="EU54" s="4">
        <v>-1.5377072882879279</v>
      </c>
      <c r="EV54" s="4">
        <v>-1.500142731309734</v>
      </c>
      <c r="EW54" s="4">
        <v>-1.463250629315165</v>
      </c>
      <c r="EX54" s="4">
        <v>-1.426970455114223</v>
      </c>
      <c r="EY54" s="4">
        <v>-1.391240188700416</v>
      </c>
      <c r="EZ54" s="4">
        <v>-1.3559986065158589</v>
      </c>
      <c r="FA54" s="4">
        <v>-1.3211868878964279</v>
      </c>
      <c r="FB54" s="4">
        <v>-1.286749604002146</v>
      </c>
      <c r="FC54" s="4">
        <v>-1.2526351715769379</v>
      </c>
      <c r="FD54" s="4">
        <v>-1.218795824287455</v>
      </c>
      <c r="FE54" s="4">
        <v>-1.185187096718586</v>
      </c>
      <c r="FF54" s="4">
        <v>-1.151766756803392</v>
      </c>
      <c r="FG54" s="4">
        <v>-1.1184931102129461</v>
      </c>
      <c r="FH54" s="4">
        <v>-1.0853227092236171</v>
      </c>
      <c r="FI54" s="4">
        <v>-1.052207775239355</v>
      </c>
      <c r="FJ54" s="4">
        <v>-1.0190939802184289</v>
      </c>
      <c r="FK54" s="4">
        <v>-0.98591931686730416</v>
      </c>
      <c r="FL54" s="4">
        <v>-0.952614383509234</v>
      </c>
      <c r="FM54" s="4">
        <v>-0.91910374190336985</v>
      </c>
      <c r="FN54" s="4">
        <v>-0.88530760235621231</v>
      </c>
      <c r="FO54" s="4">
        <v>-0.85114317493733815</v>
      </c>
      <c r="FP54" s="4">
        <v>-0.81652536085195293</v>
      </c>
      <c r="FQ54" s="4">
        <v>-0.78136673194603046</v>
      </c>
      <c r="FR54" s="4">
        <v>-0.74557684811937119</v>
      </c>
      <c r="FS54" s="4">
        <v>-0.70906093374879364</v>
      </c>
      <c r="FT54" s="4">
        <v>-0.67171784178928085</v>
      </c>
      <c r="FU54" s="4">
        <v>-0.63343711968153982</v>
      </c>
      <c r="FV54" s="4">
        <v>-0.59409489412681737</v>
      </c>
      <c r="FW54" s="4">
        <v>-0.55354834600962177</v>
      </c>
      <c r="FX54" s="4">
        <v>-0.51162927451922191</v>
      </c>
      <c r="FY54" s="4">
        <v>-0.468140352362995</v>
      </c>
      <c r="FZ54" s="4">
        <v>-0.42286673681846132</v>
      </c>
      <c r="GA54" s="4">
        <v>-0.37562835425273278</v>
      </c>
      <c r="GB54" s="4">
        <v>-0.32637606903440641</v>
      </c>
      <c r="GC54" s="4">
        <v>-0.27524848229293708</v>
      </c>
      <c r="GD54" s="4">
        <v>-0.22251507151428959</v>
      </c>
      <c r="GE54" s="4">
        <v>-0.16847997123098549</v>
      </c>
      <c r="GF54" s="4">
        <v>-0.113429662279096</v>
      </c>
      <c r="GG54" s="4">
        <v>-5.7621375365224381E-2</v>
      </c>
      <c r="GH54" s="4">
        <v>-1.286914673651385E-3</v>
      </c>
      <c r="GI54" s="4">
        <v>5.5360728511627773E-2</v>
      </c>
      <c r="GJ54" s="4">
        <v>0.11212152009484511</v>
      </c>
      <c r="GK54" s="4">
        <v>0.16880369728767519</v>
      </c>
      <c r="GL54" s="4">
        <v>0.22521987801141791</v>
      </c>
      <c r="GM54" s="4">
        <v>0.28118342915049072</v>
      </c>
      <c r="GN54" s="4">
        <v>0.33650444683797792</v>
      </c>
      <c r="GO54" s="4">
        <v>0.3909843851716075</v>
      </c>
      <c r="GP54" s="4">
        <v>0.44440744926425818</v>
      </c>
      <c r="GQ54" s="4">
        <v>0.49652405965075141</v>
      </c>
      <c r="GR54" s="4">
        <v>0.54701231610788303</v>
      </c>
      <c r="GS54" s="4">
        <v>0.59539751126413609</v>
      </c>
      <c r="GT54" s="4">
        <v>0.64128302287548067</v>
      </c>
      <c r="GU54" s="4">
        <v>0.68494209669238382</v>
      </c>
      <c r="GV54" s="4">
        <v>0.72672568307126406</v>
      </c>
      <c r="GW54" s="4">
        <v>0.76683113290732052</v>
      </c>
      <c r="GX54" s="4">
        <v>0.80538220651696379</v>
      </c>
      <c r="GY54" s="4">
        <v>0.84246702526124606</v>
      </c>
      <c r="GZ54" s="4">
        <v>0.8781538624158487</v>
      </c>
      <c r="HA54" s="4">
        <v>0.91249877330878659</v>
      </c>
      <c r="HB54" s="4">
        <v>0.94554965646672207</v>
      </c>
      <c r="HC54" s="4">
        <v>0.9773484833929591</v>
      </c>
      <c r="HD54" s="4">
        <v>1.00793244554559</v>
      </c>
      <c r="HE54" s="4">
        <v>1.0373343520201359</v>
      </c>
      <c r="HF54" s="4">
        <v>1.0655823841485821</v>
      </c>
      <c r="HG54" s="4">
        <v>1.092699112089029</v>
      </c>
      <c r="HH54" s="4">
        <v>1.1186993472947371</v>
      </c>
      <c r="HI54" s="4">
        <v>1.143585549417818</v>
      </c>
      <c r="HJ54" s="4">
        <v>1.1673367545176281</v>
      </c>
      <c r="HK54" s="4">
        <v>1.189885266306268</v>
      </c>
      <c r="HL54" s="4">
        <v>1.2111838898084459</v>
      </c>
      <c r="HM54" s="4">
        <v>1.231378130225361</v>
      </c>
      <c r="HN54" s="4">
        <v>1.250634142282548</v>
      </c>
      <c r="HO54" s="4">
        <v>1.269071672120937</v>
      </c>
      <c r="HP54" s="4">
        <v>1.286787598936904</v>
      </c>
      <c r="HQ54" s="4">
        <v>1.3038673327553949</v>
      </c>
      <c r="HR54" s="4">
        <v>1.3203898723116541</v>
      </c>
      <c r="HS54" s="4">
        <v>1.336430618054731</v>
      </c>
      <c r="HT54" s="4">
        <v>1.352063309865839</v>
      </c>
      <c r="HU54" s="4">
        <v>1.367361647535934</v>
      </c>
      <c r="HV54" s="4">
        <v>1.382400897193214</v>
      </c>
      <c r="HW54" s="4">
        <v>1.39725972709479</v>
      </c>
      <c r="HX54" s="4">
        <v>1.4120225716578521</v>
      </c>
      <c r="HY54" s="4">
        <v>1.4267830310821401</v>
      </c>
      <c r="HZ54" s="4">
        <v>1.441649382116287</v>
      </c>
      <c r="IA54" s="4">
        <v>1.456754959451894</v>
      </c>
      <c r="IB54" s="4">
        <v>1.4722817430925741</v>
      </c>
      <c r="IC54" s="4">
        <v>1.488508983740932</v>
      </c>
      <c r="ID54" s="4">
        <v>1.505677352078155</v>
      </c>
      <c r="IE54" s="4">
        <v>1.5236392774251999</v>
      </c>
      <c r="IF54" s="4">
        <v>1.542211627454408</v>
      </c>
      <c r="IG54" s="4">
        <v>1.561314759218112</v>
      </c>
      <c r="IH54" s="4">
        <v>1.580927562634074</v>
      </c>
      <c r="II54" s="4">
        <v>1.6010685877206661</v>
      </c>
      <c r="IJ54" s="4">
        <v>1.6217927542833019</v>
      </c>
      <c r="IK54" s="4">
        <v>1.643198829438949</v>
      </c>
      <c r="IL54" s="4">
        <v>1.6654556222584009</v>
      </c>
      <c r="IM54" s="4">
        <v>1.688861044442783</v>
      </c>
    </row>
    <row r="55" spans="2:247" x14ac:dyDescent="0.35">
      <c r="B55" s="58">
        <v>0.39</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v>-2.8535957063315571</v>
      </c>
      <c r="DW55" s="4">
        <v>-2.8053800830011051</v>
      </c>
      <c r="DX55" s="4">
        <v>-2.757151878230959</v>
      </c>
      <c r="DY55" s="4">
        <v>-2.7089297683075282</v>
      </c>
      <c r="DZ55" s="4">
        <v>-2.660735146052791</v>
      </c>
      <c r="EA55" s="4">
        <v>-2.6125924016995601</v>
      </c>
      <c r="EB55" s="4">
        <v>-2.5645292094328371</v>
      </c>
      <c r="EC55" s="4">
        <v>-2.5165768092473342</v>
      </c>
      <c r="ED55" s="4">
        <v>-2.4687702685953381</v>
      </c>
      <c r="EE55" s="4">
        <v>-2.421148701333879</v>
      </c>
      <c r="EF55" s="4">
        <v>-2.3737554124134039</v>
      </c>
      <c r="EG55" s="4">
        <v>-2.3266379254843601</v>
      </c>
      <c r="EH55" s="4">
        <v>-2.2798478375757449</v>
      </c>
      <c r="EI55" s="4">
        <v>-2.2334404316945839</v>
      </c>
      <c r="EJ55" s="4">
        <v>-2.1874739678224899</v>
      </c>
      <c r="EK55" s="4">
        <v>-2.142008570992453</v>
      </c>
      <c r="EL55" s="4">
        <v>-2.0971046502248418</v>
      </c>
      <c r="EM55" s="4">
        <v>-2.05282082381395</v>
      </c>
      <c r="EN55" s="4">
        <v>-2.0092114020386518</v>
      </c>
      <c r="EO55" s="4">
        <v>-1.9663235856461769</v>
      </c>
      <c r="EP55" s="4">
        <v>-1.924194658003151</v>
      </c>
      <c r="EQ55" s="4">
        <v>-1.8828495415449309</v>
      </c>
      <c r="ER55" s="4">
        <v>-1.8422991070274211</v>
      </c>
      <c r="ES55" s="4">
        <v>-1.802539535050302</v>
      </c>
      <c r="ET55" s="4">
        <v>-1.7635528434979439</v>
      </c>
      <c r="EU55" s="4">
        <v>-1.7253084694134191</v>
      </c>
      <c r="EV55" s="4">
        <v>-1.687765607744689</v>
      </c>
      <c r="EW55" s="4">
        <v>-1.6508759197456071</v>
      </c>
      <c r="EX55" s="4">
        <v>-1.6145862404532541</v>
      </c>
      <c r="EY55" s="4">
        <v>-1.5788410051162389</v>
      </c>
      <c r="EZ55" s="4">
        <v>-1.5435842299782041</v>
      </c>
      <c r="FA55" s="4">
        <v>-1.5087609833705959</v>
      </c>
      <c r="FB55" s="4">
        <v>-1.47431834803019</v>
      </c>
      <c r="FC55" s="4">
        <v>-1.4402059018406259</v>
      </c>
      <c r="FD55" s="4">
        <v>-1.4063757398026611</v>
      </c>
      <c r="FE55" s="4">
        <v>-1.372782040013935</v>
      </c>
      <c r="FF55" s="4">
        <v>-1.3393801632371121</v>
      </c>
      <c r="FG55" s="4">
        <v>-1.3061252998460811</v>
      </c>
      <c r="FH55" s="4">
        <v>-1.272970768299462</v>
      </c>
      <c r="FI55" s="4">
        <v>-1.2398662207722451</v>
      </c>
      <c r="FJ55" s="4">
        <v>-1.206756147110106</v>
      </c>
      <c r="FK55" s="4">
        <v>-1.173579057462685</v>
      </c>
      <c r="FL55" s="4">
        <v>-1.140267501107586</v>
      </c>
      <c r="FM55" s="4">
        <v>-1.1067487522380699</v>
      </c>
      <c r="FN55" s="4">
        <v>-1.0729457707447889</v>
      </c>
      <c r="FO55" s="4">
        <v>-1.0387780352833369</v>
      </c>
      <c r="FP55" s="4">
        <v>-1.004161981184539</v>
      </c>
      <c r="FQ55" s="4">
        <v>-0.96901092612445994</v>
      </c>
      <c r="FR55" s="4">
        <v>-0.93323445430583374</v>
      </c>
      <c r="FS55" s="4">
        <v>-0.89673725058010301</v>
      </c>
      <c r="FT55" s="4">
        <v>-0.85941736312863282</v>
      </c>
      <c r="FU55" s="4">
        <v>-0.82116387811305569</v>
      </c>
      <c r="FV55" s="4">
        <v>-0.78185410079335749</v>
      </c>
      <c r="FW55" s="4">
        <v>-0.74135075356926206</v>
      </c>
      <c r="FX55" s="4">
        <v>-0.69950085301774201</v>
      </c>
      <c r="FY55" s="4">
        <v>-0.65614045368294627</v>
      </c>
      <c r="FZ55" s="4">
        <v>-0.6111129779808413</v>
      </c>
      <c r="GA55" s="4">
        <v>-0.56430784407559398</v>
      </c>
      <c r="GB55" s="4">
        <v>-0.51570915267230411</v>
      </c>
      <c r="GC55" s="4">
        <v>-0.46541954261968083</v>
      </c>
      <c r="GD55" s="4">
        <v>-0.41363630688526271</v>
      </c>
      <c r="GE55" s="4">
        <v>-0.36060269175691378</v>
      </c>
      <c r="GF55" s="4">
        <v>-0.30656928588912358</v>
      </c>
      <c r="GG55" s="4">
        <v>-0.25177575940350172</v>
      </c>
      <c r="GH55" s="4">
        <v>-0.19644627057094291</v>
      </c>
      <c r="GI55" s="4">
        <v>-0.1407908638762296</v>
      </c>
      <c r="GJ55" s="4">
        <v>-8.5008737737848783E-2</v>
      </c>
      <c r="GK55" s="4">
        <v>-2.9291824174531019E-2</v>
      </c>
      <c r="GL55" s="4">
        <v>2.6171660139842508E-2</v>
      </c>
      <c r="GM55" s="4">
        <v>8.1193501175615523E-2</v>
      </c>
      <c r="GN55" s="4">
        <v>0.13558110492840039</v>
      </c>
      <c r="GO55" s="4">
        <v>0.18913155246959959</v>
      </c>
      <c r="GP55" s="4">
        <v>0.2416225544200907</v>
      </c>
      <c r="GQ55" s="4">
        <v>0.29279811910822628</v>
      </c>
      <c r="GR55" s="4">
        <v>0.34235091322234679</v>
      </c>
      <c r="GS55" s="4">
        <v>0.38994096795707511</v>
      </c>
      <c r="GT55" s="4">
        <v>0.43536060039259361</v>
      </c>
      <c r="GU55" s="4">
        <v>0.47869507010656781</v>
      </c>
      <c r="GV55" s="4">
        <v>0.52016148860793177</v>
      </c>
      <c r="GW55" s="4">
        <v>0.55994343167624638</v>
      </c>
      <c r="GX55" s="4">
        <v>0.59817169943548265</v>
      </c>
      <c r="GY55" s="4">
        <v>0.63494131323967551</v>
      </c>
      <c r="GZ55" s="4">
        <v>0.67032504536221271</v>
      </c>
      <c r="HA55" s="4">
        <v>0.70438143712642454</v>
      </c>
      <c r="HB55" s="4">
        <v>0.73715940555692683</v>
      </c>
      <c r="HC55" s="4">
        <v>0.76870086582918518</v>
      </c>
      <c r="HD55" s="4">
        <v>0.7990421255538056</v>
      </c>
      <c r="HE55" s="4">
        <v>0.8282144172767314</v>
      </c>
      <c r="HF55" s="4">
        <v>0.8562436938327691</v>
      </c>
      <c r="HG55" s="4">
        <v>0.88314960675155874</v>
      </c>
      <c r="HH55" s="4">
        <v>0.90894334208454541</v>
      </c>
      <c r="HI55" s="4">
        <v>0.93362376278331638</v>
      </c>
      <c r="HJ55" s="4">
        <v>0.95717249374259605</v>
      </c>
      <c r="HK55" s="4">
        <v>0.97955952514357048</v>
      </c>
      <c r="HL55" s="4">
        <v>1.0007913176894101</v>
      </c>
      <c r="HM55" s="4">
        <v>1.0209576768602751</v>
      </c>
      <c r="HN55" s="4">
        <v>1.040185094494773</v>
      </c>
      <c r="HO55" s="4">
        <v>1.0585888897536699</v>
      </c>
      <c r="HP55" s="4">
        <v>1.07626791570516</v>
      </c>
      <c r="HQ55" s="4">
        <v>1.0933098878646359</v>
      </c>
      <c r="HR55" s="4">
        <v>1.1097958103737691</v>
      </c>
      <c r="HS55" s="4">
        <v>1.1258029337237481</v>
      </c>
      <c r="HT55" s="4">
        <v>1.1414068954924039</v>
      </c>
      <c r="HU55" s="4">
        <v>1.156683521448314</v>
      </c>
      <c r="HV55" s="4">
        <v>1.1717106070388159</v>
      </c>
      <c r="HW55" s="4">
        <v>1.1865699545409041</v>
      </c>
      <c r="HX55" s="4">
        <v>1.201349999605434</v>
      </c>
      <c r="HY55" s="4">
        <v>1.2161495484327871</v>
      </c>
      <c r="HZ55" s="4">
        <v>1.231083522472072</v>
      </c>
      <c r="IA55" s="4">
        <v>1.246291995487248</v>
      </c>
      <c r="IB55" s="4">
        <v>1.261951345871269</v>
      </c>
      <c r="IC55" s="4">
        <v>1.2782640154587619</v>
      </c>
      <c r="ID55" s="4">
        <v>1.2953617395130821</v>
      </c>
      <c r="IE55" s="4">
        <v>1.3132115215080311</v>
      </c>
      <c r="IF55" s="4">
        <v>1.3317126962208099</v>
      </c>
      <c r="IG55" s="4">
        <v>1.350796976447509</v>
      </c>
      <c r="IH55" s="4">
        <v>1.3704425553320221</v>
      </c>
      <c r="II55" s="4">
        <v>1.390668008142143</v>
      </c>
      <c r="IJ55" s="4">
        <v>1.4115306137176939</v>
      </c>
      <c r="IK55" s="4">
        <v>1.43313190392098</v>
      </c>
      <c r="IL55" s="4">
        <v>1.455627648518129</v>
      </c>
      <c r="IM55" s="4">
        <v>1.4792112207496</v>
      </c>
    </row>
    <row r="56" spans="2:247" x14ac:dyDescent="0.35">
      <c r="B56" s="58">
        <v>0.4</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v>-3.0356260902009731</v>
      </c>
      <c r="DW56" s="4">
        <v>-2.9875518385972342</v>
      </c>
      <c r="DX56" s="4">
        <v>-2.9394828839387022</v>
      </c>
      <c r="DY56" s="4">
        <v>-2.8914387162466642</v>
      </c>
      <c r="DZ56" s="4">
        <v>-2.8434414298632742</v>
      </c>
      <c r="EA56" s="4">
        <v>-2.7955159559782521</v>
      </c>
      <c r="EB56" s="4">
        <v>-2.7476902896093018</v>
      </c>
      <c r="EC56" s="4">
        <v>-2.699995699222554</v>
      </c>
      <c r="ED56" s="4">
        <v>-2.6524669024543002</v>
      </c>
      <c r="EE56" s="4">
        <v>-2.605142185431006</v>
      </c>
      <c r="EF56" s="4">
        <v>-2.558063435973176</v>
      </c>
      <c r="EG56" s="4">
        <v>-2.5112760527997948</v>
      </c>
      <c r="EH56" s="4">
        <v>-2.4648286845417768</v>
      </c>
      <c r="EI56" s="4">
        <v>-2.418772745599596</v>
      </c>
      <c r="EJ56" s="4">
        <v>-2.3731616534877968</v>
      </c>
      <c r="EK56" s="4">
        <v>-2.3280497384720631</v>
      </c>
      <c r="EL56" s="4">
        <v>-2.283490796133993</v>
      </c>
      <c r="EM56" s="4">
        <v>-2.2395362916520232</v>
      </c>
      <c r="EN56" s="4">
        <v>-2.196233282527754</v>
      </c>
      <c r="EO56" s="4">
        <v>-2.1536221988045692</v>
      </c>
      <c r="EP56" s="4">
        <v>-2.1117346913756698</v>
      </c>
      <c r="EQ56" s="4">
        <v>-2.0705918059569282</v>
      </c>
      <c r="ER56" s="4">
        <v>-2.030202737753859</v>
      </c>
      <c r="ES56" s="4">
        <v>-1.990564356427154</v>
      </c>
      <c r="ET56" s="4">
        <v>-1.9516615719347079</v>
      </c>
      <c r="EU56" s="4">
        <v>-1.9134684715473089</v>
      </c>
      <c r="EV56" s="4">
        <v>-1.875950038921427</v>
      </c>
      <c r="EW56" s="4">
        <v>-1.839064199811498</v>
      </c>
      <c r="EX56" s="4">
        <v>-1.8027639348935129</v>
      </c>
      <c r="EY56" s="4">
        <v>-1.766999244565586</v>
      </c>
      <c r="EZ56" s="4">
        <v>-1.731718818106585</v>
      </c>
      <c r="FA56" s="4">
        <v>-1.696871325922938</v>
      </c>
      <c r="FB56" s="4">
        <v>-1.662406303363587</v>
      </c>
      <c r="FC56" s="4">
        <v>-1.628274622761801</v>
      </c>
      <c r="FD56" s="4">
        <v>-1.5944285606264179</v>
      </c>
      <c r="FE56" s="4">
        <v>-1.56082146929031</v>
      </c>
      <c r="FF56" s="4">
        <v>-1.527407071446002</v>
      </c>
      <c r="FG56" s="4">
        <v>-1.4941384276106859</v>
      </c>
      <c r="FH56" s="4">
        <v>-1.4609666886896311</v>
      </c>
      <c r="FI56" s="4">
        <v>-1.4278398244014741</v>
      </c>
      <c r="FJ56" s="4">
        <v>-1.394701569436142</v>
      </c>
      <c r="FK56" s="4">
        <v>-1.3614907986974589</v>
      </c>
      <c r="FL56" s="4">
        <v>-1.328141414651286</v>
      </c>
      <c r="FM56" s="4">
        <v>-1.294582656965138</v>
      </c>
      <c r="FN56" s="4">
        <v>-1.2607396168188381</v>
      </c>
      <c r="FO56" s="4">
        <v>-1.2265337088663331</v>
      </c>
      <c r="FP56" s="4">
        <v>-1.191882906880064</v>
      </c>
      <c r="FQ56" s="4">
        <v>-1.1567016311630469</v>
      </c>
      <c r="FR56" s="4">
        <v>-1.1209002448650021</v>
      </c>
      <c r="FS56" s="4">
        <v>-1.084384163565888</v>
      </c>
      <c r="FT56" s="4">
        <v>-1.0470526290949549</v>
      </c>
      <c r="FU56" s="4">
        <v>-1.008797291280058</v>
      </c>
      <c r="FV56" s="4">
        <v>-0.96950096090247273</v>
      </c>
      <c r="FW56" s="4">
        <v>-0.9290373724328842</v>
      </c>
      <c r="FX56" s="4">
        <v>-0.88727366730736179</v>
      </c>
      <c r="FY56" s="4">
        <v>-0.84407846919499141</v>
      </c>
      <c r="FZ56" s="4">
        <v>-0.79933877027414857</v>
      </c>
      <c r="GA56" s="4">
        <v>-0.752985648114048</v>
      </c>
      <c r="GB56" s="4">
        <v>-0.70502044940718145</v>
      </c>
      <c r="GC56" s="4">
        <v>-0.65552627782510831</v>
      </c>
      <c r="GD56" s="4">
        <v>-0.60465652221321209</v>
      </c>
      <c r="GE56" s="4">
        <v>-0.5526087065905938</v>
      </c>
      <c r="GF56" s="4">
        <v>-0.49959884471854998</v>
      </c>
      <c r="GG56" s="4">
        <v>-0.44584468817050649</v>
      </c>
      <c r="GH56" s="4">
        <v>-0.3915578823803334</v>
      </c>
      <c r="GI56" s="4">
        <v>-0.33694186008002491</v>
      </c>
      <c r="GJ56" s="4">
        <v>-0.28219267170292822</v>
      </c>
      <c r="GK56" s="4">
        <v>-0.22750114817794609</v>
      </c>
      <c r="GL56" s="4">
        <v>-0.17305571749051521</v>
      </c>
      <c r="GM56" s="4">
        <v>-0.119045750272182</v>
      </c>
      <c r="GN56" s="4">
        <v>-6.5665628705642298E-2</v>
      </c>
      <c r="GO56" s="4">
        <v>-1.311988394583263E-2</v>
      </c>
      <c r="GP56" s="4">
        <v>3.8370509047673362E-2</v>
      </c>
      <c r="GQ56" s="4">
        <v>8.8562498179746374E-2</v>
      </c>
      <c r="GR56" s="4">
        <v>0.13719508653737431</v>
      </c>
      <c r="GS56" s="4">
        <v>0.18402693335797249</v>
      </c>
      <c r="GT56" s="4">
        <v>0.22891933470416961</v>
      </c>
      <c r="GU56" s="4">
        <v>0.27188928729970252</v>
      </c>
      <c r="GV56" s="4">
        <v>0.31305594950610599</v>
      </c>
      <c r="GW56" s="4">
        <v>0.35255715463462067</v>
      </c>
      <c r="GX56" s="4">
        <v>0.39051124034013718</v>
      </c>
      <c r="GY56" s="4">
        <v>0.42701224630861212</v>
      </c>
      <c r="GZ56" s="4">
        <v>0.46213473476265321</v>
      </c>
      <c r="HA56" s="4">
        <v>0.49593908031593958</v>
      </c>
      <c r="HB56" s="4">
        <v>0.52847535515540667</v>
      </c>
      <c r="HC56" s="4">
        <v>0.55978584445579038</v>
      </c>
      <c r="HD56" s="4">
        <v>0.58990650564038027</v>
      </c>
      <c r="HE56" s="4">
        <v>0.61886761112447086</v>
      </c>
      <c r="HF56" s="4">
        <v>0.64669369836626522</v>
      </c>
      <c r="HG56" s="4">
        <v>0.67340286663460702</v>
      </c>
      <c r="HH56" s="4">
        <v>0.69900549888798125</v>
      </c>
      <c r="HI56" s="4">
        <v>0.72350301494789626</v>
      </c>
      <c r="HJ56" s="4">
        <v>0.74688936112452087</v>
      </c>
      <c r="HK56" s="4">
        <v>0.7691621728274507</v>
      </c>
      <c r="HL56" s="4">
        <v>0.79034710777322204</v>
      </c>
      <c r="HM56" s="4">
        <v>0.81051348079569419</v>
      </c>
      <c r="HN56" s="4">
        <v>0.82975892264902029</v>
      </c>
      <c r="HO56" s="4">
        <v>0.84818537379340508</v>
      </c>
      <c r="HP56" s="4">
        <v>0.86588831874175476</v>
      </c>
      <c r="HQ56" s="4">
        <v>0.88295580689141673</v>
      </c>
      <c r="HR56" s="4">
        <v>0.89947037876715541</v>
      </c>
      <c r="HS56" s="4">
        <v>0.91551126709293129</v>
      </c>
      <c r="HT56" s="4">
        <v>0.93115637116374739</v>
      </c>
      <c r="HU56" s="4">
        <v>0.94648407795235556</v>
      </c>
      <c r="HV56" s="4">
        <v>0.96157511584499566</v>
      </c>
      <c r="HW56" s="4">
        <v>0.97651465287263139</v>
      </c>
      <c r="HX56" s="4">
        <v>0.99139487998926512</v>
      </c>
      <c r="HY56" s="4">
        <v>1.006318334214364</v>
      </c>
      <c r="HZ56" s="4">
        <v>1.0214020328298119</v>
      </c>
      <c r="IA56" s="4">
        <v>1.036781347810164</v>
      </c>
      <c r="IB56" s="4">
        <v>1.0526082290033181</v>
      </c>
      <c r="IC56" s="4">
        <v>1.069029732813519</v>
      </c>
      <c r="ID56" s="4">
        <v>1.0861398167322549</v>
      </c>
      <c r="IE56" s="4">
        <v>1.1039490933972991</v>
      </c>
      <c r="IF56" s="4">
        <v>1.122418093037042</v>
      </c>
      <c r="IG56" s="4">
        <v>1.1415087007219571</v>
      </c>
      <c r="IH56" s="4">
        <v>1.1612093286571561</v>
      </c>
      <c r="II56" s="4">
        <v>1.181541145991827</v>
      </c>
      <c r="IJ56" s="4">
        <v>1.2025594702727671</v>
      </c>
      <c r="IK56" s="4">
        <v>1.2243543221100111</v>
      </c>
      <c r="IL56" s="4">
        <v>1.247044292291132</v>
      </c>
      <c r="IM56" s="4">
        <v>1.270745634423573</v>
      </c>
    </row>
    <row r="57" spans="2:247" x14ac:dyDescent="0.35">
      <c r="B57" s="58">
        <v>0.41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v>-3.2182473074197739</v>
      </c>
      <c r="DW57" s="4">
        <v>-3.1703287939671889</v>
      </c>
      <c r="DX57" s="4">
        <v>-3.1224327146220849</v>
      </c>
      <c r="DY57" s="4">
        <v>-3.074579155890977</v>
      </c>
      <c r="DZ57" s="4">
        <v>-3.0267906704627898</v>
      </c>
      <c r="EA57" s="4">
        <v>-2.979092462458711</v>
      </c>
      <c r="EB57" s="4">
        <v>-2.9315125580320531</v>
      </c>
      <c r="EC57" s="4">
        <v>-2.884081948986946</v>
      </c>
      <c r="ED57" s="4">
        <v>-2.8368346930533388</v>
      </c>
      <c r="EE57" s="4">
        <v>-2.7898079496923409</v>
      </c>
      <c r="EF57" s="4">
        <v>-2.7430419249945062</v>
      </c>
      <c r="EG57" s="4">
        <v>-2.6965796938522519</v>
      </c>
      <c r="EH57" s="4">
        <v>-2.650466863049953</v>
      </c>
      <c r="EI57" s="4">
        <v>-2.6047510367359639</v>
      </c>
      <c r="EJ57" s="4">
        <v>-2.55948104812127</v>
      </c>
      <c r="EK57" s="4">
        <v>-2.5147059309533648</v>
      </c>
      <c r="EL57" s="4">
        <v>-2.4704736241449661</v>
      </c>
      <c r="EM57" s="4">
        <v>-2.4268294346219741</v>
      </c>
      <c r="EN57" s="4">
        <v>-2.3838143259756781</v>
      </c>
      <c r="EO57" s="4">
        <v>-2.3414631483581969</v>
      </c>
      <c r="EP57" s="4">
        <v>-2.29980296754279</v>
      </c>
      <c r="EQ57" s="4">
        <v>-2.2588516739667681</v>
      </c>
      <c r="ER57" s="4">
        <v>-2.218617042878781</v>
      </c>
      <c r="ES57" s="4">
        <v>-2.1790963691032958</v>
      </c>
      <c r="ET57" s="4">
        <v>-2.1402767214918579</v>
      </c>
      <c r="EU57" s="4">
        <v>-2.1021357716610578</v>
      </c>
      <c r="EV57" s="4">
        <v>-2.064643072729305</v>
      </c>
      <c r="EW57" s="4">
        <v>-2.0277616151939299</v>
      </c>
      <c r="EX57" s="4">
        <v>-1.991449475783895</v>
      </c>
      <c r="EY57" s="4">
        <v>-1.95566139556832</v>
      </c>
      <c r="EZ57" s="4">
        <v>-1.920350162604896</v>
      </c>
      <c r="FA57" s="4">
        <v>-1.8854677176745931</v>
      </c>
      <c r="FB57" s="4">
        <v>-1.850965938722688</v>
      </c>
      <c r="FC57" s="4">
        <v>-1.8167970860017091</v>
      </c>
      <c r="FD57" s="4">
        <v>-1.7829139068335791</v>
      </c>
      <c r="FE57" s="4">
        <v>-1.7492694120485379</v>
      </c>
      <c r="FF57" s="4">
        <v>-1.715816353525683</v>
      </c>
      <c r="FG57" s="4">
        <v>-1.6825064607324669</v>
      </c>
      <c r="FH57" s="4">
        <v>-1.649289534082911</v>
      </c>
      <c r="FI57" s="4">
        <v>-1.616112532694385</v>
      </c>
      <c r="FJ57" s="4">
        <v>-1.5829188106245251</v>
      </c>
      <c r="FK57" s="4">
        <v>-1.5496476265424559</v>
      </c>
      <c r="FL57" s="4">
        <v>-1.516233974971235</v>
      </c>
      <c r="FM57" s="4">
        <v>-1.482608690143105</v>
      </c>
      <c r="FN57" s="4">
        <v>-1.448698697899967</v>
      </c>
      <c r="FO57" s="4">
        <v>-1.414427264661243</v>
      </c>
      <c r="FP57" s="4">
        <v>-1.379714113979817</v>
      </c>
      <c r="FQ57" s="4">
        <v>-1.3444753299266801</v>
      </c>
      <c r="FR57" s="4">
        <v>-1.3086230229165181</v>
      </c>
      <c r="FS57" s="4">
        <v>-1.272064793175016</v>
      </c>
      <c r="FT57" s="4">
        <v>-1.234703104103541</v>
      </c>
      <c r="FU57" s="4">
        <v>-1.1964348038556329</v>
      </c>
      <c r="FV57" s="4">
        <v>-1.157151253098418</v>
      </c>
      <c r="FW57" s="4">
        <v>-1.1167398683283061</v>
      </c>
      <c r="FX57" s="4">
        <v>-1.075088333952245</v>
      </c>
      <c r="FY57" s="4">
        <v>-1.0320929881631571</v>
      </c>
      <c r="FZ57" s="4">
        <v>-0.98767223002355609</v>
      </c>
      <c r="GA57" s="4">
        <v>-0.94178337013999647</v>
      </c>
      <c r="GB57" s="4">
        <v>-0.89443763800573617</v>
      </c>
      <c r="GC57" s="4">
        <v>-0.84570633361779146</v>
      </c>
      <c r="GD57" s="4">
        <v>-0.79571473967489936</v>
      </c>
      <c r="GE57" s="4">
        <v>-0.74462719794261867</v>
      </c>
      <c r="GF57" s="4">
        <v>-0.69263038430794133</v>
      </c>
      <c r="GG57" s="4">
        <v>-0.63992009632947378</v>
      </c>
      <c r="GH57" s="4">
        <v>-0.58669316562415297</v>
      </c>
      <c r="GI57" s="4">
        <v>-0.53314369413966345</v>
      </c>
      <c r="GJ57" s="4">
        <v>-0.47946217221702492</v>
      </c>
      <c r="GK57" s="4">
        <v>-0.4258363093830364</v>
      </c>
      <c r="GL57" s="4">
        <v>-0.37245287518386538</v>
      </c>
      <c r="GM57" s="4">
        <v>-0.31950020792525219</v>
      </c>
      <c r="GN57" s="4">
        <v>-0.26717121664843457</v>
      </c>
      <c r="GO57" s="4">
        <v>-0.21566657490761629</v>
      </c>
      <c r="GP57" s="4">
        <v>-0.16519707209289261</v>
      </c>
      <c r="GQ57" s="4">
        <v>-0.1159820922334491</v>
      </c>
      <c r="GR57" s="4">
        <v>-6.8237663443557306E-2</v>
      </c>
      <c r="GS57" s="4">
        <v>-2.2146611118415649E-2</v>
      </c>
      <c r="GT57" s="4">
        <v>2.2182745225526102E-2</v>
      </c>
      <c r="GU57" s="4">
        <v>6.4737673159675158E-2</v>
      </c>
      <c r="GV57" s="4">
        <v>0.10557945091575149</v>
      </c>
      <c r="GW57" s="4">
        <v>0.14480154260790279</v>
      </c>
      <c r="GX57" s="4">
        <v>0.18249917631105819</v>
      </c>
      <c r="GY57" s="4">
        <v>0.2187567367470207</v>
      </c>
      <c r="GZ57" s="4">
        <v>0.25364547708473317</v>
      </c>
      <c r="HA57" s="4">
        <v>0.28722496660795738</v>
      </c>
      <c r="HB57" s="4">
        <v>0.31954522693832033</v>
      </c>
      <c r="HC57" s="4">
        <v>0.3506485302041753</v>
      </c>
      <c r="HD57" s="4">
        <v>0.38057062305353201</v>
      </c>
      <c r="HE57" s="4">
        <v>0.40934138907685108</v>
      </c>
      <c r="HF57" s="4">
        <v>0.43698503355595891</v>
      </c>
      <c r="HG57" s="4">
        <v>0.46351994317624451</v>
      </c>
      <c r="HH57" s="4">
        <v>0.48895858728043429</v>
      </c>
      <c r="HI57" s="4">
        <v>0.51330839910449377</v>
      </c>
      <c r="HJ57" s="4">
        <v>0.5365755910098331</v>
      </c>
      <c r="HK57" s="4">
        <v>0.55877411347701855</v>
      </c>
      <c r="HL57" s="4">
        <v>0.57993791645155834</v>
      </c>
      <c r="HM57" s="4">
        <v>0.60012732704314509</v>
      </c>
      <c r="HN57" s="4">
        <v>0.61942304164138573</v>
      </c>
      <c r="HO57" s="4">
        <v>0.6379142692036428</v>
      </c>
      <c r="HP57" s="4">
        <v>0.65569024945391607</v>
      </c>
      <c r="HQ57" s="4">
        <v>0.67283703132741213</v>
      </c>
      <c r="HR57" s="4">
        <v>0.68943735596962963</v>
      </c>
      <c r="HS57" s="4">
        <v>0.70557175946931228</v>
      </c>
      <c r="HT57" s="4">
        <v>0.72132004720818621</v>
      </c>
      <c r="HU57" s="4">
        <v>0.73676289062200606</v>
      </c>
      <c r="HV57" s="4">
        <v>0.75198353902855342</v>
      </c>
      <c r="HW57" s="4">
        <v>0.76706971488875908</v>
      </c>
      <c r="HX57" s="4">
        <v>0.78211574545935481</v>
      </c>
      <c r="HY57" s="4">
        <v>0.79722483638900421</v>
      </c>
      <c r="HZ57" s="4">
        <v>0.8125109184816024</v>
      </c>
      <c r="IA57" s="4">
        <v>0.82809829588698936</v>
      </c>
      <c r="IB57" s="4">
        <v>0.84411522512246329</v>
      </c>
      <c r="IC57" s="4">
        <v>0.86067701451959966</v>
      </c>
      <c r="ID57" s="4">
        <v>0.87786248548154155</v>
      </c>
      <c r="IE57" s="4">
        <v>0.89570261238572346</v>
      </c>
      <c r="IF57" s="4">
        <v>0.91419468728791564</v>
      </c>
      <c r="IG57" s="4">
        <v>0.93332876381455687</v>
      </c>
      <c r="IH57" s="4">
        <v>0.95310761285419243</v>
      </c>
      <c r="II57" s="4">
        <v>0.97355620307835622</v>
      </c>
      <c r="IJ57" s="4">
        <v>0.9947243666331369</v>
      </c>
      <c r="IK57" s="4">
        <v>1.0166842347112011</v>
      </c>
      <c r="IL57" s="4">
        <v>1.0395192436335321</v>
      </c>
      <c r="IM57" s="4">
        <v>1.063299623462471</v>
      </c>
    </row>
    <row r="58" spans="2:247" x14ac:dyDescent="0.35">
      <c r="B58" s="58">
        <v>0.42</v>
      </c>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v>-3.4014406694353312</v>
      </c>
      <c r="DW58" s="4">
        <v>-3.3536899924894672</v>
      </c>
      <c r="DX58" s="4">
        <v>-3.305978013656766</v>
      </c>
      <c r="DY58" s="4">
        <v>-3.2583252119618189</v>
      </c>
      <c r="DZ58" s="4">
        <v>-3.210754375758603</v>
      </c>
      <c r="EA58" s="4">
        <v>-3.163290743437789</v>
      </c>
      <c r="EB58" s="4">
        <v>-3.1159621225608478</v>
      </c>
      <c r="EC58" s="4">
        <v>-3.0687989753161471</v>
      </c>
      <c r="ED58" s="4">
        <v>-3.02183445495587</v>
      </c>
      <c r="EE58" s="4">
        <v>-2.9751043743116452</v>
      </c>
      <c r="EF58" s="4">
        <v>-2.9286470838873848</v>
      </c>
      <c r="EG58" s="4">
        <v>-2.88250323391321</v>
      </c>
      <c r="EH58" s="4">
        <v>-2.836715392956302</v>
      </c>
      <c r="EI58" s="4">
        <v>-2.7913274964365771</v>
      </c>
      <c r="EJ58" s="4">
        <v>-2.7463841032309322</v>
      </c>
      <c r="EK58" s="4">
        <v>-2.7019294491370069</v>
      </c>
      <c r="EL58" s="4">
        <v>-2.6580063036267321</v>
      </c>
      <c r="EM58" s="4">
        <v>-2.6146546612645301</v>
      </c>
      <c r="EN58" s="4">
        <v>-2.5719103295795298</v>
      </c>
      <c r="EO58" s="4">
        <v>-2.5298035065029798</v>
      </c>
      <c r="EP58" s="4">
        <v>-2.4883574654942588</v>
      </c>
      <c r="EQ58" s="4">
        <v>-2.4475874767536911</v>
      </c>
      <c r="ER58" s="4">
        <v>-2.407500081655384</v>
      </c>
      <c r="ES58" s="4">
        <v>-2.3680928028416219</v>
      </c>
      <c r="ET58" s="4">
        <v>-2.329354319379036</v>
      </c>
      <c r="EU58" s="4">
        <v>-2.2912650762480018</v>
      </c>
      <c r="EV58" s="4">
        <v>-2.253798243959408</v>
      </c>
      <c r="EW58" s="4">
        <v>-2.216920908492507</v>
      </c>
      <c r="EX58" s="4">
        <v>-2.180595359034148</v>
      </c>
      <c r="EY58" s="4">
        <v>-2.144780349223816</v>
      </c>
      <c r="EZ58" s="4">
        <v>-2.109432229960325</v>
      </c>
      <c r="FA58" s="4">
        <v>-2.074505880036039</v>
      </c>
      <c r="FB58" s="4">
        <v>-2.039955388202304</v>
      </c>
      <c r="FC58" s="4">
        <v>-2.0057344632117911</v>
      </c>
      <c r="FD58" s="4">
        <v>-1.9717965668824791</v>
      </c>
      <c r="FE58" s="4">
        <v>-1.9380947819232499</v>
      </c>
      <c r="FF58" s="4">
        <v>-1.904581444853207</v>
      </c>
      <c r="FG58" s="4">
        <v>-1.871207597180504</v>
      </c>
      <c r="FH58" s="4">
        <v>-1.837922333265015</v>
      </c>
      <c r="FI58" s="4">
        <v>-1.8046721432962629</v>
      </c>
      <c r="FJ58" s="4">
        <v>-1.771400352907017</v>
      </c>
      <c r="FK58" s="4">
        <v>-1.7380467380466229</v>
      </c>
      <c r="FL58" s="4">
        <v>-1.70454734646124</v>
      </c>
      <c r="FM58" s="4">
        <v>-1.670834500310197</v>
      </c>
      <c r="FN58" s="4">
        <v>-1.636836909101856</v>
      </c>
      <c r="FO58" s="4">
        <v>-1.602479803547211</v>
      </c>
      <c r="FP58" s="4">
        <v>-1.567685011772403</v>
      </c>
      <c r="FQ58" s="4">
        <v>-1.532370932586691</v>
      </c>
      <c r="FR58" s="4">
        <v>-1.496452408187229</v>
      </c>
      <c r="FS58" s="4">
        <v>-1.4598405593486929</v>
      </c>
      <c r="FT58" s="4">
        <v>-1.4224427275310481</v>
      </c>
      <c r="FU58" s="4">
        <v>-1.3841627847685649</v>
      </c>
      <c r="FV58" s="4">
        <v>-1.3449022349605451</v>
      </c>
      <c r="FW58" s="4">
        <v>-1.3045627238192821</v>
      </c>
      <c r="FX58" s="4">
        <v>-1.2630507106090669</v>
      </c>
      <c r="FY58" s="4">
        <v>-1.2202849157780189</v>
      </c>
      <c r="FZ58" s="4">
        <v>-1.1762064262940479</v>
      </c>
      <c r="GA58" s="4">
        <v>-1.130789884472208</v>
      </c>
      <c r="GB58" s="4">
        <v>-1.084052604150006</v>
      </c>
      <c r="GC58" s="4">
        <v>-1.0360581561370139</v>
      </c>
      <c r="GD58" s="4">
        <v>-0.98691288945167321</v>
      </c>
      <c r="GE58" s="4">
        <v>-0.93675694203962379</v>
      </c>
      <c r="GF58" s="4">
        <v>-0.88575322093576214</v>
      </c>
      <c r="GG58" s="4">
        <v>-0.8340775332976833</v>
      </c>
      <c r="GH58" s="4">
        <v>-0.7819114728794927</v>
      </c>
      <c r="GI58" s="4">
        <v>-0.72943821684674925</v>
      </c>
      <c r="GJ58" s="4">
        <v>-0.67684066172234547</v>
      </c>
      <c r="GK58" s="4">
        <v>-0.62430119004709739</v>
      </c>
      <c r="GL58" s="4">
        <v>-0.57200248202539083</v>
      </c>
      <c r="GM58" s="4">
        <v>-0.520128926588874</v>
      </c>
      <c r="GN58" s="4">
        <v>-0.46886819975256011</v>
      </c>
      <c r="GO58" s="4">
        <v>-0.41841234122593002</v>
      </c>
      <c r="GP58" s="4">
        <v>-0.36895702673297509</v>
      </c>
      <c r="GQ58" s="4">
        <v>-0.32069668603825208</v>
      </c>
      <c r="GR58" s="4">
        <v>-0.27381242717944487</v>
      </c>
      <c r="GS58" s="4">
        <v>-0.22845190365769219</v>
      </c>
      <c r="GT58" s="4">
        <v>-0.18470764588571839</v>
      </c>
      <c r="GU58" s="4">
        <v>-0.14260741610550459</v>
      </c>
      <c r="GV58" s="4">
        <v>-0.102124342267123</v>
      </c>
      <c r="GW58" s="4">
        <v>-6.3199094826090985E-2</v>
      </c>
      <c r="GX58" s="4">
        <v>-2.5760566006369778E-2</v>
      </c>
      <c r="GY58" s="4">
        <v>1.0261452991490391E-2</v>
      </c>
      <c r="GZ58" s="4">
        <v>4.4930721502304038E-2</v>
      </c>
      <c r="HA58" s="4">
        <v>7.8303084207457019E-2</v>
      </c>
      <c r="HB58" s="4">
        <v>0.1104267599572504</v>
      </c>
      <c r="HC58" s="4">
        <v>0.141343140526522</v>
      </c>
      <c r="HD58" s="4">
        <v>0.17108756169003139</v>
      </c>
      <c r="HE58" s="4">
        <v>0.19968987278624259</v>
      </c>
      <c r="HF58" s="4">
        <v>0.22717482283912099</v>
      </c>
      <c r="HG58" s="4">
        <v>0.25356243784591292</v>
      </c>
      <c r="HH58" s="4">
        <v>0.27886878392917502</v>
      </c>
      <c r="HI58" s="4">
        <v>0.30310782794250191</v>
      </c>
      <c r="HJ58" s="4">
        <v>0.32629530975286342</v>
      </c>
      <c r="HK58" s="4">
        <v>0.34845490574125382</v>
      </c>
      <c r="HL58" s="4">
        <v>0.3696248126624635</v>
      </c>
      <c r="HM58" s="4">
        <v>0.38986083148326772</v>
      </c>
      <c r="HN58" s="4">
        <v>0.40923371622757371</v>
      </c>
      <c r="HO58" s="4">
        <v>0.42782305631874967</v>
      </c>
      <c r="HP58" s="4">
        <v>0.44571164836061777</v>
      </c>
      <c r="HQ58" s="4">
        <v>0.46298226785738089</v>
      </c>
      <c r="HR58" s="4">
        <v>0.47971660693036178</v>
      </c>
      <c r="HS58" s="4">
        <v>0.4959955165229033</v>
      </c>
      <c r="HT58" s="4">
        <v>0.51189990016192777</v>
      </c>
      <c r="HU58" s="4">
        <v>0.52751192160592097</v>
      </c>
      <c r="HV58" s="4">
        <v>0.5429163833873325</v>
      </c>
      <c r="HW58" s="4">
        <v>0.55820220200167103</v>
      </c>
      <c r="HX58" s="4">
        <v>0.5734638615147265</v>
      </c>
      <c r="HY58" s="4">
        <v>0.58880253867770183</v>
      </c>
      <c r="HZ58" s="4">
        <v>0.60432618288246154</v>
      </c>
      <c r="IA58" s="4">
        <v>0.62014719208683999</v>
      </c>
      <c r="IB58" s="4">
        <v>0.63637590522868326</v>
      </c>
      <c r="IC58" s="4">
        <v>0.65310941620955631</v>
      </c>
      <c r="ID58" s="4">
        <v>0.67041959017096442</v>
      </c>
      <c r="IE58" s="4">
        <v>0.68834833118137162</v>
      </c>
      <c r="IF58" s="4">
        <v>0.70691469381062522</v>
      </c>
      <c r="IG58" s="4">
        <v>0.7261292011861098</v>
      </c>
      <c r="IH58" s="4">
        <v>0.74600717769582126</v>
      </c>
      <c r="II58" s="4">
        <v>0.7665768149801595</v>
      </c>
      <c r="IJ58" s="4">
        <v>0.78788153648140735</v>
      </c>
      <c r="IK58" s="4">
        <v>0.80997668875130113</v>
      </c>
      <c r="IL58" s="4">
        <v>0.83291963171201289</v>
      </c>
      <c r="IM58" s="4">
        <v>0.85675331034211588</v>
      </c>
    </row>
    <row r="59" spans="2:247" x14ac:dyDescent="0.35">
      <c r="B59" s="58">
        <v>0.43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v>-3.5851867756767839</v>
      </c>
      <c r="DW59" s="4">
        <v>-3.5376139422856419</v>
      </c>
      <c r="DX59" s="4">
        <v>-3.4900951045086921</v>
      </c>
      <c r="DY59" s="4">
        <v>-3.4426509473014448</v>
      </c>
      <c r="DZ59" s="4">
        <v>-3.3953042960524522</v>
      </c>
      <c r="EA59" s="4">
        <v>-3.348080216619171</v>
      </c>
      <c r="EB59" s="4">
        <v>-3.301006088924086</v>
      </c>
      <c r="EC59" s="4">
        <v>-3.2541116427624019</v>
      </c>
      <c r="ED59" s="4">
        <v>-3.2074289420208149</v>
      </c>
      <c r="EE59" s="4">
        <v>-3.160992301031178</v>
      </c>
      <c r="EF59" s="4">
        <v>-3.1148381145954041</v>
      </c>
      <c r="EG59" s="4">
        <v>-3.06900458180673</v>
      </c>
      <c r="EH59" s="4">
        <v>-3.023531303849921</v>
      </c>
      <c r="EI59" s="4">
        <v>-2.9784587383826868</v>
      </c>
      <c r="EJ59" s="4">
        <v>-2.9338274988800879</v>
      </c>
      <c r="EK59" s="4">
        <v>-2.889677497368428</v>
      </c>
      <c r="EL59" s="4">
        <v>-2.8460469437390601</v>
      </c>
      <c r="EM59" s="4">
        <v>-2.802971233848865</v>
      </c>
      <c r="EN59" s="4">
        <v>-2.7604817800313239</v>
      </c>
      <c r="EO59" s="4">
        <v>-2.71860485799712</v>
      </c>
      <c r="EP59" s="4">
        <v>-2.6773605586448621</v>
      </c>
      <c r="EQ59" s="4">
        <v>-2.6367619370407982</v>
      </c>
      <c r="ER59" s="4">
        <v>-2.5968144401972131</v>
      </c>
      <c r="ES59" s="4">
        <v>-2.557515669837739</v>
      </c>
      <c r="ET59" s="4">
        <v>-2.5188554996348689</v>
      </c>
      <c r="EU59" s="4">
        <v>-2.4808165253805989</v>
      </c>
      <c r="EV59" s="4">
        <v>-2.4433747894685571</v>
      </c>
      <c r="EW59" s="4">
        <v>-2.406500694855596</v>
      </c>
      <c r="EX59" s="4">
        <v>-2.3701600118736761</v>
      </c>
      <c r="EY59" s="4">
        <v>-2.3343148834599869</v>
      </c>
      <c r="EZ59" s="4">
        <v>-2.2989247471005032</v>
      </c>
      <c r="FA59" s="4">
        <v>-2.2639471103145241</v>
      </c>
      <c r="FB59" s="4">
        <v>-2.229338136603721</v>
      </c>
      <c r="FC59" s="4">
        <v>-2.195053017841194</v>
      </c>
      <c r="FD59" s="4">
        <v>-2.1610461264147292</v>
      </c>
      <c r="FE59" s="4">
        <v>-2.127270956898045</v>
      </c>
      <c r="FF59" s="4">
        <v>-2.0936798838793771</v>
      </c>
      <c r="FG59" s="4">
        <v>-2.0602237801280339</v>
      </c>
      <c r="FH59" s="4">
        <v>-2.0268515555205209</v>
      </c>
      <c r="FI59" s="4">
        <v>-1.993509687438775</v>
      </c>
      <c r="FJ59" s="4">
        <v>-1.960141811952228</v>
      </c>
      <c r="FK59" s="4">
        <v>-1.926688428546528</v>
      </c>
      <c r="FL59" s="4">
        <v>-1.893086741676629</v>
      </c>
      <c r="FM59" s="4">
        <v>-1.8592706284902081</v>
      </c>
      <c r="FN59" s="4">
        <v>-1.8251706950545481</v>
      </c>
      <c r="FO59" s="4">
        <v>-1.790714372283722</v>
      </c>
      <c r="FP59" s="4">
        <v>-1.755826010752531</v>
      </c>
      <c r="FQ59" s="4">
        <v>-1.720426959040287</v>
      </c>
      <c r="FR59" s="4">
        <v>-1.684435650213232</v>
      </c>
      <c r="FS59" s="4">
        <v>-1.6477677746765</v>
      </c>
      <c r="FT59" s="4">
        <v>-1.6103366869222571</v>
      </c>
      <c r="FU59" s="4">
        <v>-1.572054280278695</v>
      </c>
      <c r="FV59" s="4">
        <v>-1.5328326601186819</v>
      </c>
      <c r="FW59" s="4">
        <v>-1.4925870201186371</v>
      </c>
      <c r="FX59" s="4">
        <v>-1.4512401032923561</v>
      </c>
      <c r="FY59" s="4">
        <v>-1.408728391145134</v>
      </c>
      <c r="FZ59" s="4">
        <v>-1.365009608758718</v>
      </c>
      <c r="GA59" s="4">
        <v>-1.3200703297266401</v>
      </c>
      <c r="GB59" s="4">
        <v>-1.2739318031739959</v>
      </c>
      <c r="GC59" s="4">
        <v>-1.226652193531532</v>
      </c>
      <c r="GD59" s="4">
        <v>-1.1783244787511229</v>
      </c>
      <c r="GE59" s="4">
        <v>-1.1290707796210731</v>
      </c>
      <c r="GF59" s="4">
        <v>-1.0790349486668209</v>
      </c>
      <c r="GG59" s="4">
        <v>-1.0283753169521459</v>
      </c>
      <c r="GH59" s="4">
        <v>-0.97725883677668834</v>
      </c>
      <c r="GI59" s="4">
        <v>-0.92585705430363952</v>
      </c>
      <c r="GJ59" s="4">
        <v>-0.87434378607205199</v>
      </c>
      <c r="GK59" s="4">
        <v>-0.82289411968338877</v>
      </c>
      <c r="GL59" s="4">
        <v>-0.7716842977578322</v>
      </c>
      <c r="GM59" s="4">
        <v>-0.7208920345259302</v>
      </c>
      <c r="GN59" s="4">
        <v>-0.67069674529370804</v>
      </c>
      <c r="GO59" s="4">
        <v>-0.62127896649097103</v>
      </c>
      <c r="GP59" s="4">
        <v>-0.57281790236522934</v>
      </c>
      <c r="GQ59" s="4">
        <v>-0.52548574690592753</v>
      </c>
      <c r="GR59" s="4">
        <v>-0.47943780278498949</v>
      </c>
      <c r="GS59" s="4">
        <v>-0.43479934714307689</v>
      </c>
      <c r="GT59" s="4">
        <v>-0.39165353700981997</v>
      </c>
      <c r="GU59" s="4">
        <v>-0.35003650574706002</v>
      </c>
      <c r="GV59" s="4">
        <v>-0.30994272148131768</v>
      </c>
      <c r="GW59" s="4">
        <v>-0.27133754748410471</v>
      </c>
      <c r="GX59" s="4">
        <v>-0.2341708621379763</v>
      </c>
      <c r="GY59" s="4">
        <v>-0.1983874502454879</v>
      </c>
      <c r="GZ59" s="4">
        <v>-0.1639332117974264</v>
      </c>
      <c r="HA59" s="4">
        <v>-0.1307581469333976</v>
      </c>
      <c r="HB59" s="4">
        <v>-9.8817422420682366E-2</v>
      </c>
      <c r="HC59" s="4">
        <v>-6.807149325880113E-2</v>
      </c>
      <c r="HD59" s="4">
        <v>-3.8485841027501078E-2</v>
      </c>
      <c r="HE59" s="4">
        <v>-1.003058309837224E-2</v>
      </c>
      <c r="HF59" s="4">
        <v>1.7320003723603868E-2</v>
      </c>
      <c r="HG59" s="4">
        <v>4.3588167729650802E-2</v>
      </c>
      <c r="HH59" s="4">
        <v>6.8793853540701999E-2</v>
      </c>
      <c r="HI59" s="4">
        <v>9.2956750361058216E-2</v>
      </c>
      <c r="HJ59" s="4">
        <v>0.1160995120992756</v>
      </c>
      <c r="HK59" s="4">
        <v>0.13825188885046341</v>
      </c>
      <c r="HL59" s="4">
        <v>0.1594545386690345</v>
      </c>
      <c r="HM59" s="4">
        <v>0.17976074798492411</v>
      </c>
      <c r="HN59" s="4">
        <v>0.1992351841286264</v>
      </c>
      <c r="HO59" s="4">
        <v>0.21795058562184491</v>
      </c>
      <c r="HP59" s="4">
        <v>0.23598419173035051</v>
      </c>
      <c r="HQ59" s="4">
        <v>0.2534151732807266</v>
      </c>
      <c r="HR59" s="4">
        <v>0.27032335662226309</v>
      </c>
      <c r="HS59" s="4">
        <v>0.28678897486559363</v>
      </c>
      <c r="HT59" s="4">
        <v>0.30289307514179459</v>
      </c>
      <c r="HU59" s="4">
        <v>0.3187182953962675</v>
      </c>
      <c r="HV59" s="4">
        <v>0.33434981725462398</v>
      </c>
      <c r="HW59" s="4">
        <v>0.34987633435977239</v>
      </c>
      <c r="HX59" s="4">
        <v>0.36539082678066798</v>
      </c>
      <c r="HY59" s="4">
        <v>0.38099078925520452</v>
      </c>
      <c r="HZ59" s="4">
        <v>0.39677733571372847</v>
      </c>
      <c r="IA59" s="4">
        <v>0.41285241408472612</v>
      </c>
      <c r="IB59" s="4">
        <v>0.4293135734293867</v>
      </c>
      <c r="IC59" s="4">
        <v>0.44624685818048843</v>
      </c>
      <c r="ID59" s="4">
        <v>0.46372037535387151</v>
      </c>
      <c r="IE59" s="4">
        <v>0.48178216540604829</v>
      </c>
      <c r="IF59" s="4">
        <v>0.50046414789232552</v>
      </c>
      <c r="IG59" s="4">
        <v>0.51979021247141466</v>
      </c>
      <c r="IH59" s="4">
        <v>0.53978457441903727</v>
      </c>
      <c r="II59" s="4">
        <v>0.56047740008255298</v>
      </c>
      <c r="IJ59" s="4">
        <v>0.58190638393104299</v>
      </c>
      <c r="IK59" s="4">
        <v>0.60411384938973578</v>
      </c>
      <c r="IL59" s="4">
        <v>0.62713942272568834</v>
      </c>
      <c r="IM59" s="4">
        <v>0.65100959679756754</v>
      </c>
    </row>
    <row r="60" spans="2:247" x14ac:dyDescent="0.35">
      <c r="B60" s="58">
        <v>0.44</v>
      </c>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v>-3.7694658108175858</v>
      </c>
      <c r="DW60" s="4">
        <v>-3.7220789216809509</v>
      </c>
      <c r="DX60" s="4">
        <v>-3.6747602995034341</v>
      </c>
      <c r="DY60" s="4">
        <v>-3.6275306683637121</v>
      </c>
      <c r="DZ60" s="4">
        <v>-3.5804127176794269</v>
      </c>
      <c r="EA60" s="4">
        <v>-3.5334311661021411</v>
      </c>
      <c r="EB60" s="4">
        <v>-3.4866127959202209</v>
      </c>
      <c r="EC60" s="4">
        <v>-3.4399864477073301</v>
      </c>
      <c r="ED60" s="4">
        <v>-3.3935829632103411</v>
      </c>
      <c r="EE60" s="4">
        <v>-3.3474350629015399</v>
      </c>
      <c r="EF60" s="4">
        <v>-3.301577143520614</v>
      </c>
      <c r="EG60" s="4">
        <v>-3.2560449807110321</v>
      </c>
      <c r="EH60" s="4">
        <v>-3.210875323045332</v>
      </c>
      <c r="EI60" s="4">
        <v>-3.1661053669409438</v>
      </c>
      <c r="EJ60" s="4">
        <v>-3.1217721077935301</v>
      </c>
      <c r="EK60" s="4">
        <v>-3.0779115715081669</v>
      </c>
      <c r="EL60" s="4">
        <v>-3.034557942488731</v>
      </c>
      <c r="EM60" s="4">
        <v>-2.9917426183512421</v>
      </c>
      <c r="EN60" s="4">
        <v>-2.9494932365598592</v>
      </c>
      <c r="EO60" s="4">
        <v>-2.907832731334564</v>
      </c>
      <c r="EP60" s="4">
        <v>-2.866778487454642</v>
      </c>
      <c r="EQ60" s="4">
        <v>-2.826341658023658</v>
      </c>
      <c r="ER60" s="4">
        <v>-2.7865267040104311</v>
      </c>
      <c r="ES60" s="4">
        <v>-2.747331194557904</v>
      </c>
      <c r="ET60" s="4">
        <v>-2.708745881129845</v>
      </c>
      <c r="EU60" s="4">
        <v>-2.6707550299309042</v>
      </c>
      <c r="EV60" s="4">
        <v>-2.6333369708147449</v>
      </c>
      <c r="EW60" s="4">
        <v>-2.5964648014845251</v>
      </c>
      <c r="EX60" s="4">
        <v>-2.5601071756900611</v>
      </c>
      <c r="EY60" s="4">
        <v>-2.5242291035316189</v>
      </c>
      <c r="EZ60" s="4">
        <v>-2.4887926991824409</v>
      </c>
      <c r="FA60" s="4">
        <v>-2.4537578236564448</v>
      </c>
      <c r="FB60" s="4">
        <v>-2.4190825850193738</v>
      </c>
      <c r="FC60" s="4">
        <v>-2.384723673773343</v>
      </c>
      <c r="FD60" s="4">
        <v>-2.3506365261438131</v>
      </c>
      <c r="FE60" s="4">
        <v>-2.31677532256088</v>
      </c>
      <c r="FF60" s="4">
        <v>-2.2830928428275441</v>
      </c>
      <c r="FG60" s="4">
        <v>-2.2495402128105608</v>
      </c>
      <c r="FH60" s="4">
        <v>-2.2160665883420201</v>
      </c>
      <c r="FI60" s="4">
        <v>-2.1826188276879401</v>
      </c>
      <c r="FJ60" s="4">
        <v>-2.1491412016790301</v>
      </c>
      <c r="FK60" s="4">
        <v>-2.1155751793068092</v>
      </c>
      <c r="FL60" s="4">
        <v>-2.081859308250817</v>
      </c>
      <c r="FM60" s="4">
        <v>-2.0479291895391509</v>
      </c>
      <c r="FN60" s="4">
        <v>-2.0137175299098611</v>
      </c>
      <c r="FO60" s="4">
        <v>-1.9791542499298369</v>
      </c>
      <c r="FP60" s="4">
        <v>-1.944166633302538</v>
      </c>
      <c r="FQ60" s="4">
        <v>-1.908679523138801</v>
      </c>
      <c r="FR60" s="4">
        <v>-1.872615603007912</v>
      </c>
      <c r="FS60" s="4">
        <v>-1.835895842918031</v>
      </c>
      <c r="FT60" s="4">
        <v>-1.7984402411363991</v>
      </c>
      <c r="FU60" s="4">
        <v>-1.7601690468859841</v>
      </c>
      <c r="FV60" s="4">
        <v>-1.721004692747456</v>
      </c>
      <c r="FW60" s="4">
        <v>-1.6808746699835631</v>
      </c>
      <c r="FX60" s="4">
        <v>-1.6397154980206701</v>
      </c>
      <c r="FY60" s="4">
        <v>-1.597477719760569</v>
      </c>
      <c r="FZ60" s="4">
        <v>-1.5541314849586529</v>
      </c>
      <c r="GA60" s="4">
        <v>-1.5096718554009989</v>
      </c>
      <c r="GB60" s="4">
        <v>-1.464122696947602</v>
      </c>
      <c r="GC60" s="4">
        <v>-1.417538160454082</v>
      </c>
      <c r="GD60" s="4">
        <v>-1.3700013544827461</v>
      </c>
      <c r="GE60" s="4">
        <v>-1.3216206214902959</v>
      </c>
      <c r="GF60" s="4">
        <v>-1.2725244299220999</v>
      </c>
      <c r="GG60" s="4">
        <v>-1.2228560308727561</v>
      </c>
      <c r="GH60" s="4">
        <v>-1.172768757068799</v>
      </c>
      <c r="GI60" s="4">
        <v>-1.1224224077722069</v>
      </c>
      <c r="GJ60" s="4">
        <v>-1.0719807812531179</v>
      </c>
      <c r="GK60" s="4">
        <v>-1.021610171604953</v>
      </c>
      <c r="GL60" s="4">
        <v>-0.97147851710735544</v>
      </c>
      <c r="GM60" s="4">
        <v>-0.92175480879302807</v>
      </c>
      <c r="GN60" s="4">
        <v>-0.87260828088281839</v>
      </c>
      <c r="GO60" s="4">
        <v>-0.82420678441749029</v>
      </c>
      <c r="GP60" s="4">
        <v>-0.77671363786919478</v>
      </c>
      <c r="GQ60" s="4">
        <v>-0.73028232300636242</v>
      </c>
      <c r="GR60" s="4">
        <v>-0.68504894494176627</v>
      </c>
      <c r="GS60" s="4">
        <v>-0.64112359248375128</v>
      </c>
      <c r="GT60" s="4">
        <v>-0.5985831776957129</v>
      </c>
      <c r="GU60" s="4">
        <v>-0.55746872955014437</v>
      </c>
      <c r="GV60" s="4">
        <v>-0.51778849639120272</v>
      </c>
      <c r="GW60" s="4">
        <v>-0.4795255044866491</v>
      </c>
      <c r="GX60" s="4">
        <v>-0.44264659706035347</v>
      </c>
      <c r="GY60" s="4">
        <v>-0.4071103681226762</v>
      </c>
      <c r="GZ60" s="4">
        <v>-0.37287283748889483</v>
      </c>
      <c r="HA60" s="4">
        <v>-0.33989091307816149</v>
      </c>
      <c r="HB60" s="4">
        <v>-0.30812421000474138</v>
      </c>
      <c r="HC60" s="4">
        <v>-0.27753582992723169</v>
      </c>
      <c r="HD60" s="4">
        <v>-0.24809253972859621</v>
      </c>
      <c r="HE60" s="4">
        <v>-0.21976459562141001</v>
      </c>
      <c r="HF60" s="4">
        <v>-0.1925252936834814</v>
      </c>
      <c r="HG60" s="4">
        <v>-0.1663501967631755</v>
      </c>
      <c r="HH60" s="4">
        <v>-0.14121589627246989</v>
      </c>
      <c r="HI60" s="4">
        <v>-0.1170981535496298</v>
      </c>
      <c r="HJ60" s="4">
        <v>-9.3969405585550003E-2</v>
      </c>
      <c r="HK60" s="4">
        <v>-7.1795963081696446E-2</v>
      </c>
      <c r="HL60" s="4">
        <v>-5.053564288849044E-2</v>
      </c>
      <c r="HM60" s="4">
        <v>-3.0136689503188041E-2</v>
      </c>
      <c r="HN60" s="4">
        <v>-1.0538368247439591E-2</v>
      </c>
      <c r="HO60" s="4">
        <v>8.3271745993278579E-3</v>
      </c>
      <c r="HP60" s="4">
        <v>2.6532660790826501E-2</v>
      </c>
      <c r="HQ60" s="4">
        <v>4.4153799646592613E-2</v>
      </c>
      <c r="HR60" s="4">
        <v>6.1268120602930853E-2</v>
      </c>
      <c r="HS60" s="4">
        <v>7.7954507496774017E-2</v>
      </c>
      <c r="HT60" s="4">
        <v>9.4293261603240364E-2</v>
      </c>
      <c r="HU60" s="4">
        <v>0.11036649266072771</v>
      </c>
      <c r="HV60" s="4">
        <v>0.126258652442099</v>
      </c>
      <c r="HW60" s="4">
        <v>0.14205702600448289</v>
      </c>
      <c r="HX60" s="4">
        <v>0.15785195707515109</v>
      </c>
      <c r="HY60" s="4">
        <v>0.1737365073999402</v>
      </c>
      <c r="HZ60" s="4">
        <v>0.18980517399876051</v>
      </c>
      <c r="IA60" s="4">
        <v>0.20615131915798779</v>
      </c>
      <c r="IB60" s="4">
        <v>0.22286328169553429</v>
      </c>
      <c r="IC60" s="4">
        <v>0.2400198466007972</v>
      </c>
      <c r="ID60" s="4">
        <v>0.25768658941029221</v>
      </c>
      <c r="IE60" s="4">
        <v>0.27591482246192139</v>
      </c>
      <c r="IF60" s="4">
        <v>0.29474387051304118</v>
      </c>
      <c r="IG60" s="4">
        <v>0.31420573431841919</v>
      </c>
      <c r="IH60" s="4">
        <v>0.33433014149141771</v>
      </c>
      <c r="II60" s="4">
        <v>0.35514808834965228</v>
      </c>
      <c r="IJ60" s="4">
        <v>0.37669271440814928</v>
      </c>
      <c r="IK60" s="4">
        <v>0.39899709888898333</v>
      </c>
      <c r="IL60" s="4">
        <v>0.42208928657216171</v>
      </c>
      <c r="IM60" s="4">
        <v>0.44598579326397259</v>
      </c>
    </row>
    <row r="61" spans="2:247" x14ac:dyDescent="0.35">
      <c r="B61" s="58">
        <v>0.45</v>
      </c>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v>-3.9542577960448351</v>
      </c>
      <c r="DW61" s="4">
        <v>-3.907063231843285</v>
      </c>
      <c r="DX61" s="4">
        <v>-3.8599501486969658</v>
      </c>
      <c r="DY61" s="4">
        <v>-3.812939163791417</v>
      </c>
      <c r="DZ61" s="4">
        <v>-3.7660526832445358</v>
      </c>
      <c r="EA61" s="4">
        <v>-3.719314934657302</v>
      </c>
      <c r="EB61" s="4">
        <v>-3.672751968634508</v>
      </c>
      <c r="EC61" s="4">
        <v>-3.6263916202649749</v>
      </c>
      <c r="ED61" s="4">
        <v>-3.5802634204050561</v>
      </c>
      <c r="EE61" s="4">
        <v>-3.5343984457543778</v>
      </c>
      <c r="EF61" s="4">
        <v>-3.4888290963993942</v>
      </c>
      <c r="EG61" s="4">
        <v>-3.443588790053731</v>
      </c>
      <c r="EH61" s="4">
        <v>-3.3987115640222729</v>
      </c>
      <c r="EI61" s="4">
        <v>-3.3542315793488928</v>
      </c>
      <c r="EJ61" s="4">
        <v>-3.3101825269958258</v>
      </c>
      <c r="EK61" s="4">
        <v>-3.2665969433696258</v>
      </c>
      <c r="EL61" s="4">
        <v>-3.2235054518341149</v>
      </c>
      <c r="EM61" s="4">
        <v>-3.180935957323892</v>
      </c>
      <c r="EN61" s="4">
        <v>-3.1389128315151118</v>
      </c>
      <c r="EO61" s="4">
        <v>-3.0974561344501619</v>
      </c>
      <c r="EP61" s="4">
        <v>-3.0565809230468579</v>
      </c>
      <c r="EQ61" s="4">
        <v>-3.0162966957934301</v>
      </c>
      <c r="ER61" s="4">
        <v>-2.976607015180293</v>
      </c>
      <c r="ES61" s="4">
        <v>-2.937509335361864</v>
      </c>
      <c r="ET61" s="4">
        <v>-2.898995043901134</v>
      </c>
      <c r="EU61" s="4">
        <v>-2.8610497060680329</v>
      </c>
      <c r="EV61" s="4">
        <v>-2.8236534813102061</v>
      </c>
      <c r="EW61" s="4">
        <v>-2.786781667054484</v>
      </c>
      <c r="EX61" s="4">
        <v>-2.7504053167013769</v>
      </c>
      <c r="EY61" s="4">
        <v>-2.7144918769478759</v>
      </c>
      <c r="EZ61" s="4">
        <v>-2.6790057936147731</v>
      </c>
      <c r="FA61" s="4">
        <v>-2.6439090434458761</v>
      </c>
      <c r="FB61" s="4">
        <v>-2.6091615602152212</v>
      </c>
      <c r="FC61" s="4">
        <v>-2.574721535551264</v>
      </c>
      <c r="FD61" s="4">
        <v>-2.5405455872655511</v>
      </c>
      <c r="FE61" s="4">
        <v>-2.5065888001463201</v>
      </c>
      <c r="FF61" s="4">
        <v>-2.4728046557154739</v>
      </c>
      <c r="FG61" s="4">
        <v>-2.4391448776357678</v>
      </c>
      <c r="FH61" s="4">
        <v>-2.405559227093474</v>
      </c>
      <c r="FI61" s="4">
        <v>-2.3719952860364089</v>
      </c>
      <c r="FJ61" s="4">
        <v>-2.3383982643584051</v>
      </c>
      <c r="FK61" s="4">
        <v>-2.3047108598446919</v>
      </c>
      <c r="FL61" s="4">
        <v>-2.270873188512609</v>
      </c>
      <c r="FM61" s="4">
        <v>-2.2368227911226972</v>
      </c>
      <c r="FN61" s="4">
        <v>-2.202494713061582</v>
      </c>
      <c r="FO61" s="4">
        <v>-2.167821652959272</v>
      </c>
      <c r="FP61" s="4">
        <v>-2.132734182304389</v>
      </c>
      <c r="FQ61" s="4">
        <v>-2.097161054314896</v>
      </c>
      <c r="FR61" s="4">
        <v>-2.061029644446986</v>
      </c>
      <c r="FS61" s="4">
        <v>-2.0242665951223988</v>
      </c>
      <c r="FT61" s="4">
        <v>-1.986798769798636</v>
      </c>
      <c r="FU61" s="4">
        <v>-1.948554649285956</v>
      </c>
      <c r="FV61" s="4">
        <v>-1.9094663132725069</v>
      </c>
      <c r="FW61" s="4">
        <v>-1.8694721220633059</v>
      </c>
      <c r="FX61" s="4">
        <v>-1.828520123115992</v>
      </c>
      <c r="FY61" s="4">
        <v>-1.7865720381079311</v>
      </c>
      <c r="FZ61" s="4">
        <v>-1.7436074547680609</v>
      </c>
      <c r="GA61" s="4">
        <v>-1.699627623103203</v>
      </c>
      <c r="GB61" s="4">
        <v>-1.6546581541101311</v>
      </c>
      <c r="GC61" s="4">
        <v>-1.6087500440547551</v>
      </c>
      <c r="GD61" s="4">
        <v>-1.561978802581441</v>
      </c>
      <c r="GE61" s="4">
        <v>-1.5144419160326179</v>
      </c>
      <c r="GF61" s="4">
        <v>-1.4662552315469981</v>
      </c>
      <c r="GG61" s="4">
        <v>-1.417548970047219</v>
      </c>
      <c r="GH61" s="4">
        <v>-1.368463969759258</v>
      </c>
      <c r="GI61" s="4">
        <v>-1.3191485280754269</v>
      </c>
      <c r="GJ61" s="4">
        <v>-1.269755961664673</v>
      </c>
      <c r="GK61" s="4">
        <v>-1.220442808144252</v>
      </c>
      <c r="GL61" s="4">
        <v>-1.171367458049686</v>
      </c>
      <c r="GM61" s="4">
        <v>-1.1226889133181559</v>
      </c>
      <c r="GN61" s="4">
        <v>-1.0745652964339609</v>
      </c>
      <c r="GO61" s="4">
        <v>-1.027151684339112</v>
      </c>
      <c r="GP61" s="4">
        <v>-0.98059685879330827</v>
      </c>
      <c r="GQ61" s="4">
        <v>-0.93503874654798746</v>
      </c>
      <c r="GR61" s="4">
        <v>-0.89059877148041355</v>
      </c>
      <c r="GS61" s="4">
        <v>-0.84737603022605112</v>
      </c>
      <c r="GT61" s="4">
        <v>-0.80544281548429719</v>
      </c>
      <c r="GU61" s="4">
        <v>-0.76484301304213353</v>
      </c>
      <c r="GV61" s="4">
        <v>-0.72559402254608152</v>
      </c>
      <c r="GW61" s="4">
        <v>-0.68769154572213331</v>
      </c>
      <c r="GX61" s="4">
        <v>-0.65111570665592122</v>
      </c>
      <c r="GY61" s="4">
        <v>-0.61583696400830945</v>
      </c>
      <c r="GZ61" s="4">
        <v>-0.58182087662548465</v>
      </c>
      <c r="HA61" s="4">
        <v>-0.54903145659206576</v>
      </c>
      <c r="HB61" s="4">
        <v>-0.51743326854078742</v>
      </c>
      <c r="HC61" s="4">
        <v>-0.48699258347928343</v>
      </c>
      <c r="HD61" s="4">
        <v>-0.457677873342341</v>
      </c>
      <c r="HE61" s="4">
        <v>-0.42945984061674031</v>
      </c>
      <c r="HF61" s="4">
        <v>-0.40231107499943158</v>
      </c>
      <c r="HG61" s="4">
        <v>-0.37620534459481719</v>
      </c>
      <c r="HH61" s="4">
        <v>-0.35111648282045671</v>
      </c>
      <c r="HI61" s="4">
        <v>-0.32701685022940108</v>
      </c>
      <c r="HJ61" s="4">
        <v>-0.3038754586875978</v>
      </c>
      <c r="HK61" s="4">
        <v>-0.28165603214930712</v>
      </c>
      <c r="HL61" s="4">
        <v>-0.26031544837946269</v>
      </c>
      <c r="HM61" s="4">
        <v>-0.23980300204905269</v>
      </c>
      <c r="HN61" s="4">
        <v>-0.22006067270451529</v>
      </c>
      <c r="HO61" s="4">
        <v>-0.20102420060647219</v>
      </c>
      <c r="HP61" s="4">
        <v>-0.18262451842921751</v>
      </c>
      <c r="HQ61" s="4">
        <v>-0.16478908743592499</v>
      </c>
      <c r="HR61" s="4">
        <v>-0.14744286559357619</v>
      </c>
      <c r="HS61" s="4">
        <v>-0.13050883759405621</v>
      </c>
      <c r="HT61" s="4">
        <v>-0.1139081719996273</v>
      </c>
      <c r="HU61" s="4">
        <v>-9.7560133389811732E-2</v>
      </c>
      <c r="HV61" s="4">
        <v>-8.1381900887181224E-2</v>
      </c>
      <c r="HW61" s="4">
        <v>-6.5288460864897147E-2</v>
      </c>
      <c r="HX61" s="4">
        <v>-4.9192766159664281E-2</v>
      </c>
      <c r="HY61" s="4">
        <v>-3.3006380262978752E-2</v>
      </c>
      <c r="HZ61" s="4">
        <v>-1.6640819402549131E-2</v>
      </c>
      <c r="IA61" s="4">
        <v>-9.7067002267081648E-6</v>
      </c>
      <c r="IB61" s="4">
        <v>1.6968402222545361E-2</v>
      </c>
      <c r="IC61" s="4">
        <v>3.4367057893949671E-2</v>
      </c>
      <c r="ID61" s="4">
        <v>5.2249701066470422E-2</v>
      </c>
      <c r="IE61" s="4">
        <v>7.066904966488341E-2</v>
      </c>
      <c r="IF61" s="4">
        <v>8.9668391078978615E-2</v>
      </c>
      <c r="IG61" s="4">
        <v>0.10928425865516631</v>
      </c>
      <c r="IH61" s="4">
        <v>0.12954938993081819</v>
      </c>
      <c r="II61" s="4">
        <v>0.15049480704436041</v>
      </c>
      <c r="IJ61" s="4">
        <v>0.1721502122910179</v>
      </c>
      <c r="IK61" s="4">
        <v>0.19454241477139431</v>
      </c>
      <c r="IL61" s="4">
        <v>0.21769208864591769</v>
      </c>
      <c r="IM61" s="4">
        <v>0.24160977359834579</v>
      </c>
    </row>
    <row r="62" spans="2:247" x14ac:dyDescent="0.35">
      <c r="B62" s="58">
        <v>0.46</v>
      </c>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v>-4.1395427978325827</v>
      </c>
      <c r="DW62" s="4">
        <v>-4.0925454017327159</v>
      </c>
      <c r="DX62" s="4">
        <v>-4.0456416359748486</v>
      </c>
      <c r="DY62" s="4">
        <v>-3.9988518855736732</v>
      </c>
      <c r="DZ62" s="4">
        <v>-3.9521981506613941</v>
      </c>
      <c r="EA62" s="4">
        <v>-3.9057040524590638</v>
      </c>
      <c r="EB62" s="4">
        <v>-3.8593948078821509</v>
      </c>
      <c r="EC62" s="4">
        <v>-3.813297165063652</v>
      </c>
      <c r="ED62" s="4">
        <v>-3.7674392914117281</v>
      </c>
      <c r="EE62" s="4">
        <v>-3.7218506054948581</v>
      </c>
      <c r="EF62" s="4">
        <v>-3.6765615442699722</v>
      </c>
      <c r="EG62" s="4">
        <v>-3.631603258176809</v>
      </c>
      <c r="EH62" s="4">
        <v>-3.5870072286730661</v>
      </c>
      <c r="EI62" s="4">
        <v>-3.5428048061086952</v>
      </c>
      <c r="EJ62" s="4">
        <v>-3.4990266705757209</v>
      </c>
      <c r="EK62" s="4">
        <v>-3.4557022244886459</v>
      </c>
      <c r="EL62" s="4">
        <v>-3.4128589328523731</v>
      </c>
      <c r="EM62" s="4">
        <v>-3.3705216348283078</v>
      </c>
      <c r="EN62" s="4">
        <v>-3.3287118573383729</v>
      </c>
      <c r="EO62" s="4">
        <v>-3.2874471668146228</v>
      </c>
      <c r="EP62" s="4">
        <v>-3.2467405975161632</v>
      </c>
      <c r="EQ62" s="4">
        <v>-3.2066001930464352</v>
      </c>
      <c r="ER62" s="4">
        <v>-3.1670286913387549</v>
      </c>
      <c r="ES62" s="4">
        <v>-3.1280233727798832</v>
      </c>
      <c r="ET62" s="4">
        <v>-3.0895760775248911</v>
      </c>
      <c r="EU62" s="4">
        <v>-3.051673383304363</v>
      </c>
      <c r="EV62" s="4">
        <v>-3.0142969212773618</v>
      </c>
      <c r="EW62" s="4">
        <v>-2.9774237966492811</v>
      </c>
      <c r="EX62" s="4">
        <v>-2.941027074118733</v>
      </c>
      <c r="EY62" s="4">
        <v>-2.9050762861772048</v>
      </c>
      <c r="EZ62" s="4">
        <v>-2.8695379245228811</v>
      </c>
      <c r="FA62" s="4">
        <v>-2.8343758805049162</v>
      </c>
      <c r="FB62" s="4">
        <v>-2.7995518085248778</v>
      </c>
      <c r="FC62" s="4">
        <v>-2.7650253956895048</v>
      </c>
      <c r="FD62" s="4">
        <v>-2.7307545309331571</v>
      </c>
      <c r="FE62" s="4">
        <v>-2.6966953766853261</v>
      </c>
      <c r="FF62" s="4">
        <v>-2.6628023553673601</v>
      </c>
      <c r="FG62" s="4">
        <v>-2.6290280708731011</v>
      </c>
      <c r="FH62" s="4">
        <v>-2.5953231908709768</v>
      </c>
      <c r="FI62" s="4">
        <v>-2.5616363183925639</v>
      </c>
      <c r="FJ62" s="4">
        <v>-2.527913880204959</v>
      </c>
      <c r="FK62" s="4">
        <v>-2.4941000551051671</v>
      </c>
      <c r="FL62" s="4">
        <v>-2.4601367587235941</v>
      </c>
      <c r="FM62" s="4">
        <v>-2.425963694766982</v>
      </c>
      <c r="FN62" s="4">
        <v>-2.3915184783312848</v>
      </c>
      <c r="FO62" s="4">
        <v>-2.3567368371323498</v>
      </c>
      <c r="FP62" s="4">
        <v>-2.3215529025196791</v>
      </c>
      <c r="FQ62" s="4">
        <v>-2.2858996141000221</v>
      </c>
      <c r="FR62" s="4">
        <v>-2.24970927865377</v>
      </c>
      <c r="FS62" s="4">
        <v>-2.212914343428992</v>
      </c>
      <c r="FT62" s="4">
        <v>-2.1754484617573069</v>
      </c>
      <c r="FU62" s="4">
        <v>-2.137247938649308</v>
      </c>
      <c r="FV62" s="4">
        <v>-2.0982536358654129</v>
      </c>
      <c r="FW62" s="4">
        <v>-2.0584133778412208</v>
      </c>
      <c r="FX62" s="4">
        <v>-2.017684821278928</v>
      </c>
      <c r="FY62" s="4">
        <v>-1.9760386315649641</v>
      </c>
      <c r="FZ62" s="4">
        <v>-1.933461668314743</v>
      </c>
      <c r="GA62" s="4">
        <v>-1.8899597660199099</v>
      </c>
      <c r="GB62" s="4">
        <v>-1.845559664458134</v>
      </c>
      <c r="GC62" s="4">
        <v>-1.8003097409318709</v>
      </c>
      <c r="GD62" s="4">
        <v>-1.754279413545131</v>
      </c>
      <c r="GE62" s="4">
        <v>-1.707557350601324</v>
      </c>
      <c r="GF62" s="4">
        <v>-1.6602488367894011</v>
      </c>
      <c r="GG62" s="4">
        <v>-1.612472740704805</v>
      </c>
      <c r="GH62" s="4">
        <v>-1.564358490579695</v>
      </c>
      <c r="GI62" s="4">
        <v>-1.51604333821509</v>
      </c>
      <c r="GJ62" s="4">
        <v>-1.4676700336335471</v>
      </c>
      <c r="GK62" s="4">
        <v>-1.4193848885820679</v>
      </c>
      <c r="GL62" s="4">
        <v>-1.371336094270952</v>
      </c>
      <c r="GM62" s="4">
        <v>-1.32367207869981</v>
      </c>
      <c r="GN62" s="4">
        <v>-1.276539640085316</v>
      </c>
      <c r="GO62" s="4">
        <v>-1.230081585453769</v>
      </c>
      <c r="GP62" s="4">
        <v>-1.184433667197734</v>
      </c>
      <c r="GQ62" s="4">
        <v>-1.1397207871874471</v>
      </c>
      <c r="GR62" s="4">
        <v>-1.0960527463031891</v>
      </c>
      <c r="GS62" s="4">
        <v>-1.053520191475193</v>
      </c>
      <c r="GT62" s="4">
        <v>-1.012191668585851</v>
      </c>
      <c r="GU62" s="4">
        <v>-0.97211260486511764</v>
      </c>
      <c r="GV62" s="4">
        <v>-0.93330655301793009</v>
      </c>
      <c r="GW62" s="4">
        <v>-0.89577835175058063</v>
      </c>
      <c r="GX62" s="4">
        <v>-0.85951836296070017</v>
      </c>
      <c r="GY62" s="4">
        <v>-0.82450685484742525</v>
      </c>
      <c r="GZ62" s="4">
        <v>-0.79071784643689202</v>
      </c>
      <c r="HA62" s="4">
        <v>-0.7581220889419642</v>
      </c>
      <c r="HB62" s="4">
        <v>-0.72668914885566949</v>
      </c>
      <c r="HC62" s="4">
        <v>-0.69638871188698914</v>
      </c>
      <c r="HD62" s="4">
        <v>-0.66719126699603315</v>
      </c>
      <c r="HE62" s="4">
        <v>-0.63906830424591732</v>
      </c>
      <c r="HF62" s="4">
        <v>-0.6119921108626496</v>
      </c>
      <c r="HG62" s="4">
        <v>-0.58593520552277312</v>
      </c>
      <c r="HH62" s="4">
        <v>-0.56086943202539885</v>
      </c>
      <c r="HI62" s="4">
        <v>-0.53676475596988737</v>
      </c>
      <c r="HJ62" s="4">
        <v>-0.5135878769914477</v>
      </c>
      <c r="HK62" s="4">
        <v>-0.49130086389368438</v>
      </c>
      <c r="HL62" s="4">
        <v>-0.46986008546981489</v>
      </c>
      <c r="HM62" s="4">
        <v>-0.4492156796501634</v>
      </c>
      <c r="HN62" s="4">
        <v>-0.42931165774357721</v>
      </c>
      <c r="HO62" s="4">
        <v>-0.41008654245566861</v>
      </c>
      <c r="HP62" s="4">
        <v>-0.39147429521320021</v>
      </c>
      <c r="HQ62" s="4">
        <v>-0.37340526422340398</v>
      </c>
      <c r="HR62" s="4">
        <v>-0.35580696083835761</v>
      </c>
      <c r="HS62" s="4">
        <v>-0.33860458396387472</v>
      </c>
      <c r="HT62" s="4">
        <v>-0.32172130803477739</v>
      </c>
      <c r="HU62" s="4">
        <v>-0.30507841189856849</v>
      </c>
      <c r="HV62" s="4">
        <v>-0.28859536074926062</v>
      </c>
      <c r="HW62" s="4">
        <v>-0.27218997387132321</v>
      </c>
      <c r="HX62" s="4">
        <v>-0.25577882351246828</v>
      </c>
      <c r="HY62" s="4">
        <v>-0.23927800818982711</v>
      </c>
      <c r="HZ62" s="4">
        <v>-0.2226044068756039</v>
      </c>
      <c r="IA62" s="4">
        <v>-0.20567742151417789</v>
      </c>
      <c r="IB62" s="4">
        <v>-0.18842104185127709</v>
      </c>
      <c r="IC62" s="4">
        <v>-0.17076585720775131</v>
      </c>
      <c r="ID62" s="4">
        <v>-0.15265050432789359</v>
      </c>
      <c r="IE62" s="4">
        <v>-0.13402211217007931</v>
      </c>
      <c r="IF62" s="4">
        <v>-0.11483562314858541</v>
      </c>
      <c r="IG62" s="4">
        <v>-9.5052303621590895E-2</v>
      </c>
      <c r="IH62" s="4">
        <v>-7.4638078353775228E-2</v>
      </c>
      <c r="II62" s="4">
        <v>-5.35623867243471E-2</v>
      </c>
      <c r="IJ62" s="4">
        <v>-3.1798071962496621E-2</v>
      </c>
      <c r="IK62" s="4">
        <v>-9.3224748382363387E-3</v>
      </c>
      <c r="IL62" s="4">
        <v>1.3880497220018381E-2</v>
      </c>
      <c r="IM62" s="4">
        <v>3.7817928325358352E-2</v>
      </c>
    </row>
    <row r="63" spans="2:247" x14ac:dyDescent="0.35">
      <c r="B63" s="58">
        <v>0.47</v>
      </c>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v>-4.3253010983345517</v>
      </c>
      <c r="DW63" s="4">
        <v>-4.2785043509171814</v>
      </c>
      <c r="DX63" s="4">
        <v>-4.2318123296140948</v>
      </c>
      <c r="DY63" s="4">
        <v>-4.1852450819107414</v>
      </c>
      <c r="DZ63" s="4">
        <v>-4.1388241021675869</v>
      </c>
      <c r="EA63" s="4">
        <v>-4.0925723155363016</v>
      </c>
      <c r="EB63" s="4">
        <v>-4.0465140310832473</v>
      </c>
      <c r="EC63" s="4">
        <v>-4.0006748576540252</v>
      </c>
      <c r="ED63" s="4">
        <v>-3.9550815757121338</v>
      </c>
      <c r="EE63" s="4">
        <v>-3.909761958436222</v>
      </c>
      <c r="EF63" s="4">
        <v>-3.8647445359192409</v>
      </c>
      <c r="EG63" s="4">
        <v>-3.8200582975486919</v>
      </c>
      <c r="EH63" s="4">
        <v>-3.7757323297242951</v>
      </c>
      <c r="EI63" s="4">
        <v>-3.7317953891061131</v>
      </c>
      <c r="EJ63" s="4">
        <v>-3.6882754156192359</v>
      </c>
      <c r="EK63" s="4">
        <v>-3.6451989943584229</v>
      </c>
      <c r="EL63" s="4">
        <v>-3.602590781036219</v>
      </c>
      <c r="EM63" s="4">
        <v>-3.5604729111785489</v>
      </c>
      <c r="EN63" s="4">
        <v>-3.5188644181639162</v>
      </c>
      <c r="EO63" s="4">
        <v>-3.4777806885714488</v>
      </c>
      <c r="EP63" s="4">
        <v>-3.4372329843133498</v>
      </c>
      <c r="EQ63" s="4">
        <v>-3.397228059055823</v>
      </c>
      <c r="ER63" s="4">
        <v>-3.3577678912574598</v>
      </c>
      <c r="ES63" s="4">
        <v>-3.318849548095157</v>
      </c>
      <c r="ET63" s="4">
        <v>-3.2804651844643051</v>
      </c>
      <c r="EU63" s="4">
        <v>-3.2426021704093611</v>
      </c>
      <c r="EV63" s="4">
        <v>-3.2052433301950889</v>
      </c>
      <c r="EW63" s="4">
        <v>-3.1683672680681649</v>
      </c>
      <c r="EX63" s="4">
        <v>-3.131948750493438</v>
      </c>
      <c r="EY63" s="4">
        <v>-3.095959112677233</v>
      </c>
      <c r="EZ63" s="4">
        <v>-3.0603666583995528</v>
      </c>
      <c r="FA63" s="4">
        <v>-3.025137026082628</v>
      </c>
      <c r="FB63" s="4">
        <v>-2.9902334999391891</v>
      </c>
      <c r="FC63" s="4">
        <v>-2.9556172522428459</v>
      </c>
      <c r="FD63" s="4">
        <v>-2.9212475105823672</v>
      </c>
      <c r="FE63" s="4">
        <v>-2.887081651801287</v>
      </c>
      <c r="FF63" s="4">
        <v>-2.8530752316198051</v>
      </c>
      <c r="FG63" s="4">
        <v>-2.8191819651013561</v>
      </c>
      <c r="FH63" s="4">
        <v>-2.7853536775685561</v>
      </c>
      <c r="FI63" s="4">
        <v>-2.7515402477969291</v>
      </c>
      <c r="FJ63" s="4">
        <v>-2.7176895651172059</v>
      </c>
      <c r="FK63" s="4">
        <v>-2.6837475197256282</v>
      </c>
      <c r="FL63" s="4">
        <v>-2.6496580419140781</v>
      </c>
      <c r="FM63" s="4">
        <v>-2.615363202446837</v>
      </c>
      <c r="FN63" s="4">
        <v>-2.580803384469371</v>
      </c>
      <c r="FO63" s="4">
        <v>-2.5459175384478669</v>
      </c>
      <c r="FP63" s="4">
        <v>-2.510643536423482</v>
      </c>
      <c r="FQ63" s="4">
        <v>-2.474918650191984</v>
      </c>
      <c r="FR63" s="4">
        <v>-2.4386801887676022</v>
      </c>
      <c r="FS63" s="4">
        <v>-2.4018663413965702</v>
      </c>
      <c r="FT63" s="4">
        <v>-2.3644172798444569</v>
      </c>
      <c r="FU63" s="4">
        <v>-2.3262765725700092</v>
      </c>
      <c r="FV63" s="4">
        <v>-2.287392947351623</v>
      </c>
      <c r="FW63" s="4">
        <v>-2.247722401684038</v>
      </c>
      <c r="FX63" s="4">
        <v>-2.20723059869723</v>
      </c>
      <c r="FY63" s="4">
        <v>-2.1658954050928538</v>
      </c>
      <c r="FZ63" s="4">
        <v>-2.1237093431934051</v>
      </c>
      <c r="GA63" s="4">
        <v>-2.0806816698924671</v>
      </c>
      <c r="GB63" s="4">
        <v>-2.0368397924296682</v>
      </c>
      <c r="GC63" s="4">
        <v>-1.9922298027894001</v>
      </c>
      <c r="GD63" s="4">
        <v>-1.946916049301429</v>
      </c>
      <c r="GE63" s="4">
        <v>-1.90097982613521</v>
      </c>
      <c r="GF63" s="4">
        <v>-1.8545173963510331</v>
      </c>
      <c r="GG63" s="4">
        <v>-1.8076376321359371</v>
      </c>
      <c r="GH63" s="4">
        <v>-1.760459546397054</v>
      </c>
      <c r="GI63" s="4">
        <v>-1.7131099205086351</v>
      </c>
      <c r="GJ63" s="4">
        <v>-1.665721134227873</v>
      </c>
      <c r="GK63" s="4">
        <v>-1.618429203449234</v>
      </c>
      <c r="GL63" s="4">
        <v>-1.5713719471052581</v>
      </c>
      <c r="GM63" s="4">
        <v>-1.524687144828913</v>
      </c>
      <c r="GN63" s="4">
        <v>-1.4785105182162379</v>
      </c>
      <c r="GO63" s="4">
        <v>-1.4329733808242759</v>
      </c>
      <c r="GP63" s="4">
        <v>-1.388199870856313</v>
      </c>
      <c r="GQ63" s="4">
        <v>-1.344303818246537</v>
      </c>
      <c r="GR63" s="4">
        <v>-1.3013854941294181</v>
      </c>
      <c r="GS63" s="4">
        <v>-1.259528690065798</v>
      </c>
      <c r="GT63" s="4">
        <v>-1.2187986776451769</v>
      </c>
      <c r="GU63" s="4">
        <v>-1.1792415122059361</v>
      </c>
      <c r="GV63" s="4">
        <v>-1.1408848582004369</v>
      </c>
      <c r="GW63" s="4">
        <v>-1.103740140607864</v>
      </c>
      <c r="GX63" s="4">
        <v>-1.0678055379418681</v>
      </c>
      <c r="GY63" s="4">
        <v>-1.033069240153573</v>
      </c>
      <c r="GZ63" s="4">
        <v>-0.99951248978781382</v>
      </c>
      <c r="HA63" s="4">
        <v>-0.96711211319805179</v>
      </c>
      <c r="HB63" s="4">
        <v>-0.93584243177790749</v>
      </c>
      <c r="HC63" s="4">
        <v>-0.90567656720577339</v>
      </c>
      <c r="HD63" s="4">
        <v>-0.87658721251434257</v>
      </c>
      <c r="HE63" s="4">
        <v>-0.84854695067050456</v>
      </c>
      <c r="HF63" s="4">
        <v>-0.82152818856879839</v>
      </c>
      <c r="HG63" s="4">
        <v>-0.79550275799304937</v>
      </c>
      <c r="HH63" s="4">
        <v>-0.77044123185942204</v>
      </c>
      <c r="HI63" s="4">
        <v>-0.74631202305018163</v>
      </c>
      <c r="HJ63" s="4">
        <v>-0.72308037332978414</v>
      </c>
      <c r="HK63" s="4">
        <v>-0.70070738527100107</v>
      </c>
      <c r="HL63" s="4">
        <v>-0.6791492713830134</v>
      </c>
      <c r="HM63" s="4">
        <v>-0.6583569636689679</v>
      </c>
      <c r="HN63" s="4">
        <v>-0.63827614033832769</v>
      </c>
      <c r="HO63" s="4">
        <v>-0.61884761662317955</v>
      </c>
      <c r="HP63" s="4">
        <v>-0.6000079631752786</v>
      </c>
      <c r="HQ63" s="4">
        <v>-0.58169019105443875</v>
      </c>
      <c r="HR63" s="4">
        <v>-0.56382437440505728</v>
      </c>
      <c r="HS63" s="4">
        <v>-0.54633814367053612</v>
      </c>
      <c r="HT63" s="4">
        <v>-0.52915704537848773</v>
      </c>
      <c r="HU63" s="4">
        <v>-0.51220481367597559</v>
      </c>
      <c r="HV63" s="4">
        <v>-0.49540363110046082</v>
      </c>
      <c r="HW63" s="4">
        <v>-0.47867447410671948</v>
      </c>
      <c r="HX63" s="4">
        <v>-0.46193764344767668</v>
      </c>
      <c r="HY63" s="4">
        <v>-0.4451135658982408</v>
      </c>
      <c r="HZ63" s="4">
        <v>-0.4281239122724565</v>
      </c>
      <c r="IA63" s="4">
        <v>-0.41089299871950979</v>
      </c>
      <c r="IB63" s="4">
        <v>-0.39334932917038712</v>
      </c>
      <c r="IC63" s="4">
        <v>-0.37542702895756758</v>
      </c>
      <c r="ID63" s="4">
        <v>-0.35706687181382751</v>
      </c>
      <c r="IE63" s="4">
        <v>-0.33821667023300828</v>
      </c>
      <c r="IF63" s="4">
        <v>-0.31883098693396722</v>
      </c>
      <c r="IG63" s="4">
        <v>-0.29887036295323682</v>
      </c>
      <c r="IH63" s="4">
        <v>-0.27830043698006118</v>
      </c>
      <c r="II63" s="4">
        <v>-0.25709137186938369</v>
      </c>
      <c r="IJ63" s="4">
        <v>-0.23521789695236389</v>
      </c>
      <c r="IK63" s="4">
        <v>-0.21266006153955841</v>
      </c>
      <c r="IL63" s="4">
        <v>-0.18940454013928101</v>
      </c>
      <c r="IM63" s="4">
        <v>-0.16544610638924029</v>
      </c>
    </row>
    <row r="64" spans="2:247" x14ac:dyDescent="0.35">
      <c r="B64" s="58">
        <v>0.48</v>
      </c>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v>-4.5115133317656362</v>
      </c>
      <c r="DW64" s="4">
        <v>-4.4649195158363364</v>
      </c>
      <c r="DX64" s="4">
        <v>-4.4184404942396469</v>
      </c>
      <c r="DY64" s="4">
        <v>-4.3720958901640534</v>
      </c>
      <c r="DZ64" s="4">
        <v>-4.3259066131615276</v>
      </c>
      <c r="EA64" s="4">
        <v>-4.2798948251608113</v>
      </c>
      <c r="EB64" s="4">
        <v>-4.2340838769121483</v>
      </c>
      <c r="EC64" s="4">
        <v>-4.1884982095507279</v>
      </c>
      <c r="ED64" s="4">
        <v>-4.1431632159319038</v>
      </c>
      <c r="EE64" s="4">
        <v>-4.0981050566920043</v>
      </c>
      <c r="EF64" s="4">
        <v>-4.0533504267358236</v>
      </c>
      <c r="EG64" s="4">
        <v>-4.0089262691633047</v>
      </c>
      <c r="EH64" s="4">
        <v>-3.9648594356143798</v>
      </c>
      <c r="EI64" s="4">
        <v>-3.9211762946872279</v>
      </c>
      <c r="EJ64" s="4">
        <v>-3.877902293441073</v>
      </c>
      <c r="EK64" s="4">
        <v>-3.8350614808939891</v>
      </c>
      <c r="EL64" s="4">
        <v>-3.792676006595789</v>
      </c>
      <c r="EM64" s="4">
        <v>-3.7507656113780978</v>
      </c>
      <c r="EN64" s="4">
        <v>-3.709347130725464</v>
      </c>
      <c r="EO64" s="4">
        <v>-3.6684340332825278</v>
      </c>
      <c r="EP64" s="4">
        <v>-3.6280360172749431</v>
      </c>
      <c r="EQ64" s="4">
        <v>-3.5881586857025458</v>
      </c>
      <c r="ER64" s="4">
        <v>-3.5488033169804831</v>
      </c>
      <c r="ES64" s="4">
        <v>-3.5099667415255582</v>
      </c>
      <c r="ET64" s="4">
        <v>-3.47164132723106</v>
      </c>
      <c r="EU64" s="4">
        <v>-3.4338150687245008</v>
      </c>
      <c r="EV64" s="4">
        <v>-3.3964717677386709</v>
      </c>
      <c r="EW64" s="4">
        <v>-3.3595912857482819</v>
      </c>
      <c r="EX64" s="4">
        <v>-3.323149845893886</v>
      </c>
      <c r="EY64" s="4">
        <v>-3.287120359464518</v>
      </c>
      <c r="EZ64" s="4">
        <v>-3.2514727528378859</v>
      </c>
      <c r="FA64" s="4">
        <v>-3.2161742735053909</v>
      </c>
      <c r="FB64" s="4">
        <v>-3.1811897581888369</v>
      </c>
      <c r="FC64" s="4">
        <v>-3.1464818515608362</v>
      </c>
      <c r="FD64" s="4">
        <v>-3.11201117017831</v>
      </c>
      <c r="FE64" s="4">
        <v>-3.077736412417825</v>
      </c>
      <c r="FF64" s="4">
        <v>-3.0436144209712599</v>
      </c>
      <c r="FG64" s="4">
        <v>-3.0096002093556762</v>
      </c>
      <c r="FH64" s="4">
        <v>-2.9756469674945838</v>
      </c>
      <c r="FI64" s="4">
        <v>-2.941706063451182</v>
      </c>
      <c r="FJ64" s="4">
        <v>-2.9077270587766768</v>
      </c>
      <c r="FK64" s="4">
        <v>-2.8736577539480539</v>
      </c>
      <c r="FL64" s="4">
        <v>-2.8394442786248448</v>
      </c>
      <c r="FM64" s="4">
        <v>-2.8050312398342601</v>
      </c>
      <c r="FN64" s="4">
        <v>-2.77036194064492</v>
      </c>
      <c r="FO64" s="4">
        <v>-2.7353786831684568</v>
      </c>
      <c r="FP64" s="4">
        <v>-2.700023173152283</v>
      </c>
      <c r="FQ64" s="4">
        <v>-2.6642370486823941</v>
      </c>
      <c r="FR64" s="4">
        <v>-2.6279625615224549</v>
      </c>
      <c r="FS64" s="4">
        <v>-2.591143444441784</v>
      </c>
      <c r="FT64" s="4">
        <v>-2.5537259987202732</v>
      </c>
      <c r="FU64" s="4">
        <v>-2.5156604293194809</v>
      </c>
      <c r="FV64" s="4">
        <v>-2.476902437237765</v>
      </c>
      <c r="FW64" s="4">
        <v>-2.437415046605345</v>
      </c>
      <c r="FX64" s="4">
        <v>-2.3971705983828908</v>
      </c>
      <c r="FY64" s="4">
        <v>-2.356152788613024</v>
      </c>
      <c r="FZ64" s="4">
        <v>-2.3143585790523118</v>
      </c>
      <c r="GA64" s="4">
        <v>-2.2717997786161348</v>
      </c>
      <c r="GB64" s="4">
        <v>-2.2285041016711609</v>
      </c>
      <c r="GC64" s="4">
        <v>-2.1845155612020131</v>
      </c>
      <c r="GD64" s="4">
        <v>-2.139894143339593</v>
      </c>
      <c r="GE64" s="4">
        <v>-2.094714811849737</v>
      </c>
      <c r="GF64" s="4">
        <v>-2.0490659778612419</v>
      </c>
      <c r="GG64" s="4">
        <v>-2.0030476183810499</v>
      </c>
      <c r="GH64" s="4">
        <v>-1.956769228798189</v>
      </c>
      <c r="GI64" s="4">
        <v>-1.9103477567221221</v>
      </c>
      <c r="GJ64" s="4">
        <v>-1.863905603353387</v>
      </c>
      <c r="GK64" s="4">
        <v>-1.8175687116964461</v>
      </c>
      <c r="GL64" s="4">
        <v>-1.771464702305295</v>
      </c>
      <c r="GM64" s="4">
        <v>-1.725720976696109</v>
      </c>
      <c r="GN64" s="4">
        <v>-1.680462693693042</v>
      </c>
      <c r="GO64" s="4">
        <v>-1.635810542239732</v>
      </c>
      <c r="GP64" s="4">
        <v>-1.5918782919696699</v>
      </c>
      <c r="GQ64" s="4">
        <v>-1.548770199751984</v>
      </c>
      <c r="GR64" s="4">
        <v>-1.506578470355745</v>
      </c>
      <c r="GS64" s="4">
        <v>-1.465381074230097</v>
      </c>
      <c r="GT64" s="4">
        <v>-1.425240262808563</v>
      </c>
      <c r="GU64" s="4">
        <v>-1.386202051647389</v>
      </c>
      <c r="GV64" s="4">
        <v>-1.3482967688802969</v>
      </c>
      <c r="GW64" s="4">
        <v>-1.3115405503835089</v>
      </c>
      <c r="GX64" s="4">
        <v>-1.2759374881157679</v>
      </c>
      <c r="GY64" s="4">
        <v>-1.241482063843016</v>
      </c>
      <c r="GZ64" s="4">
        <v>-1.2081615318236321</v>
      </c>
      <c r="HA64" s="4">
        <v>-1.1759580113894339</v>
      </c>
      <c r="HB64" s="4">
        <v>-1.1448501622978271</v>
      </c>
      <c r="HC64" s="4">
        <v>-1.1148144059891261</v>
      </c>
      <c r="HD64" s="4">
        <v>-1.085825711334931</v>
      </c>
      <c r="HE64" s="4">
        <v>-1.057857988256971</v>
      </c>
      <c r="HF64" s="4">
        <v>-1.0308841387486061</v>
      </c>
      <c r="HG64" s="4">
        <v>-1.0048758153309181</v>
      </c>
      <c r="HH64" s="4">
        <v>-0.97980294204655616</v>
      </c>
      <c r="HI64" s="4">
        <v>-0.9556330678998104</v>
      </c>
      <c r="HJ64" s="4">
        <v>-0.93233064525274267</v>
      </c>
      <c r="HK64" s="4">
        <v>-0.90985634614361066</v>
      </c>
      <c r="HL64" s="4">
        <v>-0.88816653282563562</v>
      </c>
      <c r="HM64" s="4">
        <v>-0.86721297322333912</v>
      </c>
      <c r="HN64" s="4">
        <v>-0.84694283859463537</v>
      </c>
      <c r="HO64" s="4">
        <v>-0.82729895653111507</v>
      </c>
      <c r="HP64" s="4">
        <v>-0.80822024194371123</v>
      </c>
      <c r="HQ64" s="4">
        <v>-0.78964220916257366</v>
      </c>
      <c r="HR64" s="4">
        <v>-0.771497481250353</v>
      </c>
      <c r="HS64" s="4">
        <v>-0.7537162466636036</v>
      </c>
      <c r="HT64" s="4">
        <v>-0.73622665351029193</v>
      </c>
      <c r="HU64" s="4">
        <v>-0.71895516682332561</v>
      </c>
      <c r="HV64" s="4">
        <v>-0.70182693931863005</v>
      </c>
      <c r="HW64" s="4">
        <v>-0.68476625937003321</v>
      </c>
      <c r="HX64" s="4">
        <v>-0.66769714004170444</v>
      </c>
      <c r="HY64" s="4">
        <v>-0.6505440971017511</v>
      </c>
      <c r="HZ64" s="4">
        <v>-0.6332331285020234</v>
      </c>
      <c r="IA64" s="4">
        <v>-0.61569285268233775</v>
      </c>
      <c r="IB64" s="4">
        <v>-0.59785569728088861</v>
      </c>
      <c r="IC64" s="4">
        <v>-0.57965897548675072</v>
      </c>
      <c r="ID64" s="4">
        <v>-0.56104567486715817</v>
      </c>
      <c r="IE64" s="4">
        <v>-0.54196483590663602</v>
      </c>
      <c r="IF64" s="4">
        <v>-0.52237151006714422</v>
      </c>
      <c r="IG64" s="4">
        <v>-0.50222642121171246</v>
      </c>
      <c r="IH64" s="4">
        <v>-0.48149555400755301</v>
      </c>
      <c r="II64" s="4">
        <v>-0.46014991545778422</v>
      </c>
      <c r="IJ64" s="4">
        <v>-0.43816565058198748</v>
      </c>
      <c r="IK64" s="4">
        <v>-0.4155245618443062</v>
      </c>
      <c r="IL64" s="4">
        <v>-0.39221492530795521</v>
      </c>
      <c r="IM64" s="4">
        <v>-0.3682323642209222</v>
      </c>
    </row>
    <row r="65" spans="2:247" x14ac:dyDescent="0.35">
      <c r="B65" s="58">
        <v>0.49</v>
      </c>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v>-4.6981605911293647</v>
      </c>
      <c r="DW65" s="4">
        <v>-4.6517709448514299</v>
      </c>
      <c r="DX65" s="4">
        <v>-4.6055051705556611</v>
      </c>
      <c r="DY65" s="4">
        <v>-4.5593823973262904</v>
      </c>
      <c r="DZ65" s="4">
        <v>-4.513422889289286</v>
      </c>
      <c r="EA65" s="4">
        <v>-4.4676479974334029</v>
      </c>
      <c r="EB65" s="4">
        <v>-4.4220800835219354</v>
      </c>
      <c r="EC65" s="4">
        <v>-4.376742411811235</v>
      </c>
      <c r="ED65" s="4">
        <v>-4.3316590044419367</v>
      </c>
      <c r="EE65" s="4">
        <v>-4.2868544568214713</v>
      </c>
      <c r="EF65" s="4">
        <v>-4.2423537101488673</v>
      </c>
      <c r="EG65" s="4">
        <v>-4.1981817795198211</v>
      </c>
      <c r="EH65" s="4">
        <v>-4.1543634378382892</v>
      </c>
      <c r="EI65" s="4">
        <v>-4.1109228580591326</v>
      </c>
      <c r="EJ65" s="4">
        <v>-4.0678832190362737</v>
      </c>
      <c r="EK65" s="4">
        <v>-4.0252662833148971</v>
      </c>
      <c r="EL65" s="4">
        <v>-3.9830919583498341</v>
      </c>
      <c r="EM65" s="4">
        <v>-3.9413778555332408</v>
      </c>
      <c r="EN65" s="4">
        <v>-3.900138863683555</v>
      </c>
      <c r="EO65" s="4">
        <v>-3.8593867548812901</v>
      </c>
      <c r="EP65" s="4">
        <v>-3.8191298403847989</v>
      </c>
      <c r="EQ65" s="4">
        <v>-3.779372692604559</v>
      </c>
      <c r="ER65" s="4">
        <v>-3.740115945740802</v>
      </c>
      <c r="ES65" s="4">
        <v>-3.7013561829192132</v>
      </c>
      <c r="ET65" s="4">
        <v>-3.6630859119439361</v>
      </c>
      <c r="EU65" s="4">
        <v>-3.625293625742215</v>
      </c>
      <c r="EV65" s="4">
        <v>-3.5879639378871819</v>
      </c>
      <c r="EW65" s="4">
        <v>-3.5510777788853178</v>
      </c>
      <c r="EX65" s="4">
        <v>-3.514612635689736</v>
      </c>
      <c r="EY65" s="4">
        <v>-3.4785428154161608</v>
      </c>
      <c r="EZ65" s="4">
        <v>-3.4428397145380218</v>
      </c>
      <c r="FA65" s="4">
        <v>-3.407472076763729</v>
      </c>
      <c r="FB65" s="4">
        <v>-3.3724062260529428</v>
      </c>
      <c r="FC65" s="4">
        <v>-3.337606265428307</v>
      </c>
      <c r="FD65" s="4">
        <v>-3.3030342369721262</v>
      </c>
      <c r="FE65" s="4">
        <v>-3.2686502432475222</v>
      </c>
      <c r="FF65" s="4">
        <v>-3.2344125349548958</v>
      </c>
      <c r="FG65" s="4">
        <v>-3.2002775735638229</v>
      </c>
      <c r="FH65" s="4">
        <v>-3.1662000806531272</v>
      </c>
      <c r="FI65" s="4">
        <v>-3.1321330875687732</v>
      </c>
      <c r="FJ65" s="4">
        <v>-3.098027999764652</v>
      </c>
      <c r="FK65" s="4">
        <v>-3.0638346900341769</v>
      </c>
      <c r="FL65" s="4">
        <v>-3.0295016341873242</v>
      </c>
      <c r="FM65" s="4">
        <v>-2.994976102134153</v>
      </c>
      <c r="FN65" s="4">
        <v>-2.9602044173629469</v>
      </c>
      <c r="FO65" s="4">
        <v>-2.9251322988471689</v>
      </c>
      <c r="FP65" s="4">
        <v>-2.8897053015517908</v>
      </c>
      <c r="FQ65" s="4">
        <v>-2.85386937454131</v>
      </c>
      <c r="FR65" s="4">
        <v>-2.817571558277812</v>
      </c>
      <c r="FS65" s="4">
        <v>-2.7807608435252948</v>
      </c>
      <c r="FT65" s="4">
        <v>-2.7433892113431551</v>
      </c>
      <c r="FU65" s="4">
        <v>-2.705412864711997</v>
      </c>
      <c r="FV65" s="4">
        <v>-2.6667936454341912</v>
      </c>
      <c r="FW65" s="4">
        <v>-2.6275006043020328</v>
      </c>
      <c r="FX65" s="4">
        <v>-2.5875116596411889</v>
      </c>
      <c r="FY65" s="4">
        <v>-2.5468152440190281</v>
      </c>
      <c r="FZ65" s="4">
        <v>-2.505411809345325</v>
      </c>
      <c r="GA65" s="4">
        <v>-2.4633150468137348</v>
      </c>
      <c r="GB65" s="4">
        <v>-2.4205526885970259</v>
      </c>
      <c r="GC65" s="4">
        <v>-2.3771667956337659</v>
      </c>
      <c r="GD65" s="4">
        <v>-2.3332134944230818</v>
      </c>
      <c r="GE65" s="4">
        <v>-2.288762191910398</v>
      </c>
      <c r="GF65" s="4">
        <v>-2.2438943545673511</v>
      </c>
      <c r="GG65" s="4">
        <v>-2.1987019720288292</v>
      </c>
      <c r="GH65" s="4">
        <v>-2.15328583130003</v>
      </c>
      <c r="GI65" s="4">
        <v>-2.107753707382781</v>
      </c>
      <c r="GJ65" s="4">
        <v>-2.0622185390664991</v>
      </c>
      <c r="GK65" s="4">
        <v>-2.0167966156744992</v>
      </c>
      <c r="GL65" s="4">
        <v>-1.9716057620595351</v>
      </c>
      <c r="GM65" s="4">
        <v>-1.926763483444591</v>
      </c>
      <c r="GN65" s="4">
        <v>-1.882385025282439</v>
      </c>
      <c r="GO65" s="4">
        <v>-1.8385813208550059</v>
      </c>
      <c r="GP65" s="4">
        <v>-1.7954568424911159</v>
      </c>
      <c r="GQ65" s="4">
        <v>-1.75310743655266</v>
      </c>
      <c r="GR65" s="4">
        <v>-1.711618293592059</v>
      </c>
      <c r="GS65" s="4">
        <v>-1.6710622591457709</v>
      </c>
      <c r="GT65" s="4">
        <v>-1.631498699929101</v>
      </c>
      <c r="GU65" s="4">
        <v>-1.5929730875199239</v>
      </c>
      <c r="GV65" s="4">
        <v>-1.555517353652768</v>
      </c>
      <c r="GW65" s="4">
        <v>-1.519150940574284</v>
      </c>
      <c r="GX65" s="4">
        <v>-1.4838823604337961</v>
      </c>
      <c r="GY65" s="4">
        <v>-1.4497110221099829</v>
      </c>
      <c r="GZ65" s="4">
        <v>-1.416629089206382</v>
      </c>
      <c r="HA65" s="4">
        <v>-1.384623182568282</v>
      </c>
      <c r="HB65" s="4">
        <v>-1.35367580806022</v>
      </c>
      <c r="HC65" s="4">
        <v>-1.323766452992887</v>
      </c>
      <c r="HD65" s="4">
        <v>-1.294872340772024</v>
      </c>
      <c r="HE65" s="4">
        <v>-1.2669688616242381</v>
      </c>
      <c r="HF65" s="4">
        <v>-1.240029712498516</v>
      </c>
      <c r="HG65" s="4">
        <v>-1.2140267883982769</v>
      </c>
      <c r="HH65" s="4">
        <v>-1.188929876388112</v>
      </c>
      <c r="HI65" s="4">
        <v>-1.164706215164645</v>
      </c>
      <c r="HJ65" s="4">
        <v>-1.1413199959297611</v>
      </c>
      <c r="HK65" s="4">
        <v>-1.1187318888015949</v>
      </c>
      <c r="HL65" s="4">
        <v>-1.0968986758150909</v>
      </c>
      <c r="HM65" s="4">
        <v>-1.075773051924295</v>
      </c>
      <c r="HN65" s="4">
        <v>-1.055303621280921</v>
      </c>
      <c r="HO65" s="4">
        <v>-1.0354350768407461</v>
      </c>
      <c r="HP65" s="4">
        <v>-1.016108519740593</v>
      </c>
      <c r="HQ65" s="4">
        <v>-0.99726186036507558</v>
      </c>
      <c r="HR65" s="4">
        <v>-0.97883024757295489</v>
      </c>
      <c r="HS65" s="4">
        <v>-0.96074649122932287</v>
      </c>
      <c r="HT65" s="4">
        <v>-0.94294146794827638</v>
      </c>
      <c r="HU65" s="4">
        <v>-0.92534452350043184</v>
      </c>
      <c r="HV65" s="4">
        <v>-0.90788390283879261</v>
      </c>
      <c r="HW65" s="4">
        <v>-0.89048724738171492</v>
      </c>
      <c r="HX65" s="4">
        <v>-0.87308219722822011</v>
      </c>
      <c r="HY65" s="4">
        <v>-0.85559712186216563</v>
      </c>
      <c r="HZ65" s="4">
        <v>-0.83796197617127399</v>
      </c>
      <c r="IA65" s="4">
        <v>-0.82010924190801981</v>
      </c>
      <c r="IB65" s="4">
        <v>-0.80197487610579499</v>
      </c>
      <c r="IC65" s="4">
        <v>-0.78349916126746999</v>
      </c>
      <c r="ID65" s="4">
        <v>-0.764627352978827</v>
      </c>
      <c r="IE65" s="4">
        <v>-0.74531005803597283</v>
      </c>
      <c r="IF65" s="4">
        <v>-0.72550334439242148</v>
      </c>
      <c r="IG65" s="4">
        <v>-0.70516866106807052</v>
      </c>
      <c r="IH65" s="4">
        <v>-0.68427270176457577</v>
      </c>
      <c r="II65" s="4">
        <v>-0.66278735678567768</v>
      </c>
      <c r="IJ65" s="4">
        <v>-0.64068985724004657</v>
      </c>
      <c r="IK65" s="4">
        <v>-0.61796313524232493</v>
      </c>
      <c r="IL65" s="4">
        <v>-0.59459632923994521</v>
      </c>
      <c r="IM65" s="4">
        <v>-0.57058528571620082</v>
      </c>
    </row>
    <row r="66" spans="2:247" x14ac:dyDescent="0.35">
      <c r="B66" s="58">
        <v>0.5</v>
      </c>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v>-4.8852245094535842</v>
      </c>
      <c r="DW66" s="4">
        <v>-4.8390393670091312</v>
      </c>
      <c r="DX66" s="4">
        <v>-4.7929862285521772</v>
      </c>
      <c r="DY66" s="4">
        <v>-4.7470836744432292</v>
      </c>
      <c r="DZ66" s="4">
        <v>-4.7013512788382874</v>
      </c>
      <c r="EA66" s="4">
        <v>-4.6558095505615338</v>
      </c>
      <c r="EB66" s="4">
        <v>-4.6104798479910247</v>
      </c>
      <c r="EC66" s="4">
        <v>-4.5653842645664584</v>
      </c>
      <c r="ED66" s="4">
        <v>-4.5205454817980426</v>
      </c>
      <c r="EE66" s="4">
        <v>-4.4759865871873066</v>
      </c>
      <c r="EF66" s="4">
        <v>-4.4317308553187944</v>
      </c>
      <c r="EG66" s="4">
        <v>-4.3878014915867096</v>
      </c>
      <c r="EH66" s="4">
        <v>-4.344221339601452</v>
      </c>
      <c r="EI66" s="4">
        <v>-4.3010125552599687</v>
      </c>
      <c r="EJ66" s="4">
        <v>-4.2581962526932466</v>
      </c>
      <c r="EK66" s="4">
        <v>-4.2157921296958687</v>
      </c>
      <c r="EL66" s="4">
        <v>-4.1738180826052149</v>
      </c>
      <c r="EM66" s="4">
        <v>-4.1322898226836946</v>
      </c>
      <c r="EN66" s="4">
        <v>-4.0912205075877797</v>
      </c>
      <c r="EO66" s="4">
        <v>-4.0506204022020231</v>
      </c>
      <c r="EP66" s="4">
        <v>-4.0104965827518742</v>
      </c>
      <c r="EQ66" s="4">
        <v>-3.9708526965585569</v>
      </c>
      <c r="ER66" s="4">
        <v>-3.9316887870815509</v>
      </c>
      <c r="ES66" s="4">
        <v>-3.8930011901884529</v>
      </c>
      <c r="ET66" s="4">
        <v>-3.8547825032289369</v>
      </c>
      <c r="EU66" s="4">
        <v>-3.8170216239108781</v>
      </c>
      <c r="EV66" s="4">
        <v>-3.779703851664864</v>
      </c>
      <c r="EW66" s="4">
        <v>-3.7428110405938928</v>
      </c>
      <c r="EX66" s="4">
        <v>-3.706321790589977</v>
      </c>
      <c r="EY66" s="4">
        <v>-3.6702116619743261</v>
      </c>
      <c r="EZ66" s="4">
        <v>-3.6344533991355799</v>
      </c>
      <c r="FA66" s="4">
        <v>-3.599017150014769</v>
      </c>
      <c r="FB66" s="4">
        <v>-3.5638706707127139</v>
      </c>
      <c r="FC66" s="4">
        <v>-3.5289795077008241</v>
      </c>
      <c r="FD66" s="4">
        <v>-3.4943071537836592</v>
      </c>
      <c r="FE66" s="4">
        <v>-3.4598151777670312</v>
      </c>
      <c r="FF66" s="4">
        <v>-3.425463331415914</v>
      </c>
      <c r="FG66" s="4">
        <v>-3.3912096404657519</v>
      </c>
      <c r="FH66" s="4">
        <v>-3.3570104889635379</v>
      </c>
      <c r="FI66" s="4">
        <v>-3.3228207079424088</v>
      </c>
      <c r="FJ66" s="4">
        <v>-3.288593680380139</v>
      </c>
      <c r="FK66" s="4">
        <v>-3.2542814747024158</v>
      </c>
      <c r="FL66" s="4">
        <v>-3.2198350190345009</v>
      </c>
      <c r="FM66" s="4">
        <v>-3.1852043283142981</v>
      </c>
      <c r="FN66" s="4">
        <v>-3.1503387965705119</v>
      </c>
      <c r="FO66" s="4">
        <v>-3.1151875673173128</v>
      </c>
      <c r="FP66" s="4">
        <v>-3.0796999960595901</v>
      </c>
      <c r="FQ66" s="4">
        <v>-3.0438262199473152</v>
      </c>
      <c r="FR66" s="4">
        <v>-3.0075178499052182</v>
      </c>
      <c r="FS66" s="4">
        <v>-2.970728798992551</v>
      </c>
      <c r="FT66" s="4">
        <v>-2.9334162559887251</v>
      </c>
      <c r="FU66" s="4">
        <v>-2.8955418039500271</v>
      </c>
      <c r="FV66" s="4">
        <v>-2.8570726688787329</v>
      </c>
      <c r="FW66" s="4">
        <v>-2.817983063838001</v>
      </c>
      <c r="FX66" s="4">
        <v>-2.7782555705938901</v>
      </c>
      <c r="FY66" s="4">
        <v>-2.7378824778883768</v>
      </c>
      <c r="FZ66" s="4">
        <v>-2.6968669781508412</v>
      </c>
      <c r="GA66" s="4">
        <v>-2.6552241187457</v>
      </c>
      <c r="GB66" s="4">
        <v>-2.6129814141305658</v>
      </c>
      <c r="GC66" s="4">
        <v>-2.5701790523096721</v>
      </c>
      <c r="GD66" s="4">
        <v>-2.526869668611432</v>
      </c>
      <c r="GE66" s="4">
        <v>-2.483117703813305</v>
      </c>
      <c r="GF66" s="4">
        <v>-2.4389984020473521</v>
      </c>
      <c r="GG66" s="4">
        <v>-2.3945965284963289</v>
      </c>
      <c r="GH66" s="4">
        <v>-2.350004893646862</v>
      </c>
      <c r="GI66" s="4">
        <v>-2.3053227608397351</v>
      </c>
      <c r="GJ66" s="4">
        <v>-2.260654192061891</v>
      </c>
      <c r="GK66" s="4">
        <v>-2.2161063603909841</v>
      </c>
      <c r="GL66" s="4">
        <v>-2.1717878334530951</v>
      </c>
      <c r="GM66" s="4">
        <v>-2.127806816952249</v>
      </c>
      <c r="GN66" s="4">
        <v>-2.084269345517737</v>
      </c>
      <c r="GO66" s="4">
        <v>-2.0412774224653258</v>
      </c>
      <c r="GP66" s="4">
        <v>-1.998927140171695</v>
      </c>
      <c r="GQ66" s="4">
        <v>-1.957306853663612</v>
      </c>
      <c r="GR66" s="4">
        <v>-1.916495521260291</v>
      </c>
      <c r="GS66" s="4">
        <v>-1.876561352873592</v>
      </c>
      <c r="GT66" s="4">
        <v>-1.8375609042593839</v>
      </c>
      <c r="GU66" s="4">
        <v>-1.7995387167415879</v>
      </c>
      <c r="GV66" s="4">
        <v>-1.7625275322912921</v>
      </c>
      <c r="GW66" s="4">
        <v>-1.7265490317812859</v>
      </c>
      <c r="GX66" s="4">
        <v>-1.691614973641191</v>
      </c>
      <c r="GY66" s="4">
        <v>-1.657728569616707</v>
      </c>
      <c r="GZ66" s="4">
        <v>-1.6248859298389</v>
      </c>
      <c r="HA66" s="4">
        <v>-1.593077434172699</v>
      </c>
      <c r="HB66" s="4">
        <v>-1.562288927188997</v>
      </c>
      <c r="HC66" s="4">
        <v>-1.5325026766416989</v>
      </c>
      <c r="HD66" s="4">
        <v>-1.503698071289129</v>
      </c>
      <c r="HE66" s="4">
        <v>-1.4758520602264791</v>
      </c>
      <c r="HF66" s="4">
        <v>-1.448939353777666</v>
      </c>
      <c r="HG66" s="4">
        <v>-1.4229324185821139</v>
      </c>
      <c r="HH66" s="4">
        <v>-1.3978013098378701</v>
      </c>
      <c r="HI66" s="4">
        <v>-1.373513393153283</v>
      </c>
      <c r="HJ66" s="4">
        <v>-1.3500330162343499</v>
      </c>
      <c r="HK66" s="4">
        <v>-1.3273211938170819</v>
      </c>
      <c r="HL66" s="4">
        <v>-1.3053353644345651</v>
      </c>
      <c r="HM66" s="4">
        <v>-1.284029263077582</v>
      </c>
      <c r="HN66" s="4">
        <v>-1.263352931379863</v>
      </c>
      <c r="HO66" s="4">
        <v>-1.243252862057366</v>
      </c>
      <c r="HP66" s="4">
        <v>-1.223672253889144</v>
      </c>
      <c r="HQ66" s="4">
        <v>-1.204551342900692</v>
      </c>
      <c r="HR66" s="4">
        <v>-1.1858277762106979</v>
      </c>
      <c r="HS66" s="4">
        <v>-1.1674370050268541</v>
      </c>
      <c r="HT66" s="4">
        <v>-1.14931268811354</v>
      </c>
      <c r="HU66" s="4">
        <v>-1.1313871120160439</v>
      </c>
      <c r="HV66" s="4">
        <v>-1.113591645659832</v>
      </c>
      <c r="HW66" s="4">
        <v>-1.0958572520812351</v>
      </c>
      <c r="HX66" s="4">
        <v>-1.0781150774026531</v>
      </c>
      <c r="HY66" s="4">
        <v>-1.060297126073078</v>
      </c>
      <c r="HZ66" s="4">
        <v>-1.042337012578243</v>
      </c>
      <c r="IA66" s="4">
        <v>-1.024170756309015</v>
      </c>
      <c r="IB66" s="4">
        <v>-1.00573756404661</v>
      </c>
      <c r="IC66" s="4">
        <v>-0.98698053189100432</v>
      </c>
      <c r="ID66" s="4">
        <v>-0.96784720334597041</v>
      </c>
      <c r="IE66" s="4">
        <v>-0.94828994596023297</v>
      </c>
      <c r="IF66" s="4">
        <v>-0.92826615053048678</v>
      </c>
      <c r="IG66" s="4">
        <v>-0.90773830141268097</v>
      </c>
      <c r="IH66" s="4">
        <v>-0.88667399749538167</v>
      </c>
      <c r="II66" s="4">
        <v>-0.86504600796160469</v>
      </c>
      <c r="IJ66" s="4">
        <v>-0.84283242136324033</v>
      </c>
      <c r="IK66" s="4">
        <v>-0.82001689776191045</v>
      </c>
      <c r="IL66" s="4">
        <v>-0.79658897708255649</v>
      </c>
      <c r="IM66" s="4">
        <v>-0.77254435113892361</v>
      </c>
    </row>
    <row r="67" spans="2:247" x14ac:dyDescent="0.35">
      <c r="B67" s="58">
        <v>0.51</v>
      </c>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v>-5.072687319388578</v>
      </c>
      <c r="DW67" s="4">
        <v>-5.026706238948714</v>
      </c>
      <c r="DX67" s="4">
        <v>-4.9808643991643304</v>
      </c>
      <c r="DY67" s="4">
        <v>-4.935179790442124</v>
      </c>
      <c r="DZ67" s="4">
        <v>-4.8896712662447968</v>
      </c>
      <c r="EA67" s="4">
        <v>-4.8443584757993774</v>
      </c>
      <c r="EB67" s="4">
        <v>-4.7992617728715707</v>
      </c>
      <c r="EC67" s="4">
        <v>-4.754402097973621</v>
      </c>
      <c r="ED67" s="4">
        <v>-4.7098008317140714</v>
      </c>
      <c r="EE67" s="4">
        <v>-4.6654796175597486</v>
      </c>
      <c r="EF67" s="4">
        <v>-4.6214601530978099</v>
      </c>
      <c r="EG67" s="4">
        <v>-4.5777639499804064</v>
      </c>
      <c r="EH67" s="4">
        <v>-4.5344120641035541</v>
      </c>
      <c r="EI67" s="4">
        <v>-4.4914247991888496</v>
      </c>
      <c r="EJ67" s="4">
        <v>-4.4488213887284944</v>
      </c>
      <c r="EK67" s="4">
        <v>-4.4066196631138093</v>
      </c>
      <c r="EL67" s="4">
        <v>-4.3648357105383511</v>
      </c>
      <c r="EM67" s="4">
        <v>-4.3234835417637836</v>
      </c>
      <c r="EN67" s="4">
        <v>-4.2825747698574874</v>
      </c>
      <c r="EO67" s="4">
        <v>-4.2421183163645688</v>
      </c>
      <c r="EP67" s="4">
        <v>-4.2021201549189282</v>
      </c>
      <c r="EQ67" s="4">
        <v>-4.1625831019576074</v>
      </c>
      <c r="ER67" s="4">
        <v>-4.123506662013547</v>
      </c>
      <c r="ES67" s="4">
        <v>-4.0848869321667527</v>
      </c>
      <c r="ET67" s="4">
        <v>-4.0467165668787786</v>
      </c>
      <c r="EU67" s="4">
        <v>-4.0089848009396354</v>
      </c>
      <c r="EV67" s="4">
        <v>-3.9716775249669611</v>
      </c>
      <c r="EW67" s="4">
        <v>-3.9347774051418849</v>
      </c>
      <c r="EX67" s="4">
        <v>-3.8982640369079218</v>
      </c>
      <c r="EY67" s="4">
        <v>-3.8621141213621968</v>
      </c>
      <c r="EZ67" s="4">
        <v>-3.8263016530893039</v>
      </c>
      <c r="FA67" s="4">
        <v>-3.7907981091772398</v>
      </c>
      <c r="FB67" s="4">
        <v>-3.7555726309737918</v>
      </c>
      <c r="FC67" s="4">
        <v>-3.7205921925925698</v>
      </c>
      <c r="FD67" s="4">
        <v>-3.6858217530214161</v>
      </c>
      <c r="FE67" s="4">
        <v>-3.6512243916743512</v>
      </c>
      <c r="FF67" s="4">
        <v>-3.616761430119364</v>
      </c>
      <c r="FG67" s="4">
        <v>-3.582392545297167</v>
      </c>
      <c r="FH67" s="4">
        <v>-3.548075881660687</v>
      </c>
      <c r="FI67" s="4">
        <v>-3.5137681712221269</v>
      </c>
      <c r="FJ67" s="4">
        <v>-3.479424871494214</v>
      </c>
      <c r="FK67" s="4">
        <v>-3.4450003318426088</v>
      </c>
      <c r="FL67" s="4">
        <v>-3.41044799898759</v>
      </c>
      <c r="FM67" s="4">
        <v>-3.3757206724954298</v>
      </c>
      <c r="FN67" s="4">
        <v>-3.340770821238447</v>
      </c>
      <c r="FO67" s="4">
        <v>-3.3055509720302201</v>
      </c>
      <c r="FP67" s="4">
        <v>-3.2700141818340889</v>
      </c>
      <c r="FQ67" s="4">
        <v>-3.2341146047580129</v>
      </c>
      <c r="FR67" s="4">
        <v>-3.1978081639130762</v>
      </c>
      <c r="FS67" s="4">
        <v>-3.161053335372257</v>
      </c>
      <c r="FT67" s="4">
        <v>-3.1238120460985899</v>
      </c>
      <c r="FU67" s="4">
        <v>-3.0860506791379199</v>
      </c>
      <c r="FV67" s="4">
        <v>-3.0477411673451971</v>
      </c>
      <c r="FW67" s="4">
        <v>-3.008862141965265</v>
      </c>
      <c r="FX67" s="4">
        <v>-2.9694000861105452</v>
      </c>
      <c r="FY67" s="4">
        <v>-2.9293504282870662</v>
      </c>
      <c r="FZ67" s="4">
        <v>-2.8887185011244259</v>
      </c>
      <c r="GA67" s="4">
        <v>-2.8475202888408959</v>
      </c>
      <c r="GB67" s="4">
        <v>-2.8057828959973441</v>
      </c>
      <c r="GC67" s="4">
        <v>-2.7635446897266842</v>
      </c>
      <c r="GD67" s="4">
        <v>-2.7208550950169652</v>
      </c>
      <c r="GE67" s="4">
        <v>-2.677774052602889</v>
      </c>
      <c r="GF67" s="4">
        <v>-2.634371175529242</v>
      </c>
      <c r="GG67" s="4">
        <v>-2.5907246583978911</v>
      </c>
      <c r="GH67" s="4">
        <v>-2.5469200000390848</v>
      </c>
      <c r="GI67" s="4">
        <v>-2.5030485961939619</v>
      </c>
      <c r="GJ67" s="4">
        <v>-2.4592062466698459</v>
      </c>
      <c r="GK67" s="4">
        <v>-2.4154916057971612</v>
      </c>
      <c r="GL67" s="4">
        <v>-2.372004590756875</v>
      </c>
      <c r="GM67" s="4">
        <v>-2.3288447538373571</v>
      </c>
      <c r="GN67" s="4">
        <v>-2.2861096251078661</v>
      </c>
      <c r="GO67" s="4">
        <v>-2.2438930427554209</v>
      </c>
      <c r="GP67" s="4">
        <v>-2.202283508345904</v>
      </c>
      <c r="GQ67" s="4">
        <v>-2.1613626294047368</v>
      </c>
      <c r="GR67" s="4">
        <v>-2.121203734792021</v>
      </c>
      <c r="GS67" s="4">
        <v>-2.0818707604582731</v>
      </c>
      <c r="GT67" s="4">
        <v>-2.043417496503285</v>
      </c>
      <c r="GU67" s="4">
        <v>-2.00588725793114</v>
      </c>
      <c r="GV67" s="4">
        <v>-1.9693129951996851</v>
      </c>
      <c r="GW67" s="4">
        <v>-1.933717807363774</v>
      </c>
      <c r="GX67" s="4">
        <v>-1.899115773830887</v>
      </c>
      <c r="GY67" s="4">
        <v>-1.865512991407783</v>
      </c>
      <c r="GZ67" s="4">
        <v>-1.832908695863408</v>
      </c>
      <c r="HA67" s="4">
        <v>-1.8012963591249269</v>
      </c>
      <c r="HB67" s="4">
        <v>-1.770664677440152</v>
      </c>
      <c r="HC67" s="4">
        <v>-1.7409983944715861</v>
      </c>
      <c r="HD67" s="4">
        <v>-1.712278930300847</v>
      </c>
      <c r="HE67" s="4">
        <v>-1.684484809646654</v>
      </c>
      <c r="HF67" s="4">
        <v>-1.657591899771957</v>
      </c>
      <c r="HG67" s="4">
        <v>-1.6315734816031759</v>
      </c>
      <c r="HH67" s="4">
        <v>-1.6064001877948959</v>
      </c>
      <c r="HI67" s="4">
        <v>-1.582039849450795</v>
      </c>
      <c r="HJ67" s="4">
        <v>-1.5584572984492331</v>
      </c>
      <c r="HK67" s="4">
        <v>-1.535614173419916</v>
      </c>
      <c r="HL67" s="4">
        <v>-1.513468772917665</v>
      </c>
      <c r="HM67" s="4">
        <v>-1.4919759888383921</v>
      </c>
      <c r="HN67" s="4">
        <v>-1.471087338091561</v>
      </c>
      <c r="HO67" s="4">
        <v>-1.4507510942389079</v>
      </c>
      <c r="HP67" s="4">
        <v>-1.430912507189039</v>
      </c>
      <c r="HQ67" s="4">
        <v>-1.4115140912233479</v>
      </c>
      <c r="HR67" s="4">
        <v>-1.3924959607670699</v>
      </c>
      <c r="HS67" s="4">
        <v>-1.373796198401223</v>
      </c>
      <c r="HT67" s="4">
        <v>-1.355351248154006</v>
      </c>
      <c r="HU67" s="4">
        <v>-1.337096336139753</v>
      </c>
      <c r="HV67" s="4">
        <v>-1.318965927467296</v>
      </c>
      <c r="HW67" s="4">
        <v>-1.3008942310313689</v>
      </c>
      <c r="HX67" s="4">
        <v>-1.282815761176338</v>
      </c>
      <c r="HY67" s="4">
        <v>-1.2646659570630781</v>
      </c>
      <c r="HZ67" s="4">
        <v>-1.2463818478809601</v>
      </c>
      <c r="IA67" s="4">
        <v>-1.2279027373695099</v>
      </c>
      <c r="IB67" s="4">
        <v>-1.2091708685301421</v>
      </c>
      <c r="IC67" s="4">
        <v>-1.1901320238014479</v>
      </c>
      <c r="ID67" s="4">
        <v>-1.1707360213146201</v>
      </c>
      <c r="IE67" s="4">
        <v>-1.15093708506528</v>
      </c>
      <c r="IF67" s="4">
        <v>-1.1306940923256861</v>
      </c>
      <c r="IG67" s="4">
        <v>-1.109970727658778</v>
      </c>
      <c r="IH67" s="4">
        <v>-1.08873559022828</v>
      </c>
      <c r="II67" s="4">
        <v>-1.066962302641852</v>
      </c>
      <c r="IJ67" s="4">
        <v>-1.0446296534222239</v>
      </c>
      <c r="IK67" s="4">
        <v>-1.021721775682934</v>
      </c>
      <c r="IL67" s="4">
        <v>-0.9982283309099691</v>
      </c>
      <c r="IM67" s="4">
        <v>-0.97414464007983548</v>
      </c>
    </row>
    <row r="68" spans="2:247" x14ac:dyDescent="0.35">
      <c r="B68" s="58">
        <v>0.52</v>
      </c>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v>-5.2605318946513746</v>
      </c>
      <c r="DW68" s="4">
        <v>-5.2147537738537331</v>
      </c>
      <c r="DX68" s="4">
        <v>-5.1691212886538951</v>
      </c>
      <c r="DY68" s="4">
        <v>-5.1236518099198509</v>
      </c>
      <c r="DZ68" s="4">
        <v>-5.0783634514253011</v>
      </c>
      <c r="EA68" s="4">
        <v>-5.0332749967457584</v>
      </c>
      <c r="EB68" s="4">
        <v>-4.9884058043049926</v>
      </c>
      <c r="EC68" s="4">
        <v>-4.9437756885733659</v>
      </c>
      <c r="ED68" s="4">
        <v>-4.8994047757941868</v>
      </c>
      <c r="EE68" s="4">
        <v>-4.8553133331723091</v>
      </c>
      <c r="EF68" s="4">
        <v>-4.8115215712207497</v>
      </c>
      <c r="EG68" s="4">
        <v>-4.7680494199331189</v>
      </c>
      <c r="EH68" s="4">
        <v>-4.7249162806198068</v>
      </c>
      <c r="EI68" s="4">
        <v>-4.6821407565803703</v>
      </c>
      <c r="EJ68" s="4">
        <v>-4.6397403672190496</v>
      </c>
      <c r="EK68" s="4">
        <v>-4.5977312516507922</v>
      </c>
      <c r="EL68" s="4">
        <v>-4.5561278691721112</v>
      </c>
      <c r="EM68" s="4">
        <v>-4.514942705042035</v>
      </c>
      <c r="EN68" s="4">
        <v>-4.4741859906902377</v>
      </c>
      <c r="EO68" s="4">
        <v>-4.4338654476111152</v>
      </c>
      <c r="EP68" s="4">
        <v>-4.3939860637196473</v>
      </c>
      <c r="EQ68" s="4">
        <v>-4.3545499098035556</v>
      </c>
      <c r="ER68" s="4">
        <v>-4.3155560019415864</v>
      </c>
      <c r="ES68" s="4">
        <v>-4.2770002134843814</v>
      </c>
      <c r="ET68" s="4">
        <v>-4.2388752375989096</v>
      </c>
      <c r="EU68" s="4">
        <v>-4.2011705986890551</v>
      </c>
      <c r="EV68" s="4">
        <v>-4.1638727084807021</v>
      </c>
      <c r="EW68" s="4">
        <v>-4.1269649604363181</v>
      </c>
      <c r="EX68" s="4">
        <v>-4.0904278546370367</v>
      </c>
      <c r="EY68" s="4">
        <v>-4.054239144467604</v>
      </c>
      <c r="EZ68" s="4">
        <v>-4.0183739964104248</v>
      </c>
      <c r="FA68" s="4">
        <v>-3.982805154973271</v>
      </c>
      <c r="FB68" s="4">
        <v>-3.947503106145525</v>
      </c>
      <c r="FC68" s="4">
        <v>-3.9124362346559858</v>
      </c>
      <c r="FD68" s="4">
        <v>-3.8775709725143011</v>
      </c>
      <c r="FE68" s="4">
        <v>-3.842871938667821</v>
      </c>
      <c r="FF68" s="4">
        <v>-3.808302071911609</v>
      </c>
      <c r="FG68" s="4">
        <v>-3.773822761289602</v>
      </c>
      <c r="FH68" s="4">
        <v>-3.739393979995266</v>
      </c>
      <c r="FI68" s="4">
        <v>-3.704974430150513</v>
      </c>
      <c r="FJ68" s="4">
        <v>-3.6705217067986751</v>
      </c>
      <c r="FK68" s="4">
        <v>-3.6359924900375309</v>
      </c>
      <c r="FL68" s="4">
        <v>-3.6013427745265592</v>
      </c>
      <c r="FM68" s="4">
        <v>-3.566528145723912</v>
      </c>
      <c r="FN68" s="4">
        <v>-3.531504112206536</v>
      </c>
      <c r="FO68" s="4">
        <v>-3.496226503284606</v>
      </c>
      <c r="FP68" s="4">
        <v>-3.4606519407044281</v>
      </c>
      <c r="FQ68" s="4">
        <v>-3.424738392267749</v>
      </c>
      <c r="FR68" s="4">
        <v>-3.3884458132727011</v>
      </c>
      <c r="FS68" s="4">
        <v>-3.3517368783163288</v>
      </c>
      <c r="FT68" s="4">
        <v>-3.3145778007221591</v>
      </c>
      <c r="FU68" s="4">
        <v>-3.2769392293754001</v>
      </c>
      <c r="FV68" s="4">
        <v>-3.2387972031326</v>
      </c>
      <c r="FW68" s="4">
        <v>-3.2001341318476779</v>
      </c>
      <c r="FX68" s="4">
        <v>-3.1609397617199089</v>
      </c>
      <c r="FY68" s="4">
        <v>-3.1212120730456778</v>
      </c>
      <c r="FZ68" s="4">
        <v>-3.0809580528010461</v>
      </c>
      <c r="GA68" s="4">
        <v>-3.0401942848459682</v>
      </c>
      <c r="GB68" s="4">
        <v>-2.9989473080829891</v>
      </c>
      <c r="GC68" s="4">
        <v>-2.9572537073192682</v>
      </c>
      <c r="GD68" s="4">
        <v>-2.915159920895209</v>
      </c>
      <c r="GE68" s="4">
        <v>-2.8727217700641399</v>
      </c>
      <c r="GF68" s="4">
        <v>-2.8300037338647752</v>
      </c>
      <c r="GG68" s="4">
        <v>-2.7870780066274472</v>
      </c>
      <c r="GH68" s="4">
        <v>-2.7440233815372799</v>
      </c>
      <c r="GI68" s="4">
        <v>-2.7009240029073718</v>
      </c>
      <c r="GJ68" s="4">
        <v>-2.6578680237136738</v>
      </c>
      <c r="GK68" s="4">
        <v>-2.6149461963338738</v>
      </c>
      <c r="GL68" s="4">
        <v>-2.5722504165223872</v>
      </c>
      <c r="GM68" s="4">
        <v>-2.5298722363524031</v>
      </c>
      <c r="GN68" s="4">
        <v>-2.4879013631922802</v>
      </c>
      <c r="GO68" s="4">
        <v>-2.4464241694096782</v>
      </c>
      <c r="GP68" s="4">
        <v>-2.4055222502872979</v>
      </c>
      <c r="GQ68" s="4">
        <v>-2.3652710825137602</v>
      </c>
      <c r="GR68" s="4">
        <v>-2.325738847865825</v>
      </c>
      <c r="GS68" s="4">
        <v>-2.286985491005741</v>
      </c>
      <c r="GT68" s="4">
        <v>-2.2490620724823911</v>
      </c>
      <c r="GU68" s="4">
        <v>-2.212010456840074</v>
      </c>
      <c r="GV68" s="4">
        <v>-2.1758633440770341</v>
      </c>
      <c r="GW68" s="4">
        <v>-2.140644617010945</v>
      </c>
      <c r="GX68" s="4">
        <v>-2.1063699453235811</v>
      </c>
      <c r="GY68" s="4">
        <v>-2.07304756577149</v>
      </c>
      <c r="GZ68" s="4">
        <v>-2.040679150427215</v>
      </c>
      <c r="HA68" s="4">
        <v>-2.0092606800972308</v>
      </c>
      <c r="HB68" s="4">
        <v>-1.978783254641947</v>
      </c>
      <c r="HC68" s="4">
        <v>-1.94923379117333</v>
      </c>
      <c r="HD68" s="4">
        <v>-1.9205955810044499</v>
      </c>
      <c r="HE68" s="4">
        <v>-1.892848694210697</v>
      </c>
      <c r="HF68" s="4">
        <v>-1.8659702356809269</v>
      </c>
      <c r="HG68" s="4">
        <v>-1.8399344685565791</v>
      </c>
      <c r="HH68" s="4">
        <v>-1.8147128303064191</v>
      </c>
      <c r="HI68" s="4">
        <v>-1.7902738734997481</v>
      </c>
      <c r="HJ68" s="4">
        <v>-1.7665831673113279</v>
      </c>
      <c r="HK68" s="4">
        <v>-1.7436031962744629</v>
      </c>
      <c r="HL68" s="4">
        <v>-1.7212932892611339</v>
      </c>
      <c r="HM68" s="4">
        <v>-1.6996096042327069</v>
      </c>
      <c r="HN68" s="4">
        <v>-1.678505184099913</v>
      </c>
      <c r="HO68" s="4">
        <v>-1.6579300880929431</v>
      </c>
      <c r="HP68" s="4">
        <v>-1.637831593723051</v>
      </c>
      <c r="HQ68" s="4">
        <v>-1.61815445858985</v>
      </c>
      <c r="HR68" s="4">
        <v>-1.59884122973373</v>
      </c>
      <c r="HS68" s="4">
        <v>-1.579832590477507</v>
      </c>
      <c r="HT68" s="4">
        <v>-1.5610677393153201</v>
      </c>
      <c r="HU68" s="4">
        <v>-1.5424848005259819</v>
      </c>
      <c r="HV68" s="4">
        <v>-1.5240212700107381</v>
      </c>
      <c r="HW68" s="4">
        <v>-1.5056145009928821</v>
      </c>
      <c r="HX68" s="4">
        <v>-1.4872022318961049</v>
      </c>
      <c r="HY68" s="4">
        <v>-1.4687231529415039</v>
      </c>
      <c r="HZ68" s="4">
        <v>-1.450117499677652</v>
      </c>
      <c r="IA68" s="4">
        <v>-1.431327652667673</v>
      </c>
      <c r="IB68" s="4">
        <v>-1.412298715554513</v>
      </c>
      <c r="IC68" s="4">
        <v>-1.3929790415307071</v>
      </c>
      <c r="ID68" s="4">
        <v>-1.3733206828205431</v>
      </c>
      <c r="IE68" s="4">
        <v>-1.3532797491658259</v>
      </c>
      <c r="IF68" s="4">
        <v>-1.332816676983432</v>
      </c>
      <c r="IG68" s="4">
        <v>-1.3118964262050929</v>
      </c>
      <c r="IH68" s="4">
        <v>-1.290488631555168</v>
      </c>
      <c r="II68" s="4">
        <v>-1.268567735281332</v>
      </c>
      <c r="IJ68" s="4">
        <v>-1.246113118243346</v>
      </c>
      <c r="IK68" s="4">
        <v>-1.223109228490648</v>
      </c>
      <c r="IL68" s="4">
        <v>-1.1995456865537339</v>
      </c>
      <c r="IM68" s="4">
        <v>-1.17541733124505</v>
      </c>
    </row>
    <row r="69" spans="2:247" x14ac:dyDescent="0.35">
      <c r="B69" s="58">
        <v>0.53</v>
      </c>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v>-5.4487417764081414</v>
      </c>
      <c r="DW69" s="4">
        <v>-5.4031649558272719</v>
      </c>
      <c r="DX69" s="4">
        <v>-5.3577393793217869</v>
      </c>
      <c r="DY69" s="4">
        <v>-5.3124817786423453</v>
      </c>
      <c r="DZ69" s="4">
        <v>-5.2674095187091137</v>
      </c>
      <c r="EA69" s="4">
        <v>-5.2225405206534727</v>
      </c>
      <c r="EB69" s="4">
        <v>-5.1778931650568527</v>
      </c>
      <c r="EC69" s="4">
        <v>-5.1334861739092608</v>
      </c>
      <c r="ED69" s="4">
        <v>-5.0893384701929509</v>
      </c>
      <c r="EE69" s="4">
        <v>-5.0454690145303083</v>
      </c>
      <c r="EF69" s="4">
        <v>-5.0018966190266809</v>
      </c>
      <c r="EG69" s="4">
        <v>-4.9586397392888966</v>
      </c>
      <c r="EH69" s="4">
        <v>-4.9157162465892297</v>
      </c>
      <c r="EI69" s="4">
        <v>-4.8731431832402183</v>
      </c>
      <c r="EJ69" s="4">
        <v>-4.8309365053886086</v>
      </c>
      <c r="EK69" s="4">
        <v>-4.7891108185521123</v>
      </c>
      <c r="EL69" s="4">
        <v>-4.7476791122150797</v>
      </c>
      <c r="EM69" s="4">
        <v>-4.7066525005640534</v>
      </c>
      <c r="EN69" s="4">
        <v>-4.6660399768776566</v>
      </c>
      <c r="EO69" s="4">
        <v>-4.6258481890978889</v>
      </c>
      <c r="EP69" s="4">
        <v>-4.5860812436423224</v>
      </c>
      <c r="EQ69" s="4">
        <v>-4.5467405435535539</v>
      </c>
      <c r="ER69" s="4">
        <v>-4.5078246656581822</v>
      </c>
      <c r="ES69" s="4">
        <v>-4.469329279616538</v>
      </c>
      <c r="ET69" s="4">
        <v>-4.431247109722479</v>
      </c>
      <c r="EU69" s="4">
        <v>-4.3935679382342494</v>
      </c>
      <c r="EV69" s="4">
        <v>-4.3562786470694252</v>
      </c>
      <c r="EW69" s="4">
        <v>-4.3193632930527226</v>
      </c>
      <c r="EX69" s="4">
        <v>-4.2828032107135492</v>
      </c>
      <c r="EY69" s="4">
        <v>-4.2465771359867368</v>
      </c>
      <c r="EZ69" s="4">
        <v>-4.2106613441178347</v>
      </c>
      <c r="FA69" s="4">
        <v>-4.1750297955995466</v>
      </c>
      <c r="FB69" s="4">
        <v>-4.139654285002786</v>
      </c>
      <c r="FC69" s="4">
        <v>-4.1045045890097844</v>
      </c>
      <c r="FD69" s="4">
        <v>-4.0695486116747492</v>
      </c>
      <c r="FE69" s="4">
        <v>-4.0347525267873756</v>
      </c>
      <c r="FF69" s="4">
        <v>-4.0000809190535254</v>
      </c>
      <c r="FG69" s="4">
        <v>-3.9654969275105678</v>
      </c>
      <c r="FH69" s="4">
        <v>-3.9309623960641908</v>
      </c>
      <c r="FI69" s="4">
        <v>-3.896438037207798</v>
      </c>
      <c r="FJ69" s="4">
        <v>-3.8618836158426628</v>
      </c>
      <c r="FK69" s="4">
        <v>-3.8272581606709362</v>
      </c>
      <c r="FL69" s="4">
        <v>-3.7925202109208049</v>
      </c>
      <c r="FM69" s="4">
        <v>-3.7576281062202521</v>
      </c>
      <c r="FN69" s="4">
        <v>-3.7225403272730868</v>
      </c>
      <c r="FO69" s="4">
        <v>-3.687215894562891</v>
      </c>
      <c r="FP69" s="4">
        <v>-3.6516148314948569</v>
      </c>
      <c r="FQ69" s="4">
        <v>-3.6156986969763438</v>
      </c>
      <c r="FR69" s="4">
        <v>-3.5794311901630702</v>
      </c>
      <c r="FS69" s="4">
        <v>-3.5427788266650388</v>
      </c>
      <c r="FT69" s="4">
        <v>-3.50571168068103</v>
      </c>
      <c r="FU69" s="4">
        <v>-3.46820418123944</v>
      </c>
      <c r="FV69" s="4">
        <v>-3.430235943177725</v>
      </c>
      <c r="FW69" s="4">
        <v>-3.3917926052812071</v>
      </c>
      <c r="FX69" s="4">
        <v>-3.3528666401280631</v>
      </c>
      <c r="FY69" s="4">
        <v>-3.3134580939886749</v>
      </c>
      <c r="FZ69" s="4">
        <v>-3.273575212051437</v>
      </c>
      <c r="GA69" s="4">
        <v>-3.233234905504232</v>
      </c>
      <c r="GB69" s="4">
        <v>-3.1924630231666291</v>
      </c>
      <c r="GC69" s="4">
        <v>-3.1512944010841122</v>
      </c>
      <c r="GD69" s="4">
        <v>-3.1097726773953229</v>
      </c>
      <c r="GE69" s="4">
        <v>-3.0679498747365428</v>
      </c>
      <c r="GF69" s="4">
        <v>-3.0258857660610419</v>
      </c>
      <c r="GG69" s="4">
        <v>-2.983647049990402</v>
      </c>
      <c r="GH69" s="4">
        <v>-2.941306367515117</v>
      </c>
      <c r="GI69" s="4">
        <v>-2.8989411929847329</v>
      </c>
      <c r="GJ69" s="4">
        <v>-2.8566326298954841</v>
      </c>
      <c r="GK69" s="4">
        <v>-2.8144641377655439</v>
      </c>
      <c r="GL69" s="4">
        <v>-2.772520212439662</v>
      </c>
      <c r="GM69" s="4">
        <v>-2.7308850403514322</v>
      </c>
      <c r="GN69" s="4">
        <v>-2.689641148827977</v>
      </c>
      <c r="GO69" s="4">
        <v>-2.6488680797034081</v>
      </c>
      <c r="GP69" s="4">
        <v>-2.6086411213668508</v>
      </c>
      <c r="GQ69" s="4">
        <v>-2.5690301427566702</v>
      </c>
      <c r="GR69" s="4">
        <v>-2.530098578706423</v>
      </c>
      <c r="GS69" s="4">
        <v>-2.4919026162974922</v>
      </c>
      <c r="GT69" s="4">
        <v>-2.4544906242193298</v>
      </c>
      <c r="GU69" s="4">
        <v>-2.417902851202788</v>
      </c>
      <c r="GV69" s="4">
        <v>-2.3821713973562568</v>
      </c>
      <c r="GW69" s="4">
        <v>-2.3473204376722658</v>
      </c>
      <c r="GX69" s="4">
        <v>-2.313366654872512</v>
      </c>
      <c r="GY69" s="4">
        <v>-2.2803198232122561</v>
      </c>
      <c r="GZ69" s="4">
        <v>-2.2481834780816539</v>
      </c>
      <c r="HA69" s="4">
        <v>-2.2169556081790032</v>
      </c>
      <c r="HB69" s="4">
        <v>-2.186629315844058</v>
      </c>
      <c r="HC69" s="4">
        <v>-2.1571934041181762</v>
      </c>
      <c r="HD69" s="4">
        <v>-2.128632863601049</v>
      </c>
      <c r="HE69" s="4">
        <v>-2.1009292462283451</v>
      </c>
      <c r="HF69" s="4">
        <v>-2.0740609255581872</v>
      </c>
      <c r="HG69" s="4">
        <v>-2.0480032535457728</v>
      </c>
      <c r="HH69" s="4">
        <v>-2.0227286319579898</v>
      </c>
      <c r="HI69" s="4">
        <v>-1.9982065224222909</v>
      </c>
      <c r="HJ69" s="4">
        <v>-1.9744034223961451</v>
      </c>
      <c r="HK69" s="4">
        <v>-1.9512828348034279</v>
      </c>
      <c r="HL69" s="4">
        <v>-1.9288052565899561</v>
      </c>
      <c r="HM69" s="4">
        <v>-1.906928206291828</v>
      </c>
      <c r="HN69" s="4">
        <v>-1.885606303737964</v>
      </c>
      <c r="HO69" s="4">
        <v>-1.864791407534081</v>
      </c>
      <c r="HP69" s="4">
        <v>-1.844432809451366</v>
      </c>
      <c r="HQ69" s="4">
        <v>-1.824477480428758</v>
      </c>
      <c r="HR69" s="4">
        <v>-1.804870361116099</v>
      </c>
      <c r="HS69" s="4">
        <v>-1.785554690518881</v>
      </c>
      <c r="HT69" s="4">
        <v>-1.7664723685174439</v>
      </c>
      <c r="HU69" s="4">
        <v>-1.747564350667729</v>
      </c>
      <c r="HV69" s="4">
        <v>-1.728771075572745</v>
      </c>
      <c r="HW69" s="4">
        <v>-1.710032925325673</v>
      </c>
      <c r="HX69" s="4">
        <v>-1.6912907175828991</v>
      </c>
      <c r="HY69" s="4">
        <v>-1.672486223813725</v>
      </c>
      <c r="HZ69" s="4">
        <v>-1.6535627029001481</v>
      </c>
      <c r="IA69" s="4">
        <v>-1.6344654338265561</v>
      </c>
      <c r="IB69" s="4">
        <v>-1.6151422273735849</v>
      </c>
      <c r="IC69" s="4">
        <v>-1.595543896122833</v>
      </c>
      <c r="ID69" s="4">
        <v>-1.5756246656387569</v>
      </c>
      <c r="IE69" s="4">
        <v>-1.555342517163633</v>
      </c>
      <c r="IF69" s="4">
        <v>-1.5346594618517739</v>
      </c>
      <c r="IG69" s="4">
        <v>-1.5135417556949651</v>
      </c>
      <c r="IH69" s="4">
        <v>-1.491960069838437</v>
      </c>
      <c r="II69" s="4">
        <v>-1.4698896308167959</v>
      </c>
      <c r="IJ69" s="4">
        <v>-1.447310338997055</v>
      </c>
      <c r="IK69" s="4">
        <v>-1.4242068629018561</v>
      </c>
      <c r="IL69" s="4">
        <v>-1.400568695437898</v>
      </c>
      <c r="IM69" s="4">
        <v>-1.3763901492755031</v>
      </c>
    </row>
    <row r="70" spans="2:247" x14ac:dyDescent="0.35">
      <c r="B70" s="58">
        <v>0.54</v>
      </c>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v>-5.6373011872962122</v>
      </c>
      <c r="DW70" s="4">
        <v>-5.5919235425793623</v>
      </c>
      <c r="DX70" s="4">
        <v>-5.5467020195663466</v>
      </c>
      <c r="DY70" s="4">
        <v>-5.5016526998149056</v>
      </c>
      <c r="DZ70" s="4">
        <v>-5.4567921983706587</v>
      </c>
      <c r="EA70" s="4">
        <v>-5.4121375845633306</v>
      </c>
      <c r="EB70" s="4">
        <v>-5.3677062849616721</v>
      </c>
      <c r="EC70" s="4">
        <v>-5.323515967431681</v>
      </c>
      <c r="ED70" s="4">
        <v>-5.2795844056185226</v>
      </c>
      <c r="EE70" s="4">
        <v>-5.2359293236671274</v>
      </c>
      <c r="EF70" s="4">
        <v>-5.1925682216151561</v>
      </c>
      <c r="EG70" s="4">
        <v>-5.1495181826257284</v>
      </c>
      <c r="EH70" s="4">
        <v>-5.1067956640580876</v>
      </c>
      <c r="EI70" s="4">
        <v>-5.0644162752687549</v>
      </c>
      <c r="EJ70" s="4">
        <v>-5.0223945459455361</v>
      </c>
      <c r="EK70" s="4">
        <v>-4.980743689639052</v>
      </c>
      <c r="EL70" s="4">
        <v>-4.9394753678994228</v>
      </c>
      <c r="EM70" s="4">
        <v>-4.898599460969753</v>
      </c>
      <c r="EN70" s="4">
        <v>-4.858123851260288</v>
      </c>
      <c r="EO70" s="4">
        <v>-4.8180542257648984</v>
      </c>
      <c r="EP70" s="4">
        <v>-4.7783939031498814</v>
      </c>
      <c r="EQ70" s="4">
        <v>-4.7391436904365536</v>
      </c>
      <c r="ER70" s="4">
        <v>-4.7003017730509571</v>
      </c>
      <c r="ES70" s="4">
        <v>-4.6618636405947882</v>
      </c>
      <c r="ET70" s="4">
        <v>-4.623822049110446</v>
      </c>
      <c r="EU70" s="4">
        <v>-4.5861670189970773</v>
      </c>
      <c r="EV70" s="4">
        <v>-4.5488858662223457</v>
      </c>
      <c r="EW70" s="4">
        <v>-4.5119632631974369</v>
      </c>
      <c r="EX70" s="4">
        <v>-4.4753813247490353</v>
      </c>
      <c r="EY70" s="4">
        <v>-4.4391197141076439</v>
      </c>
      <c r="EZ70" s="4">
        <v>-4.4031557637703873</v>
      </c>
      <c r="FA70" s="4">
        <v>-4.3674646064830629</v>
      </c>
      <c r="FB70" s="4">
        <v>-4.3320193123731698</v>
      </c>
      <c r="FC70" s="4">
        <v>-4.2967910293777072</v>
      </c>
      <c r="FD70" s="4">
        <v>-4.2617491254479276</v>
      </c>
      <c r="FE70" s="4">
        <v>-4.2268613324681681</v>
      </c>
      <c r="FF70" s="4">
        <v>-4.1920938932898926</v>
      </c>
      <c r="FG70" s="4">
        <v>-4.1574117146556864</v>
      </c>
      <c r="FH70" s="4">
        <v>-4.1227785299923614</v>
      </c>
      <c r="FI70" s="4">
        <v>-4.0881570770324318</v>
      </c>
      <c r="FJ70" s="4">
        <v>-4.0535092959504437</v>
      </c>
      <c r="FK70" s="4">
        <v>-4.018796554168099</v>
      </c>
      <c r="FL70" s="4">
        <v>-3.9839799041950812</v>
      </c>
      <c r="FM70" s="4">
        <v>-3.9490203808352522</v>
      </c>
      <c r="FN70" s="4">
        <v>-3.9138793437821779</v>
      </c>
      <c r="FO70" s="4">
        <v>-3.878518871001853</v>
      </c>
      <c r="FP70" s="4">
        <v>-3.8429022072541512</v>
      </c>
      <c r="FQ70" s="4">
        <v>-3.8069942704933299</v>
      </c>
      <c r="FR70" s="4">
        <v>-3.7707622165425332</v>
      </c>
      <c r="FS70" s="4">
        <v>-3.7341760591964381</v>
      </c>
      <c r="FT70" s="4">
        <v>-3.6972093386814251</v>
      </c>
      <c r="FU70" s="4">
        <v>-3.6598398262379148</v>
      </c>
      <c r="FV70" s="4">
        <v>-3.6220502467394149</v>
      </c>
      <c r="FW70" s="4">
        <v>-3.5838289952315159</v>
      </c>
      <c r="FX70" s="4">
        <v>-3.5451708178124788</v>
      </c>
      <c r="FY70" s="4">
        <v>-3.5060774233084731</v>
      </c>
      <c r="FZ70" s="4">
        <v>-3.4665579906482962</v>
      </c>
      <c r="GA70" s="4">
        <v>-3.4266295384320791</v>
      </c>
      <c r="GB70" s="4">
        <v>-3.386317128187089</v>
      </c>
      <c r="GC70" s="4">
        <v>-3.3456538808815441</v>
      </c>
      <c r="GD70" s="4">
        <v>-3.3046807964780469</v>
      </c>
      <c r="GE70" s="4">
        <v>-3.2634463772500881</v>
      </c>
      <c r="GF70" s="4">
        <v>-3.2220060657157239</v>
      </c>
      <c r="GG70" s="4">
        <v>-3.1804215160445248</v>
      </c>
      <c r="GH70" s="4">
        <v>-3.1387597228873521</v>
      </c>
      <c r="GI70" s="4">
        <v>-3.0970920336889649</v>
      </c>
      <c r="GJ70" s="4">
        <v>-3.0554930702697369</v>
      </c>
      <c r="GK70" s="4">
        <v>-3.014039583897878</v>
      </c>
      <c r="GL70" s="4">
        <v>-2.9728092665026251</v>
      </c>
      <c r="GM70" s="4">
        <v>-2.931879540261201</v>
      </c>
      <c r="GN70" s="4">
        <v>-2.891326349251143</v>
      </c>
      <c r="GO70" s="4">
        <v>-2.851222980253068</v>
      </c>
      <c r="GP70" s="4">
        <v>-2.8116389443942071</v>
      </c>
      <c r="GQ70" s="4">
        <v>-2.7726389556916651</v>
      </c>
      <c r="GR70" s="4">
        <v>-2.7342820447906648</v>
      </c>
      <c r="GS70" s="4">
        <v>-2.6966208444412789</v>
      </c>
      <c r="GT70" s="4">
        <v>-2.6597010763150331</v>
      </c>
      <c r="GU70" s="4">
        <v>-2.6235612566062119</v>
      </c>
      <c r="GV70" s="4">
        <v>-2.5882326218607248</v>
      </c>
      <c r="GW70" s="4">
        <v>-2.553739259137636</v>
      </c>
      <c r="GX70" s="4">
        <v>-2.5200984089096372</v>
      </c>
      <c r="GY70" s="4">
        <v>-2.4873208976443322</v>
      </c>
      <c r="GZ70" s="4">
        <v>-2.4554116513168318</v>
      </c>
      <c r="HA70" s="4">
        <v>-2.4243702413942141</v>
      </c>
      <c r="HB70" s="4">
        <v>-2.39419142017094</v>
      </c>
      <c r="HC70" s="4">
        <v>-2.3648656111239781</v>
      </c>
      <c r="HD70" s="4">
        <v>-2.3363793304692062</v>
      </c>
      <c r="HE70" s="4">
        <v>-2.3087155268779789</v>
      </c>
      <c r="HF70" s="4">
        <v>-2.2818538363307699</v>
      </c>
      <c r="HG70" s="4">
        <v>-2.2557707577303798</v>
      </c>
      <c r="HH70" s="4">
        <v>-2.230439761825151</v>
      </c>
      <c r="HI70" s="4">
        <v>-2.2058313509797922</v>
      </c>
      <c r="HJ70" s="4">
        <v>-2.181913090195136</v>
      </c>
      <c r="HK70" s="4">
        <v>-2.1586496303952161</v>
      </c>
      <c r="HL70" s="4">
        <v>-2.1360027434077868</v>
      </c>
      <c r="HM70" s="4">
        <v>-2.1139313845691881</v>
      </c>
      <c r="HN70" s="4">
        <v>-2.0923917941149739</v>
      </c>
      <c r="HO70" s="4">
        <v>-2.0713376433438011</v>
      </c>
      <c r="HP70" s="4">
        <v>-2.0507202268898892</v>
      </c>
      <c r="HQ70" s="4">
        <v>-2.0304886990472322</v>
      </c>
      <c r="HR70" s="4">
        <v>-2.010590350314291</v>
      </c>
      <c r="HS70" s="4">
        <v>-1.9909709200757979</v>
      </c>
      <c r="HT70" s="4">
        <v>-1.9715749421246971</v>
      </c>
      <c r="HU70" s="4">
        <v>-1.9523461208388759</v>
      </c>
      <c r="HV70" s="4">
        <v>-1.933227736524487</v>
      </c>
      <c r="HW70" s="4">
        <v>-1.9141630781357171</v>
      </c>
      <c r="HX70" s="4">
        <v>-1.8950958999947241</v>
      </c>
      <c r="HY70" s="4">
        <v>-1.875970896364187</v>
      </c>
      <c r="HZ70" s="4">
        <v>-1.8567341842824441</v>
      </c>
      <c r="IA70" s="4">
        <v>-1.837333781813103</v>
      </c>
      <c r="IB70" s="4">
        <v>-1.8177200668168381</v>
      </c>
      <c r="IC70" s="4">
        <v>-1.7978462014251171</v>
      </c>
      <c r="ID70" s="4">
        <v>-1.777668510028499</v>
      </c>
      <c r="IE70" s="4">
        <v>-1.757146803480675</v>
      </c>
      <c r="IF70" s="4">
        <v>-1.7362446482536189</v>
      </c>
      <c r="IG70" s="4">
        <v>-1.714929584778125</v>
      </c>
      <c r="IH70" s="4">
        <v>-1.693173302432005</v>
      </c>
      <c r="II70" s="4">
        <v>-1.6709517784242589</v>
      </c>
      <c r="IJ70" s="4">
        <v>-1.6482453840550351</v>
      </c>
      <c r="IK70" s="4">
        <v>-1.6250389555907461</v>
      </c>
      <c r="IL70" s="4">
        <v>-1.60132182029234</v>
      </c>
      <c r="IM70" s="4">
        <v>-1.577087763292238</v>
      </c>
    </row>
    <row r="71" spans="2:247" x14ac:dyDescent="0.35">
      <c r="B71" s="58">
        <v>0.55000000000000004</v>
      </c>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v>-5.8261950354188814</v>
      </c>
      <c r="DW71" s="4">
        <v>-5.7810140588688839</v>
      </c>
      <c r="DX71" s="4">
        <v>-5.7359934057816364</v>
      </c>
      <c r="DY71" s="4">
        <v>-5.6911485035941141</v>
      </c>
      <c r="DZ71" s="4">
        <v>-5.6464952231212457</v>
      </c>
      <c r="EA71" s="4">
        <v>-5.6020497984112421</v>
      </c>
      <c r="EB71" s="4">
        <v>-5.5578287306059746</v>
      </c>
      <c r="EC71" s="4">
        <v>-5.5138486750895082</v>
      </c>
      <c r="ED71" s="4">
        <v>-5.470126311564405</v>
      </c>
      <c r="EE71" s="4">
        <v>-5.426678197146293</v>
      </c>
      <c r="EF71" s="4">
        <v>-5.3835206031127196</v>
      </c>
      <c r="EG71" s="4">
        <v>-5.3406693365705973</v>
      </c>
      <c r="EH71" s="4">
        <v>-5.2981395490005001</v>
      </c>
      <c r="EI71" s="4">
        <v>-5.2559455343645336</v>
      </c>
      <c r="EJ71" s="4">
        <v>-5.2141005201873796</v>
      </c>
      <c r="EK71" s="4">
        <v>-5.1726164556879386</v>
      </c>
      <c r="EL71" s="4">
        <v>-5.1315038015944943</v>
      </c>
      <c r="EM71" s="4">
        <v>-5.0907713266627441</v>
      </c>
      <c r="EN71" s="4">
        <v>-5.0504259160788099</v>
      </c>
      <c r="EO71" s="4">
        <v>-5.0104723968287654</v>
      </c>
      <c r="EP71" s="4">
        <v>-4.9709133847270568</v>
      </c>
      <c r="EQ71" s="4">
        <v>-4.9317491571232601</v>
      </c>
      <c r="ER71" s="4">
        <v>-4.8929775543776293</v>
      </c>
      <c r="ES71" s="4">
        <v>-4.854593912068859</v>
      </c>
      <c r="ET71" s="4">
        <v>-4.8165910246541888</v>
      </c>
      <c r="EU71" s="4">
        <v>-4.7789591400391878</v>
      </c>
      <c r="EV71" s="4">
        <v>-4.7416859833350644</v>
      </c>
      <c r="EW71" s="4">
        <v>-4.7047568070843431</v>
      </c>
      <c r="EX71" s="4">
        <v>-4.6681544645021624</v>
      </c>
      <c r="EY71" s="4">
        <v>-4.6318595018681048</v>
      </c>
      <c r="EZ71" s="4">
        <v>-4.595850266141726</v>
      </c>
      <c r="FA71" s="4">
        <v>-4.5601030241583818</v>
      </c>
      <c r="FB71" s="4">
        <v>-4.5245920903617467</v>
      </c>
      <c r="FC71" s="4">
        <v>-4.4892899608855803</v>
      </c>
      <c r="FD71" s="4">
        <v>-4.4541674528392257</v>
      </c>
      <c r="FE71" s="4">
        <v>-4.4191938487942632</v>
      </c>
      <c r="FF71" s="4">
        <v>-4.3843370476292574</v>
      </c>
      <c r="FG71" s="4">
        <v>-4.3495637239889113</v>
      </c>
      <c r="FH71" s="4">
        <v>-4.3148394995861121</v>
      </c>
      <c r="FI71" s="4">
        <v>-4.2801291303718703</v>
      </c>
      <c r="FJ71" s="4">
        <v>-4.2453967141860467</v>
      </c>
      <c r="FK71" s="4">
        <v>-4.210605923862059</v>
      </c>
      <c r="FL71" s="4">
        <v>-4.1757202708794798</v>
      </c>
      <c r="FM71" s="4">
        <v>-4.1407034045255768</v>
      </c>
      <c r="FN71" s="4">
        <v>-4.105519451111749</v>
      </c>
      <c r="FO71" s="4">
        <v>-4.0701333970453319</v>
      </c>
      <c r="FP71" s="4">
        <v>-4.0345115184053872</v>
      </c>
      <c r="FQ71" s="4">
        <v>-3.9986218580198218</v>
      </c>
      <c r="FR71" s="4">
        <v>-3.9624347487915612</v>
      </c>
      <c r="FS71" s="4">
        <v>-3.9259233791024601</v>
      </c>
      <c r="FT71" s="4">
        <v>-3.8890643925275401</v>
      </c>
      <c r="FU71" s="4">
        <v>-3.8518385099208752</v>
      </c>
      <c r="FV71" s="4">
        <v>-3.8142311574349912</v>
      </c>
      <c r="FW71" s="4">
        <v>-3.7762330796177062</v>
      </c>
      <c r="FX71" s="4">
        <v>-3.7378409129490699</v>
      </c>
      <c r="FY71" s="4">
        <v>-3.699057692667179</v>
      </c>
      <c r="FZ71" s="4">
        <v>-3.659893265084893</v>
      </c>
      <c r="GA71" s="4">
        <v>-3.6203645792432528</v>
      </c>
      <c r="GB71" s="4">
        <v>-3.5804958357982559</v>
      </c>
      <c r="GC71" s="4">
        <v>-3.540318477219635</v>
      </c>
      <c r="GD71" s="4">
        <v>-3.4998710110345779</v>
      </c>
      <c r="GE71" s="4">
        <v>-3.4591986660422949</v>
      </c>
      <c r="GF71" s="4">
        <v>-3.4183528891446269</v>
      </c>
      <c r="GG71" s="4">
        <v>-3.3773906968156679</v>
      </c>
      <c r="GH71" s="4">
        <v>-3.336373899740348</v>
      </c>
      <c r="GI71" s="4">
        <v>-3.295368221698332</v>
      </c>
      <c r="GJ71" s="4">
        <v>-3.2544423346976439</v>
      </c>
      <c r="GK71" s="4">
        <v>-3.2136668323291979</v>
      </c>
      <c r="GL71" s="4">
        <v>-3.1731131631046332</v>
      </c>
      <c r="GM71" s="4">
        <v>-3.1328525458523799</v>
      </c>
      <c r="GN71" s="4">
        <v>-3.09295489048746</v>
      </c>
      <c r="GO71" s="4">
        <v>-3.053487749610849</v>
      </c>
      <c r="GP71" s="4">
        <v>-3.014515328910774</v>
      </c>
      <c r="GQ71" s="4">
        <v>-2.9760975862831871</v>
      </c>
      <c r="GR71" s="4">
        <v>-2.9382894497883258</v>
      </c>
      <c r="GS71" s="4">
        <v>-2.90114018193644</v>
      </c>
      <c r="GT71" s="4">
        <v>-2.8646929117239939</v>
      </c>
      <c r="GU71" s="4">
        <v>-2.8289843464417022</v>
      </c>
      <c r="GV71" s="4">
        <v>-2.794044663502754</v>
      </c>
      <c r="GW71" s="4">
        <v>-2.7598975700161401</v>
      </c>
      <c r="GX71" s="4">
        <v>-2.7265605064526599</v>
      </c>
      <c r="GY71" s="4">
        <v>-2.6940449622036362</v>
      </c>
      <c r="GZ71" s="4">
        <v>-2.6623568661834378</v>
      </c>
      <c r="HA71" s="4">
        <v>-2.6314970151467381</v>
      </c>
      <c r="HB71" s="4">
        <v>-2.601461505616113</v>
      </c>
      <c r="HC71" s="4">
        <v>-2.5722421412945429</v>
      </c>
      <c r="HD71" s="4">
        <v>-2.5438267954389611</v>
      </c>
      <c r="HE71" s="4">
        <v>-2.5161997158370268</v>
      </c>
      <c r="HF71" s="4">
        <v>-2.489341767919794</v>
      </c>
      <c r="HG71" s="4">
        <v>-2.463230618560686</v>
      </c>
      <c r="HH71" s="4">
        <v>-2.4378408688616702</v>
      </c>
      <c r="HI71" s="4">
        <v>-2.4131441484501019</v>
      </c>
      <c r="HJ71" s="4">
        <v>-2.3891091863417619</v>
      </c>
      <c r="HK71" s="4">
        <v>-2.3657018742045062</v>
      </c>
      <c r="HL71" s="4">
        <v>-2.34288533696285</v>
      </c>
      <c r="HM71" s="4">
        <v>-2.3206200233837189</v>
      </c>
      <c r="HN71" s="4">
        <v>-2.2988638260320422</v>
      </c>
      <c r="HO71" s="4">
        <v>-2.2775722363741369</v>
      </c>
      <c r="HP71" s="4">
        <v>-2.2566985374413511</v>
      </c>
      <c r="HQ71" s="4">
        <v>-2.2361940338329469</v>
      </c>
      <c r="HR71" s="4">
        <v>-2.2160083171841429</v>
      </c>
      <c r="HS71" s="4">
        <v>-2.1960895645250869</v>
      </c>
      <c r="HT71" s="4">
        <v>-2.1763848669295451</v>
      </c>
      <c r="HU71" s="4">
        <v>-2.1568405860720081</v>
      </c>
      <c r="HV71" s="4">
        <v>-2.1374027363210542</v>
      </c>
      <c r="HW71" s="4">
        <v>-2.1180173894390948</v>
      </c>
      <c r="HX71" s="4">
        <v>-2.0986310976707121</v>
      </c>
      <c r="HY71" s="4">
        <v>-2.079191329076902</v>
      </c>
      <c r="HZ71" s="4">
        <v>-2.0596469067609231</v>
      </c>
      <c r="IA71" s="4">
        <v>-2.0399484416825082</v>
      </c>
      <c r="IB71" s="4">
        <v>-2.020048747691285</v>
      </c>
      <c r="IC71" s="4">
        <v>-1.9999032277294739</v>
      </c>
      <c r="ID71" s="4">
        <v>-1.9794702220483871</v>
      </c>
      <c r="IE71" s="4">
        <v>-1.958711312490323</v>
      </c>
      <c r="IF71" s="4">
        <v>-1.937591580686888</v>
      </c>
      <c r="IG71" s="4">
        <v>-1.916079821400267</v>
      </c>
      <c r="IH71" s="4">
        <v>-1.894148714183574</v>
      </c>
      <c r="II71" s="4">
        <v>-1.871774956420398</v>
      </c>
      <c r="IJ71" s="4">
        <v>-1.8489393586152409</v>
      </c>
      <c r="IK71" s="4">
        <v>-1.8256268992346201</v>
      </c>
      <c r="IL71" s="4">
        <v>-1.8018267326613771</v>
      </c>
      <c r="IM71" s="4">
        <v>-1.7775321413020471</v>
      </c>
    </row>
    <row r="72" spans="2:247" x14ac:dyDescent="0.35">
      <c r="B72" s="58">
        <v>0.56000000000000005</v>
      </c>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v>-6.015408910305438</v>
      </c>
      <c r="DW72" s="4">
        <v>-5.9704217827458042</v>
      </c>
      <c r="DX72" s="4">
        <v>-5.9255985581405106</v>
      </c>
      <c r="DY72" s="4">
        <v>-5.8809540118222632</v>
      </c>
      <c r="DZ72" s="4">
        <v>-5.8365032814030284</v>
      </c>
      <c r="EA72" s="4">
        <v>-5.7922617867324231</v>
      </c>
      <c r="EB72" s="4">
        <v>-5.7482451355756563</v>
      </c>
      <c r="EC72" s="4">
        <v>-5.7044690145620871</v>
      </c>
      <c r="ED72" s="4">
        <v>-5.6609490652864816</v>
      </c>
      <c r="EE72" s="4">
        <v>-5.6177007458502999</v>
      </c>
      <c r="EF72" s="4">
        <v>-5.5747391786062028</v>
      </c>
      <c r="EG72" s="4">
        <v>-5.532078985404576</v>
      </c>
      <c r="EH72" s="4">
        <v>-5.4897341122177048</v>
      </c>
      <c r="EI72" s="4">
        <v>-5.4477176456099077</v>
      </c>
      <c r="EJ72" s="4">
        <v>-5.4060416240966216</v>
      </c>
      <c r="EK72" s="4">
        <v>-5.3647168479525664</v>
      </c>
      <c r="EL72" s="4">
        <v>-5.3237526914455149</v>
      </c>
      <c r="EM72" s="4">
        <v>-5.2831569217448413</v>
      </c>
      <c r="EN72" s="4">
        <v>-5.2429355288453703</v>
      </c>
      <c r="EO72" s="4">
        <v>-5.2030925707276712</v>
      </c>
      <c r="EP72" s="4">
        <v>-5.1636300376345972</v>
      </c>
      <c r="EQ72" s="4">
        <v>-5.1245477387836624</v>
      </c>
      <c r="ER72" s="4">
        <v>-5.0858432140831544</v>
      </c>
      <c r="ES72" s="4">
        <v>-5.0475116725218747</v>
      </c>
      <c r="ET72" s="4">
        <v>-5.00954595791994</v>
      </c>
      <c r="EU72" s="4">
        <v>-4.9719365417368451</v>
      </c>
      <c r="EV72" s="4">
        <v>-4.9346715417083598</v>
      </c>
      <c r="EW72" s="4">
        <v>-4.8977367643016594</v>
      </c>
      <c r="EX72" s="4">
        <v>-4.8611157683989923</v>
      </c>
      <c r="EY72" s="4">
        <v>-4.8247899472894566</v>
      </c>
      <c r="EZ72" s="4">
        <v>-4.7887386259871718</v>
      </c>
      <c r="FA72" s="4">
        <v>-4.752939171103101</v>
      </c>
      <c r="FB72" s="4">
        <v>-4.7173671109523934</v>
      </c>
      <c r="FC72" s="4">
        <v>-4.6819962642387267</v>
      </c>
      <c r="FD72" s="4">
        <v>-4.6467988764658337</v>
      </c>
      <c r="FE72" s="4">
        <v>-4.611745764119906</v>
      </c>
      <c r="FF72" s="4">
        <v>-4.5768064675795017</v>
      </c>
      <c r="FG72" s="4">
        <v>-4.5419494145794044</v>
      </c>
      <c r="FH72" s="4">
        <v>-4.5071420968260281</v>
      </c>
      <c r="FI72" s="4">
        <v>-4.4723512629911104</v>
      </c>
      <c r="FJ72" s="4">
        <v>-4.4375431317629106</v>
      </c>
      <c r="FK72" s="4">
        <v>-4.4026836288857396</v>
      </c>
      <c r="FL72" s="4">
        <v>-4.3677386521483843</v>
      </c>
      <c r="FM72" s="4">
        <v>-4.3326743680675399</v>
      </c>
      <c r="FN72" s="4">
        <v>-4.2974575435247928</v>
      </c>
      <c r="FO72" s="4">
        <v>-4.2620559148136206</v>
      </c>
      <c r="FP72" s="4">
        <v>-4.2264385953847796</v>
      </c>
      <c r="FQ72" s="4">
        <v>-4.1905765219873894</v>
      </c>
      <c r="FR72" s="4">
        <v>-4.1544429368410967</v>
      </c>
      <c r="FS72" s="4">
        <v>-4.1180139009244456</v>
      </c>
      <c r="FT72" s="4">
        <v>-4.081268830463662</v>
      </c>
      <c r="FU72" s="4">
        <v>-4.0441910453745678</v>
      </c>
      <c r="FV72" s="4">
        <v>-4.0067683149682747</v>
      </c>
      <c r="FW72" s="4">
        <v>-3.968993383003169</v>
      </c>
      <c r="FX72" s="4">
        <v>-3.9308644515542022</v>
      </c>
      <c r="FY72" s="4">
        <v>-3.8923856016108491</v>
      </c>
      <c r="FZ72" s="4">
        <v>-3.8535671281938151</v>
      </c>
      <c r="GA72" s="4">
        <v>-3.814425769349711</v>
      </c>
      <c r="GB72" s="4">
        <v>-3.7749848116796749</v>
      </c>
      <c r="GC72" s="4">
        <v>-3.7352740598640009</v>
      </c>
      <c r="GD72" s="4">
        <v>-3.6953296634975978</v>
      </c>
      <c r="GE72" s="4">
        <v>-3.6551938008203231</v>
      </c>
      <c r="GF72" s="4">
        <v>-3.6149142249355188</v>
      </c>
      <c r="GG72" s="4">
        <v>-3.57454368327803</v>
      </c>
      <c r="GH72" s="4">
        <v>-3.5341392250493708</v>
      </c>
      <c r="GI72" s="4">
        <v>-3.4937614139917419</v>
      </c>
      <c r="GJ72" s="4">
        <v>-3.4534734654048709</v>
      </c>
      <c r="GK72" s="4">
        <v>-3.4133403271045242</v>
      </c>
      <c r="GL72" s="4">
        <v>-3.373427724541247</v>
      </c>
      <c r="GM72" s="4">
        <v>-3.333801190950509</v>
      </c>
      <c r="GN72" s="4">
        <v>-3.2945251044058002</v>
      </c>
      <c r="GO72" s="4">
        <v>-3.2556617549345161</v>
      </c>
      <c r="GP72" s="4">
        <v>-3.2172704660693761</v>
      </c>
      <c r="GQ72" s="4">
        <v>-3.1794067957353951</v>
      </c>
      <c r="GR72" s="4">
        <v>-3.142121840501404</v>
      </c>
      <c r="GS72" s="4">
        <v>-3.105461664338903</v>
      </c>
      <c r="GT72" s="4">
        <v>-3.0694668678261441</v>
      </c>
      <c r="GU72" s="4">
        <v>-3.034172306376874</v>
      </c>
      <c r="GV72" s="4">
        <v>-2.9996069572394282</v>
      </c>
      <c r="GW72" s="4">
        <v>-2.9657939257746619</v>
      </c>
      <c r="GX72" s="4">
        <v>-2.9327505731212451</v>
      </c>
      <c r="GY72" s="4">
        <v>-2.9004887409057361</v>
      </c>
      <c r="GZ72" s="4">
        <v>-2.869015044900308</v>
      </c>
      <c r="HA72" s="4">
        <v>-2.838331208727539</v>
      </c>
      <c r="HB72" s="4">
        <v>-2.8084344106357961</v>
      </c>
      <c r="HC72" s="4">
        <v>-2.779317620449147</v>
      </c>
      <c r="HD72" s="4">
        <v>-2.7509699092855748</v>
      </c>
      <c r="HE72" s="4">
        <v>-2.7233767207784298</v>
      </c>
      <c r="HF72" s="4">
        <v>-2.6965200986676199</v>
      </c>
      <c r="HG72" s="4">
        <v>-2.6703788712319478</v>
      </c>
      <c r="HH72" s="4">
        <v>-2.6449287977349769</v>
      </c>
      <c r="HI72" s="4">
        <v>-2.620142685599451</v>
      </c>
      <c r="HJ72" s="4">
        <v>-2.59599048926095</v>
      </c>
      <c r="HK72" s="4">
        <v>-2.572439402535013</v>
      </c>
      <c r="HL72" s="4">
        <v>-2.549453955940987</v>
      </c>
      <c r="HM72" s="4">
        <v>-2.5269961289678822</v>
      </c>
      <c r="HN72" s="4">
        <v>-2.505025485069551</v>
      </c>
      <c r="HO72" s="4">
        <v>-2.483499334645316</v>
      </c>
      <c r="HP72" s="4">
        <v>-2.4623729288029641</v>
      </c>
      <c r="HQ72" s="4">
        <v>-2.4415996846427981</v>
      </c>
      <c r="HR72" s="4">
        <v>-2.4211314413237202</v>
      </c>
      <c r="HS72" s="4">
        <v>-2.4009187452817331</v>
      </c>
      <c r="HT72" s="4">
        <v>-2.3809111625140029</v>
      </c>
      <c r="HU72" s="4">
        <v>-2.3610576155685892</v>
      </c>
      <c r="HV72" s="4">
        <v>-2.3413067425184502</v>
      </c>
      <c r="HW72" s="4">
        <v>-2.3216072745360949</v>
      </c>
      <c r="HX72" s="4">
        <v>-2.3019084276376049</v>
      </c>
      <c r="HY72" s="4">
        <v>-2.282160302804193</v>
      </c>
      <c r="HZ72" s="4">
        <v>-2.262314287251618</v>
      </c>
      <c r="IA72" s="4">
        <v>-2.2423234484440648</v>
      </c>
      <c r="IB72" s="4">
        <v>-2.2221429119098128</v>
      </c>
      <c r="IC72" s="4">
        <v>-2.2017302142834891</v>
      </c>
      <c r="ID72" s="4">
        <v>-2.18104562434536</v>
      </c>
      <c r="IE72" s="4">
        <v>-2.1600524269472658</v>
      </c>
      <c r="IF72" s="4">
        <v>-2.1387171671456642</v>
      </c>
      <c r="IG72" s="4">
        <v>-2.117009853990516</v>
      </c>
      <c r="IH72" s="4">
        <v>-2.0949041246625422</v>
      </c>
      <c r="II72" s="4">
        <v>-2.0723773696666292</v>
      </c>
      <c r="IJ72" s="4">
        <v>-2.049410818601646</v>
      </c>
      <c r="IK72" s="4">
        <v>-2.025989584081378</v>
      </c>
      <c r="IL72" s="4">
        <v>-2.0021026594143478</v>
      </c>
      <c r="IM72" s="4">
        <v>-1.9777428644849011</v>
      </c>
    </row>
    <row r="73" spans="2:247" x14ac:dyDescent="0.35">
      <c r="B73" s="58">
        <v>0.56999999999999995</v>
      </c>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v>-6.2049290725251094</v>
      </c>
      <c r="DW73" s="4">
        <v>-6.1601327262935346</v>
      </c>
      <c r="DX73" s="4">
        <v>-6.1155032919276877</v>
      </c>
      <c r="DY73" s="4">
        <v>-6.0710548995597504</v>
      </c>
      <c r="DZ73" s="4">
        <v>-6.0268019689115668</v>
      </c>
      <c r="EA73" s="4">
        <v>-5.9827591301793008</v>
      </c>
      <c r="EB73" s="4">
        <v>-5.9389411322134098</v>
      </c>
      <c r="EC73" s="4">
        <v>-5.8953627377542528</v>
      </c>
      <c r="ED73" s="4">
        <v>-5.852038605786591</v>
      </c>
      <c r="EE73" s="4">
        <v>-5.8089831614364176</v>
      </c>
      <c r="EF73" s="4">
        <v>-5.7662104542456376</v>
      </c>
      <c r="EG73" s="4">
        <v>-5.7237340061150634</v>
      </c>
      <c r="EH73" s="4">
        <v>-5.6815666506842053</v>
      </c>
      <c r="EI73" s="4">
        <v>-5.6397203663987012</v>
      </c>
      <c r="EJ73" s="4">
        <v>-5.5982061059729578</v>
      </c>
      <c r="EK73" s="4">
        <v>-5.5570336253575521</v>
      </c>
      <c r="EL73" s="4">
        <v>-5.5162113156324519</v>
      </c>
      <c r="EM73" s="4">
        <v>-5.4757460414399084</v>
      </c>
      <c r="EN73" s="4">
        <v>-5.4356429896137008</v>
      </c>
      <c r="EO73" s="4">
        <v>-5.3959055315392241</v>
      </c>
      <c r="EP73" s="4">
        <v>-5.3565351024818399</v>
      </c>
      <c r="EQ73" s="4">
        <v>-5.3175311006564332</v>
      </c>
      <c r="ER73" s="4">
        <v>-5.2788908082021457</v>
      </c>
      <c r="ES73" s="4">
        <v>-5.2406093355075276</v>
      </c>
      <c r="ET73" s="4">
        <v>-5.202679589552778</v>
      </c>
      <c r="EU73" s="4">
        <v>-5.1650922661528176</v>
      </c>
      <c r="EV73" s="4">
        <v>-5.127835865256972</v>
      </c>
      <c r="EW73" s="4">
        <v>-5.0908967278440542</v>
      </c>
      <c r="EX73" s="4">
        <v>-5.05425909249211</v>
      </c>
      <c r="EY73" s="4">
        <v>-5.0179051694342318</v>
      </c>
      <c r="EZ73" s="4">
        <v>-4.9818152298540026</v>
      </c>
      <c r="FA73" s="4">
        <v>-4.9459677083246607</v>
      </c>
      <c r="FB73" s="4">
        <v>-4.9103393166402336</v>
      </c>
      <c r="FC73" s="4">
        <v>-4.8749051677924671</v>
      </c>
      <c r="FD73" s="4">
        <v>-4.8396389094714101</v>
      </c>
      <c r="FE73" s="4">
        <v>-4.8045128671618196</v>
      </c>
      <c r="FF73" s="4">
        <v>-4.7694981976195114</v>
      </c>
      <c r="FG73" s="4">
        <v>-4.7345650541897069</v>
      </c>
      <c r="FH73" s="4">
        <v>-4.6996827660295928</v>
      </c>
      <c r="FI73" s="4">
        <v>-4.6648200337776222</v>
      </c>
      <c r="FJ73" s="4">
        <v>-4.6299451445422486</v>
      </c>
      <c r="FK73" s="4">
        <v>-4.595026209234069</v>
      </c>
      <c r="FL73" s="4">
        <v>-4.5600314252157386</v>
      </c>
      <c r="FM73" s="4">
        <v>-4.5249293669684008</v>
      </c>
      <c r="FN73" s="4">
        <v>-4.4896893069460129</v>
      </c>
      <c r="FO73" s="4">
        <v>-4.4542815679785912</v>
      </c>
      <c r="FP73" s="4">
        <v>-4.4186779074583882</v>
      </c>
      <c r="FQ73" s="4">
        <v>-4.3828519320710724</v>
      </c>
      <c r="FR73" s="4">
        <v>-4.3467795399999796</v>
      </c>
      <c r="FS73" s="4">
        <v>-4.3104393853509073</v>
      </c>
      <c r="FT73" s="4">
        <v>-4.2738133570752233</v>
      </c>
      <c r="FU73" s="4">
        <v>-4.2368870620300481</v>
      </c>
      <c r="FV73" s="4">
        <v>-4.1996502991924274</v>
      </c>
      <c r="FW73" s="4">
        <v>-4.1620975096901311</v>
      </c>
      <c r="FX73" s="4">
        <v>-4.1242281855192671</v>
      </c>
      <c r="FY73" s="4">
        <v>-4.0860472188863701</v>
      </c>
      <c r="FZ73" s="4">
        <v>-4.0475651742922052</v>
      </c>
      <c r="GA73" s="4">
        <v>-4.0087984669157608</v>
      </c>
      <c r="GB73" s="4">
        <v>-3.9697694335597369</v>
      </c>
      <c r="GC73" s="4">
        <v>-3.9305062862137179</v>
      </c>
      <c r="GD73" s="4">
        <v>-3.8910429428514419</v>
      </c>
      <c r="GE73" s="4">
        <v>-3.8514187349719302</v>
      </c>
      <c r="GF73" s="4">
        <v>-3.8116779961613099</v>
      </c>
      <c r="GG73" s="4">
        <v>-3.77186954019326</v>
      </c>
      <c r="GH73" s="4">
        <v>-3.7320460406375928</v>
      </c>
      <c r="GI73" s="4">
        <v>-3.692263326517458</v>
      </c>
      <c r="GJ73" s="4">
        <v>-3.6525796103304362</v>
      </c>
      <c r="GK73" s="4">
        <v>-3.6130546659391798</v>
      </c>
      <c r="GL73" s="4">
        <v>-3.5737489747045799</v>
      </c>
      <c r="GM73" s="4">
        <v>-3.5347228590058939</v>
      </c>
      <c r="GN73" s="4">
        <v>-3.4960356230736722</v>
      </c>
      <c r="GO73" s="4">
        <v>-3.4577447217865469</v>
      </c>
      <c r="GP73" s="4">
        <v>-3.419904978506259</v>
      </c>
      <c r="GQ73" s="4">
        <v>-3.3825678727623001</v>
      </c>
      <c r="GR73" s="4">
        <v>-3.3457809172220152</v>
      </c>
      <c r="GS73" s="4">
        <v>-3.3095871405542332</v>
      </c>
      <c r="GT73" s="4">
        <v>-3.2740246883834501</v>
      </c>
      <c r="GU73" s="4">
        <v>-3.2391265487108329</v>
      </c>
      <c r="GV73" s="4">
        <v>-3.2049204014329269</v>
      </c>
      <c r="GW73" s="4">
        <v>-3.1714285846474488</v>
      </c>
      <c r="GX73" s="4">
        <v>-3.138668164124478</v>
      </c>
      <c r="GY73" s="4">
        <v>-3.1066510873911071</v>
      </c>
      <c r="GZ73" s="4">
        <v>-3.0753844008527671</v>
      </c>
      <c r="HA73" s="4">
        <v>-3.044870507469891</v>
      </c>
      <c r="HB73" s="4">
        <v>-3.0151074436247032</v>
      </c>
      <c r="HC73" s="4">
        <v>-2.9860891565992689</v>
      </c>
      <c r="HD73" s="4">
        <v>-2.9578057680474421</v>
      </c>
      <c r="HE73" s="4">
        <v>-2.930243813438524</v>
      </c>
      <c r="HF73" s="4">
        <v>-2.903386452173129</v>
      </c>
      <c r="HG73" s="4">
        <v>-2.8772136474976828</v>
      </c>
      <c r="HH73" s="4">
        <v>-2.8517023191450739</v>
      </c>
      <c r="HI73" s="4">
        <v>-2.826826474574037</v>
      </c>
      <c r="HJ73" s="4">
        <v>-2.8025573266355912</v>
      </c>
      <c r="HK73" s="4">
        <v>-2.7788634064169648</v>
      </c>
      <c r="HL73" s="4">
        <v>-2.7557106799619242</v>
      </c>
      <c r="HM73" s="4">
        <v>-2.7330626766905679</v>
      </c>
      <c r="HN73" s="4">
        <v>-2.7108806358758009</v>
      </c>
      <c r="HO73" s="4">
        <v>-2.689123675757366</v>
      </c>
      <c r="HP73" s="4">
        <v>-2.6677489880652239</v>
      </c>
      <c r="HQ73" s="4">
        <v>-2.6467120591108011</v>
      </c>
      <c r="HR73" s="4">
        <v>-2.6259669173206142</v>
      </c>
      <c r="HS73" s="4">
        <v>-2.6054664061548292</v>
      </c>
      <c r="HT73" s="4">
        <v>-2.5851624806990849</v>
      </c>
      <c r="HU73" s="4">
        <v>-2.565006525699467</v>
      </c>
      <c r="HV73" s="4">
        <v>-2.544949692271393</v>
      </c>
      <c r="HW73" s="4">
        <v>-2.5249432498353608</v>
      </c>
      <c r="HX73" s="4">
        <v>-2.504938948971803</v>
      </c>
      <c r="HY73" s="4">
        <v>-2.4848893899026789</v>
      </c>
      <c r="HZ73" s="4">
        <v>-2.4647483903500969</v>
      </c>
      <c r="IA73" s="4">
        <v>-2.4444713458031209</v>
      </c>
      <c r="IB73" s="4">
        <v>-2.4240155749596211</v>
      </c>
      <c r="IC73" s="4">
        <v>-2.403340643445349</v>
      </c>
      <c r="ID73" s="4">
        <v>-2.382408659864335</v>
      </c>
      <c r="IE73" s="4">
        <v>-2.3611845396525748</v>
      </c>
      <c r="IF73" s="4">
        <v>-2.339636233798418</v>
      </c>
      <c r="IG73" s="4">
        <v>-2.317734920882518</v>
      </c>
      <c r="IH73" s="4">
        <v>-2.2954551617453931</v>
      </c>
      <c r="II73" s="4">
        <v>-2.2727750162193181</v>
      </c>
      <c r="IJ73" s="4">
        <v>-2.2496761208051108</v>
      </c>
      <c r="IK73" s="4">
        <v>-2.226143725213181</v>
      </c>
      <c r="IL73" s="4">
        <v>-2.2021666847700629</v>
      </c>
      <c r="IM73" s="4">
        <v>-2.1777374053108129</v>
      </c>
    </row>
    <row r="74" spans="2:247" x14ac:dyDescent="0.35">
      <c r="B74" s="58">
        <v>0.57999999999999996</v>
      </c>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v>-6.3947424383737141</v>
      </c>
      <c r="DW74" s="4">
        <v>-6.3501336122743783</v>
      </c>
      <c r="DX74" s="4">
        <v>-6.3056941857688553</v>
      </c>
      <c r="DY74" s="4">
        <v>-6.2614376546602593</v>
      </c>
      <c r="DZ74" s="4">
        <v>-6.2173777394430143</v>
      </c>
      <c r="EA74" s="4">
        <v>-6.1735283077525773</v>
      </c>
      <c r="EB74" s="4">
        <v>-6.1299032855468383</v>
      </c>
      <c r="EC74" s="4">
        <v>-6.0865165569409037</v>
      </c>
      <c r="ED74" s="4">
        <v>-6.0433818528913701</v>
      </c>
      <c r="EE74" s="4">
        <v>-6.0005126292429871</v>
      </c>
      <c r="EF74" s="4">
        <v>-5.9579219350067882</v>
      </c>
      <c r="EG74" s="4">
        <v>-5.9156222721228744</v>
      </c>
      <c r="EH74" s="4">
        <v>-5.8736254483573909</v>
      </c>
      <c r="EI74" s="4">
        <v>-5.8319424253756926</v>
      </c>
      <c r="EJ74" s="4">
        <v>-5.7905831643979528</v>
      </c>
      <c r="EK74" s="4">
        <v>-5.7495564721551693</v>
      </c>
      <c r="EL74" s="4">
        <v>-5.7088698500990809</v>
      </c>
      <c r="EM74" s="4">
        <v>-5.6685293499528644</v>
      </c>
      <c r="EN74" s="4">
        <v>-5.6285394387036636</v>
      </c>
      <c r="EO74" s="4">
        <v>-5.5889028760190254</v>
      </c>
      <c r="EP74" s="4">
        <v>-5.5496206068134617</v>
      </c>
      <c r="EQ74" s="4">
        <v>-5.5106916713078649</v>
      </c>
      <c r="ER74" s="4">
        <v>-5.4721131344290974</v>
      </c>
      <c r="ES74" s="4">
        <v>-5.4338800358206338</v>
      </c>
      <c r="ET74" s="4">
        <v>-5.3959853611149518</v>
      </c>
      <c r="EU74" s="4">
        <v>-5.3584200344974757</v>
      </c>
      <c r="EV74" s="4">
        <v>-5.321172932015255</v>
      </c>
      <c r="EW74" s="4">
        <v>-5.2842309145936657</v>
      </c>
      <c r="EX74" s="4">
        <v>-5.247578879357909</v>
      </c>
      <c r="EY74" s="4">
        <v>-5.2111998276368627</v>
      </c>
      <c r="EZ74" s="4">
        <v>-5.1750749479714973</v>
      </c>
      <c r="FA74" s="4">
        <v>-5.139183712556405</v>
      </c>
      <c r="FB74" s="4">
        <v>-5.1035039858003772</v>
      </c>
      <c r="FC74" s="4">
        <v>-5.0680121440764703</v>
      </c>
      <c r="FD74" s="4">
        <v>-5.0326832062096676</v>
      </c>
      <c r="FE74" s="4">
        <v>-4.9974909747844007</v>
      </c>
      <c r="FF74" s="4">
        <v>-4.9624081889015157</v>
      </c>
      <c r="FG74" s="4">
        <v>-4.9274066895345658</v>
      </c>
      <c r="FH74" s="4">
        <v>-4.8924575990901138</v>
      </c>
      <c r="FI74" s="4">
        <v>-4.8575315171296189</v>
      </c>
      <c r="FJ74" s="4">
        <v>-4.8225987344342842</v>
      </c>
      <c r="FK74" s="4">
        <v>-4.7876294676597189</v>
      </c>
      <c r="FL74" s="4">
        <v>-4.752594116714139</v>
      </c>
      <c r="FM74" s="4">
        <v>-4.7174635466773394</v>
      </c>
      <c r="FN74" s="4">
        <v>-4.6822093955381376</v>
      </c>
      <c r="FO74" s="4">
        <v>-4.6468044082422679</v>
      </c>
      <c r="FP74" s="4">
        <v>-4.6112227964926298</v>
      </c>
      <c r="FQ74" s="4">
        <v>-4.5754406224189026</v>
      </c>
      <c r="FR74" s="4">
        <v>-4.5394362026371446</v>
      </c>
      <c r="FS74" s="4">
        <v>-4.5031905273841026</v>
      </c>
      <c r="FT74" s="4">
        <v>-4.4666876873996966</v>
      </c>
      <c r="FU74" s="4">
        <v>-4.4299152991533806</v>
      </c>
      <c r="FV74" s="4">
        <v>-4.3928649170206411</v>
      </c>
      <c r="FW74" s="4">
        <v>-4.3555324193044331</v>
      </c>
      <c r="FX74" s="4">
        <v>-4.3179183537791488</v>
      </c>
      <c r="FY74" s="4">
        <v>-4.280028227915424</v>
      </c>
      <c r="FZ74" s="4">
        <v>-4.2418727292901206</v>
      </c>
      <c r="GA74" s="4">
        <v>-4.203467862983973</v>
      </c>
      <c r="GB74" s="4">
        <v>-4.1648349950046404</v>
      </c>
      <c r="GC74" s="4">
        <v>-4.1260007938144891</v>
      </c>
      <c r="GD74" s="4">
        <v>-4.086997065657612</v>
      </c>
      <c r="GE74" s="4">
        <v>-4.0478604832681473</v>
      </c>
      <c r="GF74" s="4">
        <v>-4.0086322113833894</v>
      </c>
      <c r="GG74" s="4">
        <v>-3.9693574360005641</v>
      </c>
      <c r="GH74" s="4">
        <v>-3.9300848073095431</v>
      </c>
      <c r="GI74" s="4">
        <v>-3.8908658086206609</v>
      </c>
      <c r="GJ74" s="4">
        <v>-3.851754065412166</v>
      </c>
      <c r="GK74" s="4">
        <v>-3.8128046099505482</v>
      </c>
      <c r="GL74" s="4">
        <v>-3.774073117930075</v>
      </c>
      <c r="GM74" s="4">
        <v>-3.735615134350553</v>
      </c>
      <c r="GN74" s="4">
        <v>-3.697485306450131</v>
      </c>
      <c r="GO74" s="4">
        <v>-3.659736641873379</v>
      </c>
      <c r="GP74" s="4">
        <v>-3.622419810219486</v>
      </c>
      <c r="GQ74" s="4">
        <v>-3.5855825054456392</v>
      </c>
      <c r="GR74" s="4">
        <v>-3.5492688850470229</v>
      </c>
      <c r="GS74" s="4">
        <v>-3.513519099320856</v>
      </c>
      <c r="GT74" s="4">
        <v>-3.478368920311357</v>
      </c>
      <c r="GU74" s="4">
        <v>-3.4438494753851479</v>
      </c>
      <c r="GV74" s="4">
        <v>-3.409987085158412</v>
      </c>
      <c r="GW74" s="4">
        <v>-3.3768032001924979</v>
      </c>
      <c r="GX74" s="4">
        <v>-3.3443144260559161</v>
      </c>
      <c r="GY74" s="4">
        <v>-3.3125326225344112</v>
      </c>
      <c r="GZ74" s="4">
        <v>-3.2814650603270872</v>
      </c>
      <c r="HA74" s="4">
        <v>-3.251114617668212</v>
      </c>
      <c r="HB74" s="4">
        <v>-3.2214799999220478</v>
      </c>
      <c r="HC74" s="4">
        <v>-3.1925559670960451</v>
      </c>
      <c r="HD74" s="4">
        <v>-3.1643335570723101</v>
      </c>
      <c r="HE74" s="4">
        <v>-3.1368002957826571</v>
      </c>
      <c r="HF74" s="4">
        <v>-3.1099403891674071</v>
      </c>
      <c r="HG74" s="4">
        <v>-3.083734895225994</v>
      </c>
      <c r="HH74" s="4">
        <v>-3.0581618775141708</v>
      </c>
      <c r="HI74" s="4">
        <v>-3.033196543871314</v>
      </c>
      <c r="HJ74" s="4">
        <v>-3.008811375850283</v>
      </c>
      <c r="HK74" s="4">
        <v>-2.9849762552297658</v>
      </c>
      <c r="HL74" s="4">
        <v>-2.9616585941486639</v>
      </c>
      <c r="HM74" s="4">
        <v>-2.9388234749216902</v>
      </c>
      <c r="HN74" s="4">
        <v>-2.916433804635238</v>
      </c>
      <c r="HO74" s="4">
        <v>-2.894450488378534</v>
      </c>
      <c r="HP74" s="4">
        <v>-2.8728326236299271</v>
      </c>
      <c r="HQ74" s="4">
        <v>-2.851537717052953</v>
      </c>
      <c r="HR74" s="4">
        <v>-2.8305219238635129</v>
      </c>
      <c r="HS74" s="4">
        <v>-2.8097403090409419</v>
      </c>
      <c r="HT74" s="4">
        <v>-2.789147128940018</v>
      </c>
      <c r="HU74" s="4">
        <v>-2.768696131245767</v>
      </c>
      <c r="HV74" s="4">
        <v>-2.74834087061291</v>
      </c>
      <c r="HW74" s="4">
        <v>-2.7280350366834019</v>
      </c>
      <c r="HX74" s="4">
        <v>-2.7077327904634001</v>
      </c>
      <c r="HY74" s="4">
        <v>-2.6873891043062259</v>
      </c>
      <c r="HZ74" s="4">
        <v>-2.6669601000887329</v>
      </c>
      <c r="IA74" s="4">
        <v>-2.6464033797149882</v>
      </c>
      <c r="IB74" s="4">
        <v>-2.6256783419537428</v>
      </c>
      <c r="IC74" s="4">
        <v>-2.604746479895562</v>
      </c>
      <c r="ID74" s="4">
        <v>-2.5835716539897922</v>
      </c>
      <c r="IE74" s="4">
        <v>-2.5621203365893468</v>
      </c>
      <c r="IF74" s="4">
        <v>-2.5403618250027882</v>
      </c>
      <c r="IG74" s="4">
        <v>-2.5182684210044961</v>
      </c>
      <c r="IH74" s="4">
        <v>-2.4958155753875459</v>
      </c>
      <c r="II74" s="4">
        <v>-2.4729819963603612</v>
      </c>
      <c r="IJ74" s="4">
        <v>-2.4497497204212659</v>
      </c>
      <c r="IK74" s="4">
        <v>-2.4261041439732609</v>
      </c>
      <c r="IL74" s="4">
        <v>-2.4020340136377301</v>
      </c>
      <c r="IM74" s="4">
        <v>-2.3775313732838579</v>
      </c>
    </row>
    <row r="75" spans="2:247" x14ac:dyDescent="0.35">
      <c r="B75" s="58">
        <v>0.59</v>
      </c>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v>-6.5848365608181112</v>
      </c>
      <c r="DW75" s="4">
        <v>-6.5404118478278503</v>
      </c>
      <c r="DX75" s="4">
        <v>-6.4961585478367443</v>
      </c>
      <c r="DY75" s="4">
        <v>-6.4520895363640056</v>
      </c>
      <c r="DZ75" s="4">
        <v>-6.4082178558988696</v>
      </c>
      <c r="EA75" s="4">
        <v>-6.364556640401239</v>
      </c>
      <c r="EB75" s="4">
        <v>-6.3211190298345983</v>
      </c>
      <c r="EC75" s="4">
        <v>-6.2779180747766308</v>
      </c>
      <c r="ED75" s="4">
        <v>-6.2349666313973744</v>
      </c>
      <c r="EE75" s="4">
        <v>-6.1922772473733119</v>
      </c>
      <c r="EF75" s="4">
        <v>-6.1498620396118504</v>
      </c>
      <c r="EG75" s="4">
        <v>-6.1077325649841736</v>
      </c>
      <c r="EH75" s="4">
        <v>-6.0658996855936707</v>
      </c>
      <c r="EI75" s="4">
        <v>-6.0243734304263992</v>
      </c>
      <c r="EJ75" s="4">
        <v>-5.9831628555208631</v>
      </c>
      <c r="EK75" s="4">
        <v>-5.9422759050378371</v>
      </c>
      <c r="EL75" s="4">
        <v>-5.9017192757882766</v>
      </c>
      <c r="EM75" s="4">
        <v>-5.8614982878700541</v>
      </c>
      <c r="EN75" s="4">
        <v>-5.8216167640596312</v>
      </c>
      <c r="EO75" s="4">
        <v>-5.7820769204938909</v>
      </c>
      <c r="EP75" s="4">
        <v>-5.7428792709595626</v>
      </c>
      <c r="EQ75" s="4">
        <v>-5.704022546789643</v>
      </c>
      <c r="ER75" s="4">
        <v>-5.6655036339634544</v>
      </c>
      <c r="ES75" s="4">
        <v>-5.6273175285428474</v>
      </c>
      <c r="ET75" s="4">
        <v>-5.5894573110806469</v>
      </c>
      <c r="EU75" s="4">
        <v>-5.5519141401424914</v>
      </c>
      <c r="EV75" s="4">
        <v>-5.5146772646234599</v>
      </c>
      <c r="EW75" s="4">
        <v>-5.4777340541503419</v>
      </c>
      <c r="EX75" s="4">
        <v>-5.441070046563965</v>
      </c>
      <c r="EY75" s="4">
        <v>-5.4046690112957734</v>
      </c>
      <c r="EZ75" s="4">
        <v>-5.3685130273985884</v>
      </c>
      <c r="FA75" s="4">
        <v>-5.3325825750631548</v>
      </c>
      <c r="FB75" s="4">
        <v>-5.2968566396419634</v>
      </c>
      <c r="FC75" s="4">
        <v>-5.2613128274891281</v>
      </c>
      <c r="FD75" s="4">
        <v>-5.2259274932875659</v>
      </c>
      <c r="FE75" s="4">
        <v>-5.1906758789387357</v>
      </c>
      <c r="FF75" s="4">
        <v>-5.1555322645043908</v>
      </c>
      <c r="FG75" s="4">
        <v>-5.1204701320803334</v>
      </c>
      <c r="FH75" s="4">
        <v>-5.0854623438151538</v>
      </c>
      <c r="FI75" s="4">
        <v>-5.0504813355344318</v>
      </c>
      <c r="FJ75" s="4">
        <v>-5.0154993275646076</v>
      </c>
      <c r="FK75" s="4">
        <v>-4.9804885543473896</v>
      </c>
      <c r="FL75" s="4">
        <v>-4.9454215142747504</v>
      </c>
      <c r="FM75" s="4">
        <v>-4.9102712408360869</v>
      </c>
      <c r="FN75" s="4">
        <v>-4.8750115956377709</v>
      </c>
      <c r="FO75" s="4">
        <v>-4.839617583116171</v>
      </c>
      <c r="FP75" s="4">
        <v>-4.8040656858105404</v>
      </c>
      <c r="FQ75" s="4">
        <v>-4.7683342178934112</v>
      </c>
      <c r="FR75" s="4">
        <v>-4.7324036932886333</v>
      </c>
      <c r="FS75" s="4">
        <v>-4.6962572031792842</v>
      </c>
      <c r="FT75" s="4">
        <v>-4.6598807960828754</v>
      </c>
      <c r="FU75" s="4">
        <v>-4.6232638520443992</v>
      </c>
      <c r="FV75" s="4">
        <v>-4.5863994409932562</v>
      </c>
      <c r="FW75" s="4">
        <v>-4.5492846540734941</v>
      </c>
      <c r="FX75" s="4">
        <v>-4.5119208959441579</v>
      </c>
      <c r="FY75" s="4">
        <v>-4.4743141258008494</v>
      </c>
      <c r="FZ75" s="4">
        <v>-4.4364750353002336</v>
      </c>
      <c r="GA75" s="4">
        <v>-4.3984191527281027</v>
      </c>
      <c r="GB75" s="4">
        <v>-4.3601668646164642</v>
      </c>
      <c r="GC75" s="4">
        <v>-4.3217433484875309</v>
      </c>
      <c r="GD75" s="4">
        <v>-4.2831784133126964</v>
      </c>
      <c r="GE75" s="4">
        <v>-4.2445062474110351</v>
      </c>
      <c r="GF75" s="4">
        <v>-4.2057650766473147</v>
      </c>
      <c r="GG75" s="4">
        <v>-4.1669967387243734</v>
      </c>
      <c r="GH75" s="4">
        <v>-4.128246181948759</v>
      </c>
      <c r="GI75" s="4">
        <v>-4.0895608990042014</v>
      </c>
      <c r="GJ75" s="4">
        <v>-4.0509903079857681</v>
      </c>
      <c r="GK75" s="4">
        <v>-4.0125850942704</v>
      </c>
      <c r="GL75" s="4">
        <v>-3.9743965277932372</v>
      </c>
      <c r="GM75" s="4">
        <v>-3.9364757710164451</v>
      </c>
      <c r="GN75" s="4">
        <v>-3.8988731933286109</v>
      </c>
      <c r="GO75" s="4">
        <v>-3.861637707750615</v>
      </c>
      <c r="GP75" s="4">
        <v>-3.8248161455392928</v>
      </c>
      <c r="GQ75" s="4">
        <v>-3.7884526834327712</v>
      </c>
      <c r="GR75" s="4">
        <v>-3.7525883367312431</v>
      </c>
      <c r="GS75" s="4">
        <v>-3.7172605290709582</v>
      </c>
      <c r="GT75" s="4">
        <v>-3.6825027466423239</v>
      </c>
      <c r="GU75" s="4">
        <v>-3.6483442808637192</v>
      </c>
      <c r="GV75" s="4">
        <v>-3.61481005941797</v>
      </c>
      <c r="GW75" s="4">
        <v>-3.5819205614430158</v>
      </c>
      <c r="GX75" s="4">
        <v>-3.5496918089355431</v>
      </c>
      <c r="GY75" s="4">
        <v>-3.5181354234335749</v>
      </c>
      <c r="GZ75" s="4">
        <v>-3.4872587350592061</v>
      </c>
      <c r="HA75" s="4">
        <v>-3.4570649301571041</v>
      </c>
      <c r="HB75" s="4">
        <v>-3.427553224051386</v>
      </c>
      <c r="HC75" s="4">
        <v>-3.398719046725228</v>
      </c>
      <c r="HD75" s="4">
        <v>-3.3705542312793511</v>
      </c>
      <c r="HE75" s="4">
        <v>-3.3430471975704461</v>
      </c>
      <c r="HF75" s="4">
        <v>-3.316183126184796</v>
      </c>
      <c r="HG75" s="4">
        <v>-3.289944120602827</v>
      </c>
      <c r="HH75" s="4">
        <v>-3.2643093578369351</v>
      </c>
      <c r="HI75" s="4">
        <v>-3.2392552298112309</v>
      </c>
      <c r="HJ75" s="4">
        <v>-3.2147554791939479</v>
      </c>
      <c r="HK75" s="4">
        <v>-3.1907813342452349</v>
      </c>
      <c r="HL75" s="4">
        <v>-3.167301647523951</v>
      </c>
      <c r="HM75" s="4">
        <v>-3.1442830430755531</v>
      </c>
      <c r="HN75" s="4">
        <v>-3.1216900761115109</v>
      </c>
      <c r="HO75" s="4">
        <v>-3.0994854083236669</v>
      </c>
      <c r="HP75" s="4">
        <v>-3.0776300009896569</v>
      </c>
      <c r="HQ75" s="4">
        <v>-3.056083327035056</v>
      </c>
      <c r="HR75" s="4">
        <v>-3.034803602302679</v>
      </c>
      <c r="HS75" s="4">
        <v>-3.01374803547459</v>
      </c>
      <c r="HT75" s="4">
        <v>-2.9928730953931</v>
      </c>
      <c r="HU75" s="4">
        <v>-2.972134793900604</v>
      </c>
      <c r="HV75" s="4">
        <v>-2.9514889817220218</v>
      </c>
      <c r="HW75" s="4">
        <v>-2.9308916543198689</v>
      </c>
      <c r="HX75" s="4">
        <v>-2.910299264055948</v>
      </c>
      <c r="HY75" s="4">
        <v>-2.8896690344296792</v>
      </c>
      <c r="HZ75" s="4">
        <v>-2.8689592716906311</v>
      </c>
      <c r="IA75" s="4">
        <v>-2.848129668822553</v>
      </c>
      <c r="IB75" s="4">
        <v>-2.827141596836487</v>
      </c>
      <c r="IC75" s="4">
        <v>-2.8059583785301991</v>
      </c>
      <c r="ID75" s="4">
        <v>-2.7845455403549608</v>
      </c>
      <c r="IE75" s="4">
        <v>-2.762871038707265</v>
      </c>
      <c r="IF75" s="4">
        <v>-2.740905457711567</v>
      </c>
      <c r="IG75" s="4">
        <v>-2.718622176245304</v>
      </c>
      <c r="IH75" s="4">
        <v>-2.6959975024638521</v>
      </c>
      <c r="II75" s="4">
        <v>-2.6730107743560119</v>
      </c>
      <c r="IJ75" s="4">
        <v>-2.6496444249290039</v>
      </c>
      <c r="IK75" s="4">
        <v>-2.6258840105956569</v>
      </c>
      <c r="IL75" s="4">
        <v>-2.601718201383695</v>
      </c>
      <c r="IM75" s="4">
        <v>-2.577138731878736</v>
      </c>
    </row>
    <row r="76" spans="2:247" x14ac:dyDescent="0.35">
      <c r="B76" s="58">
        <v>0.6</v>
      </c>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v>-6.7751996076811718</v>
      </c>
      <c r="DW76" s="4">
        <v>-6.7309554961584341</v>
      </c>
      <c r="DX76" s="4">
        <v>-6.686884380895961</v>
      </c>
      <c r="DY76" s="4">
        <v>-6.642998533667396</v>
      </c>
      <c r="DZ76" s="4">
        <v>-6.5993103420746113</v>
      </c>
      <c r="EA76" s="4">
        <v>-6.5558322364591186</v>
      </c>
      <c r="EB76" s="4">
        <v>-6.5125766080183372</v>
      </c>
      <c r="EC76" s="4">
        <v>-6.4695557182638233</v>
      </c>
      <c r="ED76" s="4">
        <v>-6.4267816001764659</v>
      </c>
      <c r="EE76" s="4">
        <v>-6.3842659516564044</v>
      </c>
      <c r="EF76" s="4">
        <v>-6.3420200221282128</v>
      </c>
      <c r="EG76" s="4">
        <v>-6.3000544934340432</v>
      </c>
      <c r="EH76" s="4">
        <v>-6.2583793564212442</v>
      </c>
      <c r="EI76" s="4">
        <v>-6.2170037848905908</v>
      </c>
      <c r="EJ76" s="4">
        <v>-6.1759360088048521</v>
      </c>
      <c r="EK76" s="4">
        <v>-6.1351831888477877</v>
      </c>
      <c r="EL76" s="4">
        <v>-6.0947512945574296</v>
      </c>
      <c r="EM76" s="4">
        <v>-6.0546449883216606</v>
      </c>
      <c r="EN76" s="4">
        <v>-6.014867517508522</v>
      </c>
      <c r="EO76" s="4">
        <v>-5.9754206169025341</v>
      </c>
      <c r="EP76" s="4">
        <v>-5.936304423434505</v>
      </c>
      <c r="EQ76" s="4">
        <v>-5.8975174049277728</v>
      </c>
      <c r="ER76" s="4">
        <v>-5.8590563042561943</v>
      </c>
      <c r="ES76" s="4">
        <v>-5.8209160999338456</v>
      </c>
      <c r="ET76" s="4">
        <v>-5.7830899837570016</v>
      </c>
      <c r="EU76" s="4">
        <v>-5.7455693557222522</v>
      </c>
      <c r="EV76" s="4">
        <v>-5.7083438360760814</v>
      </c>
      <c r="EW76" s="4">
        <v>-5.6714012940363503</v>
      </c>
      <c r="EX76" s="4">
        <v>-5.634727892485107</v>
      </c>
      <c r="EY76" s="4">
        <v>-5.5983081477810286</v>
      </c>
      <c r="EZ76" s="4">
        <v>-5.5621250037863152</v>
      </c>
      <c r="FA76" s="4">
        <v>-5.5261599192471511</v>
      </c>
      <c r="FB76" s="4">
        <v>-5.4903929678021566</v>
      </c>
      <c r="FC76" s="4">
        <v>-5.454802950105357</v>
      </c>
      <c r="FD76" s="4">
        <v>-5.419367517818201</v>
      </c>
      <c r="FE76" s="4">
        <v>-5.3840633095262733</v>
      </c>
      <c r="FF76" s="4">
        <v>-5.348866098941925</v>
      </c>
      <c r="FG76" s="4">
        <v>-5.3137509560384553</v>
      </c>
      <c r="FH76" s="4">
        <v>-5.2786924219954603</v>
      </c>
      <c r="FI76" s="4">
        <v>-5.2436646989955209</v>
      </c>
      <c r="FJ76" s="4">
        <v>-5.2086418559733856</v>
      </c>
      <c r="FK76" s="4">
        <v>-5.1735980513627444</v>
      </c>
      <c r="FL76" s="4">
        <v>-5.138507773691904</v>
      </c>
      <c r="FM76" s="4">
        <v>-5.103346100534865</v>
      </c>
      <c r="FN76" s="4">
        <v>-5.0680889758152254</v>
      </c>
      <c r="FO76" s="4">
        <v>-5.0327135047807809</v>
      </c>
      <c r="FP76" s="4">
        <v>-4.997198265114366</v>
      </c>
      <c r="FQ76" s="4">
        <v>-4.9615236316310316</v>
      </c>
      <c r="FR76" s="4">
        <v>-4.9256721108543911</v>
      </c>
      <c r="FS76" s="4">
        <v>-4.8896286805048774</v>
      </c>
      <c r="FT76" s="4">
        <v>-4.8533811276286771</v>
      </c>
      <c r="FU76" s="4">
        <v>-4.8169203778285663</v>
      </c>
      <c r="FV76" s="4">
        <v>-4.7802408069254652</v>
      </c>
      <c r="FW76" s="4">
        <v>-4.7433405254934904</v>
      </c>
      <c r="FX76" s="4">
        <v>-4.7062216261852194</v>
      </c>
      <c r="FY76" s="4">
        <v>-4.6688903836978639</v>
      </c>
      <c r="FZ76" s="4">
        <v>-4.6313573976982916</v>
      </c>
      <c r="GA76" s="4">
        <v>-4.593637670054366</v>
      </c>
      <c r="GB76" s="4">
        <v>-4.5557506092904774</v>
      </c>
      <c r="GC76" s="4">
        <v>-4.5177199572192457</v>
      </c>
      <c r="GD76" s="4">
        <v>-4.4795736350769726</v>
      </c>
      <c r="GE76" s="4">
        <v>-4.4413435090524711</v>
      </c>
      <c r="GF76" s="4">
        <v>-4.4030650776860538</v>
      </c>
      <c r="GG76" s="4">
        <v>-4.3647770860773942</v>
      </c>
      <c r="GH76" s="4">
        <v>-4.3265210740636197</v>
      </c>
      <c r="GI76" s="4">
        <v>-4.288340867439846</v>
      </c>
      <c r="GJ76" s="4">
        <v>-4.2502820228668741</v>
      </c>
      <c r="GK76" s="4">
        <v>-4.2123912383511302</v>
      </c>
      <c r="GL76" s="4">
        <v>-4.1747157421125882</v>
      </c>
      <c r="GM76" s="4">
        <v>-4.1373026732941014</v>
      </c>
      <c r="GN76" s="4">
        <v>-4.1001984683051136</v>
      </c>
      <c r="GO76" s="4">
        <v>-4.0634482665942402</v>
      </c>
      <c r="GP76" s="4">
        <v>-4.0270953492420114</v>
      </c>
      <c r="GQ76" s="4">
        <v>-3.9911806228726729</v>
      </c>
      <c r="GR76" s="4">
        <v>-3.9557421599318792</v>
      </c>
      <c r="GS76" s="4">
        <v>-3.9208148043343538</v>
      </c>
      <c r="GT76" s="4">
        <v>-3.886429848890586</v>
      </c>
      <c r="GU76" s="4">
        <v>-3.8526147878945811</v>
      </c>
      <c r="GV76" s="4">
        <v>-3.8193931449952658</v>
      </c>
      <c r="GW76" s="4">
        <v>-3.7867843732399118</v>
      </c>
      <c r="GX76" s="4">
        <v>-3.7548038212462389</v>
      </c>
      <c r="GY76" s="4">
        <v>-3.7234627570853891</v>
      </c>
      <c r="GZ76" s="4">
        <v>-3.692768439832165</v>
      </c>
      <c r="HA76" s="4">
        <v>-3.662724227965489</v>
      </c>
      <c r="HB76" s="4">
        <v>-3.6333297138846898</v>
      </c>
      <c r="HC76" s="4">
        <v>-3.6045808746595691</v>
      </c>
      <c r="HD76" s="4">
        <v>-3.576470230599746</v>
      </c>
      <c r="HE76" s="4">
        <v>-3.5489870051128132</v>
      </c>
      <c r="HF76" s="4">
        <v>-3.522117281410666</v>
      </c>
      <c r="HG76" s="4">
        <v>-3.4958441537161229</v>
      </c>
      <c r="HH76" s="4">
        <v>-3.4701478725435861</v>
      </c>
      <c r="HI76" s="4">
        <v>-3.445005985240964</v>
      </c>
      <c r="HJ76" s="4">
        <v>-3.420393474195818</v>
      </c>
      <c r="HK76" s="4">
        <v>-3.3962828958832731</v>
      </c>
      <c r="HL76" s="4">
        <v>-3.372644524270116</v>
      </c>
      <c r="HM76" s="4">
        <v>-3.3494465020331678</v>
      </c>
      <c r="HN76" s="4">
        <v>-3.326655002674574</v>
      </c>
      <c r="HO76" s="4">
        <v>-3.3042344060171418</v>
      </c>
      <c r="HP76" s="4">
        <v>-3.2821474888333788</v>
      </c>
      <c r="HQ76" s="4">
        <v>-3.2603556315877502</v>
      </c>
      <c r="HR76" s="4">
        <v>-3.238819041516269</v>
      </c>
      <c r="HS76" s="4">
        <v>-3.217496991562609</v>
      </c>
      <c r="HT76" s="4">
        <v>-3.196348074047239</v>
      </c>
      <c r="HU76" s="4">
        <v>-3.1753304673543159</v>
      </c>
      <c r="HV76" s="4">
        <v>-3.154402213364639</v>
      </c>
      <c r="HW76" s="4">
        <v>-3.1335215028325778</v>
      </c>
      <c r="HX76" s="4">
        <v>-3.1126469654040112</v>
      </c>
      <c r="HY76" s="4">
        <v>-3.0917379605261401</v>
      </c>
      <c r="HZ76" s="4">
        <v>-3.0707548651479839</v>
      </c>
      <c r="IA76" s="4">
        <v>-3.0496593539001959</v>
      </c>
      <c r="IB76" s="4">
        <v>-3.0284146674134349</v>
      </c>
      <c r="IC76" s="4">
        <v>-3.006985864603763</v>
      </c>
      <c r="ID76" s="4">
        <v>-2.9853400551062541</v>
      </c>
      <c r="IE76" s="4">
        <v>-2.9634466085256652</v>
      </c>
      <c r="IF76" s="4">
        <v>-2.9412773377175609</v>
      </c>
      <c r="IG76" s="4">
        <v>-2.9188066538338071</v>
      </c>
      <c r="IH76" s="4">
        <v>-2.8960116912943001</v>
      </c>
      <c r="II76" s="4">
        <v>-2.872872401151326</v>
      </c>
      <c r="IJ76" s="4">
        <v>-2.8493716115168031</v>
      </c>
      <c r="IK76" s="4">
        <v>-2.8254950538921659</v>
      </c>
      <c r="IL76" s="4">
        <v>-2.8012313544786491</v>
      </c>
      <c r="IM76" s="4">
        <v>-2.7765719899509</v>
      </c>
    </row>
    <row r="77" spans="2:247" x14ac:dyDescent="0.35">
      <c r="B77" s="58">
        <v>0.61</v>
      </c>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v>-6.9658203378780339</v>
      </c>
      <c r="DW77" s="4">
        <v>-6.921753246970451</v>
      </c>
      <c r="DX77" s="4">
        <v>-6.8778603468690296</v>
      </c>
      <c r="DY77" s="4">
        <v>-6.8341533240529282</v>
      </c>
      <c r="DZ77" s="4">
        <v>-6.7906439356950132</v>
      </c>
      <c r="EA77" s="4">
        <v>-6.7473439392418033</v>
      </c>
      <c r="EB77" s="4">
        <v>-6.7042650142503097</v>
      </c>
      <c r="EC77" s="4">
        <v>-6.6614186766868979</v>
      </c>
      <c r="ED77" s="4">
        <v>-6.6188161860851471</v>
      </c>
      <c r="EE77" s="4">
        <v>-6.5764684461713712</v>
      </c>
      <c r="EF77" s="4">
        <v>-6.5343858997911886</v>
      </c>
      <c r="EG77" s="4">
        <v>-6.4925784192000089</v>
      </c>
      <c r="EH77" s="4">
        <v>-6.4510551930077291</v>
      </c>
      <c r="EI77" s="4">
        <v>-6.4098246112802642</v>
      </c>
      <c r="EJ77" s="4">
        <v>-6.3688941504878853</v>
      </c>
      <c r="EK77" s="4">
        <v>-6.3282702601404512</v>
      </c>
      <c r="EL77" s="4">
        <v>-6.287958253050796</v>
      </c>
      <c r="EM77" s="4">
        <v>-6.2479622012112763</v>
      </c>
      <c r="EN77" s="4">
        <v>-6.2082848392469154</v>
      </c>
      <c r="EO77" s="4">
        <v>-6.1689274773188849</v>
      </c>
      <c r="EP77" s="4">
        <v>-6.1298899251958652</v>
      </c>
      <c r="EQ77" s="4">
        <v>-6.0911704289923723</v>
      </c>
      <c r="ER77" s="4">
        <v>-6.0527656218044728</v>
      </c>
      <c r="ES77" s="4">
        <v>-6.0146704891690277</v>
      </c>
      <c r="ET77" s="4">
        <v>-5.9768783499496543</v>
      </c>
      <c r="EU77" s="4">
        <v>-5.9393808529324801</v>
      </c>
      <c r="EV77" s="4">
        <v>-5.9021679891170464</v>
      </c>
      <c r="EW77" s="4">
        <v>-5.8652281194316567</v>
      </c>
      <c r="EX77" s="4">
        <v>-5.8285480174044224</v>
      </c>
      <c r="EY77" s="4">
        <v>-5.7921129261918178</v>
      </c>
      <c r="EZ77" s="4">
        <v>-5.7559066293139232</v>
      </c>
      <c r="FA77" s="4">
        <v>-5.7199115344669114</v>
      </c>
      <c r="FB77" s="4">
        <v>-5.6841087698765094</v>
      </c>
      <c r="FC77" s="4">
        <v>-5.6484782928069439</v>
      </c>
      <c r="FD77" s="4">
        <v>-5.6129990100333682</v>
      </c>
      <c r="FE77" s="4">
        <v>-5.5776489103038429</v>
      </c>
      <c r="FF77" s="4">
        <v>-5.5424052090353673</v>
      </c>
      <c r="FG77" s="4">
        <v>-5.5072445056865327</v>
      </c>
      <c r="FH77" s="4">
        <v>-5.472142954404589</v>
      </c>
      <c r="FI77" s="4">
        <v>-5.4370764486338352</v>
      </c>
      <c r="FJ77" s="4">
        <v>-5.4020208203786151</v>
      </c>
      <c r="FK77" s="4">
        <v>-5.3669520547175118</v>
      </c>
      <c r="FL77" s="4">
        <v>-5.3318465199530358</v>
      </c>
      <c r="FM77" s="4">
        <v>-5.2966812134406371</v>
      </c>
      <c r="FN77" s="4">
        <v>-5.2614340226645488</v>
      </c>
      <c r="FO77" s="4">
        <v>-5.2260840005128379</v>
      </c>
      <c r="FP77" s="4">
        <v>-5.1906116529546598</v>
      </c>
      <c r="FQ77" s="4">
        <v>-5.1549992364505037</v>
      </c>
      <c r="FR77" s="4">
        <v>-5.1192310614558556</v>
      </c>
      <c r="FS77" s="4">
        <v>-5.083293797347709</v>
      </c>
      <c r="FT77" s="4">
        <v>-5.0471767730627128</v>
      </c>
      <c r="FU77" s="4">
        <v>-5.0108722667530508</v>
      </c>
      <c r="FV77" s="4">
        <v>-4.9743757769193806</v>
      </c>
      <c r="FW77" s="4">
        <v>-4.937686266853401</v>
      </c>
      <c r="FX77" s="4">
        <v>-4.9008063738999788</v>
      </c>
      <c r="FY77" s="4">
        <v>-4.8637425750998862</v>
      </c>
      <c r="FZ77" s="4">
        <v>-4.8265053012485524</v>
      </c>
      <c r="GA77" s="4">
        <v>-4.7891089923205694</v>
      </c>
      <c r="GB77" s="4">
        <v>-4.7515720885417032</v>
      </c>
      <c r="GC77" s="4">
        <v>-4.7139169530832401</v>
      </c>
      <c r="GD77" s="4">
        <v>-4.6761697243142626</v>
      </c>
      <c r="GE77" s="4">
        <v>-4.6383600976635861</v>
      </c>
      <c r="GF77" s="4">
        <v>-4.6005210392944527</v>
      </c>
      <c r="GG77" s="4">
        <v>-4.5626884358693367</v>
      </c>
      <c r="GH77" s="4">
        <v>-4.5249006865871824</v>
      </c>
      <c r="GI77" s="4">
        <v>-4.4871982453476766</v>
      </c>
      <c r="GJ77" s="4">
        <v>-4.44962312230136</v>
      </c>
      <c r="GK77" s="4">
        <v>-4.4122183551663516</v>
      </c>
      <c r="GL77" s="4">
        <v>-4.3750274615316158</v>
      </c>
      <c r="GM77" s="4">
        <v>-4.3380938839201466</v>
      </c>
      <c r="GN77" s="4">
        <v>-4.301460439639623</v>
      </c>
      <c r="GO77" s="4">
        <v>-4.2651687873740087</v>
      </c>
      <c r="GP77" s="4">
        <v>-4.2292589220241741</v>
      </c>
      <c r="GQ77" s="4">
        <v>-4.193768708443403</v>
      </c>
      <c r="GR77" s="4">
        <v>-4.1587334634020863</v>
      </c>
      <c r="GS77" s="4">
        <v>-4.1241855933553371</v>
      </c>
      <c r="GT77" s="4">
        <v>-4.0901542934231827</v>
      </c>
      <c r="GU77" s="4">
        <v>-4.0566653105291781</v>
      </c>
      <c r="GV77" s="4">
        <v>-4.0237407710302548</v>
      </c>
      <c r="GW77" s="4">
        <v>-3.9913990705994511</v>
      </c>
      <c r="GX77" s="4">
        <v>-3.9596548217924341</v>
      </c>
      <c r="GY77" s="4">
        <v>-3.9285188528224899</v>
      </c>
      <c r="GZ77" s="4">
        <v>-3.897998249726633</v>
      </c>
      <c r="HA77" s="4">
        <v>-3.86809643340648</v>
      </c>
      <c r="HB77" s="4">
        <v>-3.8388132629815952</v>
      </c>
      <c r="HC77" s="4">
        <v>-3.8101451574442891</v>
      </c>
      <c r="HD77" s="4">
        <v>-3.782085228645669</v>
      </c>
      <c r="HE77" s="4">
        <v>-3.7546234200317339</v>
      </c>
      <c r="HF77" s="4">
        <v>-3.7277466471269021</v>
      </c>
      <c r="HG77" s="4">
        <v>-3.701438937377314</v>
      </c>
      <c r="HH77" s="4">
        <v>-3.6756815684800022</v>
      </c>
      <c r="HI77" s="4">
        <v>-3.650453205625503</v>
      </c>
      <c r="HJ77" s="4">
        <v>-3.6257300390960272</v>
      </c>
      <c r="HK77" s="4">
        <v>-3.60148592434596</v>
      </c>
      <c r="HL77" s="4">
        <v>-3.5776925270430029</v>
      </c>
      <c r="HM77" s="4">
        <v>-3.554319475590578</v>
      </c>
      <c r="HN77" s="4">
        <v>-3.5313345234357429</v>
      </c>
      <c r="HO77" s="4">
        <v>-3.5087037230561782</v>
      </c>
      <c r="HP77" s="4">
        <v>-3.486391612981032</v>
      </c>
      <c r="HQ77" s="4">
        <v>-3.464361418598489</v>
      </c>
      <c r="HR77" s="4">
        <v>-3.442575266884786</v>
      </c>
      <c r="HS77" s="4">
        <v>-3.4209944145874749</v>
      </c>
      <c r="HT77" s="4">
        <v>-3.3995794888267188</v>
      </c>
      <c r="HU77" s="4">
        <v>-3.3782907385433698</v>
      </c>
      <c r="HV77" s="4">
        <v>-3.3570882947231828</v>
      </c>
      <c r="HW77" s="4">
        <v>-3.3359324368605798</v>
      </c>
      <c r="HX77" s="4">
        <v>-3.314783862703095</v>
      </c>
      <c r="HY77" s="4">
        <v>-3.293603957957389</v>
      </c>
      <c r="HZ77" s="4">
        <v>-3.2723550623648592</v>
      </c>
      <c r="IA77" s="4">
        <v>-3.251000728399748</v>
      </c>
      <c r="IB77" s="4">
        <v>-3.2295059688258911</v>
      </c>
      <c r="IC77" s="4">
        <v>-3.2078374894780479</v>
      </c>
      <c r="ID77" s="4">
        <v>-3.1859639038970511</v>
      </c>
      <c r="IE77" s="4">
        <v>-3.1638559268108111</v>
      </c>
      <c r="IF77" s="4">
        <v>-3.1414865438679032</v>
      </c>
      <c r="IG77" s="4">
        <v>-3.1188311554452328</v>
      </c>
      <c r="IH77" s="4">
        <v>-3.095867692725502</v>
      </c>
      <c r="II77" s="4">
        <v>-3.0725767045591739</v>
      </c>
      <c r="IJ77" s="4">
        <v>-3.048941413899465</v>
      </c>
      <c r="IK77" s="4">
        <v>-3.0249477428735192</v>
      </c>
      <c r="IL77" s="4">
        <v>-3.000584305884999</v>
      </c>
      <c r="IM77" s="4">
        <v>-2.975842370591399</v>
      </c>
    </row>
    <row r="78" spans="2:247" x14ac:dyDescent="0.35">
      <c r="B78" s="58">
        <v>0.62</v>
      </c>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v>-7.1566880763677858</v>
      </c>
      <c r="DW78" s="4">
        <v>-7.1127943862593037</v>
      </c>
      <c r="DX78" s="4">
        <v>-7.0690757314587582</v>
      </c>
      <c r="DY78" s="4">
        <v>-7.0255432330222316</v>
      </c>
      <c r="DZ78" s="4">
        <v>-6.9822080430316902</v>
      </c>
      <c r="EA78" s="4">
        <v>-6.9390812770172152</v>
      </c>
      <c r="EB78" s="4">
        <v>-6.8961739395787429</v>
      </c>
      <c r="EC78" s="4">
        <v>-6.8534968434588617</v>
      </c>
      <c r="ED78" s="4">
        <v>-6.8110605224900533</v>
      </c>
      <c r="EE78" s="4">
        <v>-6.7688751390216328</v>
      </c>
      <c r="EF78" s="4">
        <v>-6.7269503866245346</v>
      </c>
      <c r="EG78" s="4">
        <v>-6.685295389065872</v>
      </c>
      <c r="EH78" s="4">
        <v>-6.6439185967339416</v>
      </c>
      <c r="EI78" s="4">
        <v>-6.6028276818687379</v>
      </c>
      <c r="EJ78" s="4">
        <v>-6.562029434103831</v>
      </c>
      <c r="EK78" s="4">
        <v>-6.5215296579442787</v>
      </c>
      <c r="EL78" s="4">
        <v>-6.4813330738822312</v>
      </c>
      <c r="EM78" s="4">
        <v>-6.4414432248808184</v>
      </c>
      <c r="EN78" s="4">
        <v>-6.4018623899333358</v>
      </c>
      <c r="EO78" s="4">
        <v>-6.3625915063257796</v>
      </c>
      <c r="EP78" s="4">
        <v>-6.3236301020978329</v>
      </c>
      <c r="EQ78" s="4">
        <v>-6.2849762400175013</v>
      </c>
      <c r="ER78" s="4">
        <v>-6.246626474163242</v>
      </c>
      <c r="ES78" s="4">
        <v>-6.2085758199590586</v>
      </c>
      <c r="ET78" s="4">
        <v>-6.1708177382461642</v>
      </c>
      <c r="EU78" s="4">
        <v>-6.1333441337141057</v>
      </c>
      <c r="EV78" s="4">
        <v>-6.0961453677720119</v>
      </c>
      <c r="EW78" s="4">
        <v>-6.0592102857303782</v>
      </c>
      <c r="EX78" s="4">
        <v>-6.0225262579980434</v>
      </c>
      <c r="EY78" s="4">
        <v>-5.9860792348879439</v>
      </c>
      <c r="EZ78" s="4">
        <v>-5.9498538145702806</v>
      </c>
      <c r="FA78" s="4">
        <v>-5.9138333237172773</v>
      </c>
      <c r="FB78" s="4">
        <v>-5.877999910441309</v>
      </c>
      <c r="FC78" s="4">
        <v>-5.8423346492306507</v>
      </c>
      <c r="FD78" s="4">
        <v>-5.8068176577220196</v>
      </c>
      <c r="FE78" s="4">
        <v>-5.7714282252994451</v>
      </c>
      <c r="FF78" s="4">
        <v>-5.7361449536584104</v>
      </c>
      <c r="FG78" s="4">
        <v>-5.7009459096040356</v>
      </c>
      <c r="FH78" s="4">
        <v>-5.6658087904427887</v>
      </c>
      <c r="FI78" s="4">
        <v>-5.6307111023631444</v>
      </c>
      <c r="FJ78" s="4">
        <v>-5.5956303521629458</v>
      </c>
      <c r="FK78" s="4">
        <v>-5.5605442525589712</v>
      </c>
      <c r="FL78" s="4">
        <v>-5.525430941091825</v>
      </c>
      <c r="FM78" s="4">
        <v>-5.4902692123130041</v>
      </c>
      <c r="FN78" s="4">
        <v>-5.4550387625016796</v>
      </c>
      <c r="FO78" s="4">
        <v>-5.4197204456108068</v>
      </c>
      <c r="FP78" s="4">
        <v>-5.3842965384890711</v>
      </c>
      <c r="FQ78" s="4">
        <v>-5.3487510126841968</v>
      </c>
      <c r="FR78" s="4">
        <v>-5.3130698093253974</v>
      </c>
      <c r="FS78" s="4">
        <v>-5.2772411127443917</v>
      </c>
      <c r="FT78" s="4">
        <v>-5.241255617668827</v>
      </c>
      <c r="FU78" s="4">
        <v>-5.2051067840643892</v>
      </c>
      <c r="FV78" s="4">
        <v>-5.1687910730738551</v>
      </c>
      <c r="FW78" s="4">
        <v>-5.1323081570674507</v>
      </c>
      <c r="FX78" s="4">
        <v>-5.0956610966397768</v>
      </c>
      <c r="FY78" s="4">
        <v>-5.0588564775150608</v>
      </c>
      <c r="FZ78" s="4">
        <v>-5.0219045007872616</v>
      </c>
      <c r="GA78" s="4">
        <v>-4.9848190207323277</v>
      </c>
      <c r="GB78" s="4">
        <v>-4.9476175255695907</v>
      </c>
      <c r="GC78" s="4">
        <v>-4.9103210579704566</v>
      </c>
      <c r="GD78" s="4">
        <v>-4.872954073747394</v>
      </c>
      <c r="GE78" s="4">
        <v>-4.8355442389191161</v>
      </c>
      <c r="GF78" s="4">
        <v>-4.7981221671488132</v>
      </c>
      <c r="GG78" s="4">
        <v>-4.7607211013044832</v>
      </c>
      <c r="GH78" s="4">
        <v>-4.7233765445197147</v>
      </c>
      <c r="GI78" s="4">
        <v>-4.6861258475834422</v>
      </c>
      <c r="GJ78" s="4">
        <v>-4.6490077607203952</v>
      </c>
      <c r="GK78" s="4">
        <v>-4.6120619588167964</v>
      </c>
      <c r="GL78" s="4">
        <v>-4.5753285498848051</v>
      </c>
      <c r="GM78" s="4">
        <v>-4.538847577032465</v>
      </c>
      <c r="GN78" s="4">
        <v>-4.5026585243969262</v>
      </c>
      <c r="GO78" s="4">
        <v>-4.4667998373863416</v>
      </c>
      <c r="GP78" s="4">
        <v>-4.43130846713371</v>
      </c>
      <c r="GQ78" s="4">
        <v>-4.3962194482712604</v>
      </c>
      <c r="GR78" s="4">
        <v>-4.3615655179775157</v>
      </c>
      <c r="GS78" s="4">
        <v>-4.3273767827456737</v>
      </c>
      <c r="GT78" s="4">
        <v>-4.2936804375196278</v>
      </c>
      <c r="GU78" s="4">
        <v>-4.2605005398283762</v>
      </c>
      <c r="GV78" s="4">
        <v>-4.2278578394382009</v>
      </c>
      <c r="GW78" s="4">
        <v>-4.1957696619766844</v>
      </c>
      <c r="GX78" s="4">
        <v>-4.164249843109495</v>
      </c>
      <c r="GY78" s="4">
        <v>-4.1333087083036961</v>
      </c>
      <c r="GZ78" s="4">
        <v>-4.1029530920945474</v>
      </c>
      <c r="HA78" s="4">
        <v>-4.0731863901449383</v>
      </c>
      <c r="HB78" s="4">
        <v>-4.0440086372606299</v>
      </c>
      <c r="HC78" s="4">
        <v>-4.0154166048640754</v>
      </c>
      <c r="HD78" s="4">
        <v>-3.9874039121587148</v>
      </c>
      <c r="HE78" s="4">
        <v>-3.9599611462324078</v>
      </c>
      <c r="HF78" s="4">
        <v>-3.9330759875361911</v>
      </c>
      <c r="HG78" s="4">
        <v>-3.906733338414309</v>
      </c>
      <c r="HH78" s="4">
        <v>-3.8809154535482251</v>
      </c>
      <c r="HI78" s="4">
        <v>-3.8556020722200262</v>
      </c>
      <c r="HJ78" s="4">
        <v>-3.830770553138656</v>
      </c>
      <c r="HK78" s="4">
        <v>-3.8063960131646808</v>
      </c>
      <c r="HL78" s="4">
        <v>-3.7824514716085438</v>
      </c>
      <c r="HM78" s="4">
        <v>-3.7589080018745191</v>
      </c>
      <c r="HN78" s="4">
        <v>-3.735734892110445</v>
      </c>
      <c r="HO78" s="4">
        <v>-3.7128998162444078</v>
      </c>
      <c r="HP78" s="4">
        <v>-3.6903690163942211</v>
      </c>
      <c r="HQ78" s="4">
        <v>-3.668107497167362</v>
      </c>
      <c r="HR78" s="4">
        <v>-3.646079231868661</v>
      </c>
      <c r="HS78" s="4">
        <v>-3.624247380127704</v>
      </c>
      <c r="HT78" s="4">
        <v>-3.6025745159661602</v>
      </c>
      <c r="HU78" s="4">
        <v>-3.5810228648567999</v>
      </c>
      <c r="HV78" s="4">
        <v>-3.5595545478872821</v>
      </c>
      <c r="HW78" s="4">
        <v>-3.538131830739538</v>
      </c>
      <c r="HX78" s="4">
        <v>-3.516717374838302</v>
      </c>
      <c r="HY78" s="4">
        <v>-3.495274487727384</v>
      </c>
      <c r="HZ78" s="4">
        <v>-3.473767369514821</v>
      </c>
      <c r="IA78" s="4">
        <v>-3.452161352107614</v>
      </c>
      <c r="IB78" s="4">
        <v>-3.4304231279458759</v>
      </c>
      <c r="IC78" s="4">
        <v>-3.4085209650462041</v>
      </c>
      <c r="ID78" s="4">
        <v>-3.3864249053662818</v>
      </c>
      <c r="IE78" s="4">
        <v>-3.364106943782601</v>
      </c>
      <c r="IF78" s="4">
        <v>-3.3415411853021819</v>
      </c>
      <c r="IG78" s="4">
        <v>-3.3187039784726742</v>
      </c>
      <c r="IH78" s="4">
        <v>-3.2955740232910902</v>
      </c>
      <c r="II78" s="4">
        <v>-3.272132452228171</v>
      </c>
      <c r="IJ78" s="4">
        <v>-3.2483628832922302</v>
      </c>
      <c r="IK78" s="4">
        <v>-3.2242514443781531</v>
      </c>
      <c r="IL78" s="4">
        <v>-3.199786768516224</v>
      </c>
      <c r="IM78" s="4">
        <v>-3.1749599600874312</v>
      </c>
    </row>
    <row r="79" spans="2:247" x14ac:dyDescent="0.35">
      <c r="B79" s="58">
        <v>0.63</v>
      </c>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v>-7.3477926883612126</v>
      </c>
      <c r="DW79" s="4">
        <v>-7.3040687659443302</v>
      </c>
      <c r="DX79" s="4">
        <v>-7.2605204092420879</v>
      </c>
      <c r="DY79" s="4">
        <v>-7.2171581947641066</v>
      </c>
      <c r="DZ79" s="4">
        <v>-7.1739926953374544</v>
      </c>
      <c r="EA79" s="4">
        <v>-7.1310344154791014</v>
      </c>
      <c r="EB79" s="4">
        <v>-7.0882937208082319</v>
      </c>
      <c r="EC79" s="4">
        <v>-7.0457807617839237</v>
      </c>
      <c r="ED79" s="4">
        <v>-7.0035053922027108</v>
      </c>
      <c r="EE79" s="4">
        <v>-6.9614770830493624</v>
      </c>
      <c r="EF79" s="4">
        <v>-6.9197048324591073</v>
      </c>
      <c r="EG79" s="4">
        <v>-6.87819707271301</v>
      </c>
      <c r="EH79" s="4">
        <v>-6.8369615753453612</v>
      </c>
      <c r="EI79" s="4">
        <v>-6.7960053555856117</v>
      </c>
      <c r="EJ79" s="4">
        <v>-6.755334577479517</v>
      </c>
      <c r="EK79" s="4">
        <v>-6.7149544611281211</v>
      </c>
      <c r="EL79" s="4">
        <v>-6.6748691935420128</v>
      </c>
      <c r="EM79" s="4">
        <v>-6.635081844627793</v>
      </c>
      <c r="EN79" s="4">
        <v>-6.5955942897989077</v>
      </c>
      <c r="EO79" s="4">
        <v>-6.556407140633981</v>
      </c>
      <c r="EP79" s="4">
        <v>-6.5175196848941761</v>
      </c>
      <c r="EQ79" s="4">
        <v>-6.4789298370604884</v>
      </c>
      <c r="ER79" s="4">
        <v>-6.4406341003701213</v>
      </c>
      <c r="ES79" s="4">
        <v>-6.402627541127206</v>
      </c>
      <c r="ET79" s="4">
        <v>-6.3649037758486351</v>
      </c>
      <c r="EU79" s="4">
        <v>-6.3274549715925339</v>
      </c>
      <c r="EV79" s="4">
        <v>-6.2902718596174587</v>
      </c>
      <c r="EW79" s="4">
        <v>-6.2533437623461534</v>
      </c>
      <c r="EX79" s="4">
        <v>-6.2166586334671807</v>
      </c>
      <c r="EY79" s="4">
        <v>-6.1802031109092939</v>
      </c>
      <c r="EZ79" s="4">
        <v>-6.1439625823685411</v>
      </c>
      <c r="FA79" s="4">
        <v>-6.1079212630588362</v>
      </c>
      <c r="FB79" s="4">
        <v>-6.0720622853867532</v>
      </c>
      <c r="FC79" s="4">
        <v>-6.036367800316067</v>
      </c>
      <c r="FD79" s="4">
        <v>-6.0008190902744234</v>
      </c>
      <c r="FE79" s="4">
        <v>-5.9653966935526546</v>
      </c>
      <c r="FF79" s="4">
        <v>-5.9300805402411392</v>
      </c>
      <c r="FG79" s="4">
        <v>-5.8948500998236426</v>
      </c>
      <c r="FH79" s="4">
        <v>-5.8596845405900719</v>
      </c>
      <c r="FI79" s="4">
        <v>-5.8245629010241977</v>
      </c>
      <c r="FJ79" s="4">
        <v>-5.7894642732536701</v>
      </c>
      <c r="FK79" s="4">
        <v>-5.7543679985101646</v>
      </c>
      <c r="FL79" s="4">
        <v>-5.7192538743253332</v>
      </c>
      <c r="FM79" s="4">
        <v>-5.6841023728797637</v>
      </c>
      <c r="FN79" s="4">
        <v>-5.6488948695238879</v>
      </c>
      <c r="FO79" s="4">
        <v>-5.6136138800061453</v>
      </c>
      <c r="FP79" s="4">
        <v>-5.5782433043800523</v>
      </c>
      <c r="FQ79" s="4">
        <v>-5.5427686749370446</v>
      </c>
      <c r="FR79" s="4">
        <v>-5.5071774048438389</v>
      </c>
      <c r="FS79" s="4">
        <v>-5.4714590334858668</v>
      </c>
      <c r="FT79" s="4">
        <v>-5.4356054638661888</v>
      </c>
      <c r="FU79" s="4">
        <v>-5.3996111868302936</v>
      </c>
      <c r="FV79" s="4">
        <v>-5.3634734864262752</v>
      </c>
      <c r="FW79" s="4">
        <v>-5.3271926204191704</v>
      </c>
      <c r="FX79" s="4">
        <v>-5.2907719699007227</v>
      </c>
      <c r="FY79" s="4">
        <v>-5.2542181521091358</v>
      </c>
      <c r="FZ79" s="4">
        <v>-5.2175410910177611</v>
      </c>
      <c r="GA79" s="4">
        <v>-5.1807540409725146</v>
      </c>
      <c r="GB79" s="4">
        <v>-5.1438735596377354</v>
      </c>
      <c r="GC79" s="4">
        <v>-5.1069194277135814</v>
      </c>
      <c r="GD79" s="4">
        <v>-5.0699145142615727</v>
      </c>
      <c r="GE79" s="4">
        <v>-5.0328845879544426</v>
      </c>
      <c r="GF79" s="4">
        <v>-4.995858076081868</v>
      </c>
      <c r="GG79" s="4">
        <v>-4.9588657746266973</v>
      </c>
      <c r="GH79" s="4">
        <v>-4.921940514118381</v>
      </c>
      <c r="GI79" s="4">
        <v>-4.8851167872191663</v>
      </c>
      <c r="GJ79" s="4">
        <v>-4.8484303450701143</v>
      </c>
      <c r="GK79" s="4">
        <v>-4.8119177702898863</v>
      </c>
      <c r="GL79" s="4">
        <v>-4.7756160351603967</v>
      </c>
      <c r="GM79" s="4">
        <v>-4.7395620539345584</v>
      </c>
      <c r="GN79" s="4">
        <v>-4.7037922383463986</v>
      </c>
      <c r="GO79" s="4">
        <v>-4.6683420652762386</v>
      </c>
      <c r="GP79" s="4">
        <v>-4.6332456651092446</v>
      </c>
      <c r="GQ79" s="4">
        <v>-4.5985354386151744</v>
      </c>
      <c r="GR79" s="4">
        <v>-4.5642417091725864</v>
      </c>
      <c r="GS79" s="4">
        <v>-4.5303924158862072</v>
      </c>
      <c r="GT79" s="4">
        <v>-4.4970128516450112</v>
      </c>
      <c r="GU79" s="4">
        <v>-4.4641254485130037</v>
      </c>
      <c r="GV79" s="4">
        <v>-4.4317496111266914</v>
      </c>
      <c r="GW79" s="4">
        <v>-4.3999015970992694</v>
      </c>
      <c r="GX79" s="4">
        <v>-4.3685944419112497</v>
      </c>
      <c r="GY79" s="4">
        <v>-4.3378379244994996</v>
      </c>
      <c r="GZ79" s="4">
        <v>-4.3076385688189136</v>
      </c>
      <c r="HA79" s="4">
        <v>-4.277999676089359</v>
      </c>
      <c r="HB79" s="4">
        <v>-4.2489213822664524</v>
      </c>
      <c r="HC79" s="4">
        <v>-4.2204007354649287</v>
      </c>
      <c r="HD79" s="4">
        <v>-4.1924317885644484</v>
      </c>
      <c r="HE79" s="4">
        <v>-4.1650057029656367</v>
      </c>
      <c r="HF79" s="4">
        <v>-4.1381108603508663</v>
      </c>
      <c r="HG79" s="4">
        <v>-4.1117329802521541</v>
      </c>
      <c r="HH79" s="4">
        <v>-4.0858552421528556</v>
      </c>
      <c r="HI79" s="4">
        <v>-4.0604584116804689</v>
      </c>
      <c r="HJ79" s="4">
        <v>-4.0355209711321063</v>
      </c>
      <c r="HK79" s="4">
        <v>-4.0110192550785682</v>
      </c>
      <c r="HL79" s="4">
        <v>-3.9869275921037848</v>
      </c>
      <c r="HM79" s="4">
        <v>-3.9632184538593438</v>
      </c>
      <c r="HN79" s="4">
        <v>-3.9398626125676262</v>
      </c>
      <c r="HO79" s="4">
        <v>-3.916829307921418</v>
      </c>
      <c r="HP79" s="4">
        <v>-3.8940864240369608</v>
      </c>
      <c r="HQ79" s="4">
        <v>-3.8716006767553131</v>
      </c>
      <c r="HR79" s="4">
        <v>-3.8493378111847441</v>
      </c>
      <c r="HS79" s="4">
        <v>-3.827262808957252</v>
      </c>
      <c r="HT79" s="4">
        <v>-3.8053401042560608</v>
      </c>
      <c r="HU79" s="4">
        <v>-3.7835338072684399</v>
      </c>
      <c r="HV79" s="4">
        <v>-3.7618079333401928</v>
      </c>
      <c r="HW79" s="4">
        <v>-3.7401266357636782</v>
      </c>
      <c r="HX79" s="4">
        <v>-3.718454439831457</v>
      </c>
      <c r="HY79" s="4">
        <v>-3.6967564755417999</v>
      </c>
      <c r="HZ79" s="4">
        <v>-3.6749987061668601</v>
      </c>
      <c r="IA79" s="4">
        <v>-3.6531481497982972</v>
      </c>
      <c r="IB79" s="4">
        <v>-3.631173090975889</v>
      </c>
      <c r="IC79" s="4">
        <v>-3.6090432795851428</v>
      </c>
      <c r="ID79" s="4">
        <v>-3.5867301143682351</v>
      </c>
      <c r="IE79" s="4">
        <v>-3.56420680861818</v>
      </c>
      <c r="IF79" s="4">
        <v>-3.541448535895054</v>
      </c>
      <c r="IG79" s="4">
        <v>-3.5184325538974082</v>
      </c>
      <c r="IH79" s="4">
        <v>-3.495138304925661</v>
      </c>
      <c r="II79" s="4">
        <v>-3.4715474916812989</v>
      </c>
      <c r="IJ79" s="4">
        <v>-3.4476441274586329</v>
      </c>
      <c r="IK79" s="4">
        <v>-3.4234145601222949</v>
      </c>
      <c r="IL79" s="4">
        <v>-3.3988474696375781</v>
      </c>
      <c r="IM79" s="4">
        <v>-3.3739338393523211</v>
      </c>
    </row>
    <row r="80" spans="2:247" x14ac:dyDescent="0.35">
      <c r="B80" s="58">
        <v>0.64</v>
      </c>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v>-7.5391245532218623</v>
      </c>
      <c r="DW80" s="4">
        <v>-7.4955667737267886</v>
      </c>
      <c r="DX80" s="4">
        <v>-7.4521848095535992</v>
      </c>
      <c r="DY80" s="4">
        <v>-7.4089887141985438</v>
      </c>
      <c r="DZ80" s="4">
        <v>-7.3659885072546709</v>
      </c>
      <c r="EA80" s="4">
        <v>-7.3231941127883076</v>
      </c>
      <c r="EB80" s="4">
        <v>-7.2806152925050531</v>
      </c>
      <c r="EC80" s="4">
        <v>-7.2382615740110801</v>
      </c>
      <c r="ED80" s="4">
        <v>-7.196142174607119</v>
      </c>
      <c r="EE80" s="4">
        <v>-7.1542659211898352</v>
      </c>
      <c r="EF80" s="4">
        <v>-7.1126411669762337</v>
      </c>
      <c r="EG80" s="4">
        <v>-7.0712757059053937</v>
      </c>
      <c r="EH80" s="4">
        <v>-7.0301766857022887</v>
      </c>
      <c r="EI80" s="4">
        <v>-6.9893505207082871</v>
      </c>
      <c r="EJ80" s="4">
        <v>-6.9488028056808231</v>
      </c>
      <c r="EK80" s="4">
        <v>-6.9085382318404562</v>
      </c>
      <c r="EL80" s="4">
        <v>-6.8685605064886728</v>
      </c>
      <c r="EM80" s="4">
        <v>-6.8288722775316693</v>
      </c>
      <c r="EN80" s="4">
        <v>-6.789475064221608</v>
      </c>
      <c r="EO80" s="4">
        <v>-6.7503691953669689</v>
      </c>
      <c r="EP80" s="4">
        <v>-6.7115537561689624</v>
      </c>
      <c r="EQ80" s="4">
        <v>-6.6730265447152348</v>
      </c>
      <c r="ER80" s="4">
        <v>-6.6347840390116</v>
      </c>
      <c r="ES80" s="4">
        <v>-6.5968213752645539</v>
      </c>
      <c r="ET80" s="4">
        <v>-6.5591323379499453</v>
      </c>
      <c r="EU80" s="4">
        <v>-6.5217093620274431</v>
      </c>
      <c r="EV80" s="4">
        <v>-6.4845435474948472</v>
      </c>
      <c r="EW80" s="4">
        <v>-6.4476246863292372</v>
      </c>
      <c r="EX80" s="4">
        <v>-6.4109413017420378</v>
      </c>
      <c r="EY80" s="4">
        <v>-6.3744806995854502</v>
      </c>
      <c r="EZ80" s="4">
        <v>-6.3382290316936327</v>
      </c>
      <c r="FA80" s="4">
        <v>-6.3021713709192424</v>
      </c>
      <c r="FB80" s="4">
        <v>-6.2662917976363639</v>
      </c>
      <c r="FC80" s="4">
        <v>-6.230573497513614</v>
      </c>
      <c r="FD80" s="4">
        <v>-6.1949988704116734</v>
      </c>
      <c r="FE80" s="4">
        <v>-6.159549650315653</v>
      </c>
      <c r="FF80" s="4">
        <v>-6.1242070362637584</v>
      </c>
      <c r="FG80" s="4">
        <v>-6.0889518342672631</v>
      </c>
      <c r="FH80" s="4">
        <v>-6.0537646102207479</v>
      </c>
      <c r="FI80" s="4">
        <v>-6.0186258537643393</v>
      </c>
      <c r="FJ80" s="4">
        <v>-5.9835161529710783</v>
      </c>
      <c r="FK80" s="4">
        <v>-5.9484163795825387</v>
      </c>
      <c r="FL80" s="4">
        <v>-5.9133078843005764</v>
      </c>
      <c r="FM80" s="4">
        <v>-5.8781727013557319</v>
      </c>
      <c r="FN80" s="4">
        <v>-5.8429937612159772</v>
      </c>
      <c r="FO80" s="4">
        <v>-5.8077551098758171</v>
      </c>
      <c r="FP80" s="4">
        <v>-5.7724421326837669</v>
      </c>
      <c r="FQ80" s="4">
        <v>-5.737041780142242</v>
      </c>
      <c r="FR80" s="4">
        <v>-5.7015427925646387</v>
      </c>
      <c r="FS80" s="4">
        <v>-5.6659359199304884</v>
      </c>
      <c r="FT80" s="4">
        <v>-5.6302141327678097</v>
      </c>
      <c r="FU80" s="4">
        <v>-5.5943728194527376</v>
      </c>
      <c r="FV80" s="4">
        <v>-5.5584099649841923</v>
      </c>
      <c r="FW80" s="4">
        <v>-5.5223263061064678</v>
      </c>
      <c r="FX80" s="4">
        <v>-5.4861254576467813</v>
      </c>
      <c r="FY80" s="4">
        <v>-5.4498140051341837</v>
      </c>
      <c r="FZ80" s="4">
        <v>-5.4134015591865392</v>
      </c>
      <c r="GA80" s="4">
        <v>-5.376900767792347</v>
      </c>
      <c r="GB80" s="4">
        <v>-5.3403272834620967</v>
      </c>
      <c r="GC80" s="4">
        <v>-5.3036996832491656</v>
      </c>
      <c r="GD80" s="4">
        <v>-5.2670393408020733</v>
      </c>
      <c r="GE80" s="4">
        <v>-5.2303702508592016</v>
      </c>
      <c r="GF80" s="4">
        <v>-5.1937188078767322</v>
      </c>
      <c r="GG80" s="4">
        <v>-5.157113541739923</v>
      </c>
      <c r="GH80" s="4">
        <v>-5.1205848146938386</v>
      </c>
      <c r="GI80" s="4">
        <v>-5.0841644847024572</v>
      </c>
      <c r="GJ80" s="4">
        <v>-5.0478855413683217</v>
      </c>
      <c r="GK80" s="4">
        <v>-5.0117817212927864</v>
      </c>
      <c r="GL80" s="4">
        <v>-4.9758871103089266</v>
      </c>
      <c r="GM80" s="4">
        <v>-4.9402357403570676</v>
      </c>
      <c r="GN80" s="4">
        <v>-4.9048611888844214</v>
      </c>
      <c r="GO80" s="4">
        <v>-4.8697961885224128</v>
      </c>
      <c r="GP80" s="4">
        <v>-4.8350722544197007</v>
      </c>
      <c r="GQ80" s="4">
        <v>-4.8007193359861198</v>
      </c>
      <c r="GR80" s="4">
        <v>-4.7667654989403543</v>
      </c>
      <c r="GS80" s="4">
        <v>-4.7332366424776708</v>
      </c>
      <c r="GT80" s="4">
        <v>-4.7001562551238854</v>
      </c>
      <c r="GU80" s="4">
        <v>-4.6675452114772504</v>
      </c>
      <c r="GV80" s="4">
        <v>-4.6354216106325596</v>
      </c>
      <c r="GW80" s="4">
        <v>-4.6038006557150242</v>
      </c>
      <c r="GX80" s="4">
        <v>-4.5726945727063892</v>
      </c>
      <c r="GY80" s="4">
        <v>-4.5421125656974457</v>
      </c>
      <c r="GZ80" s="4">
        <v>-4.5120608049081268</v>
      </c>
      <c r="HA80" s="4">
        <v>-4.482542443313954</v>
      </c>
      <c r="HB80" s="4">
        <v>-4.4535576575170568</v>
      </c>
      <c r="HC80" s="4">
        <v>-4.4251037085851372</v>
      </c>
      <c r="HD80" s="4">
        <v>-4.3971750189159966</v>
      </c>
      <c r="HE80" s="4">
        <v>-4.3697632617130369</v>
      </c>
      <c r="HF80" s="4">
        <v>-4.342857460315078</v>
      </c>
      <c r="HG80" s="4">
        <v>-4.3164440953425034</v>
      </c>
      <c r="HH80" s="4">
        <v>-4.290507218337666</v>
      </c>
      <c r="HI80" s="4">
        <v>-4.2650285712342786</v>
      </c>
      <c r="HJ80" s="4">
        <v>-4.2399877115440709</v>
      </c>
      <c r="HK80" s="4">
        <v>-4.215362143570764</v>
      </c>
      <c r="HL80" s="4">
        <v>-4.1911274562375622</v>
      </c>
      <c r="HM80" s="4">
        <v>-4.1672574682430259</v>
      </c>
      <c r="HN80" s="4">
        <v>-4.1437243812547839</v>
      </c>
      <c r="HO80" s="4">
        <v>-4.1204989417287337</v>
      </c>
      <c r="HP80" s="4">
        <v>-4.0975506117278142</v>
      </c>
      <c r="HQ80" s="4">
        <v>-4.0748477488351869</v>
      </c>
      <c r="HR80" s="4">
        <v>-4.0523577949344034</v>
      </c>
      <c r="HS80" s="4">
        <v>-4.0300474732856282</v>
      </c>
      <c r="HT80" s="4">
        <v>-4.0078829929779669</v>
      </c>
      <c r="HU80" s="4">
        <v>-3.9858302594978179</v>
      </c>
      <c r="HV80" s="4">
        <v>-3.9638550898318941</v>
      </c>
      <c r="HW80" s="4">
        <v>-3.9419234302319772</v>
      </c>
      <c r="HX80" s="4">
        <v>-3.9200015745160859</v>
      </c>
      <c r="HY80" s="4">
        <v>-3.8980563805774282</v>
      </c>
      <c r="HZ80" s="4">
        <v>-3.8760554826276321</v>
      </c>
      <c r="IA80" s="4">
        <v>-3.8539674966242492</v>
      </c>
      <c r="IB80" s="4">
        <v>-3.8317622163250622</v>
      </c>
      <c r="IC80" s="4">
        <v>-3.8094107974770148</v>
      </c>
      <c r="ID80" s="4">
        <v>-3.7868859277781008</v>
      </c>
      <c r="IE80" s="4">
        <v>-3.7641619804357371</v>
      </c>
      <c r="IF80" s="4">
        <v>-3.741215149373462</v>
      </c>
      <c r="IG80" s="4">
        <v>-3.7180235643942519</v>
      </c>
      <c r="IH80" s="4">
        <v>-3.6945673848851639</v>
      </c>
      <c r="II80" s="4">
        <v>-3.6708288709382888</v>
      </c>
      <c r="IJ80" s="4">
        <v>-3.646792431069025</v>
      </c>
      <c r="IK80" s="4">
        <v>-3.622444646042382</v>
      </c>
      <c r="IL80" s="4">
        <v>-3.5977742686790699</v>
      </c>
      <c r="IM80" s="4">
        <v>-3.5727721999133668</v>
      </c>
    </row>
    <row r="81" spans="2:247" x14ac:dyDescent="0.35">
      <c r="B81" s="58">
        <v>0.65</v>
      </c>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v>-7.7306745384100273</v>
      </c>
      <c r="DW81" s="4">
        <v>-7.6872793034714277</v>
      </c>
      <c r="DX81" s="4">
        <v>-7.6440598833971078</v>
      </c>
      <c r="DY81" s="4">
        <v>-7.6010258305679654</v>
      </c>
      <c r="DZ81" s="4">
        <v>-7.558186637292267</v>
      </c>
      <c r="EA81" s="4">
        <v>-7.5155516771982498</v>
      </c>
      <c r="EB81" s="4">
        <v>-7.473130142082689</v>
      </c>
      <c r="EC81" s="4">
        <v>-7.4309309745335392</v>
      </c>
      <c r="ED81" s="4">
        <v>-7.3889627967589639</v>
      </c>
      <c r="EE81" s="4">
        <v>-7.347233836175147</v>
      </c>
      <c r="EF81" s="4">
        <v>-7.3057518484251496</v>
      </c>
      <c r="EG81" s="4">
        <v>-7.2645240386185037</v>
      </c>
      <c r="EH81" s="4">
        <v>-7.2235569816915506</v>
      </c>
      <c r="EI81" s="4">
        <v>-7.1828565428862969</v>
      </c>
      <c r="EJ81" s="4">
        <v>-7.1424277994262626</v>
      </c>
      <c r="EK81" s="4">
        <v>-7.1022749645285792</v>
      </c>
      <c r="EL81" s="4">
        <v>-7.0624013149258991</v>
      </c>
      <c r="EM81" s="4">
        <v>-7.0228091230788143</v>
      </c>
      <c r="EN81" s="4">
        <v>-6.983499595237145</v>
      </c>
      <c r="EO81" s="4">
        <v>-6.9444728164566989</v>
      </c>
      <c r="EP81" s="4">
        <v>-6.9057277035970541</v>
      </c>
      <c r="EQ81" s="4">
        <v>-6.8672619672215927</v>
      </c>
      <c r="ER81" s="4">
        <v>-6.8290720831948297</v>
      </c>
      <c r="ES81" s="4">
        <v>-6.7911532746325616</v>
      </c>
      <c r="ET81" s="4">
        <v>-6.7534995047135631</v>
      </c>
      <c r="EU81" s="4">
        <v>-6.7161034807140876</v>
      </c>
      <c r="EV81" s="4">
        <v>-6.6789566694882776</v>
      </c>
      <c r="EW81" s="4">
        <v>-6.6420493244917029</v>
      </c>
      <c r="EX81" s="4">
        <v>-6.6053705243405911</v>
      </c>
      <c r="EY81" s="4">
        <v>-6.5689082228184308</v>
      </c>
      <c r="EZ81" s="4">
        <v>-6.5326493101850849</v>
      </c>
      <c r="FA81" s="4">
        <v>-6.49657968561357</v>
      </c>
      <c r="FB81" s="4">
        <v>-6.4606843405716976</v>
      </c>
      <c r="FC81" s="4">
        <v>-6.4249474529750801</v>
      </c>
      <c r="FD81" s="4">
        <v>-6.3893524919597233</v>
      </c>
      <c r="FE81" s="4">
        <v>-6.353882333145517</v>
      </c>
      <c r="FF81" s="4">
        <v>-6.3185193842803686</v>
      </c>
      <c r="FG81" s="4">
        <v>-6.2832457211556134</v>
      </c>
      <c r="FH81" s="4">
        <v>-6.2480432336596454</v>
      </c>
      <c r="FI81" s="4">
        <v>-6.2128937817772458</v>
      </c>
      <c r="FJ81" s="4">
        <v>-6.1777793612399359</v>
      </c>
      <c r="FK81" s="4">
        <v>-6.1426822783802324</v>
      </c>
      <c r="FL81" s="4">
        <v>-6.1075853335366146</v>
      </c>
      <c r="FM81" s="4">
        <v>-6.0724720120931428</v>
      </c>
      <c r="FN81" s="4">
        <v>-6.0373266819198967</v>
      </c>
      <c r="FO81" s="4">
        <v>-6.002134795612581</v>
      </c>
      <c r="FP81" s="4">
        <v>-5.9668830955200729</v>
      </c>
      <c r="FQ81" s="4">
        <v>-5.9315598191109959</v>
      </c>
      <c r="FR81" s="4">
        <v>-5.8961549017827579</v>
      </c>
      <c r="FS81" s="4">
        <v>-5.8606601737805484</v>
      </c>
      <c r="FT81" s="4">
        <v>-5.8250695474965237</v>
      </c>
      <c r="FU81" s="4">
        <v>-5.7893791910891501</v>
      </c>
      <c r="FV81" s="4">
        <v>-5.7535876841296041</v>
      </c>
      <c r="FW81" s="4">
        <v>-5.7176961508751472</v>
      </c>
      <c r="FX81" s="4">
        <v>-5.6817083668126349</v>
      </c>
      <c r="FY81" s="4">
        <v>-5.6456308343289354</v>
      </c>
      <c r="FZ81" s="4">
        <v>-5.6094728237564002</v>
      </c>
      <c r="GA81" s="4">
        <v>-5.5732463766123788</v>
      </c>
      <c r="GB81" s="4">
        <v>-5.5369662685873067</v>
      </c>
      <c r="GC81" s="4">
        <v>-5.5006499307150758</v>
      </c>
      <c r="GD81" s="4">
        <v>-5.4643173281475432</v>
      </c>
      <c r="GE81" s="4">
        <v>-5.4279907970142549</v>
      </c>
      <c r="GF81" s="4">
        <v>-5.3916948409344467</v>
      </c>
      <c r="GG81" s="4">
        <v>-5.3554558898175664</v>
      </c>
      <c r="GH81" s="4">
        <v>-5.3193020246006393</v>
      </c>
      <c r="GI81" s="4">
        <v>-5.2832626724881688</v>
      </c>
      <c r="GJ81" s="4">
        <v>-5.2473682780529316</v>
      </c>
      <c r="GK81" s="4">
        <v>-5.2116499561981628</v>
      </c>
      <c r="GL81" s="4">
        <v>-5.1761391334532689</v>
      </c>
      <c r="GM81" s="4">
        <v>-5.1408671843609817</v>
      </c>
      <c r="GN81" s="4">
        <v>-5.1058650698000267</v>
      </c>
      <c r="GO81" s="4">
        <v>-5.0711629839668984</v>
      </c>
      <c r="GP81" s="4">
        <v>-5.0367900164090766</v>
      </c>
      <c r="GQ81" s="4">
        <v>-5.0027738349622073</v>
      </c>
      <c r="GR81" s="4">
        <v>-4.9691403947096742</v>
      </c>
      <c r="GS81" s="4">
        <v>-4.9359136771765559</v>
      </c>
      <c r="GT81" s="4">
        <v>-4.9031154629282261</v>
      </c>
      <c r="GU81" s="4">
        <v>-4.8707651396151093</v>
      </c>
      <c r="GV81" s="4">
        <v>-4.8388795463465106</v>
      </c>
      <c r="GW81" s="4">
        <v>-4.8074728541522429</v>
      </c>
      <c r="GX81" s="4">
        <v>-4.776556481263265</v>
      </c>
      <c r="GY81" s="4">
        <v>-4.7461390410685569</v>
      </c>
      <c r="GZ81" s="4">
        <v>-4.7162263199304668</v>
      </c>
      <c r="HA81" s="4">
        <v>-4.6868212815910448</v>
      </c>
      <c r="HB81" s="4">
        <v>-4.6579240946891254</v>
      </c>
      <c r="HC81" s="4">
        <v>-4.6295321799196012</v>
      </c>
      <c r="HD81" s="4">
        <v>-4.601640273578683</v>
      </c>
      <c r="HE81" s="4">
        <v>-4.5742405046090457</v>
      </c>
      <c r="HF81" s="4">
        <v>-4.5473224827412242</v>
      </c>
      <c r="HG81" s="4">
        <v>-4.5208733958682723</v>
      </c>
      <c r="HH81" s="4">
        <v>-4.4948781153405966</v>
      </c>
      <c r="HI81" s="4">
        <v>-4.4693193083832208</v>
      </c>
      <c r="HJ81" s="4">
        <v>-4.4441775572809288</v>
      </c>
      <c r="HK81" s="4">
        <v>-4.4194314853245151</v>
      </c>
      <c r="HL81" s="4">
        <v>-4.3950578897492933</v>
      </c>
      <c r="HM81" s="4">
        <v>-4.371031882021077</v>
      </c>
      <c r="HN81" s="4">
        <v>-4.3473270358415776</v>
      </c>
      <c r="HO81" s="4">
        <v>-4.3239155431671126</v>
      </c>
      <c r="HP81" s="4">
        <v>-4.3007683783780326</v>
      </c>
      <c r="HQ81" s="4">
        <v>-4.2778554705204384</v>
      </c>
      <c r="HR81" s="4">
        <v>-4.2551458832855804</v>
      </c>
      <c r="HS81" s="4">
        <v>-4.2326080021120696</v>
      </c>
      <c r="HT81" s="4">
        <v>-4.2102097275075749</v>
      </c>
      <c r="HU81" s="4">
        <v>-4.1879186734015841</v>
      </c>
      <c r="HV81" s="4">
        <v>-4.1657023690715453</v>
      </c>
      <c r="HW81" s="4">
        <v>-4.1435284629393543</v>
      </c>
      <c r="HX81" s="4">
        <v>-4.1213649263240226</v>
      </c>
      <c r="HY81" s="4">
        <v>-4.099180255068239</v>
      </c>
      <c r="HZ81" s="4">
        <v>-4.0769436668376491</v>
      </c>
      <c r="IA81" s="4">
        <v>-4.054625291828871</v>
      </c>
      <c r="IB81" s="4">
        <v>-4.0321963546190833</v>
      </c>
      <c r="IC81" s="4">
        <v>-4.0096293449445293</v>
      </c>
      <c r="ID81" s="4">
        <v>-3.9868981753049719</v>
      </c>
      <c r="IE81" s="4">
        <v>-3.9639783234502071</v>
      </c>
      <c r="IF81" s="4">
        <v>-3.940846957999538</v>
      </c>
      <c r="IG81" s="4">
        <v>-3.9174830456751488</v>
      </c>
      <c r="IH81" s="4">
        <v>-3.8938674388795671</v>
      </c>
      <c r="II81" s="4">
        <v>-3.869982942618952</v>
      </c>
      <c r="IJ81" s="4">
        <v>-3.8458143600644168</v>
      </c>
      <c r="IK81" s="4">
        <v>-3.8213485163555561</v>
      </c>
      <c r="IL81" s="4">
        <v>-3.79657426058851</v>
      </c>
      <c r="IM81" s="4">
        <v>-3.7714824462964009</v>
      </c>
    </row>
    <row r="82" spans="2:247" x14ac:dyDescent="0.35">
      <c r="B82" s="58">
        <v>0.66</v>
      </c>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v>-7.9224339737473164</v>
      </c>
      <c r="DW82" s="4">
        <v>-7.87919772634209</v>
      </c>
      <c r="DX82" s="4">
        <v>-7.8361370715603362</v>
      </c>
      <c r="DY82" s="4">
        <v>-7.7932610826884652</v>
      </c>
      <c r="DZ82" s="4">
        <v>-7.7505787504201811</v>
      </c>
      <c r="EA82" s="4">
        <v>-7.7080989272436433</v>
      </c>
      <c r="EB82" s="4">
        <v>-7.6658302678772454</v>
      </c>
      <c r="EC82" s="4">
        <v>-7.6237811660764194</v>
      </c>
      <c r="ED82" s="4">
        <v>-7.581959688235326</v>
      </c>
      <c r="EE82" s="4">
        <v>-7.5403735043088433</v>
      </c>
      <c r="EF82" s="4">
        <v>-7.4990298166858427</v>
      </c>
      <c r="EG82" s="4">
        <v>-7.4579352877425062</v>
      </c>
      <c r="EH82" s="4">
        <v>-7.4170959668973859</v>
      </c>
      <c r="EI82" s="4">
        <v>-7.3765172180719478</v>
      </c>
      <c r="EJ82" s="4">
        <v>-7.3362036485254496</v>
      </c>
      <c r="EK82" s="4">
        <v>-7.2961590400824949</v>
      </c>
      <c r="EL82" s="4">
        <v>-7.2563862837976396</v>
      </c>
      <c r="EM82" s="4">
        <v>-7.2168873191058749</v>
      </c>
      <c r="EN82" s="4">
        <v>-7.17766307848611</v>
      </c>
      <c r="EO82" s="4">
        <v>-7.13871343862046</v>
      </c>
      <c r="EP82" s="4">
        <v>-7.100037178963075</v>
      </c>
      <c r="EQ82" s="4">
        <v>-7.061631948544056</v>
      </c>
      <c r="ER82" s="4">
        <v>-7.023494241728538</v>
      </c>
      <c r="ES82" s="4">
        <v>-6.9856193835339058</v>
      </c>
      <c r="ET82" s="4">
        <v>-6.9480015249850524</v>
      </c>
      <c r="EU82" s="4">
        <v>-6.9106336488637261</v>
      </c>
      <c r="EV82" s="4">
        <v>-6.8735075860898496</v>
      </c>
      <c r="EW82" s="4">
        <v>-6.8366140428649818</v>
      </c>
      <c r="EX82" s="4">
        <v>-6.7999426386148016</v>
      </c>
      <c r="EY82" s="4">
        <v>-6.7634819546926792</v>
      </c>
      <c r="EZ82" s="4">
        <v>-6.7272195937500072</v>
      </c>
      <c r="FA82" s="4">
        <v>-6.6911422496408424</v>
      </c>
      <c r="FB82" s="4">
        <v>-6.6552357877082509</v>
      </c>
      <c r="FC82" s="4">
        <v>-6.6194853352898599</v>
      </c>
      <c r="FD82" s="4">
        <v>-6.5838753822797802</v>
      </c>
      <c r="FE82" s="4">
        <v>-6.5483898915820236</v>
      </c>
      <c r="FF82" s="4">
        <v>-6.5130124192839354</v>
      </c>
      <c r="FG82" s="4">
        <v>-6.4777262443550709</v>
      </c>
      <c r="FH82" s="4">
        <v>-6.4425145076327794</v>
      </c>
      <c r="FI82" s="4">
        <v>-6.4073603597818156</v>
      </c>
      <c r="FJ82" s="4">
        <v>-6.3722471178052658</v>
      </c>
      <c r="FK82" s="4">
        <v>-6.3371584295337611</v>
      </c>
      <c r="FL82" s="4">
        <v>-6.3020784453262433</v>
      </c>
      <c r="FM82" s="4">
        <v>-6.2669919959770217</v>
      </c>
      <c r="FN82" s="4">
        <v>-6.2318847755436879</v>
      </c>
      <c r="FO82" s="4">
        <v>-6.1967435274926643</v>
      </c>
      <c r="FP82" s="4">
        <v>-6.1615562322130177</v>
      </c>
      <c r="FQ82" s="4">
        <v>-6.1263122935861212</v>
      </c>
      <c r="FR82" s="4">
        <v>-6.0910027219348333</v>
      </c>
      <c r="FS82" s="4">
        <v>-6.0556203103298243</v>
      </c>
      <c r="FT82" s="4">
        <v>-6.0201598009238353</v>
      </c>
      <c r="FU82" s="4">
        <v>-5.9846180377408951</v>
      </c>
      <c r="FV82" s="4">
        <v>-5.9489941021893706</v>
      </c>
      <c r="FW82" s="4">
        <v>-5.9132894275183352</v>
      </c>
      <c r="FX82" s="4">
        <v>-5.8775078885133691</v>
      </c>
      <c r="FY82" s="4">
        <v>-5.8416558629456796</v>
      </c>
      <c r="FZ82" s="4">
        <v>-5.8057422616511882</v>
      </c>
      <c r="GA82" s="4">
        <v>-5.7697785246248552</v>
      </c>
      <c r="GB82" s="4">
        <v>-5.7337785811566411</v>
      </c>
      <c r="GC82" s="4">
        <v>-5.6977587727923868</v>
      </c>
      <c r="GD82" s="4">
        <v>-5.6617377387474166</v>
      </c>
      <c r="GE82" s="4">
        <v>-5.6257362643025512</v>
      </c>
      <c r="GF82" s="4">
        <v>-5.5897770936362328</v>
      </c>
      <c r="GG82" s="4">
        <v>-5.5538847094562307</v>
      </c>
      <c r="GH82" s="4">
        <v>-5.5180850826576986</v>
      </c>
      <c r="GI82" s="4">
        <v>-5.4824053960180139</v>
      </c>
      <c r="GJ82" s="4">
        <v>-5.4468737466169914</v>
      </c>
      <c r="GK82" s="4">
        <v>-5.4115188322205636</v>
      </c>
      <c r="GL82" s="4">
        <v>-5.3763696272684944</v>
      </c>
      <c r="GM82" s="4">
        <v>-5.3414550543473096</v>
      </c>
      <c r="GN82" s="4">
        <v>-5.3068036570985466</v>
      </c>
      <c r="GO82" s="4">
        <v>-5.2724432804034356</v>
      </c>
      <c r="GP82" s="4">
        <v>-5.2384007633965073</v>
      </c>
      <c r="GQ82" s="4">
        <v>-5.2047016503988939</v>
      </c>
      <c r="GR82" s="4">
        <v>-5.1713699242393014</v>
      </c>
      <c r="GS82" s="4">
        <v>-5.1384277656694648</v>
      </c>
      <c r="GT82" s="4">
        <v>-5.1058953417120021</v>
      </c>
      <c r="GU82" s="4">
        <v>-5.0737906248416547</v>
      </c>
      <c r="GV82" s="4">
        <v>-5.0421292439429868</v>
      </c>
      <c r="GW82" s="4">
        <v>-5.0109243670565116</v>
      </c>
      <c r="GX82" s="4">
        <v>-4.9801866150717009</v>
      </c>
      <c r="GY82" s="4">
        <v>-4.9499240047916251</v>
      </c>
      <c r="GZ82" s="4">
        <v>-4.9201419192150304</v>
      </c>
      <c r="HA82" s="4">
        <v>-4.8908431024800576</v>
      </c>
      <c r="HB82" s="4">
        <v>-4.8620276766969246</v>
      </c>
      <c r="HC82" s="4">
        <v>-4.8336931778591712</v>
      </c>
      <c r="HD82" s="4">
        <v>-4.8058346081455339</v>
      </c>
      <c r="HE82" s="4">
        <v>-4.7784445021770301</v>
      </c>
      <c r="HF82" s="4">
        <v>-4.7515130051420291</v>
      </c>
      <c r="HG82" s="4">
        <v>-4.7250279611034989</v>
      </c>
      <c r="HH82" s="4">
        <v>-4.6989750102222514</v>
      </c>
      <c r="HI82" s="4">
        <v>-4.6733376940293292</v>
      </c>
      <c r="HJ82" s="4">
        <v>-4.648097568232096</v>
      </c>
      <c r="HK82" s="4">
        <v>-4.6232343228218404</v>
      </c>
      <c r="HL82" s="4">
        <v>-4.5987259094497066</v>
      </c>
      <c r="HM82" s="4">
        <v>-4.5745486761513794</v>
      </c>
      <c r="HN82" s="4">
        <v>-4.550677509528378</v>
      </c>
      <c r="HO82" s="4">
        <v>-4.5270859844444757</v>
      </c>
      <c r="HP82" s="4">
        <v>-4.5037465211809247</v>
      </c>
      <c r="HQ82" s="4">
        <v>-4.4806305498276187</v>
      </c>
      <c r="HR82" s="4">
        <v>-4.4577086814836386</v>
      </c>
      <c r="HS82" s="4">
        <v>-4.4349508856141906</v>
      </c>
      <c r="HT82" s="4">
        <v>-4.4123266726731778</v>
      </c>
      <c r="HU82" s="4">
        <v>-4.3898052808653683</v>
      </c>
      <c r="HV82" s="4">
        <v>-4.3673558656970934</v>
      </c>
      <c r="HW82" s="4">
        <v>-4.344947690760451</v>
      </c>
      <c r="HX82" s="4">
        <v>-4.3225503180204372</v>
      </c>
      <c r="HY82" s="4">
        <v>-4.3001337957358494</v>
      </c>
      <c r="HZ82" s="4">
        <v>-4.2776688420472864</v>
      </c>
      <c r="IA82" s="4">
        <v>-4.2551270222159596</v>
      </c>
      <c r="IB82" s="4">
        <v>-4.2324809174966136</v>
      </c>
      <c r="IC82" s="4">
        <v>-4.2097042836759551</v>
      </c>
      <c r="ID82" s="4">
        <v>-4.1867721974037604</v>
      </c>
      <c r="IE82" s="4">
        <v>-4.1636611885805772</v>
      </c>
      <c r="IF82" s="4">
        <v>-4.1403493572397068</v>
      </c>
      <c r="IG82" s="4">
        <v>-4.1168164735639676</v>
      </c>
      <c r="IH82" s="4">
        <v>-4.0930440599064086</v>
      </c>
      <c r="II82" s="4">
        <v>-4.0690154539335994</v>
      </c>
      <c r="IJ82" s="4">
        <v>-4.0447158522803006</v>
      </c>
      <c r="IK82" s="4">
        <v>-4.0201323343942672</v>
      </c>
      <c r="IL82" s="4">
        <v>-3.9952538665605402</v>
      </c>
      <c r="IM82" s="4">
        <v>-3.9700712864233441</v>
      </c>
    </row>
    <row r="83" spans="2:247" x14ac:dyDescent="0.35">
      <c r="B83" s="58">
        <v>0.67</v>
      </c>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v>-8.1143946262188678</v>
      </c>
      <c r="DW83" s="4">
        <v>-8.0713138628635583</v>
      </c>
      <c r="DX83" s="4">
        <v>-8.028408274055387</v>
      </c>
      <c r="DY83" s="4">
        <v>-7.9856864759303043</v>
      </c>
      <c r="DZ83" s="4">
        <v>-7.9431569827915984</v>
      </c>
      <c r="EA83" s="4">
        <v>-7.9008281544445413</v>
      </c>
      <c r="EB83" s="4">
        <v>-7.8587081401055023</v>
      </c>
      <c r="EC83" s="4">
        <v>-7.8168048192081612</v>
      </c>
      <c r="ED83" s="4">
        <v>-7.7751257395163336</v>
      </c>
      <c r="EE83" s="4">
        <v>-7.7336780530436293</v>
      </c>
      <c r="EF83" s="4">
        <v>-7.6924684503680822</v>
      </c>
      <c r="EG83" s="4">
        <v>-7.651503094015105</v>
      </c>
      <c r="EH83" s="4">
        <v>-7.6107875516593184</v>
      </c>
      <c r="EI83" s="4">
        <v>-7.5703267299641492</v>
      </c>
      <c r="EJ83" s="4">
        <v>-7.530124809932321</v>
      </c>
      <c r="EK83" s="4">
        <v>-7.4901851846795413</v>
      </c>
      <c r="EL83" s="4">
        <v>-7.4505104005643688</v>
      </c>
      <c r="EM83" s="4">
        <v>-7.4111021026085089</v>
      </c>
      <c r="EN83" s="4">
        <v>-7.3719609851229908</v>
      </c>
      <c r="EO83" s="4">
        <v>-7.3330867484155036</v>
      </c>
      <c r="EP83" s="4">
        <v>-7.2944780623966832</v>
      </c>
      <c r="EQ83" s="4">
        <v>-7.2561325378273072</v>
      </c>
      <c r="ER83" s="4">
        <v>-7.2180467058595266</v>
      </c>
      <c r="ES83" s="4">
        <v>-7.1802160064265763</v>
      </c>
      <c r="ET83" s="4">
        <v>-7.1426347859309116</v>
      </c>
      <c r="EU83" s="4">
        <v>-7.1052963045754378</v>
      </c>
      <c r="EV83" s="4">
        <v>-7.0681927535807656</v>
      </c>
      <c r="EW83" s="4">
        <v>-7.0313152824375678</v>
      </c>
      <c r="EX83" s="4">
        <v>-6.9946540362588614</v>
      </c>
      <c r="EY83" s="4">
        <v>-6.9581982032276306</v>
      </c>
      <c r="EZ83" s="4">
        <v>-6.9219360720782106</v>
      </c>
      <c r="FA83" s="4">
        <v>-6.885855099506653</v>
      </c>
      <c r="FB83" s="4">
        <v>-6.849941987374609</v>
      </c>
      <c r="FC83" s="4">
        <v>-6.814182769548097</v>
      </c>
      <c r="FD83" s="4">
        <v>-6.7785629081938916</v>
      </c>
      <c r="FE83" s="4">
        <v>-6.7430673993371784</v>
      </c>
      <c r="FF83" s="4">
        <v>-6.7076808874568972</v>
      </c>
      <c r="FG83" s="4">
        <v>-6.6723877888565228</v>
      </c>
      <c r="FH83" s="4">
        <v>-6.6371724234885949</v>
      </c>
      <c r="FI83" s="4">
        <v>-6.6020191548287794</v>
      </c>
      <c r="FJ83" s="4">
        <v>-6.5669125372820911</v>
      </c>
      <c r="FK83" s="4">
        <v>-6.5318374704590836</v>
      </c>
      <c r="FL83" s="4">
        <v>-6.4967793594795964</v>
      </c>
      <c r="FM83" s="4">
        <v>-6.4617242802479122</v>
      </c>
      <c r="FN83" s="4">
        <v>-6.4266591483968529</v>
      </c>
      <c r="FO83" s="4">
        <v>-6.3915718903260696</v>
      </c>
      <c r="FP83" s="4">
        <v>-6.3564516144683143</v>
      </c>
      <c r="FQ83" s="4">
        <v>-6.3212887806178664</v>
      </c>
      <c r="FR83" s="4">
        <v>-6.2860753648610821</v>
      </c>
      <c r="FS83" s="4">
        <v>-6.2508050173766012</v>
      </c>
      <c r="FT83" s="4">
        <v>-6.2154732101377794</v>
      </c>
      <c r="FU83" s="4">
        <v>-6.1800773713740131</v>
      </c>
      <c r="FV83" s="4">
        <v>-6.144617003546827</v>
      </c>
      <c r="FW83" s="4">
        <v>-6.1090937815883084</v>
      </c>
      <c r="FX83" s="4">
        <v>-6.0735116282487578</v>
      </c>
      <c r="FY83" s="4">
        <v>-6.037876763615218</v>
      </c>
      <c r="FZ83" s="4">
        <v>-6.0021977261978616</v>
      </c>
      <c r="GA83" s="4">
        <v>-5.9664853634338044</v>
      </c>
      <c r="GB83" s="4">
        <v>-5.9307527900193504</v>
      </c>
      <c r="GC83" s="4">
        <v>-5.895015313134838</v>
      </c>
      <c r="GD83" s="4">
        <v>-5.8592903243518366</v>
      </c>
      <c r="GE83" s="4">
        <v>-5.8235971587824551</v>
      </c>
      <c r="GF83" s="4">
        <v>-5.7879569228187702</v>
      </c>
      <c r="GG83" s="4">
        <v>-5.7523922925865136</v>
      </c>
      <c r="GH83" s="4">
        <v>-5.7169272859731226</v>
      </c>
      <c r="GI83" s="4">
        <v>-5.6815870117598166</v>
      </c>
      <c r="GJ83" s="4">
        <v>-5.6463973999665189</v>
      </c>
      <c r="GK83" s="4">
        <v>-5.6113849179881079</v>
      </c>
      <c r="GL83" s="4">
        <v>-5.5765762774428929</v>
      </c>
      <c r="GM83" s="4">
        <v>-5.5419981368582132</v>
      </c>
      <c r="GN83" s="4">
        <v>-5.507676805373916</v>
      </c>
      <c r="GO83" s="4">
        <v>-5.4736379525484624</v>
      </c>
      <c r="GP83" s="4">
        <v>-5.4399063291046916</v>
      </c>
      <c r="GQ83" s="4">
        <v>-5.4065055030591207</v>
      </c>
      <c r="GR83" s="4">
        <v>-5.3734576151532263</v>
      </c>
      <c r="GS83" s="4">
        <v>-5.3407831568658679</v>
      </c>
      <c r="GT83" s="4">
        <v>-5.3085007735607892</v>
      </c>
      <c r="GU83" s="4">
        <v>-5.2766270945435956</v>
      </c>
      <c r="GV83" s="4">
        <v>-5.245176591005789</v>
      </c>
      <c r="GW83" s="4">
        <v>-5.2141614620595877</v>
      </c>
      <c r="GX83" s="4">
        <v>-5.1835915483525312</v>
      </c>
      <c r="GY83" s="4">
        <v>-5.153474272131449</v>
      </c>
      <c r="GZ83" s="4">
        <v>-5.1238146021263464</v>
      </c>
      <c r="HA83" s="4">
        <v>-5.0946150412652091</v>
      </c>
      <c r="HB83" s="4">
        <v>-5.0658756350166598</v>
      </c>
      <c r="HC83" s="4">
        <v>-5.0375939980864111</v>
      </c>
      <c r="HD83" s="4">
        <v>-5.009765357250421</v>
      </c>
      <c r="HE83" s="4">
        <v>-4.9823826082727454</v>
      </c>
      <c r="HF83" s="4">
        <v>-4.9554363851007999</v>
      </c>
      <c r="HG83" s="4">
        <v>-4.9289151398254516</v>
      </c>
      <c r="HH83" s="4">
        <v>-4.9028052322082534</v>
      </c>
      <c r="HI83" s="4">
        <v>-4.8770910278850916</v>
      </c>
      <c r="HJ83" s="4">
        <v>-4.8517550046303572</v>
      </c>
      <c r="HK83" s="4">
        <v>-4.8267778662924554</v>
      </c>
      <c r="HL83" s="4">
        <v>-4.8021386641758053</v>
      </c>
      <c r="HM83" s="4">
        <v>-4.777814925742204</v>
      </c>
      <c r="HN83" s="4">
        <v>-4.7537827905366097</v>
      </c>
      <c r="HO83" s="4">
        <v>-4.7300171532108113</v>
      </c>
      <c r="HP83" s="4">
        <v>-4.7064918134338374</v>
      </c>
      <c r="HQ83" s="4">
        <v>-4.6831796323495247</v>
      </c>
      <c r="HR83" s="4">
        <v>-4.6600526950795551</v>
      </c>
      <c r="HS83" s="4">
        <v>-4.6370824785878817</v>
      </c>
      <c r="HT83" s="4">
        <v>-4.6142400240288124</v>
      </c>
      <c r="HU83" s="4">
        <v>-4.5914961125066718</v>
      </c>
      <c r="HV83" s="4">
        <v>-4.5688214429897318</v>
      </c>
      <c r="HW83" s="4">
        <v>-4.5461868109523511</v>
      </c>
      <c r="HX83" s="4">
        <v>-4.5235632861744808</v>
      </c>
      <c r="HY83" s="4">
        <v>-4.500922388013759</v>
      </c>
      <c r="HZ83" s="4">
        <v>-4.478236256387488</v>
      </c>
      <c r="IA83" s="4">
        <v>-4.4554778166622331</v>
      </c>
      <c r="IB83" s="4">
        <v>-4.4326209366525484</v>
      </c>
      <c r="IC83" s="4">
        <v>-4.4096405739741282</v>
      </c>
      <c r="ID83" s="4">
        <v>-4.386512912081578</v>
      </c>
      <c r="IE83" s="4">
        <v>-4.3632154834423922</v>
      </c>
      <c r="IF83" s="4">
        <v>-4.3397272784530374</v>
      </c>
      <c r="IG83" s="4">
        <v>-4.3160288388857477</v>
      </c>
      <c r="IH83" s="4">
        <v>-4.2921023348612408</v>
      </c>
      <c r="II83" s="4">
        <v>-4.2679316245722561</v>
      </c>
      <c r="IJ83" s="4">
        <v>-4.2435022962292246</v>
      </c>
      <c r="IK83" s="4">
        <v>-4.2188016919664184</v>
      </c>
      <c r="IL83" s="4">
        <v>-4.1938189137268944</v>
      </c>
      <c r="IM83" s="4">
        <v>-4.1685448114412669</v>
      </c>
    </row>
    <row r="84" spans="2:247" x14ac:dyDescent="0.35">
      <c r="B84" s="58">
        <v>0.68</v>
      </c>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v>-8.3065486754798314</v>
      </c>
      <c r="DW84" s="4">
        <v>-8.263619956036111</v>
      </c>
      <c r="DX84" s="4">
        <v>-8.2208658209665888</v>
      </c>
      <c r="DY84" s="4">
        <v>-8.1782944509602729</v>
      </c>
      <c r="DZ84" s="4">
        <v>-8.1359139085756684</v>
      </c>
      <c r="EA84" s="4">
        <v>-8.0937320884560258</v>
      </c>
      <c r="EB84" s="4">
        <v>-8.0517566645858452</v>
      </c>
      <c r="EC84" s="4">
        <v>-8.0099950349063</v>
      </c>
      <c r="ED84" s="4">
        <v>-7.9684542636842561</v>
      </c>
      <c r="EE84" s="4">
        <v>-7.9271410221075929</v>
      </c>
      <c r="EF84" s="4">
        <v>-7.8860615276552251</v>
      </c>
      <c r="EG84" s="4">
        <v>-7.8452214828630087</v>
      </c>
      <c r="EH84" s="4">
        <v>-7.8046260141715784</v>
      </c>
      <c r="EI84" s="4">
        <v>-7.7642796115997568</v>
      </c>
      <c r="EJ84" s="4">
        <v>-7.7241860700311253</v>
      </c>
      <c r="EK84" s="4">
        <v>-7.6843484329340086</v>
      </c>
      <c r="EL84" s="4">
        <v>-7.6447689393502571</v>
      </c>
      <c r="EM84" s="4">
        <v>-7.6054489749883993</v>
      </c>
      <c r="EN84" s="4">
        <v>-7.5663890282388993</v>
      </c>
      <c r="EO84" s="4">
        <v>-7.527588651894872</v>
      </c>
      <c r="EP84" s="4">
        <v>-7.4890464313112526</v>
      </c>
      <c r="EQ84" s="4">
        <v>-7.4507599596715046</v>
      </c>
      <c r="ER84" s="4">
        <v>-7.4127258209545568</v>
      </c>
      <c r="ES84" s="4">
        <v>-7.3749395811111293</v>
      </c>
      <c r="ET84" s="4">
        <v>-7.3373957878686582</v>
      </c>
      <c r="EU84" s="4">
        <v>-7.30008797949412</v>
      </c>
      <c r="EV84" s="4">
        <v>-7.2630087027548749</v>
      </c>
      <c r="EW84" s="4">
        <v>-7.2261495402346956</v>
      </c>
      <c r="EX84" s="4">
        <v>-7.1895011470863572</v>
      </c>
      <c r="EY84" s="4">
        <v>-7.1530532972354557</v>
      </c>
      <c r="EZ84" s="4">
        <v>-7.1167949389944543</v>
      </c>
      <c r="FA84" s="4">
        <v>-7.0807142599981674</v>
      </c>
      <c r="FB84" s="4">
        <v>-7.0447987613339844</v>
      </c>
      <c r="FC84" s="4">
        <v>-7.0090353407062933</v>
      </c>
      <c r="FD84" s="4">
        <v>-6.9734103844435973</v>
      </c>
      <c r="FE84" s="4">
        <v>-6.9379098681236187</v>
      </c>
      <c r="FF84" s="4">
        <v>-6.9025194655513653</v>
      </c>
      <c r="FG84" s="4">
        <v>-6.8672246657739882</v>
      </c>
      <c r="FH84" s="4">
        <v>-6.8320108977481819</v>
      </c>
      <c r="FI84" s="4">
        <v>-6.7968636621880174</v>
      </c>
      <c r="FJ84" s="4">
        <v>-6.7617686700091326</v>
      </c>
      <c r="FK84" s="4">
        <v>-6.7267119866472767</v>
      </c>
      <c r="FL84" s="4">
        <v>-6.6916801813640472</v>
      </c>
      <c r="FM84" s="4">
        <v>-6.6566604804620102</v>
      </c>
      <c r="FN84" s="4">
        <v>-6.6216409231164963</v>
      </c>
      <c r="FO84" s="4">
        <v>-6.5866105182989516</v>
      </c>
      <c r="FP84" s="4">
        <v>-6.5515594010224856</v>
      </c>
      <c r="FQ84" s="4">
        <v>-6.5164789858941736</v>
      </c>
      <c r="FR84" s="4">
        <v>-6.481362115722817</v>
      </c>
      <c r="FS84" s="4">
        <v>-6.4462032027167693</v>
      </c>
      <c r="FT84" s="4">
        <v>-6.4109983596308009</v>
      </c>
      <c r="FU84" s="4">
        <v>-6.3757455180965437</v>
      </c>
      <c r="FV84" s="4">
        <v>-6.3404445313136932</v>
      </c>
      <c r="FW84" s="4">
        <v>-6.3050972583013349</v>
      </c>
      <c r="FX84" s="4">
        <v>-6.2697076270208907</v>
      </c>
      <c r="FY84" s="4">
        <v>-6.2342816738907594</v>
      </c>
      <c r="FZ84" s="4">
        <v>-6.1988275575206941</v>
      </c>
      <c r="GA84" s="4">
        <v>-6.163355544897807</v>
      </c>
      <c r="GB84" s="4">
        <v>-6.1278779687477396</v>
      </c>
      <c r="GC84" s="4">
        <v>-6.0924091553616941</v>
      </c>
      <c r="GD84" s="4">
        <v>-6.0569653228037454</v>
      </c>
      <c r="GE84" s="4">
        <v>-6.0215644500736536</v>
      </c>
      <c r="GF84" s="4">
        <v>-5.9862261184740948</v>
      </c>
      <c r="GG84" s="4">
        <v>-5.9509713270940763</v>
      </c>
      <c r="GH84" s="4">
        <v>-5.9158222849490416</v>
      </c>
      <c r="GI84" s="4">
        <v>-5.8808021828897807</v>
      </c>
      <c r="GJ84" s="4">
        <v>-5.8459349488870203</v>
      </c>
      <c r="GK84" s="4">
        <v>-5.8112449906993486</v>
      </c>
      <c r="GL84" s="4">
        <v>-5.7767569302241952</v>
      </c>
      <c r="GM84" s="4">
        <v>-5.7424953340046443</v>
      </c>
      <c r="GN84" s="4">
        <v>-5.7084844444113356</v>
      </c>
      <c r="GO84" s="4">
        <v>-5.6747479159361154</v>
      </c>
      <c r="GP84" s="4">
        <v>-5.64130856082304</v>
      </c>
      <c r="GQ84" s="4">
        <v>-5.608188107929692</v>
      </c>
      <c r="GR84" s="4">
        <v>-5.5754069782689939</v>
      </c>
      <c r="GS84" s="4">
        <v>-5.5429840801457724</v>
      </c>
      <c r="GT84" s="4">
        <v>-5.5109366261955701</v>
      </c>
      <c r="GU84" s="4">
        <v>-5.4792799739828064</v>
      </c>
      <c r="GV84" s="4">
        <v>-5.4480274911505706</v>
      </c>
      <c r="GW84" s="4">
        <v>-5.4171904454668169</v>
      </c>
      <c r="GX84" s="4">
        <v>-5.3867779195107186</v>
      </c>
      <c r="GY84" s="4">
        <v>-5.3567967492165769</v>
      </c>
      <c r="GZ84" s="4">
        <v>-5.3272514850605122</v>
      </c>
      <c r="HA84" s="4">
        <v>-5.2981443743530399</v>
      </c>
      <c r="HB84" s="4">
        <v>-5.2694753628937292</v>
      </c>
      <c r="HC84" s="4">
        <v>-5.2412421141508059</v>
      </c>
      <c r="HD84" s="4">
        <v>-5.2134400441395714</v>
      </c>
      <c r="HE84" s="4">
        <v>-5.1860623702724924</v>
      </c>
      <c r="HF84" s="4">
        <v>-5.1591001726201497</v>
      </c>
      <c r="HG84" s="4">
        <v>-5.1325424662338968</v>
      </c>
      <c r="HH84" s="4">
        <v>-5.106376283413911</v>
      </c>
      <c r="HI84" s="4">
        <v>-5.0805867650381469</v>
      </c>
      <c r="HJ84" s="4">
        <v>-5.0551572602803931</v>
      </c>
      <c r="HK84" s="4">
        <v>-5.0300694342235586</v>
      </c>
      <c r="HL84" s="4">
        <v>-5.0053033830066163</v>
      </c>
      <c r="HM84" s="4">
        <v>-4.9808377562266744</v>
      </c>
      <c r="HN84" s="4">
        <v>-4.9566498863467512</v>
      </c>
      <c r="HO84" s="4">
        <v>-4.932715924841296</v>
      </c>
      <c r="HP84" s="4">
        <v>-4.9090109847480452</v>
      </c>
      <c r="HQ84" s="4">
        <v>-4.8855092891941911</v>
      </c>
      <c r="HR84" s="4">
        <v>-4.862184325337747</v>
      </c>
      <c r="HS84" s="4">
        <v>-4.8390090030169421</v>
      </c>
      <c r="HT84" s="4">
        <v>-4.8159558172438173</v>
      </c>
      <c r="HU84" s="4">
        <v>-4.792997013519507</v>
      </c>
      <c r="HV84" s="4">
        <v>-4.7701047547964226</v>
      </c>
      <c r="HW84" s="4">
        <v>-4.7472512887741152</v>
      </c>
      <c r="HX84" s="4">
        <v>-4.7244091140975701</v>
      </c>
      <c r="HY84" s="4">
        <v>-4.7015511439341369</v>
      </c>
      <c r="HZ84" s="4">
        <v>-4.6786508653426377</v>
      </c>
      <c r="IA84" s="4">
        <v>-4.6556824928198921</v>
      </c>
      <c r="IB84" s="4">
        <v>-4.6326211144158904</v>
      </c>
      <c r="IC84" s="4">
        <v>-4.6094428288507103</v>
      </c>
      <c r="ID84" s="4">
        <v>-4.5861248721433929</v>
      </c>
      <c r="IE84" s="4">
        <v>-4.5626457323708873</v>
      </c>
      <c r="IF84" s="4">
        <v>-4.5389852513151574</v>
      </c>
      <c r="IG84" s="4">
        <v>-4.5151247119196771</v>
      </c>
      <c r="IH84" s="4">
        <v>-4.4910469106655242</v>
      </c>
      <c r="II84" s="4">
        <v>-4.46673621418413</v>
      </c>
      <c r="IJ84" s="4">
        <v>-4.4421785996500933</v>
      </c>
      <c r="IK84" s="4">
        <v>-4.4173616787380263</v>
      </c>
      <c r="IL84" s="4">
        <v>-4.3922747051806432</v>
      </c>
      <c r="IM84" s="4">
        <v>-4.3669085662283198</v>
      </c>
    </row>
    <row r="85" spans="2:247" x14ac:dyDescent="0.35">
      <c r="B85" s="58">
        <v>0.69</v>
      </c>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v>-8.4988886901915599</v>
      </c>
      <c r="DW85" s="4">
        <v>-8.456108645590902</v>
      </c>
      <c r="DX85" s="4">
        <v>-8.413502444753501</v>
      </c>
      <c r="DY85" s="4">
        <v>-8.371077854251249</v>
      </c>
      <c r="DZ85" s="4">
        <v>-8.3288425088613849</v>
      </c>
      <c r="EA85" s="4">
        <v>-8.2868038645805946</v>
      </c>
      <c r="EB85" s="4">
        <v>-8.244969149093853</v>
      </c>
      <c r="EC85" s="4">
        <v>-8.2033453100085794</v>
      </c>
      <c r="ED85" s="4">
        <v>-8.1619389612316375</v>
      </c>
      <c r="EE85" s="4">
        <v>-8.1207563279347212</v>
      </c>
      <c r="EF85" s="4">
        <v>-8.0798031906189571</v>
      </c>
      <c r="EG85" s="4">
        <v>-8.0390848288514647</v>
      </c>
      <c r="EH85" s="4">
        <v>-7.998605965301457</v>
      </c>
      <c r="EI85" s="4">
        <v>-7.9583707107520789</v>
      </c>
      <c r="EJ85" s="4">
        <v>-7.9183825108000772</v>
      </c>
      <c r="EK85" s="4">
        <v>-7.878644094981806</v>
      </c>
      <c r="EL85" s="4">
        <v>-7.839157429076808</v>
      </c>
      <c r="EM85" s="4">
        <v>-7.799923671336991</v>
      </c>
      <c r="EN85" s="4">
        <v>-7.7609431333753731</v>
      </c>
      <c r="EO85" s="4">
        <v>-7.722215246416126</v>
      </c>
      <c r="EP85" s="4">
        <v>-7.6837385335655846</v>
      </c>
      <c r="EQ85" s="4">
        <v>-7.6455105887078254</v>
      </c>
      <c r="ER85" s="4">
        <v>-7.607528062563012</v>
      </c>
      <c r="ES85" s="4">
        <v>-7.5697866563751974</v>
      </c>
      <c r="ET85" s="4">
        <v>-7.5322811236181009</v>
      </c>
      <c r="EU85" s="4">
        <v>-7.4950052800292779</v>
      </c>
      <c r="EV85" s="4">
        <v>-7.4579520222046538</v>
      </c>
      <c r="EW85" s="4">
        <v>-7.4211133549110482</v>
      </c>
      <c r="EX85" s="4">
        <v>-7.3844804272049744</v>
      </c>
      <c r="EY85" s="4">
        <v>-7.3480435773825983</v>
      </c>
      <c r="EZ85" s="4">
        <v>-7.3117923867301791</v>
      </c>
      <c r="FA85" s="4">
        <v>-7.275715741995044</v>
      </c>
      <c r="FB85" s="4">
        <v>-7.2398019064522643</v>
      </c>
      <c r="FC85" s="4">
        <v>-7.2040385994022227</v>
      </c>
      <c r="FD85" s="4">
        <v>-7.1684130838933804</v>
      </c>
      <c r="FE85" s="4">
        <v>-7.13291226242203</v>
      </c>
      <c r="FF85" s="4">
        <v>-7.097522780310892</v>
      </c>
      <c r="FG85" s="4">
        <v>-7.0622311364097277</v>
      </c>
      <c r="FH85" s="4">
        <v>-7.0270238006874566</v>
      </c>
      <c r="FI85" s="4">
        <v>-6.9918873381963396</v>
      </c>
      <c r="FJ85" s="4">
        <v>-6.9568085387795824</v>
      </c>
      <c r="FK85" s="4">
        <v>-6.9217745517645008</v>
      </c>
      <c r="FL85" s="4">
        <v>-6.8867730247338779</v>
      </c>
      <c r="FM85" s="4">
        <v>-6.8517922452981139</v>
      </c>
      <c r="FN85" s="4">
        <v>-6.8168212846053891</v>
      </c>
      <c r="FO85" s="4">
        <v>-6.7818501411286238</v>
      </c>
      <c r="FP85" s="4">
        <v>-6.7468698830647398</v>
      </c>
      <c r="FQ85" s="4">
        <v>-6.7118727874809716</v>
      </c>
      <c r="FR85" s="4">
        <v>-6.6768524741539164</v>
      </c>
      <c r="FS85" s="4">
        <v>-6.641804031882323</v>
      </c>
      <c r="FT85" s="4">
        <v>-6.6067241349239749</v>
      </c>
      <c r="FU85" s="4">
        <v>-6.5716111471240506</v>
      </c>
      <c r="FV85" s="4">
        <v>-6.5364652112769273</v>
      </c>
      <c r="FW85" s="4">
        <v>-6.5012883213070607</v>
      </c>
      <c r="FX85" s="4">
        <v>-6.4660843749736454</v>
      </c>
      <c r="FY85" s="4">
        <v>-6.4308592050032853</v>
      </c>
      <c r="FZ85" s="4">
        <v>-6.3956205868370084</v>
      </c>
      <c r="GA85" s="4">
        <v>-6.360378221537939</v>
      </c>
      <c r="GB85" s="4">
        <v>-6.3251436928384424</v>
      </c>
      <c r="GC85" s="4">
        <v>-6.2899303977981047</v>
      </c>
      <c r="GD85" s="4">
        <v>-6.2547534510829834</v>
      </c>
      <c r="GE85" s="4">
        <v>-6.2196295634442187</v>
      </c>
      <c r="GF85" s="4">
        <v>-6.1845768955518468</v>
      </c>
      <c r="GG85" s="4">
        <v>-6.149614888906445</v>
      </c>
      <c r="GH85" s="4">
        <v>-6.1147640760896111</v>
      </c>
      <c r="GI85" s="4">
        <v>-6.080045873101664</v>
      </c>
      <c r="GJ85" s="4">
        <v>-6.0454823569588996</v>
      </c>
      <c r="GK85" s="4">
        <v>-6.0110960320641471</v>
      </c>
      <c r="GL85" s="4">
        <v>-5.976909589114161</v>
      </c>
      <c r="GM85" s="4">
        <v>-5.9429456604545479</v>
      </c>
      <c r="GN85" s="4">
        <v>-5.9092265758331752</v>
      </c>
      <c r="GO85" s="4">
        <v>-5.8757741224321123</v>
      </c>
      <c r="GP85" s="4">
        <v>-5.8426093128804757</v>
      </c>
      <c r="GQ85" s="4">
        <v>-5.8097521646697956</v>
      </c>
      <c r="GR85" s="4">
        <v>-5.7772214940208304</v>
      </c>
      <c r="GS85" s="4">
        <v>-5.7450347268015962</v>
      </c>
      <c r="GT85" s="4">
        <v>-5.7132077285881246</v>
      </c>
      <c r="GU85" s="4">
        <v>-5.681754655414923</v>
      </c>
      <c r="GV85" s="4">
        <v>-5.6506878262057008</v>
      </c>
      <c r="GW85" s="4">
        <v>-5.6200176173300278</v>
      </c>
      <c r="GX85" s="4">
        <v>-5.5897523792244668</v>
      </c>
      <c r="GY85" s="4">
        <v>-5.5598983745664761</v>
      </c>
      <c r="GZ85" s="4">
        <v>-5.5304597371134774</v>
      </c>
      <c r="HA85" s="4">
        <v>-5.5014384500312472</v>
      </c>
      <c r="HB85" s="4">
        <v>-5.4728343423378689</v>
      </c>
      <c r="HC85" s="4">
        <v>-5.4446451019830864</v>
      </c>
      <c r="HD85" s="4">
        <v>-5.4168663040609584</v>
      </c>
      <c r="HE85" s="4">
        <v>-5.3894914527035143</v>
      </c>
      <c r="HF85" s="4">
        <v>-5.3625120353107132</v>
      </c>
      <c r="HG85" s="4">
        <v>-5.3359175879186704</v>
      </c>
      <c r="HH85" s="4">
        <v>-5.3096957706766963</v>
      </c>
      <c r="HI85" s="4">
        <v>-5.2838324525754166</v>
      </c>
      <c r="HJ85" s="4">
        <v>-5.258311804730055</v>
      </c>
      <c r="HK85" s="4">
        <v>-5.2331164016595402</v>
      </c>
      <c r="HL85" s="4">
        <v>-5.2082273301070661</v>
      </c>
      <c r="HM85" s="4">
        <v>-5.183624305013983</v>
      </c>
      <c r="HN85" s="4">
        <v>-5.1592857922853277</v>
      </c>
      <c r="HO85" s="4">
        <v>-5.1351891379727421</v>
      </c>
      <c r="HP85" s="4">
        <v>-5.1113107034519754</v>
      </c>
      <c r="HQ85" s="4">
        <v>-5.0876260060945651</v>
      </c>
      <c r="HR85" s="4">
        <v>-5.0641098648311349</v>
      </c>
      <c r="HS85" s="4">
        <v>-5.040736549885235</v>
      </c>
      <c r="HT85" s="4">
        <v>-5.0174799358307203</v>
      </c>
      <c r="HU85" s="4">
        <v>-4.9943136569950486</v>
      </c>
      <c r="HV85" s="4">
        <v>-4.9712112641083088</v>
      </c>
      <c r="HW85" s="4">
        <v>-4.9481463809845758</v>
      </c>
      <c r="HX85" s="4">
        <v>-4.9250928599262931</v>
      </c>
      <c r="HY85" s="4">
        <v>-4.9020249344685558</v>
      </c>
      <c r="HZ85" s="4">
        <v>-4.878917368031555</v>
      </c>
      <c r="IA85" s="4">
        <v>-4.8557455970292498</v>
      </c>
      <c r="IB85" s="4">
        <v>-4.8324858669919104</v>
      </c>
      <c r="IC85" s="4">
        <v>-4.809115360300801</v>
      </c>
      <c r="ID85" s="4">
        <v>-4.7856123142035143</v>
      </c>
      <c r="IE85" s="4">
        <v>-4.7619561278770632</v>
      </c>
      <c r="IF85" s="4">
        <v>-4.7381274574311307</v>
      </c>
      <c r="IG85" s="4">
        <v>-4.7141082978923698</v>
      </c>
      <c r="IH85" s="4">
        <v>-4.6898820513809927</v>
      </c>
      <c r="II85" s="4">
        <v>-4.6654335808784886</v>
      </c>
      <c r="IJ85" s="4">
        <v>-4.6407492491902147</v>
      </c>
      <c r="IK85" s="4">
        <v>-4.6158169429230709</v>
      </c>
      <c r="IL85" s="4">
        <v>-4.5906260815253734</v>
      </c>
      <c r="IM85" s="4">
        <v>-4.5651676116704607</v>
      </c>
    </row>
    <row r="86" spans="2:247" x14ac:dyDescent="0.35">
      <c r="B86" s="58">
        <v>0.7</v>
      </c>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v>-8.6914076052782967</v>
      </c>
      <c r="DW86" s="4">
        <v>-8.6487729434436496</v>
      </c>
      <c r="DX86" s="4">
        <v>-8.6063112540298636</v>
      </c>
      <c r="DY86" s="4">
        <v>-8.5640299103416631</v>
      </c>
      <c r="DZ86" s="4">
        <v>-8.5219361425770668</v>
      </c>
      <c r="EA86" s="4">
        <v>-8.4800369935477597</v>
      </c>
      <c r="EB86" s="4">
        <v>-8.4383392722204551</v>
      </c>
      <c r="EC86" s="4">
        <v>-8.3968495053803274</v>
      </c>
      <c r="ED86" s="4">
        <v>-8.3555738877764085</v>
      </c>
      <c r="EE86" s="4">
        <v>-8.3145182311677246</v>
      </c>
      <c r="EF86" s="4">
        <v>-8.2736879127456895</v>
      </c>
      <c r="EG86" s="4">
        <v>-8.2330878234603091</v>
      </c>
      <c r="EH86" s="4">
        <v>-8.1927223168256393</v>
      </c>
      <c r="EI86" s="4">
        <v>-8.1525951588189542</v>
      </c>
      <c r="EJ86" s="4">
        <v>-8.1127094795195749</v>
      </c>
      <c r="EK86" s="4">
        <v>-8.0730677271538127</v>
      </c>
      <c r="EL86" s="4">
        <v>-8.03367162522167</v>
      </c>
      <c r="EM86" s="4">
        <v>-7.994522133378986</v>
      </c>
      <c r="EN86" s="4">
        <v>-7.9556194127328981</v>
      </c>
      <c r="EO86" s="4">
        <v>-7.9169627961828386</v>
      </c>
      <c r="EP86" s="4">
        <v>-7.8785507644001527</v>
      </c>
      <c r="EQ86" s="4">
        <v>-7.8403809279922703</v>
      </c>
      <c r="ER86" s="4">
        <v>-7.8024500163398116</v>
      </c>
      <c r="ES86" s="4">
        <v>-7.7647538735333281</v>
      </c>
      <c r="ET86" s="4">
        <v>-7.7272874617676646</v>
      </c>
      <c r="EU86" s="4">
        <v>-7.6900448724835986</v>
      </c>
      <c r="EV86" s="4">
        <v>-7.6530193454767828</v>
      </c>
      <c r="EW86" s="4">
        <v>-7.6162032961259456</v>
      </c>
      <c r="EX86" s="4">
        <v>-7.5795883508291251</v>
      </c>
      <c r="EY86" s="4">
        <v>-7.543165390676033</v>
      </c>
      <c r="EZ86" s="4">
        <v>-7.5069246033298143</v>
      </c>
      <c r="FA86" s="4">
        <v>-7.4708555430402974</v>
      </c>
      <c r="FB86" s="4">
        <v>-7.4349471986633331</v>
      </c>
      <c r="FC86" s="4">
        <v>-7.3991880695145698</v>
      </c>
      <c r="FD86" s="4">
        <v>-7.3635662488397164</v>
      </c>
      <c r="FE86" s="4">
        <v>-7.3280695146335706</v>
      </c>
      <c r="FF86" s="4">
        <v>-7.2926854274851749</v>
      </c>
      <c r="FG86" s="4">
        <v>-7.2574014350617357</v>
      </c>
      <c r="FH86" s="4">
        <v>-7.2222049827697026</v>
      </c>
      <c r="FI86" s="4">
        <v>-7.1870836300416636</v>
      </c>
      <c r="FJ86" s="4">
        <v>-7.1520251715949286</v>
      </c>
      <c r="FK86" s="4">
        <v>-7.1170177628867819</v>
      </c>
      <c r="FL86" s="4">
        <v>-7.0820500488574432</v>
      </c>
      <c r="FM86" s="4">
        <v>-7.0471112949012564</v>
      </c>
      <c r="FN86" s="4">
        <v>-7.0121915188467216</v>
      </c>
      <c r="FO86" s="4">
        <v>-6.9772816225580856</v>
      </c>
      <c r="FP86" s="4">
        <v>-6.942373521602458</v>
      </c>
      <c r="FQ86" s="4">
        <v>-6.90746027126296</v>
      </c>
      <c r="FR86" s="4">
        <v>-6.8725361870293771</v>
      </c>
      <c r="FS86" s="4">
        <v>-6.8375969575712796</v>
      </c>
      <c r="FT86" s="4">
        <v>-6.8026397481048546</v>
      </c>
      <c r="FU86" s="4">
        <v>-6.7676632920128137</v>
      </c>
      <c r="FV86" s="4">
        <v>-6.7326679685759423</v>
      </c>
      <c r="FW86" s="4">
        <v>-6.6976558647322264</v>
      </c>
      <c r="FX86" s="4">
        <v>-6.6626308189015759</v>
      </c>
      <c r="FY86" s="4">
        <v>-6.6275984451033043</v>
      </c>
      <c r="FZ86" s="4">
        <v>-6.5925661358503351</v>
      </c>
      <c r="GA86" s="4">
        <v>-6.557543042626329</v>
      </c>
      <c r="GB86" s="4">
        <v>-6.5225400331318166</v>
      </c>
      <c r="GC86" s="4">
        <v>-6.4875696249155208</v>
      </c>
      <c r="GD86" s="4">
        <v>-6.4526458954729069</v>
      </c>
      <c r="GE86" s="4">
        <v>-6.4177843693843863</v>
      </c>
      <c r="GF86" s="4">
        <v>-6.3830018835604774</v>
      </c>
      <c r="GG86" s="4">
        <v>-6.3483164321487564</v>
      </c>
      <c r="GH86" s="4">
        <v>-6.3137469931170012</v>
      </c>
      <c r="GI86" s="4">
        <v>-6.2793133389451992</v>
      </c>
      <c r="GJ86" s="4">
        <v>-6.2450358342208983</v>
      </c>
      <c r="GK86" s="4">
        <v>-6.2109352232247872</v>
      </c>
      <c r="GL86" s="4">
        <v>-6.1770324108067634</v>
      </c>
      <c r="GM86" s="4">
        <v>-6.1433482399792032</v>
      </c>
      <c r="GN86" s="4">
        <v>-6.109903269688548</v>
      </c>
      <c r="GO86" s="4">
        <v>-6.0767175561679512</v>
      </c>
      <c r="GP86" s="4">
        <v>-6.0438104411234788</v>
      </c>
      <c r="GQ86" s="4">
        <v>-6.0112003497706628</v>
      </c>
      <c r="GR86" s="4">
        <v>-5.9789046014249791</v>
      </c>
      <c r="GS86" s="4">
        <v>-5.9469392349727981</v>
      </c>
      <c r="GT86" s="4">
        <v>-5.9153188511230423</v>
      </c>
      <c r="GU86" s="4">
        <v>-5.884056472882655</v>
      </c>
      <c r="GV86" s="4">
        <v>-5.8531634252313447</v>
      </c>
      <c r="GW86" s="4">
        <v>-5.82264923451139</v>
      </c>
      <c r="GX86" s="4">
        <v>-5.7925215476172136</v>
      </c>
      <c r="GY86" s="4">
        <v>-5.7627860706829992</v>
      </c>
      <c r="GZ86" s="4">
        <v>-5.7334465266394581</v>
      </c>
      <c r="HA86" s="4">
        <v>-5.7045046307506544</v>
      </c>
      <c r="HB86" s="4">
        <v>-5.6759600830563617</v>
      </c>
      <c r="HC86" s="4">
        <v>-5.6478105765311719</v>
      </c>
      <c r="HD86" s="4">
        <v>-5.6200518197266351</v>
      </c>
      <c r="HE86" s="4">
        <v>-5.592677572677176</v>
      </c>
      <c r="HF86" s="4">
        <v>-5.5656796949125802</v>
      </c>
      <c r="HG86" s="4">
        <v>-5.5390482045176954</v>
      </c>
      <c r="HH86" s="4">
        <v>-5.5127713472970088</v>
      </c>
      <c r="HI86" s="4">
        <v>-5.4868356752270699</v>
      </c>
      <c r="HJ86" s="4">
        <v>-5.4612261334982231</v>
      </c>
      <c r="HK86" s="4">
        <v>-5.4359261555510976</v>
      </c>
      <c r="HL86" s="4">
        <v>-5.4109177655933571</v>
      </c>
      <c r="HM86" s="4">
        <v>-5.3861816881336484</v>
      </c>
      <c r="HN86" s="4">
        <v>-5.3616974640908701</v>
      </c>
      <c r="HO86" s="4">
        <v>-5.3374435730282954</v>
      </c>
      <c r="HP86" s="4">
        <v>-5.3133975610233062</v>
      </c>
      <c r="HQ86" s="4">
        <v>-5.2895361736230306</v>
      </c>
      <c r="HR86" s="4">
        <v>-5.2658354932540696</v>
      </c>
      <c r="HS86" s="4">
        <v>-5.242271080360144</v>
      </c>
      <c r="HT86" s="4">
        <v>-5.2188181174387482</v>
      </c>
      <c r="HU86" s="4">
        <v>-5.1954515550434053</v>
      </c>
      <c r="HV86" s="4">
        <v>-5.1721462587182838</v>
      </c>
      <c r="HW86" s="4">
        <v>-5.148877155740327</v>
      </c>
      <c r="HX86" s="4">
        <v>-5.1256193804680432</v>
      </c>
      <c r="HY86" s="4">
        <v>-5.1023484170370024</v>
      </c>
      <c r="HZ86" s="4">
        <v>-5.0790402381057671</v>
      </c>
      <c r="IA86" s="4">
        <v>-5.0556714383429817</v>
      </c>
      <c r="IB86" s="4">
        <v>-5.0322193613596218</v>
      </c>
      <c r="IC86" s="4">
        <v>-5.0086622188294907</v>
      </c>
      <c r="ID86" s="4">
        <v>-4.9849792006062463</v>
      </c>
      <c r="IE86" s="4">
        <v>-4.961150574735564</v>
      </c>
      <c r="IF86" s="4">
        <v>-4.9371577763744066</v>
      </c>
      <c r="IG86" s="4">
        <v>-4.9129834847637666</v>
      </c>
      <c r="IH86" s="4">
        <v>-4.8886116875554624</v>
      </c>
      <c r="II86" s="4">
        <v>-4.8640277319628327</v>
      </c>
      <c r="IJ86" s="4">
        <v>-4.8392183623896941</v>
      </c>
      <c r="IK86" s="4">
        <v>-4.8141717443862708</v>
      </c>
      <c r="IL86" s="4">
        <v>-4.7888774749842913</v>
      </c>
      <c r="IM86" s="4">
        <v>-4.7633265796694282</v>
      </c>
    </row>
    <row r="87" spans="2:247" x14ac:dyDescent="0.35">
      <c r="B87" s="58">
        <v>0.71</v>
      </c>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v>-8.8840987001670459</v>
      </c>
      <c r="DW87" s="4">
        <v>-8.8416062103781812</v>
      </c>
      <c r="DX87" s="4">
        <v>-8.7992857088185747</v>
      </c>
      <c r="DY87" s="4">
        <v>-8.7571441958114029</v>
      </c>
      <c r="DZ87" s="4">
        <v>-8.7151885193570156</v>
      </c>
      <c r="EA87" s="4">
        <v>-8.6734253334594698</v>
      </c>
      <c r="EB87" s="4">
        <v>-8.6318610545977279</v>
      </c>
      <c r="EC87" s="4">
        <v>-8.5905018166323419</v>
      </c>
      <c r="ED87" s="4">
        <v>-8.5493534244889595</v>
      </c>
      <c r="EE87" s="4">
        <v>-8.5084213070121066</v>
      </c>
      <c r="EF87" s="4">
        <v>-8.4677104694306955</v>
      </c>
      <c r="EG87" s="4">
        <v>-8.4272254459223213</v>
      </c>
      <c r="EH87" s="4">
        <v>-8.3869702528031151</v>
      </c>
      <c r="EI87" s="4">
        <v>-8.3469483429034241</v>
      </c>
      <c r="EJ87" s="4">
        <v>-8.3071625617152538</v>
      </c>
      <c r="EK87" s="4">
        <v>-8.2676151059143415</v>
      </c>
      <c r="EL87" s="4">
        <v>-8.2283074848661855</v>
      </c>
      <c r="EM87" s="4">
        <v>-8.1892404857230368</v>
      </c>
      <c r="EN87" s="4">
        <v>-8.1504141427040899</v>
      </c>
      <c r="EO87" s="4">
        <v>-8.1118277111278427</v>
      </c>
      <c r="EP87" s="4">
        <v>-8.0734796467319114</v>
      </c>
      <c r="EQ87" s="4">
        <v>-8.0353675907733901</v>
      </c>
      <c r="ER87" s="4">
        <v>-7.9974883613530876</v>
      </c>
      <c r="ES87" s="4">
        <v>-7.9598379513522639</v>
      </c>
      <c r="ET87" s="4">
        <v>-7.9224115333104468</v>
      </c>
      <c r="EU87" s="4">
        <v>-7.8852034715119697</v>
      </c>
      <c r="EV87" s="4">
        <v>-7.8482073414858533</v>
      </c>
      <c r="EW87" s="4">
        <v>-7.8114159570626249</v>
      </c>
      <c r="EX87" s="4">
        <v>-7.7748214050716058</v>
      </c>
      <c r="EY87" s="4">
        <v>-7.7384150877053752</v>
      </c>
      <c r="EZ87" s="4">
        <v>-7.7021877725238088</v>
      </c>
      <c r="FA87" s="4">
        <v>-7.6661296500186547</v>
      </c>
      <c r="FB87" s="4">
        <v>-7.6302303986093998</v>
      </c>
      <c r="FC87" s="4">
        <v>-7.5944792568923454</v>
      </c>
      <c r="FD87" s="4">
        <v>-7.5588651029140213</v>
      </c>
      <c r="FE87" s="4">
        <v>-7.5233765401866082</v>
      </c>
      <c r="FF87" s="4">
        <v>-7.4880019901044026</v>
      </c>
      <c r="FG87" s="4">
        <v>-7.4527297903540362</v>
      </c>
      <c r="FH87" s="4">
        <v>-7.4175482988362997</v>
      </c>
      <c r="FI87" s="4">
        <v>-7.3824460025308456</v>
      </c>
      <c r="FJ87" s="4">
        <v>-7.3474116306376844</v>
      </c>
      <c r="FK87" s="4">
        <v>-7.312434271219459</v>
      </c>
      <c r="FL87" s="4">
        <v>-7.2775034904470592</v>
      </c>
      <c r="FM87" s="4">
        <v>-7.2426094534202772</v>
      </c>
      <c r="FN87" s="4">
        <v>-7.2077430453970379</v>
      </c>
      <c r="FO87" s="4">
        <v>-7.172895992123463</v>
      </c>
      <c r="FP87" s="4">
        <v>-7.1380609778172293</v>
      </c>
      <c r="FQ87" s="4">
        <v>-7.1032317592253644</v>
      </c>
      <c r="FR87" s="4">
        <v>-7.0684032740599774</v>
      </c>
      <c r="FS87" s="4">
        <v>-7.033571742020837</v>
      </c>
      <c r="FT87" s="4">
        <v>-6.9987347565483766</v>
      </c>
      <c r="FU87" s="4">
        <v>-6.9638913654231178</v>
      </c>
      <c r="FV87" s="4">
        <v>-6.9290421383442444</v>
      </c>
      <c r="FW87" s="4">
        <v>-6.8941892196865933</v>
      </c>
      <c r="FX87" s="4">
        <v>-6.8593363647572172</v>
      </c>
      <c r="FY87" s="4">
        <v>-6.8244889580498107</v>
      </c>
      <c r="FZ87" s="4">
        <v>-6.7896540122296862</v>
      </c>
      <c r="GA87" s="4">
        <v>-6.7548401468693671</v>
      </c>
      <c r="GB87" s="4">
        <v>-6.7200575462902066</v>
      </c>
      <c r="GC87" s="4">
        <v>-6.6853178962406332</v>
      </c>
      <c r="GD87" s="4">
        <v>-6.6506342995468026</v>
      </c>
      <c r="GE87" s="4">
        <v>-6.6160211712939132</v>
      </c>
      <c r="GF87" s="4">
        <v>-6.5814941145238901</v>
      </c>
      <c r="GG87" s="4">
        <v>-6.5470697778528333</v>
      </c>
      <c r="GH87" s="4">
        <v>-6.5127656968065812</v>
      </c>
      <c r="GI87" s="4">
        <v>-6.4786001210310804</v>
      </c>
      <c r="GJ87" s="4">
        <v>-6.4445918298439633</v>
      </c>
      <c r="GK87" s="4">
        <v>-6.4107599388446097</v>
      </c>
      <c r="GL87" s="4">
        <v>-6.3771237004826933</v>
      </c>
      <c r="GM87" s="4">
        <v>-6.3437023015942504</v>
      </c>
      <c r="GN87" s="4">
        <v>-6.3105146609446274</v>
      </c>
      <c r="GO87" s="4">
        <v>-6.2775792297698079</v>
      </c>
      <c r="GP87" s="4">
        <v>-6.2449137981815692</v>
      </c>
      <c r="GQ87" s="4">
        <v>-6.2125353101040632</v>
      </c>
      <c r="GR87" s="4">
        <v>-6.1804596891465149</v>
      </c>
      <c r="GS87" s="4">
        <v>-6.1487016774996954</v>
      </c>
      <c r="GT87" s="4">
        <v>-6.1172746895857681</v>
      </c>
      <c r="GU87" s="4">
        <v>-6.0861906818064631</v>
      </c>
      <c r="GV87" s="4">
        <v>-6.0554600393397982</v>
      </c>
      <c r="GW87" s="4">
        <v>-6.0250914805463722</v>
      </c>
      <c r="GX87" s="4">
        <v>-5.9950919791783077</v>
      </c>
      <c r="GY87" s="4">
        <v>-5.9654667042511322</v>
      </c>
      <c r="GZ87" s="4">
        <v>-5.9362189771520582</v>
      </c>
      <c r="HA87" s="4">
        <v>-5.9073502453251603</v>
      </c>
      <c r="HB87" s="4">
        <v>-5.8788600716990622</v>
      </c>
      <c r="HC87" s="4">
        <v>-5.8507461389070334</v>
      </c>
      <c r="HD87" s="4">
        <v>-5.8230042672881419</v>
      </c>
      <c r="HE87" s="4">
        <v>-5.7956284456468508</v>
      </c>
      <c r="HF87" s="4">
        <v>-5.7686108737771509</v>
      </c>
      <c r="HG87" s="4">
        <v>-5.7419420158163827</v>
      </c>
      <c r="HH87" s="4">
        <v>-5.7156106635724049</v>
      </c>
      <c r="HI87" s="4">
        <v>-5.6896040090543778</v>
      </c>
      <c r="HJ87" s="4">
        <v>-5.6639077255227823</v>
      </c>
      <c r="HK87" s="4">
        <v>-5.6385060564502636</v>
      </c>
      <c r="HL87" s="4">
        <v>-5.6133819118435424</v>
      </c>
      <c r="HM87" s="4">
        <v>-5.5885169714154346</v>
      </c>
      <c r="HN87" s="4">
        <v>-5.5638917941115711</v>
      </c>
      <c r="HO87" s="4">
        <v>-5.5394859334879909</v>
      </c>
      <c r="HP87" s="4">
        <v>-5.5152780584059506</v>
      </c>
      <c r="HQ87" s="4">
        <v>-5.4912460784606756</v>
      </c>
      <c r="HR87" s="4">
        <v>-5.467367273495892</v>
      </c>
      <c r="HS87" s="4">
        <v>-5.4436184264795404</v>
      </c>
      <c r="HT87" s="4">
        <v>-5.4199759589332173</v>
      </c>
      <c r="HU87" s="4">
        <v>-5.3964160680248909</v>
      </c>
      <c r="HV87" s="4">
        <v>-5.3729148643520581</v>
      </c>
      <c r="HW87" s="4">
        <v>-5.3494485093716664</v>
      </c>
      <c r="HX87" s="4">
        <v>-5.3259933513707516</v>
      </c>
      <c r="HY87" s="4">
        <v>-5.3025260588276106</v>
      </c>
      <c r="HZ87" s="4">
        <v>-5.2790237499858836</v>
      </c>
      <c r="IA87" s="4">
        <v>-5.2554641174579766</v>
      </c>
      <c r="IB87" s="4">
        <v>-5.2318255466904047</v>
      </c>
      <c r="IC87" s="4">
        <v>-5.2080872271610357</v>
      </c>
      <c r="ID87" s="4">
        <v>-5.1842292552405462</v>
      </c>
      <c r="IE87" s="4">
        <v>-5.1602327277319588</v>
      </c>
      <c r="IF87" s="4">
        <v>-5.1360798252059068</v>
      </c>
      <c r="IG87" s="4">
        <v>-5.1117538843715149</v>
      </c>
      <c r="IH87" s="4">
        <v>-5.0872394588606049</v>
      </c>
      <c r="II87" s="4">
        <v>-5.0625223679573272</v>
      </c>
      <c r="IJ87" s="4">
        <v>-5.037589732969872</v>
      </c>
      <c r="IK87" s="4">
        <v>-5.0124300011155576</v>
      </c>
      <c r="IL87" s="4">
        <v>-4.9870329569716851</v>
      </c>
      <c r="IM87" s="4">
        <v>-4.9613897217271639</v>
      </c>
    </row>
    <row r="88" spans="2:247" x14ac:dyDescent="0.35">
      <c r="B88" s="58">
        <v>0.72</v>
      </c>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v>-9.0769555780501197</v>
      </c>
      <c r="DW88" s="4">
        <v>-9.034602133972534</v>
      </c>
      <c r="DX88" s="4">
        <v>-8.9924195972657088</v>
      </c>
      <c r="DY88" s="4">
        <v>-8.9504146149271726</v>
      </c>
      <c r="DZ88" s="4">
        <v>-8.9085936742790466</v>
      </c>
      <c r="EA88" s="4">
        <v>-8.8669630637947208</v>
      </c>
      <c r="EB88" s="4">
        <v>-8.8255288323571968</v>
      </c>
      <c r="EC88" s="4">
        <v>-8.7842967472271862</v>
      </c>
      <c r="ED88" s="4">
        <v>-8.7432722510446048</v>
      </c>
      <c r="EE88" s="4">
        <v>-8.7024604182320751</v>
      </c>
      <c r="EF88" s="4">
        <v>-8.6618659112106098</v>
      </c>
      <c r="EG88" s="4">
        <v>-8.6214929368762689</v>
      </c>
      <c r="EH88" s="4">
        <v>-8.5813452038213676</v>
      </c>
      <c r="EI88" s="4">
        <v>-8.541425880810662</v>
      </c>
      <c r="EJ88" s="4">
        <v>-8.5017375570458107</v>
      </c>
      <c r="EK88" s="4">
        <v>-8.4622822047631043</v>
      </c>
      <c r="EL88" s="4">
        <v>-8.4230611447162893</v>
      </c>
      <c r="EM88" s="4">
        <v>-8.3840750150912271</v>
      </c>
      <c r="EN88" s="4">
        <v>-8.3453237443868176</v>
      </c>
      <c r="EO88" s="4">
        <v>-8.3068065287751587</v>
      </c>
      <c r="EP88" s="4">
        <v>-8.2685218144239876</v>
      </c>
      <c r="EQ88" s="4">
        <v>-8.2304672852269078</v>
      </c>
      <c r="ER88" s="4">
        <v>-8.192639856343277</v>
      </c>
      <c r="ES88" s="4">
        <v>-8.1550356739011409</v>
      </c>
      <c r="ET88" s="4">
        <v>-8.1176501211625052</v>
      </c>
      <c r="EU88" s="4">
        <v>-8.0804778313965038</v>
      </c>
      <c r="EV88" s="4">
        <v>-8.0435127076482686</v>
      </c>
      <c r="EW88" s="4">
        <v>-8.0067479495352494</v>
      </c>
      <c r="EX88" s="4">
        <v>-7.970176087146978</v>
      </c>
      <c r="EY88" s="4">
        <v>-7.9337890220698011</v>
      </c>
      <c r="EZ88" s="4">
        <v>-7.8975780755050744</v>
      </c>
      <c r="FA88" s="4">
        <v>-7.8615340433982066</v>
      </c>
      <c r="FB88" s="4">
        <v>-7.8256472584447199</v>
      </c>
      <c r="FC88" s="4">
        <v>-7.7899076587885752</v>
      </c>
      <c r="FD88" s="4">
        <v>-7.7543048631756886</v>
      </c>
      <c r="FE88" s="4">
        <v>-7.7188282522693381</v>
      </c>
      <c r="FF88" s="4">
        <v>-7.6834670557746856</v>
      </c>
      <c r="FG88" s="4">
        <v>-7.6482104449530066</v>
      </c>
      <c r="FH88" s="4">
        <v>-7.6130476300324714</v>
      </c>
      <c r="FI88" s="4">
        <v>-7.5779679619404003</v>
      </c>
      <c r="FJ88" s="4">
        <v>-7.5429610376908993</v>
      </c>
      <c r="FK88" s="4">
        <v>-7.5080168086610826</v>
      </c>
      <c r="FL88" s="4">
        <v>-7.4731256908822834</v>
      </c>
      <c r="FM88" s="4">
        <v>-7.4382786763567772</v>
      </c>
      <c r="FN88" s="4">
        <v>-7.4034674442932946</v>
      </c>
      <c r="FO88" s="4">
        <v>-7.3686844710356079</v>
      </c>
      <c r="FP88" s="4">
        <v>-7.3339231373434091</v>
      </c>
      <c r="FQ88" s="4">
        <v>-7.2991778315795752</v>
      </c>
      <c r="FR88" s="4">
        <v>-7.2644440472667142</v>
      </c>
      <c r="FS88" s="4">
        <v>-7.2297184734062512</v>
      </c>
      <c r="FT88" s="4">
        <v>-7.1949990759106024</v>
      </c>
      <c r="FU88" s="4">
        <v>-7.1602851684896152</v>
      </c>
      <c r="FV88" s="4">
        <v>-7.125577471361618</v>
      </c>
      <c r="FW88" s="4">
        <v>-7.0908781562322014</v>
      </c>
      <c r="FX88" s="4">
        <v>-7.0561908761017316</v>
      </c>
      <c r="FY88" s="4">
        <v>-7.0215207786289708</v>
      </c>
      <c r="FZ88" s="4">
        <v>-6.9868745019908634</v>
      </c>
      <c r="GA88" s="4">
        <v>-6.9522601524351133</v>
      </c>
      <c r="GB88" s="4">
        <v>-6.9176872630186867</v>
      </c>
      <c r="GC88" s="4">
        <v>-6.8831667333537734</v>
      </c>
      <c r="GD88" s="4">
        <v>-6.8487107505346732</v>
      </c>
      <c r="GE88" s="4">
        <v>-6.8143326917859106</v>
      </c>
      <c r="GF88" s="4">
        <v>-6.7800470097396399</v>
      </c>
      <c r="GG88" s="4">
        <v>-6.7458691016108334</v>
      </c>
      <c r="GH88" s="4">
        <v>-6.7118151638780192</v>
      </c>
      <c r="GI88" s="4">
        <v>-6.677902034384795</v>
      </c>
      <c r="GJ88" s="4">
        <v>-6.6441470240434626</v>
      </c>
      <c r="GK88" s="4">
        <v>-6.6105677405375616</v>
      </c>
      <c r="GL88" s="4">
        <v>-6.5771819065769677</v>
      </c>
      <c r="GM88" s="4">
        <v>-6.5440071753538174</v>
      </c>
      <c r="GN88" s="4">
        <v>-6.5110609458748074</v>
      </c>
      <c r="GO88" s="4">
        <v>-6.4783601808063693</v>
      </c>
      <c r="GP88" s="4">
        <v>-6.4459212293640533</v>
      </c>
      <c r="GQ88" s="4">
        <v>-6.4137596576116387</v>
      </c>
      <c r="GR88" s="4">
        <v>-6.3818900883143179</v>
      </c>
      <c r="GS88" s="4">
        <v>-6.3503260522241387</v>
      </c>
      <c r="GT88" s="4">
        <v>-6.3190798523740934</v>
      </c>
      <c r="GU88" s="4">
        <v>-6.2881624426325349</v>
      </c>
      <c r="GV88" s="4">
        <v>-6.257583321435904</v>
      </c>
      <c r="GW88" s="4">
        <v>-6.227350441286438</v>
      </c>
      <c r="GX88" s="4">
        <v>-6.1974701342865028</v>
      </c>
      <c r="GY88" s="4">
        <v>-6.167947053693501</v>
      </c>
      <c r="GZ88" s="4">
        <v>-6.1387841312270206</v>
      </c>
      <c r="HA88" s="4">
        <v>-6.1099825496508036</v>
      </c>
      <c r="HB88" s="4">
        <v>-6.0815417299894294</v>
      </c>
      <c r="HC88" s="4">
        <v>-6.0534593326238557</v>
      </c>
      <c r="HD88" s="4">
        <v>-6.025731271438822</v>
      </c>
      <c r="HE88" s="4">
        <v>-5.9983517401659636</v>
      </c>
      <c r="HF88" s="4">
        <v>-5.9713132500693842</v>
      </c>
      <c r="HG88" s="4">
        <v>-5.9446066781512306</v>
      </c>
      <c r="HH88" s="4">
        <v>-5.9182213251021043</v>
      </c>
      <c r="HI88" s="4">
        <v>-5.8921449822784737</v>
      </c>
      <c r="HJ88" s="4">
        <v>-5.8663640070474479</v>
      </c>
      <c r="HK88" s="4">
        <v>-5.8408634058917848</v>
      </c>
      <c r="HL88" s="4">
        <v>-5.8156269247099424</v>
      </c>
      <c r="HM88" s="4">
        <v>-5.7906371457729353</v>
      </c>
      <c r="HN88" s="4">
        <v>-5.765875590808772</v>
      </c>
      <c r="HO88" s="4">
        <v>-5.7413228296781451</v>
      </c>
      <c r="HP88" s="4">
        <v>-5.7169585940793244</v>
      </c>
      <c r="HQ88" s="4">
        <v>-5.6927618956795314</v>
      </c>
      <c r="HR88" s="4">
        <v>-5.6687111480187209</v>
      </c>
      <c r="HS88" s="4">
        <v>-5.644784291469346</v>
      </c>
      <c r="HT88" s="4">
        <v>-5.6209589204688584</v>
      </c>
      <c r="HU88" s="4">
        <v>-5.5972124121756544</v>
      </c>
      <c r="HV88" s="4">
        <v>-5.573522055633342</v>
      </c>
      <c r="HW88" s="4">
        <v>-5.5498651804713202</v>
      </c>
      <c r="HX88" s="4">
        <v>-5.5262192841218596</v>
      </c>
      <c r="HY88" s="4">
        <v>-5.5025621565000566</v>
      </c>
      <c r="HZ88" s="4">
        <v>-5.478872001074464</v>
      </c>
      <c r="IA88" s="4">
        <v>-5.4551275512552486</v>
      </c>
      <c r="IB88" s="4">
        <v>-5.4313081810454218</v>
      </c>
      <c r="IC88" s="4">
        <v>-5.4073940089378691</v>
      </c>
      <c r="ID88" s="4">
        <v>-5.3833659940984511</v>
      </c>
      <c r="IE88" s="4">
        <v>-5.3592060239513479</v>
      </c>
      <c r="IF88" s="4">
        <v>-5.3348969923773542</v>
      </c>
      <c r="IG88" s="4">
        <v>-5.3104228678461549</v>
      </c>
      <c r="IH88" s="4">
        <v>-5.2857687509288169</v>
      </c>
      <c r="II88" s="4">
        <v>-5.2609209207753036</v>
      </c>
      <c r="IJ88" s="4">
        <v>-5.2358668702896747</v>
      </c>
      <c r="IK88" s="4">
        <v>-5.2105953298915288</v>
      </c>
      <c r="IL88" s="4">
        <v>-5.1850962799142764</v>
      </c>
      <c r="IM88" s="4">
        <v>-5.1593609518515766</v>
      </c>
    </row>
    <row r="89" spans="2:247" x14ac:dyDescent="0.35">
      <c r="B89" s="58">
        <v>0.73</v>
      </c>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v>-9.269972146190911</v>
      </c>
      <c r="DW89" s="4">
        <v>-9.2277547077627027</v>
      </c>
      <c r="DX89" s="4">
        <v>-9.1857070137827943</v>
      </c>
      <c r="DY89" s="4">
        <v>-9.1438353769006504</v>
      </c>
      <c r="DZ89" s="4">
        <v>-9.1021459443894113</v>
      </c>
      <c r="EA89" s="4">
        <v>-9.0606446613645595</v>
      </c>
      <c r="EB89" s="4">
        <v>-9.019337232687036</v>
      </c>
      <c r="EC89" s="4">
        <v>-8.9782290838166112</v>
      </c>
      <c r="ED89" s="4">
        <v>-8.9373253209215235</v>
      </c>
      <c r="EE89" s="4">
        <v>-8.8966306905888555</v>
      </c>
      <c r="EF89" s="4">
        <v>-8.8561495395166574</v>
      </c>
      <c r="EG89" s="4">
        <v>-8.8158857746023358</v>
      </c>
      <c r="EH89" s="4">
        <v>-8.7758428238696258</v>
      </c>
      <c r="EI89" s="4">
        <v>-8.7360235987019372</v>
      </c>
      <c r="EJ89" s="4">
        <v>-8.6964304578656275</v>
      </c>
      <c r="EK89" s="4">
        <v>-8.6570651738189106</v>
      </c>
      <c r="EL89" s="4">
        <v>-8.6179289018046639</v>
      </c>
      <c r="EM89" s="4">
        <v>-8.5790221522220342</v>
      </c>
      <c r="EN89" s="4">
        <v>-8.5403447667586185</v>
      </c>
      <c r="EO89" s="4">
        <v>-8.5018958987466178</v>
      </c>
      <c r="EP89" s="4">
        <v>-8.4636739981786366</v>
      </c>
      <c r="EQ89" s="4">
        <v>-8.4256768017857944</v>
      </c>
      <c r="ER89" s="4">
        <v>-8.387901328541993</v>
      </c>
      <c r="ES89" s="4">
        <v>-8.3503438809138899</v>
      </c>
      <c r="ET89" s="4">
        <v>-8.3130000521290839</v>
      </c>
      <c r="EU89" s="4">
        <v>-8.275864739684792</v>
      </c>
      <c r="EV89" s="4">
        <v>-8.2389321652675616</v>
      </c>
      <c r="EW89" s="4">
        <v>-8.2021959012027814</v>
      </c>
      <c r="EX89" s="4">
        <v>-8.1656489034995765</v>
      </c>
      <c r="EY89" s="4">
        <v>-8.129283551505825</v>
      </c>
      <c r="EZ89" s="4">
        <v>-8.0930916941361399</v>
      </c>
      <c r="FA89" s="4">
        <v>-8.0570647025848423</v>
      </c>
      <c r="FB89" s="4">
        <v>-8.0211935293855383</v>
      </c>
      <c r="FC89" s="4">
        <v>-7.9854687736269216</v>
      </c>
      <c r="FD89" s="4">
        <v>-7.9498807520809498</v>
      </c>
      <c r="FE89" s="4">
        <v>-7.9144195759440761</v>
      </c>
      <c r="FF89" s="4">
        <v>-7.8790752328312532</v>
      </c>
      <c r="FG89" s="4">
        <v>-7.8438376735982427</v>
      </c>
      <c r="FH89" s="4">
        <v>-7.8086969034961644</v>
      </c>
      <c r="FI89" s="4">
        <v>-7.7736430770852394</v>
      </c>
      <c r="FJ89" s="4">
        <v>-7.7386665962501029</v>
      </c>
      <c r="FK89" s="4">
        <v>-7.7037582105692337</v>
      </c>
      <c r="FL89" s="4">
        <v>-7.6689091191946286</v>
      </c>
      <c r="FM89" s="4">
        <v>-7.6341110732985209</v>
      </c>
      <c r="FN89" s="4">
        <v>-7.599356478043318</v>
      </c>
      <c r="FO89" s="4">
        <v>-7.5646384929309001</v>
      </c>
      <c r="FP89" s="4">
        <v>-7.5299511292946484</v>
      </c>
      <c r="FQ89" s="4">
        <v>-7.4952893436125647</v>
      </c>
      <c r="FR89" s="4">
        <v>-7.4606491252511526</v>
      </c>
      <c r="FS89" s="4">
        <v>-7.4260275771996618</v>
      </c>
      <c r="FT89" s="4">
        <v>-7.3914229883291931</v>
      </c>
      <c r="FU89" s="4">
        <v>-7.3568348957155019</v>
      </c>
      <c r="FV89" s="4">
        <v>-7.3222641356025147</v>
      </c>
      <c r="FW89" s="4">
        <v>-7.2877128816583099</v>
      </c>
      <c r="FX89" s="4">
        <v>-7.2531846692897997</v>
      </c>
      <c r="FY89" s="4">
        <v>-7.2186844049361536</v>
      </c>
      <c r="FZ89" s="4">
        <v>-7.1842183594543432</v>
      </c>
      <c r="GA89" s="4">
        <v>-7.1497941449396683</v>
      </c>
      <c r="GB89" s="4">
        <v>-7.1154206745861242</v>
      </c>
      <c r="GC89" s="4">
        <v>-7.0811081054792453</v>
      </c>
      <c r="GD89" s="4">
        <v>-7.0468677645220019</v>
      </c>
      <c r="GE89" s="4">
        <v>-7.0127120580106501</v>
      </c>
      <c r="GF89" s="4">
        <v>-6.9786543656979791</v>
      </c>
      <c r="GG89" s="4">
        <v>-6.9447089204904691</v>
      </c>
      <c r="GH89" s="4">
        <v>-6.9108906752188242</v>
      </c>
      <c r="GI89" s="4">
        <v>-6.8772151581862779</v>
      </c>
      <c r="GJ89" s="4">
        <v>-6.8436983194273999</v>
      </c>
      <c r="GK89" s="4">
        <v>-6.8103563697957643</v>
      </c>
      <c r="GL89" s="4">
        <v>-6.777205615134565</v>
      </c>
      <c r="GM89" s="4">
        <v>-6.7442622878658494</v>
      </c>
      <c r="GN89" s="4">
        <v>-6.7115423783596082</v>
      </c>
      <c r="GO89" s="4">
        <v>-6.6790614684120406</v>
      </c>
      <c r="GP89" s="4">
        <v>-6.6468345690753603</v>
      </c>
      <c r="GQ89" s="4">
        <v>-6.6148759649414286</v>
      </c>
      <c r="GR89" s="4">
        <v>-6.583199066797528</v>
      </c>
      <c r="GS89" s="4">
        <v>-6.5518162743461659</v>
      </c>
      <c r="GT89" s="4">
        <v>-6.5207388504279002</v>
      </c>
      <c r="GU89" s="4">
        <v>-6.4899768079107556</v>
      </c>
      <c r="GV89" s="4">
        <v>-6.4595388101262383</v>
      </c>
      <c r="GW89" s="4">
        <v>-6.4294320854496512</v>
      </c>
      <c r="GX89" s="4">
        <v>-6.399662356351417</v>
      </c>
      <c r="GY89" s="4">
        <v>-6.3702337829962614</v>
      </c>
      <c r="GZ89" s="4">
        <v>-6.3411489212451002</v>
      </c>
      <c r="HA89" s="4">
        <v>-6.3124086947267246</v>
      </c>
      <c r="HB89" s="4">
        <v>-6.2840123804948043</v>
      </c>
      <c r="HC89" s="4">
        <v>-6.2559576076733538</v>
      </c>
      <c r="HD89" s="4">
        <v>-6.2282403684165004</v>
      </c>
      <c r="HE89" s="4">
        <v>-6.2008550404664486</v>
      </c>
      <c r="HF89" s="4">
        <v>-6.1737944205781066</v>
      </c>
      <c r="HG89" s="4">
        <v>-6.1470497680878733</v>
      </c>
      <c r="HH89" s="4">
        <v>-6.1206108579278062</v>
      </c>
      <c r="HI89" s="4">
        <v>-6.094466042420466</v>
      </c>
      <c r="HJ89" s="4">
        <v>-6.0686023212258986</v>
      </c>
      <c r="HK89" s="4">
        <v>-6.0430054188471729</v>
      </c>
      <c r="HL89" s="4">
        <v>-6.0176598691271739</v>
      </c>
      <c r="HM89" s="4">
        <v>-5.9925491061870737</v>
      </c>
      <c r="HN89" s="4">
        <v>-5.9676555612602051</v>
      </c>
      <c r="HO89" s="4">
        <v>-5.9429607648672853</v>
      </c>
      <c r="HP89" s="4">
        <v>-5.9184454537563127</v>
      </c>
      <c r="HQ89" s="4">
        <v>-5.894089681997313</v>
      </c>
      <c r="HR89" s="4">
        <v>-5.8698729355794708</v>
      </c>
      <c r="HS89" s="4">
        <v>-5.8457742498081178</v>
      </c>
      <c r="HT89" s="4">
        <v>-5.8217723287457179</v>
      </c>
      <c r="HU89" s="4">
        <v>-5.7978456658873778</v>
      </c>
      <c r="HV89" s="4">
        <v>-5.7739726652094454</v>
      </c>
      <c r="HW89" s="4">
        <v>-5.7501317616854646</v>
      </c>
      <c r="HX89" s="4">
        <v>-5.726301540326995</v>
      </c>
      <c r="HY89" s="4">
        <v>-5.7024608527815541</v>
      </c>
      <c r="HZ89" s="4">
        <v>-5.6785889305090036</v>
      </c>
      <c r="IA89" s="4">
        <v>-5.6546654935614828</v>
      </c>
      <c r="IB89" s="4">
        <v>-5.6306708540113952</v>
      </c>
      <c r="IC89" s="4">
        <v>-5.6065860131098324</v>
      </c>
      <c r="ID89" s="4">
        <v>-5.5823927513108274</v>
      </c>
      <c r="IE89" s="4">
        <v>-5.5580737103676743</v>
      </c>
      <c r="IF89" s="4">
        <v>-5.5336124667934321</v>
      </c>
      <c r="IG89" s="4">
        <v>-5.5089935960780601</v>
      </c>
      <c r="IH89" s="4">
        <v>-5.4842027271678173</v>
      </c>
      <c r="II89" s="4">
        <v>-5.4592265868372074</v>
      </c>
      <c r="IJ89" s="4">
        <v>-5.4340530337161148</v>
      </c>
      <c r="IK89" s="4">
        <v>-5.4086710818746848</v>
      </c>
      <c r="IL89" s="4">
        <v>-5.3830709140120749</v>
      </c>
      <c r="IM89" s="4">
        <v>-5.3572438844382297</v>
      </c>
    </row>
    <row r="90" spans="2:247" x14ac:dyDescent="0.35">
      <c r="B90" s="58">
        <v>0.74</v>
      </c>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v>-9.4631425972779777</v>
      </c>
      <c r="DW90" s="4">
        <v>-9.4210582116270807</v>
      </c>
      <c r="DX90" s="4">
        <v>-9.379142338578152</v>
      </c>
      <c r="DY90" s="4">
        <v>-9.337400974696056</v>
      </c>
      <c r="DZ90" s="4">
        <v>-9.2958399469287407</v>
      </c>
      <c r="EA90" s="4">
        <v>-9.2544648781077701</v>
      </c>
      <c r="EB90" s="4">
        <v>-9.213281151356334</v>
      </c>
      <c r="EC90" s="4">
        <v>-9.1722938736579493</v>
      </c>
      <c r="ED90" s="4">
        <v>-9.1315078388741853</v>
      </c>
      <c r="EE90" s="4">
        <v>-9.0909274905337334</v>
      </c>
      <c r="EF90" s="4">
        <v>-9.0505568847462001</v>
      </c>
      <c r="EG90" s="4">
        <v>-9.0103996536226489</v>
      </c>
      <c r="EH90" s="4">
        <v>-8.9704589696099415</v>
      </c>
      <c r="EI90" s="4">
        <v>-8.9307375111651748</v>
      </c>
      <c r="EJ90" s="4">
        <v>-8.8912374302114436</v>
      </c>
      <c r="EK90" s="4">
        <v>-8.8519603218244978</v>
      </c>
      <c r="EL90" s="4">
        <v>-8.8129071966023886</v>
      </c>
      <c r="EM90" s="4">
        <v>-8.7740784561648084</v>
      </c>
      <c r="EN90" s="4">
        <v>-8.7354738722184635</v>
      </c>
      <c r="EO90" s="4">
        <v>-8.697092569605914</v>
      </c>
      <c r="EP90" s="4">
        <v>-8.658933013731783</v>
      </c>
      <c r="EQ90" s="4">
        <v>-8.620993002729648</v>
      </c>
      <c r="ER90" s="4">
        <v>-8.5832696646981059</v>
      </c>
      <c r="ES90" s="4">
        <v>-8.5457594602949705</v>
      </c>
      <c r="ET90" s="4">
        <v>-8.5084581909352579</v>
      </c>
      <c r="EU90" s="4">
        <v>-8.4713610127934089</v>
      </c>
      <c r="EV90" s="4">
        <v>-8.4344624567626862</v>
      </c>
      <c r="EW90" s="4">
        <v>-8.3977564544758216</v>
      </c>
      <c r="EX90" s="4">
        <v>-8.3612363704423132</v>
      </c>
      <c r="EY90" s="4">
        <v>-8.324895040308137</v>
      </c>
      <c r="EZ90" s="4">
        <v>-8.2887248151941257</v>
      </c>
      <c r="FA90" s="4">
        <v>-8.2527176120200227</v>
      </c>
      <c r="FB90" s="4">
        <v>-8.21686496967056</v>
      </c>
      <c r="FC90" s="4">
        <v>-8.1811581108088252</v>
      </c>
      <c r="FD90" s="4">
        <v>-8.1455880090895771</v>
      </c>
      <c r="FE90" s="4">
        <v>-8.1101454614687363</v>
      </c>
      <c r="FF90" s="4">
        <v>-8.0748211652476982</v>
      </c>
      <c r="FG90" s="4">
        <v>-8.0396057994269938</v>
      </c>
      <c r="FH90" s="4">
        <v>-8.0044901098774837</v>
      </c>
      <c r="FI90" s="4">
        <v>-7.969464997764276</v>
      </c>
      <c r="FJ90" s="4">
        <v>-7.9345216105817959</v>
      </c>
      <c r="FK90" s="4">
        <v>-7.899651435077188</v>
      </c>
      <c r="FL90" s="4">
        <v>-7.8648463912543232</v>
      </c>
      <c r="FM90" s="4">
        <v>-7.8300989265648138</v>
      </c>
      <c r="FN90" s="4">
        <v>-7.7954021093061812</v>
      </c>
      <c r="FO90" s="4">
        <v>-7.7607497201651512</v>
      </c>
      <c r="FP90" s="4">
        <v>-7.7261363407675114</v>
      </c>
      <c r="FQ90" s="4">
        <v>-7.6915574380298759</v>
      </c>
      <c r="FR90" s="4">
        <v>-7.6570094430569684</v>
      </c>
      <c r="FS90" s="4">
        <v>-7.6224898232936322</v>
      </c>
      <c r="FT90" s="4">
        <v>-7.5879971466298723</v>
      </c>
      <c r="FU90" s="4">
        <v>-7.5535311361710944</v>
      </c>
      <c r="FV90" s="4">
        <v>-7.5190927144298403</v>
      </c>
      <c r="FW90" s="4">
        <v>-7.4846840357709219</v>
      </c>
      <c r="FX90" s="4">
        <v>-7.4503085060503071</v>
      </c>
      <c r="FY90" s="4">
        <v>-7.4159707885313537</v>
      </c>
      <c r="FZ90" s="4">
        <v>-7.3816767953363076</v>
      </c>
      <c r="GA90" s="4">
        <v>-7.3474336638969726</v>
      </c>
      <c r="GB90" s="4">
        <v>-7.3132497180999607</v>
      </c>
      <c r="GC90" s="4">
        <v>-7.2791344140751653</v>
      </c>
      <c r="GD90" s="4">
        <v>-7.2450982708445704</v>
      </c>
      <c r="GE90" s="4">
        <v>-7.2111527863245346</v>
      </c>
      <c r="GF90" s="4">
        <v>-7.1773103394514566</v>
      </c>
      <c r="GG90" s="4">
        <v>-7.1435840794690293</v>
      </c>
      <c r="GH90" s="4">
        <v>-7.1099878036674102</v>
      </c>
      <c r="GI90" s="4">
        <v>-7.07653582509381</v>
      </c>
      <c r="GJ90" s="4">
        <v>-7.0432428319502334</v>
      </c>
      <c r="GK90" s="4">
        <v>-7.0101237405550236</v>
      </c>
      <c r="GL90" s="4">
        <v>-6.9771935438616204</v>
      </c>
      <c r="GM90" s="4">
        <v>-6.9444671576000392</v>
      </c>
      <c r="GN90" s="4">
        <v>-6.9119592661292781</v>
      </c>
      <c r="GO90" s="4">
        <v>-6.8796841700641167</v>
      </c>
      <c r="GP90" s="4">
        <v>-6.8476556376670157</v>
      </c>
      <c r="GQ90" s="4">
        <v>-6.8158867618794394</v>
      </c>
      <c r="GR90" s="4">
        <v>-6.7843898247104004</v>
      </c>
      <c r="GS90" s="4">
        <v>-6.7531761705115336</v>
      </c>
      <c r="GT90" s="4">
        <v>-6.7222560894515793</v>
      </c>
      <c r="GU90" s="4">
        <v>-6.691638712271252</v>
      </c>
      <c r="GV90" s="4">
        <v>-6.6613319171574092</v>
      </c>
      <c r="GW90" s="4">
        <v>-6.6313422493332421</v>
      </c>
      <c r="GX90" s="4">
        <v>-6.601674853728186</v>
      </c>
      <c r="GY90" s="4">
        <v>-6.5723334208730986</v>
      </c>
      <c r="GZ90" s="4">
        <v>-6.5433201459707</v>
      </c>
      <c r="HA90" s="4">
        <v>-6.5146357009218372</v>
      </c>
      <c r="HB90" s="4">
        <v>-6.4862792189488676</v>
      </c>
      <c r="HC90" s="4">
        <v>-6.4582482913482462</v>
      </c>
      <c r="HD90" s="4">
        <v>-6.4305389758250522</v>
      </c>
      <c r="HE90" s="4">
        <v>-6.4031458158112091</v>
      </c>
      <c r="HF90" s="4">
        <v>-6.3760618701409646</v>
      </c>
      <c r="HG90" s="4">
        <v>-6.3492787524496066</v>
      </c>
      <c r="HH90" s="4">
        <v>-6.3227866796675229</v>
      </c>
      <c r="HI90" s="4">
        <v>-6.2965745289972634</v>
      </c>
      <c r="HJ90" s="4">
        <v>-6.2706299027810228</v>
      </c>
      <c r="HK90" s="4">
        <v>-6.2449392006851756</v>
      </c>
      <c r="HL90" s="4">
        <v>-6.2194876986438024</v>
      </c>
      <c r="HM90" s="4">
        <v>-6.194259634011642</v>
      </c>
      <c r="HN90" s="4">
        <v>-6.1692382963760002</v>
      </c>
      <c r="HO90" s="4">
        <v>-6.1444061234677179</v>
      </c>
      <c r="HP90" s="4">
        <v>-6.1197448015910778</v>
      </c>
      <c r="HQ90" s="4">
        <v>-6.0952353699646951</v>
      </c>
      <c r="HR90" s="4">
        <v>-6.0708583283297264</v>
      </c>
      <c r="HS90" s="4">
        <v>-6.0465937471415492</v>
      </c>
      <c r="HT90" s="4">
        <v>-6.0224213796177803</v>
      </c>
      <c r="HU90" s="4">
        <v>-5.9983207748728473</v>
      </c>
      <c r="HV90" s="4">
        <v>-5.9742713913283714</v>
      </c>
      <c r="HW90" s="4">
        <v>-5.9502527095544924</v>
      </c>
      <c r="HX90" s="4">
        <v>-5.9262443436691212</v>
      </c>
      <c r="HY90" s="4">
        <v>-5.9022261504051627</v>
      </c>
      <c r="HZ90" s="4">
        <v>-5.8781783349502659</v>
      </c>
      <c r="IA90" s="4">
        <v>-5.854081552670297</v>
      </c>
      <c r="IB90" s="4">
        <v>-5.8299170058503194</v>
      </c>
      <c r="IC90" s="4">
        <v>-5.8056665346216763</v>
      </c>
      <c r="ID90" s="4">
        <v>-5.7813127012956222</v>
      </c>
      <c r="IE90" s="4">
        <v>-5.7568388673882653</v>
      </c>
      <c r="IF90" s="4">
        <v>-5.7322292627007698</v>
      </c>
      <c r="IG90" s="4">
        <v>-5.7074690459095114</v>
      </c>
      <c r="IH90" s="4">
        <v>-5.6825443562236382</v>
      </c>
      <c r="II90" s="4">
        <v>-5.6574423557788087</v>
      </c>
      <c r="IJ90" s="4">
        <v>-5.6321512625559214</v>
      </c>
      <c r="IK90" s="4">
        <v>-5.6066603737374638</v>
      </c>
      <c r="IL90" s="4">
        <v>-5.5809600795424554</v>
      </c>
      <c r="IM90" s="4">
        <v>-5.5550418677083107</v>
      </c>
    </row>
    <row r="91" spans="2:247" x14ac:dyDescent="0.35">
      <c r="B91" s="58">
        <v>0.75</v>
      </c>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v>-9.6564613918206401</v>
      </c>
      <c r="DW91" s="4">
        <v>-9.6145071933644353</v>
      </c>
      <c r="DX91" s="4">
        <v>-9.572720218528346</v>
      </c>
      <c r="DY91" s="4">
        <v>-9.5311061653182811</v>
      </c>
      <c r="DZ91" s="4">
        <v>-9.4896705591693191</v>
      </c>
      <c r="EA91" s="4">
        <v>-9.448418720618097</v>
      </c>
      <c r="EB91" s="4">
        <v>-9.4073557320787913</v>
      </c>
      <c r="EC91" s="4">
        <v>-9.3664864039634903</v>
      </c>
      <c r="ED91" s="4">
        <v>-9.3258152404186383</v>
      </c>
      <c r="EE91" s="4">
        <v>-9.2853464049779717</v>
      </c>
      <c r="EF91" s="4">
        <v>-9.2450836864601218</v>
      </c>
      <c r="EG91" s="4">
        <v>-9.2050304654633699</v>
      </c>
      <c r="EH91" s="4">
        <v>-9.1651896818311194</v>
      </c>
      <c r="EI91" s="4">
        <v>-9.12556380347805</v>
      </c>
      <c r="EJ91" s="4">
        <v>-9.0861547969791161</v>
      </c>
      <c r="EK91" s="4">
        <v>-9.0469641003300829</v>
      </c>
      <c r="EL91" s="4">
        <v>-9.0079925982894018</v>
      </c>
      <c r="EM91" s="4">
        <v>-8.9692406007057741</v>
      </c>
      <c r="EN91" s="4">
        <v>-8.930707824225955</v>
      </c>
      <c r="EO91" s="4">
        <v>-8.8923933777598592</v>
      </c>
      <c r="EP91" s="4">
        <v>-8.8542957520579275</v>
      </c>
      <c r="EQ91" s="4">
        <v>-8.8164128137291087</v>
      </c>
      <c r="ER91" s="4">
        <v>-8.7787418039951</v>
      </c>
      <c r="ES91" s="4">
        <v>-8.7412793424407731</v>
      </c>
      <c r="ET91" s="4">
        <v>-8.704021435982094</v>
      </c>
      <c r="EU91" s="4">
        <v>-8.6669634932301882</v>
      </c>
      <c r="EV91" s="4">
        <v>-8.6301003443868538</v>
      </c>
      <c r="EW91" s="4">
        <v>-8.5934262667618739</v>
      </c>
      <c r="EX91" s="4">
        <v>-8.5569350159552648</v>
      </c>
      <c r="EY91" s="4">
        <v>-8.5206198627020271</v>
      </c>
      <c r="EZ91" s="4">
        <v>-8.4844736353285377</v>
      </c>
      <c r="FA91" s="4">
        <v>-8.4484887677217237</v>
      </c>
      <c r="FB91" s="4">
        <v>-8.4126573526638886</v>
      </c>
      <c r="FC91" s="4">
        <v>-8.3769712003348165</v>
      </c>
      <c r="FD91" s="4">
        <v>-8.3414219017321791</v>
      </c>
      <c r="FE91" s="4">
        <v>-8.3060008967060117</v>
      </c>
      <c r="FF91" s="4">
        <v>-8.2706995462472435</v>
      </c>
      <c r="FG91" s="4">
        <v>-8.23550920860961</v>
      </c>
      <c r="FH91" s="4">
        <v>-8.2004213187814017</v>
      </c>
      <c r="FI91" s="4">
        <v>-8.1654274707562031</v>
      </c>
      <c r="FJ91" s="4">
        <v>-8.1305195019819898</v>
      </c>
      <c r="FK91" s="4">
        <v>-8.0956895792949233</v>
      </c>
      <c r="FL91" s="4">
        <v>-8.0609302855698495</v>
      </c>
      <c r="FM91" s="4">
        <v>-8.0262347062452175</v>
      </c>
      <c r="FN91" s="4">
        <v>-7.9915965148072132</v>
      </c>
      <c r="FO91" s="4">
        <v>-7.9570100562494988</v>
      </c>
      <c r="FP91" s="4">
        <v>-7.9224704274636668</v>
      </c>
      <c r="FQ91" s="4">
        <v>-7.887973553463862</v>
      </c>
      <c r="FR91" s="4">
        <v>-7.8535162583111076</v>
      </c>
      <c r="FS91" s="4">
        <v>-7.8190963295817282</v>
      </c>
      <c r="FT91" s="4">
        <v>-7.7847125752228834</v>
      </c>
      <c r="FU91" s="4">
        <v>-7.750364871659853</v>
      </c>
      <c r="FV91" s="4">
        <v>-7.7160542020675242</v>
      </c>
      <c r="FW91" s="4">
        <v>-7.6817826837924068</v>
      </c>
      <c r="FX91" s="4">
        <v>-7.6475535840151254</v>
      </c>
      <c r="FY91" s="4">
        <v>-7.6133713228745394</v>
      </c>
      <c r="FZ91" s="4">
        <v>-7.5792414634328429</v>
      </c>
      <c r="GA91" s="4">
        <v>-7.5451706880456344</v>
      </c>
      <c r="GB91" s="4">
        <v>-7.5111667609057386</v>
      </c>
      <c r="GC91" s="4">
        <v>-7.4772384767524631</v>
      </c>
      <c r="GD91" s="4">
        <v>-7.443395595973505</v>
      </c>
      <c r="GE91" s="4">
        <v>-7.4096487665665949</v>
      </c>
      <c r="GF91" s="4">
        <v>-7.37600943366904</v>
      </c>
      <c r="GG91" s="4">
        <v>-7.3424897375954608</v>
      </c>
      <c r="GH91" s="4">
        <v>-7.3091024015426296</v>
      </c>
      <c r="GI91" s="4">
        <v>-7.2758606103177934</v>
      </c>
      <c r="GJ91" s="4">
        <v>-7.2427778816173358</v>
      </c>
      <c r="GK91" s="4">
        <v>-7.2098679315211536</v>
      </c>
      <c r="GL91" s="4">
        <v>-7.1771445359701342</v>
      </c>
      <c r="GM91" s="4">
        <v>-7.1446213900569271</v>
      </c>
      <c r="GN91" s="4">
        <v>-7.1123119669815704</v>
      </c>
      <c r="GO91" s="4">
        <v>-7.0802293785041446</v>
      </c>
      <c r="GP91" s="4">
        <v>-7.0483862386661746</v>
      </c>
      <c r="GQ91" s="4">
        <v>-7.0167945324547807</v>
      </c>
      <c r="GR91" s="4">
        <v>-6.9854654909530156</v>
      </c>
      <c r="GS91" s="4">
        <v>-6.954409474358302</v>
      </c>
      <c r="GT91" s="4">
        <v>-6.923635864069964</v>
      </c>
      <c r="GU91" s="4">
        <v>-6.893152964847781</v>
      </c>
      <c r="GV91" s="4">
        <v>-6.8629679178371257</v>
      </c>
      <c r="GW91" s="4">
        <v>-6.8330866250487103</v>
      </c>
      <c r="GX91" s="4">
        <v>-6.8035136856786842</v>
      </c>
      <c r="GY91" s="4">
        <v>-6.7742523444644016</v>
      </c>
      <c r="GZ91" s="4">
        <v>-6.7453044520983987</v>
      </c>
      <c r="HA91" s="4">
        <v>-6.7166704375704631</v>
      </c>
      <c r="HB91" s="4">
        <v>-6.6883492921793879</v>
      </c>
      <c r="HC91" s="4">
        <v>-6.6603385648516156</v>
      </c>
      <c r="HD91" s="4">
        <v>-6.6326343683246263</v>
      </c>
      <c r="HE91" s="4">
        <v>-6.6052313956959061</v>
      </c>
      <c r="HF91" s="4">
        <v>-6.578122946801745</v>
      </c>
      <c r="HG91" s="4">
        <v>-6.551300963869684</v>
      </c>
      <c r="HH91" s="4">
        <v>-6.5247560758821148</v>
      </c>
      <c r="HI91" s="4">
        <v>-6.4984776510892157</v>
      </c>
      <c r="HJ91" s="4">
        <v>-6.47245385711655</v>
      </c>
      <c r="HK91" s="4">
        <v>-6.4466717281197869</v>
      </c>
      <c r="HL91" s="4">
        <v>-6.4211172384445572</v>
      </c>
      <c r="HM91" s="4">
        <v>-6.3957753822511538</v>
      </c>
      <c r="HN91" s="4">
        <v>-6.3706302585588812</v>
      </c>
      <c r="HO91" s="4">
        <v>-6.3456651611534021</v>
      </c>
      <c r="HP91" s="4">
        <v>-6.3208626727825958</v>
      </c>
      <c r="HQ91" s="4">
        <v>-6.2962047630415032</v>
      </c>
      <c r="HR91" s="4">
        <v>-6.2716728893178448</v>
      </c>
      <c r="HS91" s="4">
        <v>-6.2472481001358444</v>
      </c>
      <c r="HT91" s="4">
        <v>-6.222911140201985</v>
      </c>
      <c r="HU91" s="4">
        <v>-6.1986425564218308</v>
      </c>
      <c r="HV91" s="4">
        <v>-6.1744228041250899</v>
      </c>
      <c r="HW91" s="4">
        <v>-6.1502323527103631</v>
      </c>
      <c r="HX91" s="4">
        <v>-6.1260517899000533</v>
      </c>
      <c r="HY91" s="4">
        <v>-6.1018619237853962</v>
      </c>
      <c r="HZ91" s="4">
        <v>-6.0776438818401992</v>
      </c>
      <c r="IA91" s="4">
        <v>-6.0533792060922256</v>
      </c>
      <c r="IB91" s="4">
        <v>-6.0290499436633924</v>
      </c>
      <c r="IC91" s="4">
        <v>-6.0046387319256516</v>
      </c>
      <c r="ID91" s="4">
        <v>-5.9801288775663082</v>
      </c>
      <c r="IE91" s="4">
        <v>-5.955504428917866</v>
      </c>
      <c r="IF91" s="4">
        <v>-5.9307502409781971</v>
      </c>
      <c r="IG91" s="4">
        <v>-5.9058520326314703</v>
      </c>
      <c r="IH91" s="4">
        <v>-5.8807964356709839</v>
      </c>
      <c r="II91" s="4">
        <v>-5.8555710353271584</v>
      </c>
      <c r="IJ91" s="4">
        <v>-5.8301644021102188</v>
      </c>
      <c r="IK91" s="4">
        <v>-5.8045661148886083</v>
      </c>
      <c r="IL91" s="4">
        <v>-5.7787667752386334</v>
      </c>
      <c r="IM91" s="4">
        <v>-5.7527580132133966</v>
      </c>
    </row>
    <row r="92" spans="2:247" x14ac:dyDescent="0.35">
      <c r="B92" s="58">
        <v>0.76</v>
      </c>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v>-9.8499232415687459</v>
      </c>
      <c r="DW92" s="4">
        <v>-9.808096451430572</v>
      </c>
      <c r="DX92" s="4">
        <v>-9.7664355493374195</v>
      </c>
      <c r="DY92" s="4">
        <v>-9.7249459515099996</v>
      </c>
      <c r="DZ92" s="4">
        <v>-9.6836328997742989</v>
      </c>
      <c r="EA92" s="4">
        <v>-9.6425014312959068</v>
      </c>
      <c r="EB92" s="4">
        <v>-9.60155634759127</v>
      </c>
      <c r="EC92" s="4">
        <v>-9.5608021830432861</v>
      </c>
      <c r="ED92" s="4">
        <v>-9.5202431731763539</v>
      </c>
      <c r="EE92" s="4">
        <v>-9.479883222971857</v>
      </c>
      <c r="EF92" s="4">
        <v>-9.439725875527909</v>
      </c>
      <c r="EG92" s="4">
        <v>-9.3997742813887655</v>
      </c>
      <c r="EH92" s="4">
        <v>-9.3600311688870974</v>
      </c>
      <c r="EI92" s="4">
        <v>-9.3204988158556308</v>
      </c>
      <c r="EJ92" s="4">
        <v>-9.2811790230755058</v>
      </c>
      <c r="EK92" s="4">
        <v>-9.2420730898324805</v>
      </c>
      <c r="EL92" s="4">
        <v>-9.2031817919529857</v>
      </c>
      <c r="EM92" s="4">
        <v>-9.1645053626866186</v>
      </c>
      <c r="EN92" s="4">
        <v>-9.1260434767912386</v>
      </c>
      <c r="EO92" s="4">
        <v>-9.0877952381615437</v>
      </c>
      <c r="EP92" s="4">
        <v>-9.0497591713210479</v>
      </c>
      <c r="EQ92" s="4">
        <v>-9.0119332170733788</v>
      </c>
      <c r="ER92" s="4">
        <v>-8.9743147325784811</v>
      </c>
      <c r="ES92" s="4">
        <v>-8.9369004960874427</v>
      </c>
      <c r="ET92" s="4">
        <v>-8.899686716532802</v>
      </c>
      <c r="EU92" s="4">
        <v>-8.8626690481338031</v>
      </c>
      <c r="EV92" s="4">
        <v>-8.8258426101340888</v>
      </c>
      <c r="EW92" s="4">
        <v>-8.7892020117481469</v>
      </c>
      <c r="EX92" s="4">
        <v>-8.7527413823489653</v>
      </c>
      <c r="EY92" s="4">
        <v>-8.7164544068846759</v>
      </c>
      <c r="EZ92" s="4">
        <v>-8.6803343664669548</v>
      </c>
      <c r="FA92" s="4">
        <v>-8.6443741840274591</v>
      </c>
      <c r="FB92" s="4">
        <v>-8.6085664748914024</v>
      </c>
      <c r="FC92" s="4">
        <v>-8.5729036020685498</v>
      </c>
      <c r="FD92" s="4">
        <v>-8.5373777360125267</v>
      </c>
      <c r="FE92" s="4">
        <v>-8.5019809185465913</v>
      </c>
      <c r="FF92" s="4">
        <v>-8.4667051305998235</v>
      </c>
      <c r="FG92" s="4">
        <v>-8.4315423633423094</v>
      </c>
      <c r="FH92" s="4">
        <v>-8.3964846922469647</v>
      </c>
      <c r="FI92" s="4">
        <v>-8.3615243535457875</v>
      </c>
      <c r="FJ92" s="4">
        <v>-8.3266538224839355</v>
      </c>
      <c r="FK92" s="4">
        <v>-8.2918658927103479</v>
      </c>
      <c r="FL92" s="4">
        <v>-8.2571537560788553</v>
      </c>
      <c r="FM92" s="4">
        <v>-8.2225110820692144</v>
      </c>
      <c r="FN92" s="4">
        <v>-8.1879320959762261</v>
      </c>
      <c r="FO92" s="4">
        <v>-8.1534116549592781</v>
      </c>
      <c r="FP92" s="4">
        <v>-8.1189453209942517</v>
      </c>
      <c r="FQ92" s="4">
        <v>-8.084529429732136</v>
      </c>
      <c r="FR92" s="4">
        <v>-8.0501611542401434</v>
      </c>
      <c r="FS92" s="4">
        <v>-8.0158385625910675</v>
      </c>
      <c r="FT92" s="4">
        <v>-7.9815606682725964</v>
      </c>
      <c r="FU92" s="4">
        <v>-7.947327472415247</v>
      </c>
      <c r="FV92" s="4">
        <v>-7.9131399968865024</v>
      </c>
      <c r="FW92" s="4">
        <v>-7.8790003073715029</v>
      </c>
      <c r="FX92" s="4">
        <v>-7.8449115256577926</v>
      </c>
      <c r="FY92" s="4">
        <v>-7.8108778304613233</v>
      </c>
      <c r="FZ92" s="4">
        <v>-7.7769044462758909</v>
      </c>
      <c r="GA92" s="4">
        <v>-7.7429976198917476</v>
      </c>
      <c r="GB92" s="4">
        <v>-7.709164584411818</v>
      </c>
      <c r="GC92" s="4">
        <v>-7.6754135107908104</v>
      </c>
      <c r="GD92" s="4">
        <v>-7.641753447127706</v>
      </c>
      <c r="GE92" s="4">
        <v>-7.608194246153376</v>
      </c>
      <c r="GF92" s="4">
        <v>-7.5747464815636132</v>
      </c>
      <c r="GG92" s="4">
        <v>-7.5414213540502164</v>
      </c>
      <c r="GH92" s="4">
        <v>-7.5082305880725464</v>
      </c>
      <c r="GI92" s="4">
        <v>-7.4751863205821643</v>
      </c>
      <c r="GJ92" s="4">
        <v>-7.442300983062343</v>
      </c>
      <c r="GK92" s="4">
        <v>-7.4095871783632861</v>
      </c>
      <c r="GL92" s="4">
        <v>-7.3770575539033878</v>
      </c>
      <c r="GM92" s="4">
        <v>-7.3447246728619593</v>
      </c>
      <c r="GN92" s="4">
        <v>-7.3126008850090747</v>
      </c>
      <c r="GO92" s="4">
        <v>-7.2806981988028516</v>
      </c>
      <c r="GP92" s="4">
        <v>-7.2490281563345116</v>
      </c>
      <c r="GQ92" s="4">
        <v>-7.2176017126204757</v>
      </c>
      <c r="GR92" s="4">
        <v>-7.186429120628949</v>
      </c>
      <c r="GS92" s="4">
        <v>-7.1555198232939254</v>
      </c>
      <c r="GT92" s="4">
        <v>-7.1248823536139536</v>
      </c>
      <c r="GU92" s="4">
        <v>-7.0945242437639511</v>
      </c>
      <c r="GV92" s="4">
        <v>-7.0644519439720037</v>
      </c>
      <c r="GW92" s="4">
        <v>-7.0346707517330289</v>
      </c>
      <c r="GX92" s="4">
        <v>-7.0051847517566372</v>
      </c>
      <c r="GY92" s="4">
        <v>-6.9759967668794109</v>
      </c>
      <c r="GZ92" s="4">
        <v>-6.9471083200181099</v>
      </c>
      <c r="HA92" s="4">
        <v>-6.918519607103927</v>
      </c>
      <c r="HB92" s="4">
        <v>-6.8902294808189781</v>
      </c>
      <c r="HC92" s="4">
        <v>-6.8622354448576646</v>
      </c>
      <c r="HD92" s="4">
        <v>-6.8345336583578762</v>
      </c>
      <c r="HE92" s="4">
        <v>-6.8071189500862186</v>
      </c>
      <c r="HF92" s="4">
        <v>-6.7799848419189361</v>
      </c>
      <c r="HG92" s="4">
        <v>-6.753123581131935</v>
      </c>
      <c r="HH92" s="4">
        <v>-6.7265261809960339</v>
      </c>
      <c r="HI92" s="4">
        <v>-6.7001824691642993</v>
      </c>
      <c r="HJ92" s="4">
        <v>-6.6740811433352789</v>
      </c>
      <c r="HK92" s="4">
        <v>-6.6482098336730919</v>
      </c>
      <c r="HL92" s="4">
        <v>-6.6225551714644464</v>
      </c>
      <c r="HM92" s="4">
        <v>-6.5971028634873967</v>
      </c>
      <c r="HN92" s="4">
        <v>-6.5718377715588447</v>
      </c>
      <c r="HO92" s="4">
        <v>-6.5467439967152483</v>
      </c>
      <c r="HP92" s="4">
        <v>-6.5218049674634768</v>
      </c>
      <c r="HQ92" s="4">
        <v>-6.4970035315172643</v>
      </c>
      <c r="HR92" s="4">
        <v>-6.4723220504094696</v>
      </c>
      <c r="HS92" s="4">
        <v>-6.4477424963431416</v>
      </c>
      <c r="HT92" s="4">
        <v>-6.4232465506160032</v>
      </c>
      <c r="HU92" s="4">
        <v>-6.398815702926135</v>
      </c>
      <c r="HV92" s="4">
        <v>-6.3744313508419213</v>
      </c>
      <c r="HW92" s="4">
        <v>-6.3500748986989599</v>
      </c>
      <c r="HX92" s="4">
        <v>-6.3257278551738434</v>
      </c>
      <c r="HY92" s="4">
        <v>-6.3013719287766694</v>
      </c>
      <c r="HZ92" s="4">
        <v>-6.2769891205087784</v>
      </c>
      <c r="IA92" s="4">
        <v>-6.2525618129423881</v>
      </c>
      <c r="IB92" s="4">
        <v>-6.2280728550040516</v>
      </c>
      <c r="IC92" s="4">
        <v>-6.2035056417760517</v>
      </c>
      <c r="ID92" s="4">
        <v>-6.1788441886762664</v>
      </c>
      <c r="IE92" s="4">
        <v>-6.1540731994314219</v>
      </c>
      <c r="IF92" s="4">
        <v>-6.129178127326492</v>
      </c>
      <c r="IG92" s="4">
        <v>-6.1041452292864848</v>
      </c>
      <c r="IH92" s="4">
        <v>-6.0789616124321908</v>
      </c>
      <c r="II92" s="4">
        <v>-6.0536152728412258</v>
      </c>
      <c r="IJ92" s="4">
        <v>-6.0280951263423006</v>
      </c>
      <c r="IK92" s="4">
        <v>-6.0023910312698376</v>
      </c>
      <c r="IL92" s="4">
        <v>-5.9764938032088351</v>
      </c>
      <c r="IM92" s="4">
        <v>-5.9503952218592007</v>
      </c>
    </row>
    <row r="93" spans="2:247" x14ac:dyDescent="0.35">
      <c r="B93" s="58">
        <v>0.77</v>
      </c>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v>-10.043523093932221</v>
      </c>
      <c r="DW93" s="4">
        <v>-10.0018210187921</v>
      </c>
      <c r="DX93" s="4">
        <v>-9.9602834589255842</v>
      </c>
      <c r="DY93" s="4">
        <v>-9.9189155647843492</v>
      </c>
      <c r="DZ93" s="4">
        <v>-9.8777223115890536</v>
      </c>
      <c r="EA93" s="4">
        <v>-9.8367084710186727</v>
      </c>
      <c r="EB93" s="4">
        <v>-9.7958785823278198</v>
      </c>
      <c r="EC93" s="4">
        <v>-9.7552369231076348</v>
      </c>
      <c r="ED93" s="4">
        <v>-9.7147874799300595</v>
      </c>
      <c r="EE93" s="4">
        <v>-9.674533919136227</v>
      </c>
      <c r="EF93" s="4">
        <v>-9.6344795580519857</v>
      </c>
      <c r="EG93" s="4">
        <v>-9.5946273369299711</v>
      </c>
      <c r="EH93" s="4">
        <v>-9.5549797919335955</v>
      </c>
      <c r="EI93" s="4">
        <v>-9.5155390294899149</v>
      </c>
      <c r="EJ93" s="4">
        <v>-9.4763067023454148</v>
      </c>
      <c r="EK93" s="4">
        <v>-9.4372839876637045</v>
      </c>
      <c r="EL93" s="4">
        <v>-9.3984715675018382</v>
      </c>
      <c r="EM93" s="4">
        <v>-9.3598696119978761</v>
      </c>
      <c r="EN93" s="4">
        <v>-9.3214777655914034</v>
      </c>
      <c r="EO93" s="4">
        <v>-9.2832951365850036</v>
      </c>
      <c r="EP93" s="4">
        <v>-9.245320290334849</v>
      </c>
      <c r="EQ93" s="4">
        <v>-9.2075512463363598</v>
      </c>
      <c r="ER93" s="4">
        <v>-9.1699854794434827</v>
      </c>
      <c r="ES93" s="4">
        <v>-9.1326199254302587</v>
      </c>
      <c r="ET93" s="4">
        <v>-9.0954509910698818</v>
      </c>
      <c r="EU93" s="4">
        <v>-9.0584745688711799</v>
      </c>
      <c r="EV93" s="4">
        <v>-9.0216860565740813</v>
      </c>
      <c r="EW93" s="4">
        <v>-8.9850803814669398</v>
      </c>
      <c r="EX93" s="4">
        <v>-8.9486520295466523</v>
      </c>
      <c r="EY93" s="4">
        <v>-8.912395079501632</v>
      </c>
      <c r="EZ93" s="4">
        <v>-8.8763032414533036</v>
      </c>
      <c r="FA93" s="4">
        <v>-8.8403699003483567</v>
      </c>
      <c r="FB93" s="4">
        <v>-8.8045881638485106</v>
      </c>
      <c r="FC93" s="4">
        <v>-8.7689509145178501</v>
      </c>
      <c r="FD93" s="4">
        <v>-8.7334508660599646</v>
      </c>
      <c r="FE93" s="4">
        <v>-8.6980806233077299</v>
      </c>
      <c r="FF93" s="4">
        <v>-8.6628327456170879</v>
      </c>
      <c r="FG93" s="4">
        <v>-8.6276998132636322</v>
      </c>
      <c r="FH93" s="4">
        <v>-8.5926744963857757</v>
      </c>
      <c r="FI93" s="4">
        <v>-8.5577496259621562</v>
      </c>
      <c r="FJ93" s="4">
        <v>-8.5229182662541092</v>
      </c>
      <c r="FK93" s="4">
        <v>-8.4881737880857848</v>
      </c>
      <c r="FL93" s="4">
        <v>-8.4535099422787212</v>
      </c>
      <c r="FM93" s="4">
        <v>-8.4189209325015355</v>
      </c>
      <c r="FN93" s="4">
        <v>-8.38440148674478</v>
      </c>
      <c r="FO93" s="4">
        <v>-8.3499469265845185</v>
      </c>
      <c r="FP93" s="4">
        <v>-8.3155532333591609</v>
      </c>
      <c r="FQ93" s="4">
        <v>-8.2812171103546461</v>
      </c>
      <c r="FR93" s="4">
        <v>-8.2469360400757257</v>
      </c>
      <c r="FS93" s="4">
        <v>-8.2127083356767834</v>
      </c>
      <c r="FT93" s="4">
        <v>-8.1785331856383721</v>
      </c>
      <c r="FU93" s="4">
        <v>-8.1444106908056995</v>
      </c>
      <c r="FV93" s="4">
        <v>-8.1103418929549314</v>
      </c>
      <c r="FW93" s="4">
        <v>-8.0763287941228494</v>
      </c>
      <c r="FX93" s="4">
        <v>-8.042374366026138</v>
      </c>
      <c r="FY93" s="4">
        <v>-8.0084825490071871</v>
      </c>
      <c r="FZ93" s="4">
        <v>-7.974658240073544</v>
      </c>
      <c r="GA93" s="4">
        <v>-7.9409072697450451</v>
      </c>
      <c r="GB93" s="4">
        <v>-7.9072363675852522</v>
      </c>
      <c r="GC93" s="4">
        <v>-7.8736531164672572</v>
      </c>
      <c r="GD93" s="4">
        <v>-7.8401658958044438</v>
      </c>
      <c r="GE93" s="4">
        <v>-7.8067838141616868</v>
      </c>
      <c r="GF93" s="4">
        <v>-7.7735166318445597</v>
      </c>
      <c r="GG93" s="4">
        <v>-7.7403746742400523</v>
      </c>
      <c r="GH93" s="4">
        <v>-7.7073687368476049</v>
      </c>
      <c r="GI93" s="4">
        <v>-7.6745099830872192</v>
      </c>
      <c r="GJ93" s="4">
        <v>-7.6418098361004638</v>
      </c>
      <c r="GK93" s="4">
        <v>-7.6092798658645124</v>
      </c>
      <c r="GL93" s="4">
        <v>-7.5769316730174401</v>
      </c>
      <c r="GM93" s="4">
        <v>-7.5447767708414064</v>
      </c>
      <c r="GN93" s="4">
        <v>-7.5128264668695444</v>
      </c>
      <c r="GO93" s="4">
        <v>-7.4810917455704109</v>
      </c>
      <c r="GP93" s="4">
        <v>-7.4495831535233989</v>
      </c>
      <c r="GQ93" s="4">
        <v>-7.4183106884292362</v>
      </c>
      <c r="GR93" s="4">
        <v>-7.387283693206494</v>
      </c>
      <c r="GS93" s="4">
        <v>-7.3565107563103416</v>
      </c>
      <c r="GT93" s="4">
        <v>-7.3259996192771419</v>
      </c>
      <c r="GU93" s="4">
        <v>-7.2957570923544228</v>
      </c>
      <c r="GV93" s="4">
        <v>-7.2657889789235268</v>
      </c>
      <c r="GW93" s="4">
        <v>-7.2361000092671448</v>
      </c>
      <c r="GX93" s="4">
        <v>-7.2066937840816312</v>
      </c>
      <c r="GY93" s="4">
        <v>-7.1775727279872124</v>
      </c>
      <c r="GZ93" s="4">
        <v>-7.1487380531532771</v>
      </c>
      <c r="HA93" s="4">
        <v>-7.1201897330319506</v>
      </c>
      <c r="HB93" s="4">
        <v>-7.0919264860849296</v>
      </c>
      <c r="HC93" s="4">
        <v>-7.0639457692959677</v>
      </c>
      <c r="HD93" s="4">
        <v>-7.0362437811845284</v>
      </c>
      <c r="HE93" s="4">
        <v>-7.0088154739760959</v>
      </c>
      <c r="HF93" s="4">
        <v>-6.9816545745369778</v>
      </c>
      <c r="HG93" s="4">
        <v>-6.9547536136479442</v>
      </c>
      <c r="HH93" s="4">
        <v>-6.9281039631659382</v>
      </c>
      <c r="HI93" s="4">
        <v>-6.9016958806070194</v>
      </c>
      <c r="HJ93" s="4">
        <v>-6.8755185606716056</v>
      </c>
      <c r="HK93" s="4">
        <v>-6.8495601932242058</v>
      </c>
      <c r="HL93" s="4">
        <v>-6.8238080272320714</v>
      </c>
      <c r="HM93" s="4">
        <v>-6.7982484401578649</v>
      </c>
      <c r="HN93" s="4">
        <v>-6.7728670122906633</v>
      </c>
      <c r="HO93" s="4">
        <v>-6.7476486054858684</v>
      </c>
      <c r="HP93" s="4">
        <v>-6.7225774457674961</v>
      </c>
      <c r="HQ93" s="4">
        <v>-6.697637209227417</v>
      </c>
      <c r="HR93" s="4">
        <v>-6.6728111106338126</v>
      </c>
      <c r="HS93" s="4">
        <v>-6.6480819941388658</v>
      </c>
      <c r="HT93" s="4">
        <v>-6.623432425452366</v>
      </c>
      <c r="HU93" s="4">
        <v>-6.5988447848265146</v>
      </c>
      <c r="HV93" s="4">
        <v>-6.5743013601783238</v>
      </c>
      <c r="HW93" s="4">
        <v>-6.5497844396615204</v>
      </c>
      <c r="HX93" s="4">
        <v>-6.5252764029903867</v>
      </c>
      <c r="HY93" s="4">
        <v>-6.5007598108156763</v>
      </c>
      <c r="HZ93" s="4">
        <v>-6.4762174914583719</v>
      </c>
      <c r="IA93" s="4">
        <v>-6.4516326243206734</v>
      </c>
      <c r="IB93" s="4">
        <v>-6.4269888193171614</v>
      </c>
      <c r="IC93" s="4">
        <v>-6.4022701917018372</v>
      </c>
      <c r="ID93" s="4">
        <v>-6.3774614317088076</v>
      </c>
      <c r="IE93" s="4">
        <v>-6.3525478684766714</v>
      </c>
      <c r="IF93" s="4">
        <v>-6.3275155277863853</v>
      </c>
      <c r="IG93" s="4">
        <v>-6.3023511832121946</v>
      </c>
      <c r="IH93" s="4">
        <v>-6.2770424003599681</v>
      </c>
      <c r="II93" s="4">
        <v>-6.2515775739497634</v>
      </c>
      <c r="IJ93" s="4">
        <v>-6.2259459575854192</v>
      </c>
      <c r="IK93" s="4">
        <v>-6.2001376861438811</v>
      </c>
      <c r="IL93" s="4">
        <v>-6.1741437908069674</v>
      </c>
      <c r="IM93" s="4">
        <v>-6.147956206849396</v>
      </c>
    </row>
    <row r="94" spans="2:247" x14ac:dyDescent="0.35">
      <c r="B94" s="58">
        <v>0.78</v>
      </c>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v>-10.23725611736964</v>
      </c>
      <c r="DW94" s="4">
        <v>-10.19567614785317</v>
      </c>
      <c r="DX94" s="4">
        <v>-10.15425929198868</v>
      </c>
      <c r="DY94" s="4">
        <v>-10.11301044971815</v>
      </c>
      <c r="DZ94" s="4">
        <v>-10.071934345776331</v>
      </c>
      <c r="EA94" s="4">
        <v>-10.031035503229321</v>
      </c>
      <c r="EB94" s="4">
        <v>-9.9903182165742983</v>
      </c>
      <c r="EC94" s="4">
        <v>-9.9497865246030379</v>
      </c>
      <c r="ED94" s="4">
        <v>-9.9094441832542213</v>
      </c>
      <c r="EE94" s="4">
        <v>-9.8692946386981895</v>
      </c>
      <c r="EF94" s="4">
        <v>-9.8293410009151465</v>
      </c>
      <c r="EG94" s="4">
        <v>-9.7895860180442558</v>
      </c>
      <c r="EH94" s="4">
        <v>-9.7500320517925658</v>
      </c>
      <c r="EI94" s="4">
        <v>-9.7106810542035618</v>
      </c>
      <c r="EJ94" s="4">
        <v>-9.6715345460901361</v>
      </c>
      <c r="EK94" s="4">
        <v>-9.6325935974403993</v>
      </c>
      <c r="EL94" s="4">
        <v>-9.5938588101022866</v>
      </c>
      <c r="EM94" s="4">
        <v>-9.5553303030480166</v>
      </c>
      <c r="EN94" s="4">
        <v>-9.5170077005095841</v>
      </c>
      <c r="EO94" s="4">
        <v>-9.4788901232627136</v>
      </c>
      <c r="EP94" s="4">
        <v>-9.440976183319183</v>
      </c>
      <c r="EQ94" s="4">
        <v>-9.4032639822655817</v>
      </c>
      <c r="ER94" s="4">
        <v>-9.3657511134629665</v>
      </c>
      <c r="ES94" s="4">
        <v>-9.3284346682921058</v>
      </c>
      <c r="ET94" s="4">
        <v>-9.2913112465999816</v>
      </c>
      <c r="EU94" s="4">
        <v>-9.2543769714690534</v>
      </c>
      <c r="EV94" s="4">
        <v>-9.2176275083961237</v>
      </c>
      <c r="EW94" s="4">
        <v>-9.1810580889302287</v>
      </c>
      <c r="EX94" s="4">
        <v>-9.14466353878103</v>
      </c>
      <c r="EY94" s="4">
        <v>-9.1084383103687827</v>
      </c>
      <c r="EZ94" s="4">
        <v>-9.0723765197469373</v>
      </c>
      <c r="FA94" s="4">
        <v>-9.0364719877850632</v>
      </c>
      <c r="FB94" s="4">
        <v>-9.0007182854583476</v>
      </c>
      <c r="FC94" s="4">
        <v>-8.9651087830438971</v>
      </c>
      <c r="FD94" s="4">
        <v>-8.9296367029799164</v>
      </c>
      <c r="FE94" s="4">
        <v>-8.894295176096648</v>
      </c>
      <c r="FF94" s="4">
        <v>-8.8590773008794521</v>
      </c>
      <c r="FG94" s="4">
        <v>-8.8239762053763151</v>
      </c>
      <c r="FH94" s="4">
        <v>-8.7889851113104385</v>
      </c>
      <c r="FI94" s="4">
        <v>-8.7540973999086606</v>
      </c>
      <c r="FJ94" s="4">
        <v>-8.7193066789045179</v>
      </c>
      <c r="FK94" s="4">
        <v>-8.6846068501240552</v>
      </c>
      <c r="FL94" s="4">
        <v>-8.6499921770132406</v>
      </c>
      <c r="FM94" s="4">
        <v>-8.6154573514185824</v>
      </c>
      <c r="FN94" s="4">
        <v>-8.5809975588897522</v>
      </c>
      <c r="FO94" s="4">
        <v>-8.5466085417354165</v>
      </c>
      <c r="FP94" s="4">
        <v>-8.512286659032771</v>
      </c>
      <c r="FQ94" s="4">
        <v>-8.4780289427702176</v>
      </c>
      <c r="FR94" s="4">
        <v>-8.4438331492920433</v>
      </c>
      <c r="FS94" s="4">
        <v>-8.4096978052158597</v>
      </c>
      <c r="FT94" s="4">
        <v>-8.3756222470102237</v>
      </c>
      <c r="FU94" s="4">
        <v>-8.3416066534519828</v>
      </c>
      <c r="FV94" s="4">
        <v>-8.3076520702324146</v>
      </c>
      <c r="FW94" s="4">
        <v>-8.2737604260470867</v>
      </c>
      <c r="FX94" s="4">
        <v>-8.2399345395893526</v>
      </c>
      <c r="FY94" s="4">
        <v>-8.2061781169683581</v>
      </c>
      <c r="FZ94" s="4">
        <v>-8.1724957391904454</v>
      </c>
      <c r="GA94" s="4">
        <v>-8.1388928394745648</v>
      </c>
      <c r="GB94" s="4">
        <v>-8.1053756703167146</v>
      </c>
      <c r="GC94" s="4">
        <v>-8.0719512603719181</v>
      </c>
      <c r="GD94" s="4">
        <v>-8.0386273613815646</v>
      </c>
      <c r="GE94" s="4">
        <v>-8.005412385535438</v>
      </c>
      <c r="GF94" s="4">
        <v>-7.9723153338175221</v>
      </c>
      <c r="GG94" s="4">
        <v>-7.9393457160382281</v>
      </c>
      <c r="GH94" s="4">
        <v>-7.9065134633993361</v>
      </c>
      <c r="GI94" s="4">
        <v>-7.8738288345673348</v>
      </c>
      <c r="GJ94" s="4">
        <v>-7.8413023163429889</v>
      </c>
      <c r="GK94" s="4">
        <v>-7.8089445201062446</v>
      </c>
      <c r="GL94" s="4">
        <v>-7.7767660752837076</v>
      </c>
      <c r="GM94" s="4">
        <v>-7.744777521129639</v>
      </c>
      <c r="GN94" s="4">
        <v>-7.7129891981281062</v>
      </c>
      <c r="GO94" s="4">
        <v>-7.6814111403165546</v>
      </c>
      <c r="GP94" s="4">
        <v>-7.6500529697962332</v>
      </c>
      <c r="GQ94" s="4">
        <v>-7.6189237946378476</v>
      </c>
      <c r="GR94" s="4">
        <v>-7.5880321113116622</v>
      </c>
      <c r="GS94" s="4">
        <v>-7.5573857126733506</v>
      </c>
      <c r="GT94" s="4">
        <v>-7.5269916024245047</v>
      </c>
      <c r="GU94" s="4">
        <v>-7.4968559168422884</v>
      </c>
      <c r="GV94" s="4">
        <v>-7.4669838544418274</v>
      </c>
      <c r="GW94" s="4">
        <v>-7.4373796141009949</v>
      </c>
      <c r="GX94" s="4">
        <v>-7.4080463420430558</v>
      </c>
      <c r="GY94" s="4">
        <v>-7.3789860879447451</v>
      </c>
      <c r="GZ94" s="4">
        <v>-7.3501997703153172</v>
      </c>
      <c r="HA94" s="4">
        <v>-7.3216871511810862</v>
      </c>
      <c r="HB94" s="4">
        <v>-7.2934468200104012</v>
      </c>
      <c r="HC94" s="4">
        <v>-7.2654761867274473</v>
      </c>
      <c r="HD94" s="4">
        <v>-7.2377714835893743</v>
      </c>
      <c r="HE94" s="4">
        <v>-7.2103277756413364</v>
      </c>
      <c r="HF94" s="4">
        <v>-7.1831389794146654</v>
      </c>
      <c r="HG94" s="4">
        <v>-7.1561978894952789</v>
      </c>
      <c r="HH94" s="4">
        <v>-7.1294962125606496</v>
      </c>
      <c r="HI94" s="4">
        <v>-7.1030246084602409</v>
      </c>
      <c r="HJ94" s="4">
        <v>-7.0767727378976382</v>
      </c>
      <c r="HK94" s="4">
        <v>-7.0507293162580718</v>
      </c>
      <c r="HL94" s="4">
        <v>-7.0248821731120907</v>
      </c>
      <c r="HM94" s="4">
        <v>-6.9992183169139448</v>
      </c>
      <c r="HN94" s="4">
        <v>-6.9737240043999451</v>
      </c>
      <c r="HO94" s="4">
        <v>-6.948384814176551</v>
      </c>
      <c r="HP94" s="4">
        <v>-6.9231857239732806</v>
      </c>
      <c r="HQ94" s="4">
        <v>-6.8981111910155297</v>
      </c>
      <c r="HR94" s="4">
        <v>-6.8731452349553033</v>
      </c>
      <c r="HS94" s="4">
        <v>-6.8482715227772877</v>
      </c>
      <c r="HT94" s="4">
        <v>-6.8234734550797871</v>
      </c>
      <c r="HU94" s="4">
        <v>-6.7987342531124337</v>
      </c>
      <c r="HV94" s="4">
        <v>-6.7740370459380674</v>
      </c>
      <c r="HW94" s="4">
        <v>-6.7493649570767342</v>
      </c>
      <c r="HX94" s="4">
        <v>-6.7247011899827509</v>
      </c>
      <c r="HY94" s="4">
        <v>-6.7000291117083393</v>
      </c>
      <c r="HZ94" s="4">
        <v>-6.675332334112662</v>
      </c>
      <c r="IA94" s="4">
        <v>-6.6505947919923791</v>
      </c>
      <c r="IB94" s="4">
        <v>-6.6258008175313314</v>
      </c>
      <c r="IC94" s="4">
        <v>-6.6009352104994274</v>
      </c>
      <c r="ID94" s="4">
        <v>-6.5759833036699344</v>
      </c>
      <c r="IE94" s="4">
        <v>-6.5509310229729998</v>
      </c>
      <c r="IF94" s="4">
        <v>-6.5257649419580659</v>
      </c>
      <c r="IG94" s="4">
        <v>-6.5004723302012142</v>
      </c>
      <c r="IH94" s="4">
        <v>-6.4750411953612179</v>
      </c>
      <c r="II94" s="4">
        <v>-6.4494603186631707</v>
      </c>
      <c r="IJ94" s="4">
        <v>-6.4237192836650312</v>
      </c>
      <c r="IK94" s="4">
        <v>-6.3978084982437284</v>
      </c>
      <c r="IL94" s="4">
        <v>-6.3717192098174564</v>
      </c>
      <c r="IM94" s="4">
        <v>-6.3454435139032892</v>
      </c>
    </row>
    <row r="95" spans="2:247" x14ac:dyDescent="0.35">
      <c r="B95" s="58">
        <v>0.79</v>
      </c>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v>-10.43111768771079</v>
      </c>
      <c r="DW95" s="4">
        <v>-10.389657296406121</v>
      </c>
      <c r="DX95" s="4">
        <v>-10.34835859566647</v>
      </c>
      <c r="DY95" s="4">
        <v>-10.30722624943323</v>
      </c>
      <c r="DZ95" s="4">
        <v>-10.266264747209069</v>
      </c>
      <c r="EA95" s="4">
        <v>-10.22547837934337</v>
      </c>
      <c r="EB95" s="4">
        <v>-10.18487121199467</v>
      </c>
      <c r="EC95" s="4">
        <v>-10.14444706196139</v>
      </c>
      <c r="ED95" s="4">
        <v>-10.10420947159075</v>
      </c>
      <c r="EE95" s="4">
        <v>-10.06416168399339</v>
      </c>
      <c r="EF95" s="4">
        <v>-10.024306618805189</v>
      </c>
      <c r="EG95" s="4">
        <v>-9.9846468487523055</v>
      </c>
      <c r="EH95" s="4">
        <v>-9.9451845772848735</v>
      </c>
      <c r="EI95" s="4">
        <v>-9.9059216175537887</v>
      </c>
      <c r="EJ95" s="4">
        <v>-9.8668593730092304</v>
      </c>
      <c r="EK95" s="4">
        <v>-9.827998819901083</v>
      </c>
      <c r="EL95" s="4">
        <v>-9.7893404919594467</v>
      </c>
      <c r="EM95" s="4">
        <v>-9.7508844675280741</v>
      </c>
      <c r="EN95" s="4">
        <v>-9.7126303594134065</v>
      </c>
      <c r="EO95" s="4">
        <v>-9.6745773076996038</v>
      </c>
      <c r="EP95" s="4">
        <v>-9.6367239757632834</v>
      </c>
      <c r="EQ95" s="4">
        <v>-9.5990685497012453</v>
      </c>
      <c r="ER95" s="4">
        <v>-9.5616087413621393</v>
      </c>
      <c r="ES95" s="4">
        <v>-9.5243417951467766</v>
      </c>
      <c r="ET95" s="4">
        <v>-9.4872644987128574</v>
      </c>
      <c r="EU95" s="4">
        <v>-9.4503731976897392</v>
      </c>
      <c r="EV95" s="4">
        <v>-9.4136638144757434</v>
      </c>
      <c r="EW95" s="4">
        <v>-9.3771318711553455</v>
      </c>
      <c r="EX95" s="4">
        <v>-9.3407725165385678</v>
      </c>
      <c r="EY95" s="4">
        <v>-9.3045805572862275</v>
      </c>
      <c r="EZ95" s="4">
        <v>-9.2685504930470479</v>
      </c>
      <c r="FA95" s="4">
        <v>-9.232676555492251</v>
      </c>
      <c r="FB95" s="4">
        <v>-9.1969527510923541</v>
      </c>
      <c r="FC95" s="4">
        <v>-9.1613729074398726</v>
      </c>
      <c r="FD95" s="4">
        <v>-9.1259307228776159</v>
      </c>
      <c r="FE95" s="4">
        <v>-9.0906198191494347</v>
      </c>
      <c r="FF95" s="4">
        <v>-9.0554337967449303</v>
      </c>
      <c r="FG95" s="4">
        <v>-9.0203662925644501</v>
      </c>
      <c r="FH95" s="4">
        <v>-8.9854110394844859</v>
      </c>
      <c r="FI95" s="4">
        <v>-8.9505619273576542</v>
      </c>
      <c r="FJ95" s="4">
        <v>-8.9158130649353495</v>
      </c>
      <c r="FK95" s="4">
        <v>-8.8811588421565553</v>
      </c>
      <c r="FL95" s="4">
        <v>-8.8465939922033616</v>
      </c>
      <c r="FM95" s="4">
        <v>-8.8121136526839461</v>
      </c>
      <c r="FN95" s="4">
        <v>-8.777713425267418</v>
      </c>
      <c r="FO95" s="4">
        <v>-8.7433894330654951</v>
      </c>
      <c r="FP95" s="4">
        <v>-8.7091383750317064</v>
      </c>
      <c r="FQ95" s="4">
        <v>-8.6749575766346254</v>
      </c>
      <c r="FR95" s="4">
        <v>-8.6408450360562057</v>
      </c>
      <c r="FS95" s="4">
        <v>-8.6067994651733155</v>
      </c>
      <c r="FT95" s="4">
        <v>-8.5728203245997108</v>
      </c>
      <c r="FU95" s="4">
        <v>-8.5389078520989461</v>
      </c>
      <c r="FV95" s="4">
        <v>-8.505063083726828</v>
      </c>
      <c r="FW95" s="4">
        <v>-8.4712878671249001</v>
      </c>
      <c r="FX95" s="4">
        <v>-8.4375848664649578</v>
      </c>
      <c r="FY95" s="4">
        <v>-8.4039575586368294</v>
      </c>
      <c r="FZ95" s="4">
        <v>-8.3704102203788526</v>
      </c>
      <c r="GA95" s="4">
        <v>-8.3369479061678717</v>
      </c>
      <c r="GB95" s="4">
        <v>-8.3035764168151971</v>
      </c>
      <c r="GC95" s="4">
        <v>-8.2703022588501192</v>
      </c>
      <c r="GD95" s="4">
        <v>-8.2371325949131631</v>
      </c>
      <c r="GE95" s="4">
        <v>-8.2040751855239389</v>
      </c>
      <c r="GF95" s="4">
        <v>-8.1711383227275753</v>
      </c>
      <c r="GG95" s="4">
        <v>-8.1383307562585294</v>
      </c>
      <c r="GH95" s="4">
        <v>-8.1056616129861379</v>
      </c>
      <c r="GI95" s="4">
        <v>-8.0731403105189408</v>
      </c>
      <c r="GJ95" s="4">
        <v>-8.0407764659429972</v>
      </c>
      <c r="GK95" s="4">
        <v>-8.0085798007495725</v>
      </c>
      <c r="GL95" s="4">
        <v>-7.9765600430668542</v>
      </c>
      <c r="GM95" s="4">
        <v>-7.9447268283497134</v>
      </c>
      <c r="GN95" s="4">
        <v>-7.9130895996975621</v>
      </c>
      <c r="GO95" s="4">
        <v>-7.8816575089641656</v>
      </c>
      <c r="GP95" s="4">
        <v>-7.8504393197954974</v>
      </c>
      <c r="GQ95" s="4">
        <v>-7.8194433136837462</v>
      </c>
      <c r="GR95" s="4">
        <v>-7.78867720005774</v>
      </c>
      <c r="GS95" s="4">
        <v>-7.7581480313477824</v>
      </c>
      <c r="GT95" s="4">
        <v>-7.7278621238656617</v>
      </c>
      <c r="GU95" s="4">
        <v>-7.6978249852339307</v>
      </c>
      <c r="GV95" s="4">
        <v>-7.6680412489860847</v>
      </c>
      <c r="GW95" s="4">
        <v>-7.6385146168411762</v>
      </c>
      <c r="GX95" s="4">
        <v>-7.6092478090409461</v>
      </c>
      <c r="GY95" s="4">
        <v>-7.5802425230229753</v>
      </c>
      <c r="GZ95" s="4">
        <v>-7.5514994005955263</v>
      </c>
      <c r="HA95" s="4">
        <v>-7.5230180036796401</v>
      </c>
      <c r="HB95" s="4">
        <v>-7.4947967985920778</v>
      </c>
      <c r="HC95" s="4">
        <v>-7.4668331487630386</v>
      </c>
      <c r="HD95" s="4">
        <v>-7.4391233157114209</v>
      </c>
      <c r="HE95" s="4">
        <v>-7.4116624680420902</v>
      </c>
      <c r="HF95" s="4">
        <v>-7.3844446981791636</v>
      </c>
      <c r="HG95" s="4">
        <v>-7.3574630465092659</v>
      </c>
      <c r="HH95" s="4">
        <v>-7.3307095325763783</v>
      </c>
      <c r="HI95" s="4">
        <v>-7.3041751929425844</v>
      </c>
      <c r="HJ95" s="4">
        <v>-7.2778501253082428</v>
      </c>
      <c r="HK95" s="4">
        <v>-7.2517235384661474</v>
      </c>
      <c r="HL95" s="4">
        <v>-7.225783807648761</v>
      </c>
      <c r="HM95" s="4">
        <v>-7.2000185348114929</v>
      </c>
      <c r="HN95" s="4">
        <v>-7.1744146133807343</v>
      </c>
      <c r="HO95" s="4">
        <v>-7.1489582969791403</v>
      </c>
      <c r="HP95" s="4">
        <v>-7.1236352716256688</v>
      </c>
      <c r="HQ95" s="4">
        <v>-7.0984307308897074</v>
      </c>
      <c r="HR95" s="4">
        <v>-7.0733294534636579</v>
      </c>
      <c r="HS95" s="4">
        <v>-7.0483158825998933</v>
      </c>
      <c r="HT95" s="4">
        <v>-7.0233742068444416</v>
      </c>
      <c r="HU95" s="4">
        <v>-6.9984884414843593</v>
      </c>
      <c r="HV95" s="4">
        <v>-6.9736425101164814</v>
      </c>
      <c r="HW95" s="4">
        <v>-6.9488203257367651</v>
      </c>
      <c r="HX95" s="4">
        <v>-6.924005870748057</v>
      </c>
      <c r="HY95" s="4">
        <v>-6.899183275286612</v>
      </c>
      <c r="HZ95" s="4">
        <v>-6.8743368932760944</v>
      </c>
      <c r="IA95" s="4">
        <v>-6.8494513756353292</v>
      </c>
      <c r="IB95" s="4">
        <v>-6.8245117400864537</v>
      </c>
      <c r="IC95" s="4">
        <v>-6.7995034370425316</v>
      </c>
      <c r="ID95" s="4">
        <v>-6.7744124110894894</v>
      </c>
      <c r="IE95" s="4">
        <v>-6.7492251576219129</v>
      </c>
      <c r="IF95" s="4">
        <v>-6.723928774244305</v>
      </c>
      <c r="IG95" s="4">
        <v>-6.6985110066045506</v>
      </c>
      <c r="IH95" s="4">
        <v>-6.6729602883907599</v>
      </c>
      <c r="II95" s="4">
        <v>-6.6472657752879218</v>
      </c>
      <c r="IJ95" s="4">
        <v>-6.6214173727613206</v>
      </c>
      <c r="IK95" s="4">
        <v>-6.595405757605981</v>
      </c>
      <c r="IL95" s="4">
        <v>-6.5692223932737033</v>
      </c>
      <c r="IM95" s="4">
        <v>-6.5428595390621096</v>
      </c>
    </row>
    <row r="96" spans="2:247" x14ac:dyDescent="0.35">
      <c r="B96" s="58">
        <v>0.8</v>
      </c>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v>-10.625103375374881</v>
      </c>
      <c r="DW96" s="4">
        <v>-10.58376011455697</v>
      </c>
      <c r="DX96" s="4">
        <v>-10.542577106258589</v>
      </c>
      <c r="DY96" s="4">
        <v>-10.50155879219121</v>
      </c>
      <c r="DZ96" s="4">
        <v>-10.460709441036739</v>
      </c>
      <c r="EA96" s="4">
        <v>-10.42003312538087</v>
      </c>
      <c r="EB96" s="4">
        <v>-10.37953369842395</v>
      </c>
      <c r="EC96" s="4">
        <v>-10.339214770649731</v>
      </c>
      <c r="ED96" s="4">
        <v>-10.29907968664854</v>
      </c>
      <c r="EE96" s="4">
        <v>-10.259131502305969</v>
      </c>
      <c r="EF96" s="4">
        <v>-10.21937296258143</v>
      </c>
      <c r="EG96" s="4">
        <v>-10.17980648011191</v>
      </c>
      <c r="EH96" s="4">
        <v>-10.140434114885521</v>
      </c>
      <c r="EI96" s="4">
        <v>-10.10125755523571</v>
      </c>
      <c r="EJ96" s="4">
        <v>-10.062278100410779</v>
      </c>
      <c r="EK96" s="4">
        <v>-10.023496644973379</v>
      </c>
      <c r="EL96" s="4">
        <v>-9.9849136652831092</v>
      </c>
      <c r="EM96" s="4">
        <v>-9.9465292083086041</v>
      </c>
      <c r="EN96" s="4">
        <v>-9.9083428830070339</v>
      </c>
      <c r="EO96" s="4">
        <v>-9.8703538544959262</v>
      </c>
      <c r="EP96" s="4">
        <v>-9.8325608412276573</v>
      </c>
      <c r="EQ96" s="4">
        <v>-9.7949621153568209</v>
      </c>
      <c r="ER96" s="4">
        <v>-9.7575555064709381</v>
      </c>
      <c r="ES96" s="4">
        <v>-9.7203384088293117</v>
      </c>
      <c r="ET96" s="4">
        <v>-9.6833077922292468</v>
      </c>
      <c r="EU96" s="4">
        <v>-9.6464602165892686</v>
      </c>
      <c r="EV96" s="4">
        <v>-9.6097918503093496</v>
      </c>
      <c r="EW96" s="4">
        <v>-9.5732984924344677</v>
      </c>
      <c r="EX96" s="4">
        <v>-9.5369755986150935</v>
      </c>
      <c r="EY96" s="4">
        <v>-9.5008183108220585</v>
      </c>
      <c r="EZ96" s="4">
        <v>-9.4648214907376467</v>
      </c>
      <c r="FA96" s="4">
        <v>-9.4289797567064433</v>
      </c>
      <c r="FB96" s="4">
        <v>-9.3932875240919138</v>
      </c>
      <c r="FC96" s="4">
        <v>-9.3577390488448771</v>
      </c>
      <c r="FD96" s="4">
        <v>-9.3223284740494741</v>
      </c>
      <c r="FE96" s="4">
        <v>-9.2870498791726348</v>
      </c>
      <c r="FF96" s="4">
        <v>-9.2518973317002171</v>
      </c>
      <c r="FG96" s="4">
        <v>-9.2168649408019814</v>
      </c>
      <c r="FH96" s="4">
        <v>-9.1819469126254045</v>
      </c>
      <c r="FI96" s="4">
        <v>-9.1471376067769299</v>
      </c>
      <c r="FJ96" s="4">
        <v>-9.1124315935080809</v>
      </c>
      <c r="FK96" s="4">
        <v>-9.077823711084843</v>
      </c>
      <c r="FL96" s="4">
        <v>-9.0433091227816984</v>
      </c>
      <c r="FM96" s="4">
        <v>-9.0088833729075368</v>
      </c>
      <c r="FN96" s="4">
        <v>-8.974542441241308</v>
      </c>
      <c r="FO96" s="4">
        <v>-8.9402827952310311</v>
      </c>
      <c r="FP96" s="4">
        <v>-8.9061014392919198</v>
      </c>
      <c r="FQ96" s="4">
        <v>-8.8719959605303842</v>
      </c>
      <c r="FR96" s="4">
        <v>-8.837964570219194</v>
      </c>
      <c r="FS96" s="4">
        <v>-8.8040061403603289</v>
      </c>
      <c r="FT96" s="4">
        <v>-8.7701202346918414</v>
      </c>
      <c r="FU96" s="4">
        <v>-8.7363071335297491</v>
      </c>
      <c r="FV96" s="4">
        <v>-8.7025678518818239</v>
      </c>
      <c r="FW96" s="4">
        <v>-8.6689041503293183</v>
      </c>
      <c r="FX96" s="4">
        <v>-8.6353185382456115</v>
      </c>
      <c r="FY96" s="4">
        <v>-8.601814269004997</v>
      </c>
      <c r="FZ96" s="4">
        <v>-8.568395326931368</v>
      </c>
      <c r="GA96" s="4">
        <v>-8.5350664058425547</v>
      </c>
      <c r="GB96" s="4">
        <v>-8.5018328791611317</v>
      </c>
      <c r="GC96" s="4">
        <v>-8.4687007616824523</v>
      </c>
      <c r="GD96" s="4">
        <v>-8.4356766632155704</v>
      </c>
      <c r="GE96" s="4">
        <v>-8.4027677344373011</v>
      </c>
      <c r="GF96" s="4">
        <v>-8.3699816054225167</v>
      </c>
      <c r="GG96" s="4">
        <v>-8.3373263174323942</v>
      </c>
      <c r="GH96" s="4">
        <v>-8.3048102486508419</v>
      </c>
      <c r="GI96" s="4">
        <v>-8.2724420346598038</v>
      </c>
      <c r="GJ96" s="4">
        <v>-8.2402304845289098</v>
      </c>
      <c r="GK96" s="4">
        <v>-8.2081844934652217</v>
      </c>
      <c r="GL96" s="4">
        <v>-8.1763129530223768</v>
      </c>
      <c r="GM96" s="4">
        <v>-8.1446246599022167</v>
      </c>
      <c r="GN96" s="4">
        <v>-8.1131282243973715</v>
      </c>
      <c r="GO96" s="4">
        <v>-8.0818319795193982</v>
      </c>
      <c r="GP96" s="4">
        <v>-8.0507438918343084</v>
      </c>
      <c r="GQ96" s="4">
        <v>-8.0198714749857629</v>
      </c>
      <c r="GR96" s="4">
        <v>-7.9892217068306826</v>
      </c>
      <c r="GS96" s="4">
        <v>-7.9588009510397262</v>
      </c>
      <c r="GT96" s="4">
        <v>-7.9286148839327897</v>
      </c>
      <c r="GU96" s="4">
        <v>-7.8986684272278458</v>
      </c>
      <c r="GV96" s="4">
        <v>-7.8689656872826852</v>
      </c>
      <c r="GW96" s="4">
        <v>-7.8395099013078751</v>
      </c>
      <c r="GX96" s="4">
        <v>-7.810303390926177</v>
      </c>
      <c r="GY96" s="4">
        <v>-7.7813475233539604</v>
      </c>
      <c r="GZ96" s="4">
        <v>-7.752642680382607</v>
      </c>
      <c r="HA96" s="4">
        <v>-7.7241882352481106</v>
      </c>
      <c r="HB96" s="4">
        <v>-7.6959825373930251</v>
      </c>
      <c r="HC96" s="4">
        <v>-7.6680229050507256</v>
      </c>
      <c r="HD96" s="4">
        <v>-7.6403056255145749</v>
      </c>
      <c r="HE96" s="4">
        <v>-7.6128259628980333</v>
      </c>
      <c r="HF96" s="4">
        <v>-7.5855781731420002</v>
      </c>
      <c r="HG96" s="4">
        <v>-7.5585555259838113</v>
      </c>
      <c r="HH96" s="4">
        <v>-7.5317503335687173</v>
      </c>
      <c r="HI96" s="4">
        <v>-7.5051539853542728</v>
      </c>
      <c r="HJ96" s="4">
        <v>-7.4787569889343919</v>
      </c>
      <c r="HK96" s="4">
        <v>-7.4525490163884918</v>
      </c>
      <c r="HL96" s="4">
        <v>-7.4265189557420683</v>
      </c>
      <c r="HM96" s="4">
        <v>-7.400654967108431</v>
      </c>
      <c r="HN96" s="4">
        <v>-7.3749445430643226</v>
      </c>
      <c r="HO96" s="4">
        <v>-7.3493745727966582</v>
      </c>
      <c r="HP96" s="4">
        <v>-7.3239314095415438</v>
      </c>
      <c r="HQ96" s="4">
        <v>-7.2986009408212169</v>
      </c>
      <c r="HR96" s="4">
        <v>-7.273368660969405</v>
      </c>
      <c r="HS96" s="4">
        <v>-7.2482197454211477</v>
      </c>
      <c r="HT96" s="4">
        <v>-7.2231391262307234</v>
      </c>
      <c r="HU96" s="4">
        <v>-7.1981115682694199</v>
      </c>
      <c r="HV96" s="4">
        <v>-7.1731217455482543</v>
      </c>
      <c r="HW96" s="4">
        <v>-7.1481543171048534</v>
      </c>
      <c r="HX96" s="4">
        <v>-7.1231940018943138</v>
      </c>
      <c r="HY96" s="4">
        <v>-7.0982256521284066</v>
      </c>
      <c r="HZ96" s="4">
        <v>-7.073234324517033</v>
      </c>
      <c r="IA96" s="4">
        <v>-7.0482053488826804</v>
      </c>
      <c r="IB96" s="4">
        <v>-7.0231243936404271</v>
      </c>
      <c r="IC96" s="4">
        <v>-6.9979775276645668</v>
      </c>
      <c r="ID96" s="4">
        <v>-6.9727512780982819</v>
      </c>
      <c r="IE96" s="4">
        <v>-6.9474326837038154</v>
      </c>
      <c r="IF96" s="4">
        <v>-6.9220093433968319</v>
      </c>
      <c r="IG96" s="4">
        <v>-6.8964694596618186</v>
      </c>
      <c r="IH96" s="4">
        <v>-6.8708018766010834</v>
      </c>
      <c r="II96" s="4">
        <v>-6.8449961124306693</v>
      </c>
      <c r="IJ96" s="4">
        <v>-6.8190423862996354</v>
      </c>
      <c r="IK96" s="4">
        <v>-6.7929316393741637</v>
      </c>
      <c r="IL96" s="4">
        <v>-6.7666555501924019</v>
      </c>
      <c r="IM96" s="4">
        <v>-6.7402065443627706</v>
      </c>
    </row>
    <row r="97" spans="2:247" x14ac:dyDescent="0.35">
      <c r="B97" s="58">
        <v>0.81</v>
      </c>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v>-10.819208933443511</v>
      </c>
      <c r="DW97" s="4">
        <v>-10.777980432573591</v>
      </c>
      <c r="DX97" s="4">
        <v>-10.73691073692688</v>
      </c>
      <c r="DY97" s="4">
        <v>-10.69600407903186</v>
      </c>
      <c r="DZ97" s="4">
        <v>-10.655264520344559</v>
      </c>
      <c r="EA97" s="4">
        <v>-10.614695929733511</v>
      </c>
      <c r="EB97" s="4">
        <v>-10.57430196183013</v>
      </c>
      <c r="EC97" s="4">
        <v>-10.53408603541342</v>
      </c>
      <c r="ED97" s="4">
        <v>-10.4940513120129</v>
      </c>
      <c r="EE97" s="4">
        <v>-10.45420067492595</v>
      </c>
      <c r="EF97" s="4">
        <v>-10.41453670885736</v>
      </c>
      <c r="EG97" s="4">
        <v>-10.37506168039787</v>
      </c>
      <c r="EH97" s="4">
        <v>-10.3357775195666</v>
      </c>
      <c r="EI97" s="4">
        <v>-10.29668580264711</v>
      </c>
      <c r="EJ97" s="4">
        <v>-10.257787736549091</v>
      </c>
      <c r="EK97" s="4">
        <v>-10.219084144928081</v>
      </c>
      <c r="EL97" s="4">
        <v>-10.18057545629267</v>
      </c>
      <c r="EM97" s="4">
        <v>-10.14226169432211</v>
      </c>
      <c r="EN97" s="4">
        <v>-10.104142470609251</v>
      </c>
      <c r="EO97" s="4">
        <v>-10.066216980031029</v>
      </c>
      <c r="EP97" s="4">
        <v>-10.0284839989351</v>
      </c>
      <c r="EQ97" s="4">
        <v>-9.9909418863124522</v>
      </c>
      <c r="ER97" s="4">
        <v>-9.9535885881067827</v>
      </c>
      <c r="ES97" s="4">
        <v>-9.9164216447885245</v>
      </c>
      <c r="ET97" s="4">
        <v>-9.8794382022962459</v>
      </c>
      <c r="EU97" s="4">
        <v>-9.8426350264218598</v>
      </c>
      <c r="EV97" s="4">
        <v>-9.8060085206870404</v>
      </c>
      <c r="EW97" s="4">
        <v>-9.7695547477279074</v>
      </c>
      <c r="EX97" s="4">
        <v>-9.7332694541735911</v>
      </c>
      <c r="EY97" s="4">
        <v>-9.6971480989709349</v>
      </c>
      <c r="EZ97" s="4">
        <v>-9.6611858850733565</v>
      </c>
      <c r="FA97" s="4">
        <v>-9.6253777943772221</v>
      </c>
      <c r="FB97" s="4">
        <v>-9.5897186257524645</v>
      </c>
      <c r="FC97" s="4">
        <v>-9.5542030359778227</v>
      </c>
      <c r="FD97" s="4">
        <v>-9.5188255833535393</v>
      </c>
      <c r="FE97" s="4">
        <v>-9.483580773726203</v>
      </c>
      <c r="FF97" s="4">
        <v>-9.4484631086224979</v>
      </c>
      <c r="FG97" s="4">
        <v>-9.4134671351505048</v>
      </c>
      <c r="FH97" s="4">
        <v>-9.3785874972884979</v>
      </c>
      <c r="FI97" s="4">
        <v>-9.3438189881446476</v>
      </c>
      <c r="FJ97" s="4">
        <v>-9.3091566027342427</v>
      </c>
      <c r="FK97" s="4">
        <v>-9.2745955907869728</v>
      </c>
      <c r="FL97" s="4">
        <v>-9.2401315090646072</v>
      </c>
      <c r="FM97" s="4">
        <v>-9.2057602726410792</v>
      </c>
      <c r="FN97" s="4">
        <v>-9.1714782045724625</v>
      </c>
      <c r="FO97" s="4">
        <v>-9.1372820833653492</v>
      </c>
      <c r="FP97" s="4">
        <v>-9.1031691876391267</v>
      </c>
      <c r="FQ97" s="4">
        <v>-9.0691373373725348</v>
      </c>
      <c r="FR97" s="4">
        <v>-9.0351849311275316</v>
      </c>
      <c r="FS97" s="4">
        <v>-9.001310978655976</v>
      </c>
      <c r="FT97" s="4">
        <v>-8.9675151283169043</v>
      </c>
      <c r="FU97" s="4">
        <v>-8.9337976887653774</v>
      </c>
      <c r="FV97" s="4">
        <v>-8.9001596444184834</v>
      </c>
      <c r="FW97" s="4">
        <v>-8.8666026642593909</v>
      </c>
      <c r="FX97" s="4">
        <v>-8.8331291036073978</v>
      </c>
      <c r="FY97" s="4">
        <v>-8.7997419985593091</v>
      </c>
      <c r="FZ97" s="4">
        <v>-8.7664450528942677</v>
      </c>
      <c r="GA97" s="4">
        <v>-8.7332426173299922</v>
      </c>
      <c r="GB97" s="4">
        <v>-8.7001396611200903</v>
      </c>
      <c r="GC97" s="4">
        <v>-8.6671417360901266</v>
      </c>
      <c r="GD97" s="4">
        <v>-8.6342549333191378</v>
      </c>
      <c r="GE97" s="4">
        <v>-8.6014858327844088</v>
      </c>
      <c r="GF97" s="4">
        <v>-8.5688414463950249</v>
      </c>
      <c r="GG97" s="4">
        <v>-8.5363291549433846</v>
      </c>
      <c r="GH97" s="4">
        <v>-8.5039566396004531</v>
      </c>
      <c r="GI97" s="4">
        <v>-8.4717318086673821</v>
      </c>
      <c r="GJ97" s="4">
        <v>-8.4396627203709986</v>
      </c>
      <c r="GK97" s="4">
        <v>-8.4077575025531779</v>
      </c>
      <c r="GL97" s="4">
        <v>-8.37602427015036</v>
      </c>
      <c r="GM97" s="4">
        <v>-8.3444710413904168</v>
      </c>
      <c r="GN97" s="4">
        <v>-8.3131056536484671</v>
      </c>
      <c r="GO97" s="4">
        <v>-8.2819356799005082</v>
      </c>
      <c r="GP97" s="4">
        <v>-8.2509683466948847</v>
      </c>
      <c r="GQ97" s="4">
        <v>-8.2202104545279884</v>
      </c>
      <c r="GR97" s="4">
        <v>-8.189668301460916</v>
      </c>
      <c r="GS97" s="4">
        <v>-8.1593476107544127</v>
      </c>
      <c r="GT97" s="4">
        <v>-8.129253463227176</v>
      </c>
      <c r="GU97" s="4">
        <v>-8.0993902349630833</v>
      </c>
      <c r="GV97" s="4">
        <v>-8.0697615409083259</v>
      </c>
      <c r="GW97" s="4">
        <v>-8.0403701848090581</v>
      </c>
      <c r="GX97" s="4">
        <v>-8.0112181158514808</v>
      </c>
      <c r="GY97" s="4">
        <v>-7.9823063922761879</v>
      </c>
      <c r="GZ97" s="4">
        <v>-7.9536351521524642</v>
      </c>
      <c r="HA97" s="4">
        <v>-7.9252035914166576</v>
      </c>
      <c r="HB97" s="4">
        <v>-7.897009949202257</v>
      </c>
      <c r="HC97" s="4">
        <v>-7.8690515004199986</v>
      </c>
      <c r="HD97" s="4">
        <v>-7.8413245554837072</v>
      </c>
      <c r="HE97" s="4">
        <v>-7.8138244670224264</v>
      </c>
      <c r="HF97" s="4">
        <v>-7.7865456433711859</v>
      </c>
      <c r="HG97" s="4">
        <v>-7.7594815685908749</v>
      </c>
      <c r="HH97" s="4">
        <v>-7.7326248287322938</v>
      </c>
      <c r="HI97" s="4">
        <v>-7.7059671440284676</v>
      </c>
      <c r="HJ97" s="4">
        <v>-7.6794994066729982</v>
      </c>
      <c r="HK97" s="4">
        <v>-7.6532117238193251</v>
      </c>
      <c r="HL97" s="4">
        <v>-7.6270934654149896</v>
      </c>
      <c r="HM97" s="4">
        <v>-7.6011333164666857</v>
      </c>
      <c r="HN97" s="4">
        <v>-7.5753193333141944</v>
      </c>
      <c r="HO97" s="4">
        <v>-7.5496390034757512</v>
      </c>
      <c r="HP97" s="4">
        <v>-7.524079308610883</v>
      </c>
      <c r="HQ97" s="4">
        <v>-7.4986267901326507</v>
      </c>
      <c r="HR97" s="4">
        <v>-7.4732676169873251</v>
      </c>
      <c r="HS97" s="4">
        <v>-7.4479876551067772</v>
      </c>
      <c r="HT97" s="4">
        <v>-7.4227725380280276</v>
      </c>
      <c r="HU97" s="4">
        <v>-7.3976077381656893</v>
      </c>
      <c r="HV97" s="4">
        <v>-7.3724786382173084</v>
      </c>
      <c r="HW97" s="4">
        <v>-7.3473706021788372</v>
      </c>
      <c r="HX97" s="4">
        <v>-7.3222690454488539</v>
      </c>
      <c r="HY97" s="4">
        <v>-7.2971595035062178</v>
      </c>
      <c r="HZ97" s="4">
        <v>-7.2720276986565011</v>
      </c>
      <c r="IA97" s="4">
        <v>-7.2468596043587716</v>
      </c>
      <c r="IB97" s="4">
        <v>-7.2216415066651916</v>
      </c>
      <c r="IC97" s="4">
        <v>-7.1963600623342376</v>
      </c>
      <c r="ID97" s="4">
        <v>-7.1710023532097589</v>
      </c>
      <c r="IE97" s="4">
        <v>-7.1455559364968053</v>
      </c>
      <c r="IF97" s="4">
        <v>-7.1200088906086227</v>
      </c>
      <c r="IG97" s="4">
        <v>-7.0943498563051666</v>
      </c>
      <c r="IH97" s="4">
        <v>-7.0685680728971647</v>
      </c>
      <c r="II97" s="4">
        <v>-7.0426534093424236</v>
      </c>
      <c r="IJ97" s="4">
        <v>-7.0165963901196751</v>
      </c>
      <c r="IK97" s="4">
        <v>-6.9903882158221906</v>
      </c>
      <c r="IL97" s="4">
        <v>-6.9640207784736026</v>
      </c>
      <c r="IM97" s="4">
        <v>-6.9374866716261696</v>
      </c>
    </row>
    <row r="98" spans="2:247" x14ac:dyDescent="0.35">
      <c r="B98" s="58">
        <v>0.82</v>
      </c>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v>-11.01343028654685</v>
      </c>
      <c r="DW98" s="4">
        <v>-10.972314249606599</v>
      </c>
      <c r="DX98" s="4">
        <v>-10.931355566323541</v>
      </c>
      <c r="DY98" s="4">
        <v>-10.890558272385199</v>
      </c>
      <c r="DZ98" s="4">
        <v>-10.84992623482762</v>
      </c>
      <c r="EA98" s="4">
        <v>-10.809463131980239</v>
      </c>
      <c r="EB98" s="4">
        <v>-10.7691724333514</v>
      </c>
      <c r="EC98" s="4">
        <v>-10.729057379613501</v>
      </c>
      <c r="ED98" s="4">
        <v>-10.68912096285954</v>
      </c>
      <c r="EE98" s="4">
        <v>-10.64936590731299</v>
      </c>
      <c r="EF98" s="4">
        <v>-10.60979465068341</v>
      </c>
      <c r="EG98" s="4">
        <v>-10.57040932636791</v>
      </c>
      <c r="EH98" s="4">
        <v>-10.53121174670463</v>
      </c>
      <c r="EI98" s="4">
        <v>-10.49220338748855</v>
      </c>
      <c r="EJ98" s="4">
        <v>-10.453385373961799</v>
      </c>
      <c r="EK98" s="4">
        <v>-10.414758468489641</v>
      </c>
      <c r="EL98" s="4">
        <v>-10.37632306013001</v>
      </c>
      <c r="EM98" s="4">
        <v>-10.33807915629894</v>
      </c>
      <c r="EN98" s="4">
        <v>-10.30002637672504</v>
      </c>
      <c r="EO98" s="4">
        <v>-10.262163949875379</v>
      </c>
      <c r="EP98" s="4">
        <v>-10.224490712020719</v>
      </c>
      <c r="EQ98" s="4">
        <v>-10.18700510909199</v>
      </c>
      <c r="ER98" s="4">
        <v>-10.14970520146113</v>
      </c>
      <c r="ES98" s="4">
        <v>-10.11258867175779</v>
      </c>
      <c r="ET98" s="4">
        <v>-10.07565283581066</v>
      </c>
      <c r="EU98" s="4">
        <v>-10.03889465677705</v>
      </c>
      <c r="EV98" s="4">
        <v>-10.00231076249753</v>
      </c>
      <c r="EW98" s="4">
        <v>-9.9658974660837139</v>
      </c>
      <c r="EX98" s="4">
        <v>-9.9296507897180284</v>
      </c>
      <c r="EY98" s="4">
        <v>-9.8935664916135462</v>
      </c>
      <c r="EZ98" s="4">
        <v>-9.8576400960487689</v>
      </c>
      <c r="FA98" s="4">
        <v>-9.8218669263612437</v>
      </c>
      <c r="FB98" s="4">
        <v>-9.7862421407485147</v>
      </c>
      <c r="FC98" s="4">
        <v>-9.7507607706917607</v>
      </c>
      <c r="FD98" s="4">
        <v>-9.7154177617821667</v>
      </c>
      <c r="FE98" s="4">
        <v>-9.6802080166954152</v>
      </c>
      <c r="FF98" s="4">
        <v>-9.6451264400242138</v>
      </c>
      <c r="FG98" s="4">
        <v>-9.6101679846443595</v>
      </c>
      <c r="FH98" s="4">
        <v>-9.5753276992550127</v>
      </c>
      <c r="FI98" s="4">
        <v>-9.5406007767007175</v>
      </c>
      <c r="FJ98" s="4">
        <v>-9.505982602650505</v>
      </c>
      <c r="FK98" s="4">
        <v>-9.47146880417964</v>
      </c>
      <c r="FL98" s="4">
        <v>-9.4370552977716464</v>
      </c>
      <c r="FM98" s="4">
        <v>-9.4027383362349823</v>
      </c>
      <c r="FN98" s="4">
        <v>-9.3685145540078487</v>
      </c>
      <c r="FO98" s="4">
        <v>-9.3343810103111444</v>
      </c>
      <c r="FP98" s="4">
        <v>-9.3003352295990922</v>
      </c>
      <c r="FQ98" s="4">
        <v>-9.2663752387565381</v>
      </c>
      <c r="FR98" s="4">
        <v>-9.2324996004961619</v>
      </c>
      <c r="FS98" s="4">
        <v>-9.1987074424236521</v>
      </c>
      <c r="FT98" s="4">
        <v>-9.1649984812613194</v>
      </c>
      <c r="FU98" s="4">
        <v>-9.131373041753303</v>
      </c>
      <c r="FV98" s="4">
        <v>-9.0978320698178123</v>
      </c>
      <c r="FW98" s="4">
        <v>-9.0643771395633568</v>
      </c>
      <c r="FX98" s="4">
        <v>-9.0310104538484808</v>
      </c>
      <c r="FY98" s="4">
        <v>-8.9977348381335549</v>
      </c>
      <c r="FZ98" s="4">
        <v>-8.9645537274537617</v>
      </c>
      <c r="GA98" s="4">
        <v>-8.931471146426345</v>
      </c>
      <c r="GB98" s="4">
        <v>-8.8984916822982019</v>
      </c>
      <c r="GC98" s="4">
        <v>-8.8656204511340349</v>
      </c>
      <c r="GD98" s="4">
        <v>-8.8328630573437223</v>
      </c>
      <c r="GE98" s="4">
        <v>-8.8002255468443895</v>
      </c>
      <c r="GF98" s="4">
        <v>-8.7677143542484295</v>
      </c>
      <c r="GG98" s="4">
        <v>-8.7353362445599778</v>
      </c>
      <c r="GH98" s="4">
        <v>-8.7030982499470202</v>
      </c>
      <c r="GI98" s="4">
        <v>-8.6710076022326916</v>
      </c>
      <c r="GJ98" s="4">
        <v>-8.6390716618158265</v>
      </c>
      <c r="GK98" s="4">
        <v>-8.6072978437851759</v>
      </c>
      <c r="GL98" s="4">
        <v>-8.5756935420332514</v>
      </c>
      <c r="GM98" s="4">
        <v>-8.5442660522034046</v>
      </c>
      <c r="GN98" s="4">
        <v>-8.5130224943167683</v>
      </c>
      <c r="GO98" s="4">
        <v>-8.4819697359249382</v>
      </c>
      <c r="GP98" s="4">
        <v>-8.451114316618126</v>
      </c>
      <c r="GQ98" s="4">
        <v>-8.4204623746903788</v>
      </c>
      <c r="GR98" s="4">
        <v>-8.3900195767213912</v>
      </c>
      <c r="GS98" s="4">
        <v>-8.3597910507831212</v>
      </c>
      <c r="GT98" s="4">
        <v>-8.3297813239169489</v>
      </c>
      <c r="GU98" s="4">
        <v>-8.2999942644590128</v>
      </c>
      <c r="GV98" s="4">
        <v>-8.2704330297161359</v>
      </c>
      <c r="GW98" s="4">
        <v>-8.2411000194174306</v>
      </c>
      <c r="GX98" s="4">
        <v>-8.2119968352865165</v>
      </c>
      <c r="GY98" s="4">
        <v>-8.1831242470008654</v>
      </c>
      <c r="GZ98" s="4">
        <v>-8.1544821647265948</v>
      </c>
      <c r="HA98" s="4">
        <v>-8.1260696183439869</v>
      </c>
      <c r="HB98" s="4">
        <v>-8.0978847434086969</v>
      </c>
      <c r="HC98" s="4">
        <v>-8.0699247738297295</v>
      </c>
      <c r="HD98" s="4">
        <v>-8.0421860411865644</v>
      </c>
      <c r="HE98" s="4">
        <v>-8.0146639805553015</v>
      </c>
      <c r="HF98" s="4">
        <v>-7.9873531426667093</v>
      </c>
      <c r="HG98" s="4">
        <v>-7.9602472121781123</v>
      </c>
      <c r="HH98" s="4">
        <v>-7.9333390318052066</v>
      </c>
      <c r="HI98" s="4">
        <v>-7.9066206320279564</v>
      </c>
      <c r="HJ98" s="4">
        <v>-7.8800832660579294</v>
      </c>
      <c r="HK98" s="4">
        <v>-7.8537174497294586</v>
      </c>
      <c r="HL98" s="4">
        <v>-7.8275130059562557</v>
      </c>
      <c r="HM98" s="4">
        <v>-7.8014591133745048</v>
      </c>
      <c r="HN98" s="4">
        <v>-7.7755443587769344</v>
      </c>
      <c r="HO98" s="4">
        <v>-7.7497567929246758</v>
      </c>
      <c r="HP98" s="4">
        <v>-7.7240839893095341</v>
      </c>
      <c r="HQ98" s="4">
        <v>-7.6985131054243494</v>
      </c>
      <c r="HR98" s="4">
        <v>-7.6730309460872039</v>
      </c>
      <c r="HS98" s="4">
        <v>-7.6476240283530146</v>
      </c>
      <c r="HT98" s="4">
        <v>-7.6222786475381694</v>
      </c>
      <c r="HU98" s="4">
        <v>-7.5969809438752272</v>
      </c>
      <c r="HV98" s="4">
        <v>-7.5717169693118311</v>
      </c>
      <c r="HW98" s="4">
        <v>-7.546472753965948</v>
      </c>
      <c r="HX98" s="4">
        <v>-7.5212343717527723</v>
      </c>
      <c r="HY98" s="4">
        <v>-7.4959880047048939</v>
      </c>
      <c r="HZ98" s="4">
        <v>-7.4707200055188618</v>
      </c>
      <c r="IA98" s="4">
        <v>-7.4454169578767218</v>
      </c>
      <c r="IB98" s="4">
        <v>-7.4200657341119394</v>
      </c>
      <c r="IC98" s="4">
        <v>-7.3946535498151116</v>
      </c>
      <c r="ID98" s="4">
        <v>-7.3691680150046723</v>
      </c>
      <c r="IE98" s="4">
        <v>-7.3435971815235419</v>
      </c>
      <c r="IF98" s="4">
        <v>-7.3179295863620508</v>
      </c>
      <c r="IG98" s="4">
        <v>-7.2921542906507231</v>
      </c>
      <c r="IH98" s="4">
        <v>-7.2662609141137118</v>
      </c>
      <c r="II98" s="4">
        <v>-7.2402396648227372</v>
      </c>
      <c r="IJ98" s="4">
        <v>-7.2140813641435226</v>
      </c>
      <c r="IK98" s="4">
        <v>-7.1877774668189831</v>
      </c>
      <c r="IL98" s="4">
        <v>-7.161320076186648</v>
      </c>
      <c r="IM98" s="4">
        <v>-7.1347019545802493</v>
      </c>
    </row>
    <row r="99" spans="2:247" x14ac:dyDescent="0.35">
      <c r="B99" s="58">
        <v>0.83</v>
      </c>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v>-11.20776352052019</v>
      </c>
      <c r="DW99" s="4">
        <v>-11.1667577232309</v>
      </c>
      <c r="DX99" s="4">
        <v>-11.125907828086341</v>
      </c>
      <c r="DY99" s="4">
        <v>-11.085217685590351</v>
      </c>
      <c r="DZ99" s="4">
        <v>-11.044690980405941</v>
      </c>
      <c r="EA99" s="4">
        <v>-11.00433121267123</v>
      </c>
      <c r="EB99" s="4">
        <v>-10.96414167932118</v>
      </c>
      <c r="EC99" s="4">
        <v>-10.92412545556423</v>
      </c>
      <c r="ED99" s="4">
        <v>-10.88428537667367</v>
      </c>
      <c r="EE99" s="4">
        <v>-10.84462402026293</v>
      </c>
      <c r="EF99" s="4">
        <v>-10.805143689222749</v>
      </c>
      <c r="EG99" s="4">
        <v>-10.76584639550445</v>
      </c>
      <c r="EH99" s="4">
        <v>-10.726733844938909</v>
      </c>
      <c r="EI99" s="4">
        <v>-10.687807423283219</v>
      </c>
      <c r="EJ99" s="4">
        <v>-10.649068183689341</v>
      </c>
      <c r="EK99" s="4">
        <v>-10.61051683578582</v>
      </c>
      <c r="EL99" s="4">
        <v>-10.57215373656229</v>
      </c>
      <c r="EM99" s="4">
        <v>-10.533978883238669</v>
      </c>
      <c r="EN99" s="4">
        <v>-10.49599190829352</v>
      </c>
      <c r="EO99" s="4">
        <v>-10.45819207681509</v>
      </c>
      <c r="EP99" s="4">
        <v>-10.42057828632522</v>
      </c>
      <c r="EQ99" s="4">
        <v>-10.38314906921075</v>
      </c>
      <c r="ER99" s="4">
        <v>-10.34590259787953</v>
      </c>
      <c r="ES99" s="4">
        <v>-10.308836692738611</v>
      </c>
      <c r="ET99" s="4">
        <v>-10.271948833069789</v>
      </c>
      <c r="EU99" s="4">
        <v>-10.23523617085495</v>
      </c>
      <c r="EV99" s="4">
        <v>-10.19869554757827</v>
      </c>
      <c r="EW99" s="4">
        <v>-10.16232351400593</v>
      </c>
      <c r="EX99" s="4">
        <v>-10.12611635291606</v>
      </c>
      <c r="EY99" s="4">
        <v>-10.09007010472302</v>
      </c>
      <c r="EZ99" s="4">
        <v>-10.05418059591012</v>
      </c>
      <c r="FA99" s="4">
        <v>-10.01844347015394</v>
      </c>
      <c r="FB99" s="4">
        <v>-9.9828542219929091</v>
      </c>
      <c r="FC99" s="4">
        <v>-9.9474082328600559</v>
      </c>
      <c r="FD99" s="4">
        <v>-9.9121008092683081</v>
      </c>
      <c r="FE99" s="4">
        <v>-9.8769272229043938</v>
      </c>
      <c r="FF99" s="4">
        <v>-9.8418827523552288</v>
      </c>
      <c r="FG99" s="4">
        <v>-9.8069627261589361</v>
      </c>
      <c r="FH99" s="4">
        <v>-9.772162566841736</v>
      </c>
      <c r="FI99" s="4">
        <v>-9.737477835572335</v>
      </c>
      <c r="FJ99" s="4">
        <v>-9.7029042770366125</v>
      </c>
      <c r="FK99" s="4">
        <v>-9.668437864109837</v>
      </c>
      <c r="FL99" s="4">
        <v>-9.6340748418799436</v>
      </c>
      <c r="FM99" s="4">
        <v>-9.5998117705552879</v>
      </c>
      <c r="FN99" s="4">
        <v>-9.565645566774208</v>
      </c>
      <c r="FO99" s="4">
        <v>-9.5315735428228052</v>
      </c>
      <c r="FP99" s="4">
        <v>-9.4975934432610387</v>
      </c>
      <c r="FQ99" s="4">
        <v>-9.4637034784584309</v>
      </c>
      <c r="FR99" s="4">
        <v>-9.4299023545474583</v>
      </c>
      <c r="FS99" s="4">
        <v>-9.3961892993183902</v>
      </c>
      <c r="FT99" s="4">
        <v>-9.362564083601665</v>
      </c>
      <c r="FU99" s="4">
        <v>-9.3290270377158997</v>
      </c>
      <c r="FV99" s="4">
        <v>-9.295579062599181</v>
      </c>
      <c r="FW99" s="4">
        <v>-9.2622216352899205</v>
      </c>
      <c r="FX99" s="4">
        <v>-9.2289568084798184</v>
      </c>
      <c r="FY99" s="4">
        <v>-9.195787203926546</v>
      </c>
      <c r="FZ99" s="4">
        <v>-9.1627159995840302</v>
      </c>
      <c r="GA99" s="4">
        <v>-9.1297469103861424</v>
      </c>
      <c r="GB99" s="4">
        <v>-9.0968841627011798</v>
      </c>
      <c r="GC99" s="4">
        <v>-9.0641324625593107</v>
      </c>
      <c r="GD99" s="4">
        <v>-9.031496957841977</v>
      </c>
      <c r="GE99" s="4">
        <v>-8.9989831947084671</v>
      </c>
      <c r="GF99" s="4">
        <v>-8.966597068619393</v>
      </c>
      <c r="GG99" s="4">
        <v>-8.93434477039707</v>
      </c>
      <c r="GH99" s="4">
        <v>-8.9022327278377009</v>
      </c>
      <c r="GI99" s="4">
        <v>-8.8702675434577447</v>
      </c>
      <c r="GJ99" s="4">
        <v>-8.8384559290150406</v>
      </c>
      <c r="GK99" s="4">
        <v>-8.8068046374938938</v>
      </c>
      <c r="GL99" s="4">
        <v>-8.7753203932797668</v>
      </c>
      <c r="GM99" s="4">
        <v>-8.7440098212743909</v>
      </c>
      <c r="GN99" s="4">
        <v>-8.7128793757141025</v>
      </c>
      <c r="GO99" s="4">
        <v>-8.6819352694541791</v>
      </c>
      <c r="GP99" s="4">
        <v>-8.651183404469176</v>
      </c>
      <c r="GQ99" s="4">
        <v>-8.6206293042946811</v>
      </c>
      <c r="GR99" s="4">
        <v>-8.5902780491010056</v>
      </c>
      <c r="GS99" s="4">
        <v>-8.5601342140442611</v>
      </c>
      <c r="GT99" s="4">
        <v>-8.5302018114866733</v>
      </c>
      <c r="GU99" s="4">
        <v>-8.5004842376186964</v>
      </c>
      <c r="GV99" s="4">
        <v>-8.4709842239497348</v>
      </c>
      <c r="GW99" s="4">
        <v>-8.4417037940662727</v>
      </c>
      <c r="GX99" s="4">
        <v>-8.4126442259855594</v>
      </c>
      <c r="GY99" s="4">
        <v>-8.3838060203626306</v>
      </c>
      <c r="GZ99" s="4">
        <v>-8.3551888747395964</v>
      </c>
      <c r="HA99" s="4">
        <v>-8.3267916639582982</v>
      </c>
      <c r="HB99" s="4">
        <v>-8.2986124267946551</v>
      </c>
      <c r="HC99" s="4">
        <v>-8.2706483588139754</v>
      </c>
      <c r="HD99" s="4">
        <v>-8.2428958113902802</v>
      </c>
      <c r="HE99" s="4">
        <v>-8.2153502967849441</v>
      </c>
      <c r="HF99" s="4">
        <v>-8.1880064991331452</v>
      </c>
      <c r="HG99" s="4">
        <v>-8.1608582911479388</v>
      </c>
      <c r="HH99" s="4">
        <v>-8.1338987563151477</v>
      </c>
      <c r="HI99" s="4">
        <v>-8.107120216321313</v>
      </c>
      <c r="HJ99" s="4">
        <v>-8.0805142634286824</v>
      </c>
      <c r="HK99" s="4">
        <v>-8.0540717974865572</v>
      </c>
      <c r="HL99" s="4">
        <v>-8.0277830672460286</v>
      </c>
      <c r="HM99" s="4">
        <v>-8.0016377156251721</v>
      </c>
      <c r="HN99" s="4">
        <v>-7.9756248285536788</v>
      </c>
      <c r="HO99" s="4">
        <v>-7.9497329870094768</v>
      </c>
      <c r="HP99" s="4">
        <v>-7.9239503218451777</v>
      </c>
      <c r="HQ99" s="4">
        <v>-7.8982645709882799</v>
      </c>
      <c r="HR99" s="4">
        <v>-7.8726631385876047</v>
      </c>
      <c r="HS99" s="4">
        <v>-7.8471331556683008</v>
      </c>
      <c r="HT99" s="4">
        <v>-7.821661541849708</v>
      </c>
      <c r="HU99" s="4">
        <v>-7.7962350676743046</v>
      </c>
      <c r="HV99" s="4">
        <v>-7.7708404170935221</v>
      </c>
      <c r="HW99" s="4">
        <v>-7.7454642496556412</v>
      </c>
      <c r="HX99" s="4">
        <v>-7.7200932619450047</v>
      </c>
      <c r="HY99" s="4">
        <v>-7.6947142478284762</v>
      </c>
      <c r="HZ99" s="4">
        <v>-7.6693141570766752</v>
      </c>
      <c r="IA99" s="4">
        <v>-7.6438801519426374</v>
      </c>
      <c r="IB99" s="4">
        <v>-7.6183996613005336</v>
      </c>
      <c r="IC99" s="4">
        <v>-7.5928604319712596</v>
      </c>
      <c r="ID99" s="4">
        <v>-7.5672505768897897</v>
      </c>
      <c r="IE99" s="4">
        <v>-7.5415586198019771</v>
      </c>
      <c r="IF99" s="4">
        <v>-7.5157735362148914</v>
      </c>
      <c r="IG99" s="4">
        <v>-7.4898847903641794</v>
      </c>
      <c r="IH99" s="4">
        <v>-7.4638823680045068</v>
      </c>
      <c r="II99" s="4">
        <v>-7.4377568048749199</v>
      </c>
      <c r="IJ99" s="4">
        <v>-7.4114992107367534</v>
      </c>
      <c r="IK99" s="4">
        <v>-7.3851012889293024</v>
      </c>
      <c r="IL99" s="4">
        <v>-7.3585553514374364</v>
      </c>
      <c r="IM99" s="4">
        <v>-7.331854329511696</v>
      </c>
    </row>
    <row r="100" spans="2:247" x14ac:dyDescent="0.35">
      <c r="B100" s="58">
        <v>0.84</v>
      </c>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v>-11.40220487278788</v>
      </c>
      <c r="DW100" s="4">
        <v>-11.36130715975888</v>
      </c>
      <c r="DX100" s="4">
        <v>-11.320563901143471</v>
      </c>
      <c r="DY100" s="4">
        <v>-11.279978773257699</v>
      </c>
      <c r="DZ100" s="4">
        <v>-11.23955528970977</v>
      </c>
      <c r="EA100" s="4">
        <v>-11.199296784002829</v>
      </c>
      <c r="EB100" s="4">
        <v>-11.159206392198911</v>
      </c>
      <c r="EC100" s="4">
        <v>-11.11928703578403</v>
      </c>
      <c r="ED100" s="4">
        <v>-11.07954140488309</v>
      </c>
      <c r="EE100" s="4">
        <v>-11.03997194198204</v>
      </c>
      <c r="EF100" s="4">
        <v>-11.00058082632124</v>
      </c>
      <c r="EG100" s="4">
        <v>-10.96136995913038</v>
      </c>
      <c r="EH100" s="4">
        <v>-10.922340949878061</v>
      </c>
      <c r="EI100" s="4">
        <v>-10.88349510371282</v>
      </c>
      <c r="EJ100" s="4">
        <v>-10.84483341027156</v>
      </c>
      <c r="EK100" s="4">
        <v>-10.80635653403044</v>
      </c>
      <c r="EL100" s="4">
        <v>-10.768064806368891</v>
      </c>
      <c r="EM100" s="4">
        <v>-10.729958219511991</v>
      </c>
      <c r="EN100" s="4">
        <v>-10.6920364225077</v>
      </c>
      <c r="EO100" s="4">
        <v>-10.65429871938584</v>
      </c>
      <c r="EP100" s="4">
        <v>-10.61674406963207</v>
      </c>
      <c r="EQ100" s="4">
        <v>-10.57937109109692</v>
      </c>
      <c r="ER100" s="4">
        <v>-10.54217806544192</v>
      </c>
      <c r="ES100" s="4">
        <v>-10.5051629462075</v>
      </c>
      <c r="ET100" s="4">
        <v>-10.46832336956604</v>
      </c>
      <c r="EU100" s="4">
        <v>-10.43165666780248</v>
      </c>
      <c r="EV100" s="4">
        <v>-10.39515988554089</v>
      </c>
      <c r="EW100" s="4">
        <v>-10.358829798710509</v>
      </c>
      <c r="EX100" s="4">
        <v>-10.32266293621981</v>
      </c>
      <c r="EY100" s="4">
        <v>-10.2866556042789</v>
      </c>
      <c r="EZ100" s="4">
        <v>-10.250803913283921</v>
      </c>
      <c r="FA100" s="4">
        <v>-10.2151038071479</v>
      </c>
      <c r="FB100" s="4">
        <v>-10.179551094933689</v>
      </c>
      <c r="FC100" s="4">
        <v>-10.14414148461533</v>
      </c>
      <c r="FD100" s="4">
        <v>-10.108870618764341</v>
      </c>
      <c r="FE100" s="4">
        <v>-10.073734111927971</v>
      </c>
      <c r="FF100" s="4">
        <v>-10.038727589437579</v>
      </c>
      <c r="FG100" s="4">
        <v>-10.00384672735556</v>
      </c>
      <c r="FH100" s="4">
        <v>-9.9690872932427901</v>
      </c>
      <c r="FI100" s="4">
        <v>-9.9344451874007635</v>
      </c>
      <c r="FJ100" s="4">
        <v>-9.8999164842186111</v>
      </c>
      <c r="FK100" s="4">
        <v>-9.8654974732319332</v>
      </c>
      <c r="FL100" s="4">
        <v>-9.831184699480719</v>
      </c>
      <c r="FM100" s="4">
        <v>-9.7969750027369642</v>
      </c>
      <c r="FN100" s="4">
        <v>-9.7628655551591379</v>
      </c>
      <c r="FO100" s="4">
        <v>-9.7288538969235532</v>
      </c>
      <c r="FP100" s="4">
        <v>-9.6949379693783015</v>
      </c>
      <c r="FQ100" s="4">
        <v>-9.6611161452685401</v>
      </c>
      <c r="FR100" s="4">
        <v>-9.6273872555911044</v>
      </c>
      <c r="FS100" s="4">
        <v>-9.5937506126511423</v>
      </c>
      <c r="FT100" s="4">
        <v>-9.5602060289172108</v>
      </c>
      <c r="FU100" s="4">
        <v>-9.5267538313006597</v>
      </c>
      <c r="FV100" s="4">
        <v>-9.4933948705231224</v>
      </c>
      <c r="FW100" s="4">
        <v>-9.4601305252809063</v>
      </c>
      <c r="FX100" s="4">
        <v>-9.4269627009666994</v>
      </c>
      <c r="FY100" s="4">
        <v>-9.3938938227683693</v>
      </c>
      <c r="FZ100" s="4">
        <v>-9.3609268230282616</v>
      </c>
      <c r="GA100" s="4">
        <v>-9.3280651228165699</v>
      </c>
      <c r="GB100" s="4">
        <v>-9.2953126077451707</v>
      </c>
      <c r="GC100" s="4">
        <v>-9.2626735981242447</v>
      </c>
      <c r="GD100" s="4">
        <v>-9.2301528136414568</v>
      </c>
      <c r="GE100" s="4">
        <v>-9.1977553328190655</v>
      </c>
      <c r="GF100" s="4">
        <v>-9.1654865475803682</v>
      </c>
      <c r="GG100" s="4">
        <v>-9.1333521133269411</v>
      </c>
      <c r="GH100" s="4">
        <v>-9.1013578949945604</v>
      </c>
      <c r="GI100" s="4">
        <v>-9.0695099096157712</v>
      </c>
      <c r="GJ100" s="4">
        <v>-9.0378142659676914</v>
      </c>
      <c r="GK100" s="4">
        <v>-9.0062771019275125</v>
      </c>
      <c r="GL100" s="4">
        <v>-8.9749045201902291</v>
      </c>
      <c r="GM100" s="4">
        <v>-8.9437025230255429</v>
      </c>
      <c r="GN100" s="4">
        <v>-8.9126769467629199</v>
      </c>
      <c r="GO100" s="4">
        <v>-8.881833396693164</v>
      </c>
      <c r="GP100" s="4">
        <v>-8.8511771830654631</v>
      </c>
      <c r="GQ100" s="4">
        <v>-8.8207132588377526</v>
      </c>
      <c r="GR100" s="4">
        <v>-8.7904461598078534</v>
      </c>
      <c r="GS100" s="4">
        <v>-8.7603799477148225</v>
      </c>
      <c r="GT100" s="4">
        <v>-8.7305181568527637</v>
      </c>
      <c r="GU100" s="4">
        <v>-8.7008637446879558</v>
      </c>
      <c r="GV100" s="4">
        <v>-8.6714190469124919</v>
      </c>
      <c r="GW100" s="4">
        <v>-8.6421857373076421</v>
      </c>
      <c r="GX100" s="4">
        <v>-8.6131647927277282</v>
      </c>
      <c r="GY100" s="4">
        <v>-8.5843564634524192</v>
      </c>
      <c r="GZ100" s="4">
        <v>-8.5557602490935132</v>
      </c>
      <c r="HA100" s="4">
        <v>-8.5273748801809788</v>
      </c>
      <c r="HB100" s="4">
        <v>-8.4991983054960265</v>
      </c>
      <c r="HC100" s="4">
        <v>-8.4712276851634982</v>
      </c>
      <c r="HD100" s="4">
        <v>-8.4434593894650583</v>
      </c>
      <c r="HE100" s="4">
        <v>-8.4158890032883953</v>
      </c>
      <c r="HF100" s="4">
        <v>-8.388511336083436</v>
      </c>
      <c r="HG100" s="4">
        <v>-8.3613204371594101</v>
      </c>
      <c r="HH100" s="4">
        <v>-8.3343096161204713</v>
      </c>
      <c r="HI100" s="4">
        <v>-8.3074714682071793</v>
      </c>
      <c r="HJ100" s="4">
        <v>-8.2807979042830198</v>
      </c>
      <c r="HK100" s="4">
        <v>-8.2542801851796668</v>
      </c>
      <c r="HL100" s="4">
        <v>-8.2279089600934086</v>
      </c>
      <c r="HM100" s="4">
        <v>-8.201674308703792</v>
      </c>
      <c r="HN100" s="4">
        <v>-8.17556578666834</v>
      </c>
      <c r="HO100" s="4">
        <v>-8.1495724741305029</v>
      </c>
      <c r="HP100" s="4">
        <v>-8.1236830268635494</v>
      </c>
      <c r="HQ100" s="4">
        <v>-8.0978857296603941</v>
      </c>
      <c r="HR100" s="4">
        <v>-8.0721685515677564</v>
      </c>
      <c r="HS100" s="4">
        <v>-8.0465192025545775</v>
      </c>
      <c r="HT100" s="4">
        <v>-8.0209251911970973</v>
      </c>
      <c r="HU100" s="4">
        <v>-7.9953738829581402</v>
      </c>
      <c r="HV100" s="4">
        <v>-7.969852558636604</v>
      </c>
      <c r="HW100" s="4">
        <v>-7.9443484725632789</v>
      </c>
      <c r="HX100" s="4">
        <v>-7.9188489101237449</v>
      </c>
      <c r="HY100" s="4">
        <v>-7.8933412441960762</v>
      </c>
      <c r="HZ100" s="4">
        <v>-7.8678129901025464</v>
      </c>
      <c r="IA100" s="4">
        <v>-7.8422518586890844</v>
      </c>
      <c r="IB100" s="4">
        <v>-7.8166458071653206</v>
      </c>
      <c r="IC100" s="4">
        <v>-7.7909830873605381</v>
      </c>
      <c r="ID100" s="4">
        <v>-7.7652522910771502</v>
      </c>
      <c r="IE100" s="4">
        <v>-7.7394423922536353</v>
      </c>
      <c r="IF100" s="4">
        <v>-7.713542785682078</v>
      </c>
      <c r="IG100" s="4">
        <v>-7.6875433220615301</v>
      </c>
      <c r="IH100" s="4">
        <v>-7.6614343392078004</v>
      </c>
      <c r="II100" s="4">
        <v>-7.6352066892806381</v>
      </c>
      <c r="IJ100" s="4">
        <v>-7.6088517619319136</v>
      </c>
      <c r="IK100" s="4">
        <v>-7.5823615033212226</v>
      </c>
      <c r="IL100" s="4">
        <v>-7.5557284309891646</v>
      </c>
      <c r="IM100" s="4">
        <v>-7.5289456446205181</v>
      </c>
    </row>
    <row r="101" spans="2:247" x14ac:dyDescent="0.35">
      <c r="B101" s="58">
        <v>0.85</v>
      </c>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v>-11.59675072343251</v>
      </c>
      <c r="DW101" s="4">
        <v>-11.555959005274969</v>
      </c>
      <c r="DX101" s="4">
        <v>-11.51532030077283</v>
      </c>
      <c r="DY101" s="4">
        <v>-11.47483812241228</v>
      </c>
      <c r="DZ101" s="4">
        <v>-11.43451582336797</v>
      </c>
      <c r="EA101" s="4">
        <v>-11.394356581311669</v>
      </c>
      <c r="EB101" s="4">
        <v>-11.354363382329501</v>
      </c>
      <c r="EC101" s="4">
        <v>-11.314539005078361</v>
      </c>
      <c r="ED101" s="4">
        <v>-11.27488600532026</v>
      </c>
      <c r="EE101" s="4">
        <v>-11.235406700980541</v>
      </c>
      <c r="EF101" s="4">
        <v>-11.19610315788135</v>
      </c>
      <c r="EG101" s="4">
        <v>-11.156977176306979</v>
      </c>
      <c r="EH101" s="4">
        <v>-11.118030278560671</v>
      </c>
      <c r="EI101" s="4">
        <v>-11.079263697673371</v>
      </c>
      <c r="EJ101" s="4">
        <v>-11.040678367426169</v>
      </c>
      <c r="EK101" s="4">
        <v>-11.00227491384428</v>
      </c>
      <c r="EL101" s="4">
        <v>-10.96405364831806</v>
      </c>
      <c r="EM101" s="4">
        <v>-10.92601456249945</v>
      </c>
      <c r="EN101" s="4">
        <v>-10.888157325115159</v>
      </c>
      <c r="EO101" s="4">
        <v>-10.850481280827371</v>
      </c>
      <c r="EP101" s="4">
        <v>-10.81298545126095</v>
      </c>
      <c r="EQ101" s="4">
        <v>-10.77566853830297</v>
      </c>
      <c r="ER101" s="4">
        <v>-10.738528929763669</v>
      </c>
      <c r="ES101" s="4">
        <v>-10.701564707471469</v>
      </c>
      <c r="ET101" s="4">
        <v>-10.66477365785537</v>
      </c>
      <c r="EU101" s="4">
        <v>-10.628153285047469</v>
      </c>
      <c r="EV101" s="4">
        <v>-10.591700826516821</v>
      </c>
      <c r="EW101" s="4">
        <v>-10.5554132712222</v>
      </c>
      <c r="EX101" s="4">
        <v>-10.519287380248111</v>
      </c>
      <c r="EY101" s="4">
        <v>-10.48331970986221</v>
      </c>
      <c r="EZ101" s="4">
        <v>-10.447506636907599</v>
      </c>
      <c r="FA101" s="4">
        <v>-10.411844386415931</v>
      </c>
      <c r="FB101" s="4">
        <v>-10.37632906130146</v>
      </c>
      <c r="FC101" s="4">
        <v>-10.340956673968201</v>
      </c>
      <c r="FD101" s="4">
        <v>-10.30572317963532</v>
      </c>
      <c r="FE101" s="4">
        <v>-10.27062451115955</v>
      </c>
      <c r="FF101" s="4">
        <v>-10.23565661510573</v>
      </c>
      <c r="FG101" s="4">
        <v>-10.20081548879164</v>
      </c>
      <c r="FH101" s="4">
        <v>-10.166097218007369</v>
      </c>
      <c r="FI101" s="4">
        <v>-10.13149801508697</v>
      </c>
      <c r="FJ101" s="4">
        <v>-10.09701425698727</v>
      </c>
      <c r="FK101" s="4">
        <v>-10.062642523010229</v>
      </c>
      <c r="FL101" s="4">
        <v>-10.02837963178683</v>
      </c>
      <c r="FM101" s="4">
        <v>-9.9942226771281106</v>
      </c>
      <c r="FN101" s="4">
        <v>-9.9601690623379824</v>
      </c>
      <c r="FO101" s="4">
        <v>-9.9262165325770084</v>
      </c>
      <c r="FP101" s="4">
        <v>-9.8923632048647789</v>
      </c>
      <c r="FQ101" s="4">
        <v>-9.8586075953133658</v>
      </c>
      <c r="FR101" s="4">
        <v>-9.8249486431932382</v>
      </c>
      <c r="FS101" s="4">
        <v>-9.7913857314498092</v>
      </c>
      <c r="FT101" s="4">
        <v>-9.7579187033104873</v>
      </c>
      <c r="FU101" s="4">
        <v>-9.724547874650721</v>
      </c>
      <c r="FV101" s="4">
        <v>-9.6912740418236432</v>
      </c>
      <c r="FW101" s="4">
        <v>-9.6580984846982219</v>
      </c>
      <c r="FX101" s="4">
        <v>-9.6250229647001717</v>
      </c>
      <c r="FY101" s="4">
        <v>-9.5920497177018564</v>
      </c>
      <c r="FZ101" s="4">
        <v>-9.5591814416668406</v>
      </c>
      <c r="GA101" s="4">
        <v>-9.5264212790167413</v>
      </c>
      <c r="GB101" s="4">
        <v>-9.4937727937539087</v>
      </c>
      <c r="GC101" s="4">
        <v>-9.4612399434410044</v>
      </c>
      <c r="GD101" s="4">
        <v>-9.4288270462080117</v>
      </c>
      <c r="GE101" s="4">
        <v>-9.3965387430237968</v>
      </c>
      <c r="GF101" s="4">
        <v>-9.3643799555370535</v>
      </c>
      <c r="GG101" s="4">
        <v>-9.3323558398537667</v>
      </c>
      <c r="GH101" s="4">
        <v>-9.300471736677018</v>
      </c>
      <c r="GI101" s="4">
        <v>-9.268733118287404</v>
      </c>
      <c r="GJ101" s="4">
        <v>-9.2371455328888565</v>
      </c>
      <c r="GK101" s="4">
        <v>-9.2057145468816337</v>
      </c>
      <c r="GL101" s="4">
        <v>-9.1744456856544936</v>
      </c>
      <c r="GM101" s="4">
        <v>-9.1433443735074498</v>
      </c>
      <c r="GN101" s="4">
        <v>-9.1124158733274641</v>
      </c>
      <c r="GO101" s="4">
        <v>-9.0816652266404176</v>
      </c>
      <c r="GP101" s="4">
        <v>-9.0510971946536625</v>
      </c>
      <c r="GQ101" s="4">
        <v>-9.0207162008871897</v>
      </c>
      <c r="GR101" s="4">
        <v>-8.9905262759637878</v>
      </c>
      <c r="GS101" s="4">
        <v>-8.9605310050966409</v>
      </c>
      <c r="GT101" s="4">
        <v>-8.9307334787717281</v>
      </c>
      <c r="GU101" s="4">
        <v>-8.9011362470768525</v>
      </c>
      <c r="GV101" s="4">
        <v>-8.8717412780790958</v>
      </c>
      <c r="GW101" s="4">
        <v>-8.8425499205992573</v>
      </c>
      <c r="GX101" s="4">
        <v>-8.8135628716764192</v>
      </c>
      <c r="GY101" s="4">
        <v>-8.7847801489598254</v>
      </c>
      <c r="GZ101" s="4">
        <v>-8.7562010682089646</v>
      </c>
      <c r="HA101" s="4">
        <v>-8.727824226028762</v>
      </c>
      <c r="HB101" s="4">
        <v>-8.6996474879126673</v>
      </c>
      <c r="HC101" s="4">
        <v>-8.6716679816172597</v>
      </c>
      <c r="HD101" s="4">
        <v>-8.6438820958439067</v>
      </c>
      <c r="HE101" s="4">
        <v>-8.6162854841590146</v>
      </c>
      <c r="HF101" s="4">
        <v>-8.5888730740440486</v>
      </c>
      <c r="HG101" s="4">
        <v>-8.5616390809293073</v>
      </c>
      <c r="HH101" s="4">
        <v>-8.5345770270313288</v>
      </c>
      <c r="HI101" s="4">
        <v>-8.5076797647840543</v>
      </c>
      <c r="HJ101" s="4">
        <v>-8.4809395046254519</v>
      </c>
      <c r="HK101" s="4">
        <v>-8.4543478468773685</v>
      </c>
      <c r="HL101" s="4">
        <v>-8.4278958174336047</v>
      </c>
      <c r="HM101" s="4">
        <v>-8.4015739069512065</v>
      </c>
      <c r="HN101" s="4">
        <v>-8.3753721132226353</v>
      </c>
      <c r="HO101" s="4">
        <v>-8.3492799863897069</v>
      </c>
      <c r="HP101" s="4">
        <v>-8.3232866766462621</v>
      </c>
      <c r="HQ101" s="4">
        <v>-8.297380984064791</v>
      </c>
      <c r="HR101" s="4">
        <v>-8.271551410170833</v>
      </c>
      <c r="HS101" s="4">
        <v>-8.2457862108812918</v>
      </c>
      <c r="HT101" s="4">
        <v>-8.2200734504161481</v>
      </c>
      <c r="HU101" s="4">
        <v>-8.1944010557891005</v>
      </c>
      <c r="HV101" s="4">
        <v>-8.1687568714812322</v>
      </c>
      <c r="HW101" s="4">
        <v>-8.1431287139034527</v>
      </c>
      <c r="HX101" s="4">
        <v>-8.1175044252573443</v>
      </c>
      <c r="HY101" s="4">
        <v>-8.0918719264116188</v>
      </c>
      <c r="HZ101" s="4">
        <v>-8.0662192684228486</v>
      </c>
      <c r="IA101" s="4">
        <v>-8.040534682342372</v>
      </c>
      <c r="IB101" s="4">
        <v>-8.0148066269697011</v>
      </c>
      <c r="IC101" s="4">
        <v>-7.9890238342342093</v>
      </c>
      <c r="ID101" s="4">
        <v>-7.9631753519103636</v>
      </c>
      <c r="IE101" s="4">
        <v>-7.937250583400421</v>
      </c>
      <c r="IF101" s="4">
        <v>-7.9112393243488981</v>
      </c>
      <c r="IG101" s="4">
        <v>-7.8851317958859317</v>
      </c>
      <c r="IH101" s="4">
        <v>-7.8589186743328918</v>
      </c>
      <c r="II101" s="4">
        <v>-7.8325911172397902</v>
      </c>
      <c r="IJ101" s="4">
        <v>-7.8061407856631808</v>
      </c>
      <c r="IK101" s="4">
        <v>-7.7795598626322056</v>
      </c>
      <c r="IL101" s="4">
        <v>-7.7528410677891033</v>
      </c>
      <c r="IM101" s="4">
        <v>-7.7259776682302386</v>
      </c>
    </row>
    <row r="102" spans="2:247" x14ac:dyDescent="0.35">
      <c r="B102" s="58">
        <v>0.86</v>
      </c>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v>-11.79139758690758</v>
      </c>
      <c r="DW102" s="4">
        <v>-11.750709837345671</v>
      </c>
      <c r="DX102" s="4">
        <v>-11.71017367036281</v>
      </c>
      <c r="DY102" s="4">
        <v>-11.669792444360921</v>
      </c>
      <c r="DZ102" s="4">
        <v>-11.62956936203684</v>
      </c>
      <c r="EA102" s="4">
        <v>-11.589507455320261</v>
      </c>
      <c r="EB102" s="4">
        <v>-11.54960957045969</v>
      </c>
      <c r="EC102" s="4">
        <v>-11.509878353379261</v>
      </c>
      <c r="ED102" s="4">
        <v>-11.470316235434881</v>
      </c>
      <c r="EE102" s="4">
        <v>-11.430925419705041</v>
      </c>
      <c r="EF102" s="4">
        <v>-11.39170786795666</v>
      </c>
      <c r="EG102" s="4">
        <v>-11.35266528842925</v>
      </c>
      <c r="EH102" s="4">
        <v>-11.3137991245842</v>
      </c>
      <c r="EI102" s="4">
        <v>-11.27511054496615</v>
      </c>
      <c r="EJ102" s="4">
        <v>-11.23660043432294</v>
      </c>
      <c r="EK102" s="4">
        <v>-11.198269386128541</v>
      </c>
      <c r="EL102" s="4">
        <v>-11.16011769664884</v>
      </c>
      <c r="EM102" s="4">
        <v>-11.12214536068455</v>
      </c>
      <c r="EN102" s="4">
        <v>-11.084352069117839</v>
      </c>
      <c r="EO102" s="4">
        <v>-11.04673720837957</v>
      </c>
      <c r="EP102" s="4">
        <v>-11.009299861942811</v>
      </c>
      <c r="EQ102" s="4">
        <v>-10.97203881393539</v>
      </c>
      <c r="ER102" s="4">
        <v>-10.93495255494946</v>
      </c>
      <c r="ES102" s="4">
        <v>-10.898039290109599</v>
      </c>
      <c r="ET102" s="4">
        <v>-10.86129694944356</v>
      </c>
      <c r="EU102" s="4">
        <v>-10.82472320058026</v>
      </c>
      <c r="EV102" s="4">
        <v>-10.7883154637797</v>
      </c>
      <c r="EW102" s="4">
        <v>-10.75207092927733</v>
      </c>
      <c r="EX102" s="4">
        <v>-10.71598657690368</v>
      </c>
      <c r="EY102" s="4">
        <v>-10.680059197916369</v>
      </c>
      <c r="EZ102" s="4">
        <v>-10.64428541895759</v>
      </c>
      <c r="FA102" s="4">
        <v>-10.608661728025821</v>
      </c>
      <c r="FB102" s="4">
        <v>-10.57318450232618</v>
      </c>
      <c r="FC102" s="4">
        <v>-10.537850037837631</v>
      </c>
      <c r="FD102" s="4">
        <v>-10.50265458041198</v>
      </c>
      <c r="FE102" s="4">
        <v>-10.467594358193439</v>
      </c>
      <c r="FF102" s="4">
        <v>-10.43266561512468</v>
      </c>
      <c r="FG102" s="4">
        <v>-10.39786464528054</v>
      </c>
      <c r="FH102" s="4">
        <v>-10.363187827749821</v>
      </c>
      <c r="FI102" s="4">
        <v>-10.32863166176343</v>
      </c>
      <c r="FJ102" s="4">
        <v>-10.294192801748791</v>
      </c>
      <c r="FK102" s="4">
        <v>-10.259868091972921</v>
      </c>
      <c r="FL102" s="4">
        <v>-10.225654600423111</v>
      </c>
      <c r="FM102" s="4">
        <v>-10.19154965156187</v>
      </c>
      <c r="FN102" s="4">
        <v>-10.15755085758552</v>
      </c>
      <c r="FO102" s="4">
        <v>-10.12365614781204</v>
      </c>
      <c r="FP102" s="4">
        <v>-10.08986379582395</v>
      </c>
      <c r="FQ102" s="4">
        <v>-10.056172443997699</v>
      </c>
      <c r="FR102" s="4">
        <v>-10.02258112506081</v>
      </c>
      <c r="FS102" s="4">
        <v>-9.9890892803350297</v>
      </c>
      <c r="FT102" s="4">
        <v>-9.9556967743440978</v>
      </c>
      <c r="FU102" s="4">
        <v>-9.9224039054927538</v>
      </c>
      <c r="FV102" s="4">
        <v>-9.8892114125563282</v>
      </c>
      <c r="FW102" s="4">
        <v>-9.8561204767588606</v>
      </c>
      <c r="FX102" s="4">
        <v>-9.8231327192614089</v>
      </c>
      <c r="FY102" s="4">
        <v>-9.7902501939311755</v>
      </c>
      <c r="FZ102" s="4">
        <v>-9.7574753753146233</v>
      </c>
      <c r="GA102" s="4">
        <v>-9.7248111417941399</v>
      </c>
      <c r="GB102" s="4">
        <v>-9.6922607539670214</v>
      </c>
      <c r="GC102" s="4">
        <v>-9.6598278283463177</v>
      </c>
      <c r="GD102" s="4">
        <v>-9.6275163065434484</v>
      </c>
      <c r="GE102" s="4">
        <v>-9.595330420154319</v>
      </c>
      <c r="GF102" s="4">
        <v>-9.5632746516286442</v>
      </c>
      <c r="GG102" s="4">
        <v>-9.5313536914584986</v>
      </c>
      <c r="GH102" s="4">
        <v>-9.4995723920738868</v>
      </c>
      <c r="GI102" s="4">
        <v>-9.4679357188801578</v>
      </c>
      <c r="GJ102" s="4">
        <v>-9.4364486989124252</v>
      </c>
      <c r="GK102" s="4">
        <v>-9.4051163676161416</v>
      </c>
      <c r="GL102" s="4">
        <v>-9.3739437142889379</v>
      </c>
      <c r="GM102" s="4">
        <v>-9.3429356267374892</v>
      </c>
      <c r="GN102" s="4">
        <v>-9.3120968357121754</v>
      </c>
      <c r="GO102" s="4">
        <v>-9.2814318596842433</v>
      </c>
      <c r="GP102" s="4">
        <v>-9.2509449505232659</v>
      </c>
      <c r="GQ102" s="4">
        <v>-9.220640040617349</v>
      </c>
      <c r="GR102" s="4">
        <v>-9.1905206919564506</v>
      </c>
      <c r="GS102" s="4">
        <v>-9.1605900476706399</v>
      </c>
      <c r="GT102" s="4">
        <v>-9.1308507864789021</v>
      </c>
      <c r="GU102" s="4">
        <v>-9.1013050804651723</v>
      </c>
      <c r="GV102" s="4">
        <v>-9.0719545565533934</v>
      </c>
      <c r="GW102" s="4">
        <v>-9.0428002620068462</v>
      </c>
      <c r="GX102" s="4">
        <v>-9.0138426342270517</v>
      </c>
      <c r="GY102" s="4">
        <v>-8.9850814750781467</v>
      </c>
      <c r="GZ102" s="4">
        <v>-8.9565159299119639</v>
      </c>
      <c r="HA102" s="4">
        <v>-8.9281444714191522</v>
      </c>
      <c r="HB102" s="4">
        <v>-8.8999648883835896</v>
      </c>
      <c r="HC102" s="4">
        <v>-8.8719742793713561</v>
      </c>
      <c r="HD102" s="4">
        <v>-8.8441690513411153</v>
      </c>
      <c r="HE102" s="4">
        <v>-8.8165449231214517</v>
      </c>
      <c r="HF102" s="4">
        <v>-8.7890969336631137</v>
      </c>
      <c r="HG102" s="4">
        <v>-8.7618194549379247</v>
      </c>
      <c r="HH102" s="4">
        <v>-8.7347062093240613</v>
      </c>
      <c r="HI102" s="4">
        <v>-8.7077502912881606</v>
      </c>
      <c r="HJ102" s="4">
        <v>-8.6809441931470968</v>
      </c>
      <c r="HK102" s="4">
        <v>-8.6542798346690688</v>
      </c>
      <c r="HL102" s="4">
        <v>-8.6277485962505196</v>
      </c>
      <c r="HM102" s="4">
        <v>-8.6013413553871221</v>
      </c>
      <c r="HN102" s="4">
        <v>-8.5750485261379623</v>
      </c>
      <c r="HO102" s="4">
        <v>-8.548860101267886</v>
      </c>
      <c r="HP102" s="4">
        <v>-8.5227656967382543</v>
      </c>
      <c r="HQ102" s="4">
        <v>-8.4967545982047206</v>
      </c>
      <c r="HR102" s="4">
        <v>-8.4708158091713237</v>
      </c>
      <c r="HS102" s="4">
        <v>-8.4449381004414761</v>
      </c>
      <c r="HT102" s="4">
        <v>-8.4191100605016125</v>
      </c>
      <c r="HU102" s="4">
        <v>-8.3933201464692644</v>
      </c>
      <c r="HV102" s="4">
        <v>-8.3675567352363842</v>
      </c>
      <c r="HW102" s="4">
        <v>-8.3418081744410557</v>
      </c>
      <c r="HX102" s="4">
        <v>-8.3160628329044215</v>
      </c>
      <c r="HY102" s="4">
        <v>-8.2903091501775457</v>
      </c>
      <c r="HZ102" s="4">
        <v>-8.264535684853346</v>
      </c>
      <c r="IA102" s="4">
        <v>-8.2387311613120602</v>
      </c>
      <c r="IB102" s="4">
        <v>-8.2128845145856761</v>
      </c>
      <c r="IC102" s="4">
        <v>-8.186984933046265</v>
      </c>
      <c r="ID102" s="4">
        <v>-8.1610218986462471</v>
      </c>
      <c r="IE102" s="4">
        <v>-8.1349852244636836</v>
      </c>
      <c r="IF102" s="4">
        <v>-8.1088650893342926</v>
      </c>
      <c r="IG102" s="4">
        <v>-8.0826520693819823</v>
      </c>
      <c r="IH102" s="4">
        <v>-8.0563371662919039</v>
      </c>
      <c r="II102" s="4">
        <v>-8.029911832204677</v>
      </c>
      <c r="IJ102" s="4">
        <v>-8.0033679911439179</v>
      </c>
      <c r="IK102" s="4">
        <v>-7.9766980569262422</v>
      </c>
      <c r="IL102" s="4">
        <v>-7.9498949475367864</v>
      </c>
      <c r="IM102" s="4">
        <v>-7.9229520959903299</v>
      </c>
    </row>
    <row r="103" spans="2:247" x14ac:dyDescent="0.35">
      <c r="B103" s="58">
        <v>0.87</v>
      </c>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v>-11.986142104353</v>
      </c>
      <c r="DW103" s="4">
        <v>-11.945556357357891</v>
      </c>
      <c r="DX103" s="4">
        <v>-11.90512077382388</v>
      </c>
      <c r="DY103" s="4">
        <v>-11.86483856722727</v>
      </c>
      <c r="DZ103" s="4">
        <v>-11.824712799109371</v>
      </c>
      <c r="EA103" s="4">
        <v>-11.784746365070321</v>
      </c>
      <c r="EB103" s="4">
        <v>-11.744941980944571</v>
      </c>
      <c r="EC103" s="4">
        <v>-11.705302169272001</v>
      </c>
      <c r="ED103" s="4">
        <v>-11.66582924618479</v>
      </c>
      <c r="EE103" s="4">
        <v>-11.626525308834781</v>
      </c>
      <c r="EF103" s="4">
        <v>-11.587392223491451</v>
      </c>
      <c r="EG103" s="4">
        <v>-11.548431614441499</v>
      </c>
      <c r="EH103" s="4">
        <v>-11.509644853825661</v>
      </c>
      <c r="EI103" s="4">
        <v>-11.47103305254592</v>
      </c>
      <c r="EJ103" s="4">
        <v>-11.4325970523774</v>
      </c>
      <c r="EK103" s="4">
        <v>-11.394337419415381</v>
      </c>
      <c r="EL103" s="4">
        <v>-11.35625443898406</v>
      </c>
      <c r="EM103" s="4">
        <v>-11.3183481121283</v>
      </c>
      <c r="EN103" s="4">
        <v>-11.280618153801401</v>
      </c>
      <c r="EO103" s="4">
        <v>-11.24306399285314</v>
      </c>
      <c r="EP103" s="4">
        <v>-11.20568477391191</v>
      </c>
      <c r="EQ103" s="4">
        <v>-11.168479361242211</v>
      </c>
      <c r="ER103" s="4">
        <v>-11.131446344644351</v>
      </c>
      <c r="ES103" s="4">
        <v>-11.094584047449329</v>
      </c>
      <c r="ET103" s="4">
        <v>-11.0578905366439</v>
      </c>
      <c r="EU103" s="4">
        <v>-11.021363635143571</v>
      </c>
      <c r="EV103" s="4">
        <v>-10.985000936212341</v>
      </c>
      <c r="EW103" s="4">
        <v>-10.94879982000775</v>
      </c>
      <c r="EX103" s="4">
        <v>-10.912757472209201</v>
      </c>
      <c r="EY103" s="4">
        <v>-10.876870904665671</v>
      </c>
      <c r="EZ103" s="4">
        <v>-10.84113697797685</v>
      </c>
      <c r="FA103" s="4">
        <v>-10.805552425899361</v>
      </c>
      <c r="FB103" s="4">
        <v>-10.77011388144658</v>
      </c>
      <c r="FC103" s="4">
        <v>-10.73481790452772</v>
      </c>
      <c r="FD103" s="4">
        <v>-10.69966101094934</v>
      </c>
      <c r="FE103" s="4">
        <v>-10.66463970257959</v>
      </c>
      <c r="FF103" s="4">
        <v>-10.629750498453999</v>
      </c>
      <c r="FG103" s="4">
        <v>-10.59498996658041</v>
      </c>
      <c r="FH103" s="4">
        <v>-10.560354756181081</v>
      </c>
      <c r="FI103" s="4">
        <v>-10.52584163009074</v>
      </c>
      <c r="FJ103" s="4">
        <v>-10.491447497013869</v>
      </c>
      <c r="FK103" s="4">
        <v>-10.45716944332915</v>
      </c>
      <c r="FL103" s="4">
        <v>-10.42300476411666</v>
      </c>
      <c r="FM103" s="4">
        <v>-10.388950993075641</v>
      </c>
      <c r="FN103" s="4">
        <v>-10.35500593099281</v>
      </c>
      <c r="FO103" s="4">
        <v>-10.32116767242084</v>
      </c>
      <c r="FP103" s="4">
        <v>-10.287434630227059</v>
      </c>
      <c r="FQ103" s="4">
        <v>-10.253805557679421</v>
      </c>
      <c r="FR103" s="4">
        <v>-10.220279567747051</v>
      </c>
      <c r="FS103" s="4">
        <v>-10.186856149308779</v>
      </c>
      <c r="FT103" s="4">
        <v>-10.15353517998358</v>
      </c>
      <c r="FU103" s="4">
        <v>-10.120316935322441</v>
      </c>
      <c r="FV103" s="4">
        <v>-10.08720209413228</v>
      </c>
      <c r="FW103" s="4">
        <v>-10.05419173973786</v>
      </c>
      <c r="FX103" s="4">
        <v>-10.02128735702801</v>
      </c>
      <c r="FY103" s="4">
        <v>-9.988490825176763</v>
      </c>
      <c r="FZ103" s="4">
        <v>-9.9558044059776947</v>
      </c>
      <c r="GA103" s="4">
        <v>-9.923230727781009</v>
      </c>
      <c r="GB103" s="4">
        <v>-9.8907727650757309</v>
      </c>
      <c r="GC103" s="4">
        <v>-9.8584338138132726</v>
      </c>
      <c r="GD103" s="4">
        <v>-9.8262174626243919</v>
      </c>
      <c r="GE103" s="4">
        <v>-9.7941275601343101</v>
      </c>
      <c r="GF103" s="4">
        <v>-9.7621681786341625</v>
      </c>
      <c r="GG103" s="4">
        <v>-9.7303435744163895</v>
      </c>
      <c r="GH103" s="4">
        <v>-9.698658145127542</v>
      </c>
      <c r="GI103" s="4">
        <v>-9.6671163845338484</v>
      </c>
      <c r="GJ103" s="4">
        <v>-9.6357228351312081</v>
      </c>
      <c r="GK103" s="4">
        <v>-9.6044820390607502</v>
      </c>
      <c r="GL103" s="4">
        <v>-9.5733984878154939</v>
      </c>
      <c r="GM103" s="4">
        <v>-9.5424765712388222</v>
      </c>
      <c r="GN103" s="4">
        <v>-9.5117205263258491</v>
      </c>
      <c r="GO103" s="4">
        <v>-9.4811343863390061</v>
      </c>
      <c r="GP103" s="4">
        <v>-9.4507219307449084</v>
      </c>
      <c r="GQ103" s="4">
        <v>-9.4204866364655935</v>
      </c>
      <c r="GR103" s="4">
        <v>-9.3904316309190339</v>
      </c>
      <c r="GS103" s="4">
        <v>-9.3605596472976735</v>
      </c>
      <c r="GT103" s="4">
        <v>-9.3308729825037044</v>
      </c>
      <c r="GU103" s="4">
        <v>-9.3013734581242531</v>
      </c>
      <c r="GV103" s="4">
        <v>-9.2720623847908445</v>
      </c>
      <c r="GW103" s="4">
        <v>-9.2429405302254288</v>
      </c>
      <c r="GX103" s="4">
        <v>-9.2140080912320457</v>
      </c>
      <c r="GY103" s="4">
        <v>-9.1852646698472462</v>
      </c>
      <c r="GZ103" s="4">
        <v>-9.1567092538181392</v>
      </c>
      <c r="HA103" s="4">
        <v>-9.1283402015308788</v>
      </c>
      <c r="HB103" s="4">
        <v>-9.1001552314692997</v>
      </c>
      <c r="HC103" s="4">
        <v>-9.0721514162398869</v>
      </c>
      <c r="HD103" s="4">
        <v>-9.0443251811592962</v>
      </c>
      <c r="HE103" s="4">
        <v>-9.0166723073622634</v>
      </c>
      <c r="HF103" s="4">
        <v>-8.9891879393506322</v>
      </c>
      <c r="HG103" s="4">
        <v>-8.9618665968723867</v>
      </c>
      <c r="HH103" s="4">
        <v>-8.9347021909870605</v>
      </c>
      <c r="HI103" s="4">
        <v>-8.9076880441464894</v>
      </c>
      <c r="HJ103" s="4">
        <v>-8.8808169140934652</v>
      </c>
      <c r="HK103" s="4">
        <v>-8.8540810213576506</v>
      </c>
      <c r="HL103" s="4">
        <v>-8.8274720801063111</v>
      </c>
      <c r="HM103" s="4">
        <v>-8.8009813320886181</v>
      </c>
      <c r="HN103" s="4">
        <v>-8.7745995833949326</v>
      </c>
      <c r="HO103" s="4">
        <v>-8.7483172437377128</v>
      </c>
      <c r="HP103" s="4">
        <v>-8.7221243679463569</v>
      </c>
      <c r="HQ103" s="4">
        <v>-8.6960106993585669</v>
      </c>
      <c r="HR103" s="4">
        <v>-8.6699657147801812</v>
      </c>
      <c r="HS103" s="4">
        <v>-8.6439786706784165</v>
      </c>
      <c r="HT103" s="4">
        <v>-8.61803865026884</v>
      </c>
      <c r="HU103" s="4">
        <v>-8.5921346111524528</v>
      </c>
      <c r="HV103" s="4">
        <v>-8.5662554331596343</v>
      </c>
      <c r="HW103" s="4">
        <v>-8.540389966058715</v>
      </c>
      <c r="HX103" s="4">
        <v>-8.5145270767923282</v>
      </c>
      <c r="HY103" s="4">
        <v>-8.4886556959107686</v>
      </c>
      <c r="HZ103" s="4">
        <v>-8.4627648628828638</v>
      </c>
      <c r="IA103" s="4">
        <v>-8.4368437699768197</v>
      </c>
      <c r="IB103" s="4">
        <v>-8.4108818044191906</v>
      </c>
      <c r="IC103" s="4">
        <v>-8.3848685885588417</v>
      </c>
      <c r="ID103" s="4">
        <v>-8.3587940177839286</v>
      </c>
      <c r="IE103" s="4">
        <v>-8.3326482959625796</v>
      </c>
      <c r="IF103" s="4">
        <v>-8.3064219682052318</v>
      </c>
      <c r="IG103" s="4">
        <v>-8.2801059507728532</v>
      </c>
      <c r="IH103" s="4">
        <v>-8.2536915579859365</v>
      </c>
      <c r="II103" s="4">
        <v>-8.2271705260193784</v>
      </c>
      <c r="IJ103" s="4">
        <v>-8.2005350335005467</v>
      </c>
      <c r="IK103" s="4">
        <v>-8.1737777188592986</v>
      </c>
      <c r="IL103" s="4">
        <v>-8.1468916944118543</v>
      </c>
      <c r="IM103" s="4">
        <v>-8.1198705571918346</v>
      </c>
    </row>
    <row r="104" spans="2:247" x14ac:dyDescent="0.35">
      <c r="B104" s="58">
        <v>0.88</v>
      </c>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v>-12.1809810364739</v>
      </c>
      <c r="DW104" s="4">
        <v>-12.140495383442691</v>
      </c>
      <c r="DX104" s="4">
        <v>-12.10015848860275</v>
      </c>
      <c r="DY104" s="4">
        <v>-12.059973429102969</v>
      </c>
      <c r="DZ104" s="4">
        <v>-12.01994313404929</v>
      </c>
      <c r="EA104" s="4">
        <v>-11.98007037148535</v>
      </c>
      <c r="EB104" s="4">
        <v>-11.940357735582261</v>
      </c>
      <c r="EC104" s="4">
        <v>-11.90080763414378</v>
      </c>
      <c r="ED104" s="4">
        <v>-11.86142227653851</v>
      </c>
      <c r="EE104" s="4">
        <v>-11.82220366217444</v>
      </c>
      <c r="EF104" s="4">
        <v>-11.78315356963599</v>
      </c>
      <c r="EG104" s="4">
        <v>-11.744273546604109</v>
      </c>
      <c r="EH104" s="4">
        <v>-11.705564900683161</v>
      </c>
      <c r="EI104" s="4">
        <v>-11.66702869125676</v>
      </c>
      <c r="EJ104" s="4">
        <v>-11.62866572249442</v>
      </c>
      <c r="EK104" s="4">
        <v>-11.590476537627319</v>
      </c>
      <c r="EL104" s="4">
        <v>-11.55246141460783</v>
      </c>
      <c r="EM104" s="4">
        <v>-11.514620363261381</v>
      </c>
      <c r="EN104" s="4">
        <v>-11.476953124032161</v>
      </c>
      <c r="EO104" s="4">
        <v>-11.439459168415571</v>
      </c>
      <c r="EP104" s="4">
        <v>-11.402137701159679</v>
      </c>
      <c r="EQ104" s="4">
        <v>-11.36498766430709</v>
      </c>
      <c r="ER104" s="4">
        <v>-11.328007743134689</v>
      </c>
      <c r="ES104" s="4">
        <v>-11.291196374035501</v>
      </c>
      <c r="ET104" s="4">
        <v>-11.25455175437015</v>
      </c>
      <c r="EU104" s="4">
        <v>-11.218071854299771</v>
      </c>
      <c r="EV104" s="4">
        <v>-11.18175443059395</v>
      </c>
      <c r="EW104" s="4">
        <v>-11.145597042389261</v>
      </c>
      <c r="EX104" s="4">
        <v>-11.109597068853381</v>
      </c>
      <c r="EY104" s="4">
        <v>-11.07375172869159</v>
      </c>
      <c r="EZ104" s="4">
        <v>-11.0380581014104</v>
      </c>
      <c r="FA104" s="4">
        <v>-11.00251315023295</v>
      </c>
      <c r="FB104" s="4">
        <v>-10.967113746539781</v>
      </c>
      <c r="FC104" s="4">
        <v>-10.931856695687699</v>
      </c>
      <c r="FD104" s="4">
        <v>-10.89673876403794</v>
      </c>
      <c r="FE104" s="4">
        <v>-10.86175670700591</v>
      </c>
      <c r="FF104" s="4">
        <v>-10.82690729792338</v>
      </c>
      <c r="FG104" s="4">
        <v>-10.792187357486441</v>
      </c>
      <c r="FH104" s="4">
        <v>-10.75759378354423</v>
      </c>
      <c r="FI104" s="4">
        <v>-10.72312358096737</v>
      </c>
      <c r="FJ104" s="4">
        <v>-10.68877389132032</v>
      </c>
      <c r="FK104" s="4">
        <v>-10.65454202204956</v>
      </c>
      <c r="FL104" s="4">
        <v>-10.62042547488981</v>
      </c>
      <c r="FM104" s="4">
        <v>-10.58642197318207</v>
      </c>
      <c r="FN104" s="4">
        <v>-10.55252948779421</v>
      </c>
      <c r="FO104" s="4">
        <v>-10.51874626133316</v>
      </c>
      <c r="FP104" s="4">
        <v>-10.485070830340771</v>
      </c>
      <c r="FQ104" s="4">
        <v>-10.45150204517239</v>
      </c>
      <c r="FR104" s="4">
        <v>-10.418039087267569</v>
      </c>
      <c r="FS104" s="4">
        <v>-10.384681483538349</v>
      </c>
      <c r="FT104" s="4">
        <v>-10.35142911761991</v>
      </c>
      <c r="FU104" s="4">
        <v>-10.31828223775261</v>
      </c>
      <c r="FV104" s="4">
        <v>-10.28524146109315</v>
      </c>
      <c r="FW104" s="4">
        <v>-10.25230777428569</v>
      </c>
      <c r="FX104" s="4">
        <v>-10.21948253016024</v>
      </c>
      <c r="FY104" s="4">
        <v>-10.18676744046595</v>
      </c>
      <c r="FZ104" s="4">
        <v>-10.154164564591021</v>
      </c>
      <c r="GA104" s="4">
        <v>-10.121676294265811</v>
      </c>
      <c r="GB104" s="4">
        <v>-10.089305334294471</v>
      </c>
      <c r="GC104" s="4">
        <v>-10.05705467940836</v>
      </c>
      <c r="GD104" s="4">
        <v>-10.024927587383971</v>
      </c>
      <c r="GE104" s="4">
        <v>-9.9929275486157891</v>
      </c>
      <c r="GF104" s="4">
        <v>-9.961058252382097</v>
      </c>
      <c r="GG104" s="4">
        <v>-9.9293235500850727</v>
      </c>
      <c r="GH104" s="4">
        <v>-9.8977274157882604</v>
      </c>
      <c r="GI104" s="4">
        <v>-9.8662739044112833</v>
      </c>
      <c r="GJ104" s="4">
        <v>-9.8349671079740801</v>
      </c>
      <c r="GK104" s="4">
        <v>-9.8038111103091765</v>
      </c>
      <c r="GL104" s="4">
        <v>-9.772809940682766</v>
      </c>
      <c r="GM104" s="4">
        <v>-9.7419675267786801</v>
      </c>
      <c r="GN104" s="4">
        <v>-9.7112876475088434</v>
      </c>
      <c r="GO104" s="4">
        <v>-9.6807738861149097</v>
      </c>
      <c r="GP104" s="4">
        <v>-9.6504295840217225</v>
      </c>
      <c r="GQ104" s="4">
        <v>-9.620257795891451</v>
      </c>
      <c r="GR104" s="4">
        <v>-9.5902612463123127</v>
      </c>
      <c r="GS104" s="4">
        <v>-9.5604422885313873</v>
      </c>
      <c r="GT104" s="4">
        <v>-9.5308028656163621</v>
      </c>
      <c r="GU104" s="4">
        <v>-9.5013444743986053</v>
      </c>
      <c r="GV104" s="4">
        <v>-9.4720681325161422</v>
      </c>
      <c r="GW104" s="4">
        <v>-9.4429743488377067</v>
      </c>
      <c r="GX104" s="4">
        <v>-9.4140630975097448</v>
      </c>
      <c r="GY104" s="4">
        <v>-9.3853337958286005</v>
      </c>
      <c r="GZ104" s="4">
        <v>-9.3567852860980807</v>
      </c>
      <c r="HA104" s="4">
        <v>-9.32841582159271</v>
      </c>
      <c r="HB104" s="4">
        <v>-9.3002230567064714</v>
      </c>
      <c r="HC104" s="4">
        <v>-9.2722040413272779</v>
      </c>
      <c r="HD104" s="4">
        <v>-9.2443552194406102</v>
      </c>
      <c r="HE104" s="4">
        <v>-9.2166724319294868</v>
      </c>
      <c r="HF104" s="4">
        <v>-9.1891509235040729</v>
      </c>
      <c r="HG104" s="4">
        <v>-9.1617853536629212</v>
      </c>
      <c r="HH104" s="4">
        <v>-9.1345698115582987</v>
      </c>
      <c r="HI104" s="4">
        <v>-9.1074978346109638</v>
      </c>
      <c r="HJ104" s="4">
        <v>-9.0805624306947728</v>
      </c>
      <c r="HK104" s="4">
        <v>-9.0537561036886025</v>
      </c>
      <c r="HL104" s="4">
        <v>-9.0270708821733407</v>
      </c>
      <c r="HM104" s="4">
        <v>-9.0004983510314425</v>
      </c>
      <c r="HN104" s="4">
        <v>-8.9740296856919102</v>
      </c>
      <c r="HO104" s="4">
        <v>-8.9476556887471368</v>
      </c>
      <c r="HP104" s="4">
        <v>-8.9213668286566339</v>
      </c>
      <c r="HQ104" s="4">
        <v>-8.8951532802409261</v>
      </c>
      <c r="HR104" s="4">
        <v>-8.8690049666607642</v>
      </c>
      <c r="HS104" s="4">
        <v>-8.8429116025688224</v>
      </c>
      <c r="HT104" s="4">
        <v>-8.8168627381179228</v>
      </c>
      <c r="HU104" s="4">
        <v>-8.7908478035053932</v>
      </c>
      <c r="HV104" s="4">
        <v>-8.7648561537339198</v>
      </c>
      <c r="HW104" s="4">
        <v>-8.7388771132710126</v>
      </c>
      <c r="HX104" s="4">
        <v>-8.7129000202932652</v>
      </c>
      <c r="HY104" s="4">
        <v>-8.68691427020884</v>
      </c>
      <c r="HZ104" s="4">
        <v>-8.660909358161291</v>
      </c>
      <c r="IA104" s="4">
        <v>-8.6348749202288744</v>
      </c>
      <c r="IB104" s="4">
        <v>-8.6088007730496354</v>
      </c>
      <c r="IC104" s="4">
        <v>-8.582676951618236</v>
      </c>
      <c r="ID104" s="4">
        <v>-8.556493745020795</v>
      </c>
      <c r="IE104" s="4">
        <v>-8.5302417298954119</v>
      </c>
      <c r="IF104" s="4">
        <v>-8.5039118014295862</v>
      </c>
      <c r="IG104" s="4">
        <v>-8.477495201731827</v>
      </c>
      <c r="IH104" s="4">
        <v>-8.4509835454406321</v>
      </c>
      <c r="II104" s="4">
        <v>-8.4243688424629948</v>
      </c>
      <c r="IJ104" s="4">
        <v>-8.3976435177639495</v>
      </c>
      <c r="IK104" s="4">
        <v>-8.3708004281557606</v>
      </c>
      <c r="IL104" s="4">
        <v>-8.3438328760676086</v>
      </c>
      <c r="IM104" s="4">
        <v>-8.3167346203033929</v>
      </c>
    </row>
    <row r="105" spans="2:247" x14ac:dyDescent="0.35">
      <c r="B105" s="58">
        <v>0.89</v>
      </c>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v>-12.37591125694515</v>
      </c>
      <c r="DW105" s="4">
        <v>-12.33552384394199</v>
      </c>
      <c r="DX105" s="4">
        <v>-12.29528379925384</v>
      </c>
      <c r="DY105" s="4">
        <v>-12.255194071765869</v>
      </c>
      <c r="DZ105" s="4">
        <v>-12.21525746629802</v>
      </c>
      <c r="EA105" s="4">
        <v>-12.17547663150695</v>
      </c>
      <c r="EB105" s="4">
        <v>-12.13585404801935</v>
      </c>
      <c r="EC105" s="4">
        <v>-12.09639201689585</v>
      </c>
      <c r="ED105" s="4">
        <v>-12.05709264852862</v>
      </c>
      <c r="EE105" s="4">
        <v>-12.017957852080521</v>
      </c>
      <c r="EF105" s="4">
        <v>-11.978989325574741</v>
      </c>
      <c r="EG105" s="4">
        <v>-11.94018854674756</v>
      </c>
      <c r="EH105" s="4">
        <v>-11.901556764776061</v>
      </c>
      <c r="EI105" s="4">
        <v>-11.863094992993149</v>
      </c>
      <c r="EJ105" s="4">
        <v>-11.8248040027005</v>
      </c>
      <c r="EK105" s="4">
        <v>-11.78668431818588</v>
      </c>
      <c r="EL105" s="4">
        <v>-11.74873621304986</v>
      </c>
      <c r="EM105" s="4">
        <v>-11.71095970793775</v>
      </c>
      <c r="EN105" s="4">
        <v>-11.67335456976857</v>
      </c>
      <c r="EO105" s="4">
        <v>-11.63592031254308</v>
      </c>
      <c r="EP105" s="4">
        <v>-11.598656199803511</v>
      </c>
      <c r="EQ105" s="4">
        <v>-11.56156124880679</v>
      </c>
      <c r="ER105" s="4">
        <v>-11.52463423646055</v>
      </c>
      <c r="ES105" s="4">
        <v>-11.48787370705854</v>
      </c>
      <c r="ET105" s="4">
        <v>-11.451277981836149</v>
      </c>
      <c r="EU105" s="4">
        <v>-11.414845170353059</v>
      </c>
      <c r="EV105" s="4">
        <v>-11.37857318369174</v>
      </c>
      <c r="EW105" s="4">
        <v>-11.34245974944456</v>
      </c>
      <c r="EX105" s="4">
        <v>-11.306502428443981</v>
      </c>
      <c r="EY105" s="4">
        <v>-11.270698633171209</v>
      </c>
      <c r="EZ105" s="4">
        <v>-11.23504564776125</v>
      </c>
      <c r="FA105" s="4">
        <v>-11.19954064950095</v>
      </c>
      <c r="FB105" s="4">
        <v>-11.164180731699821</v>
      </c>
      <c r="FC105" s="4">
        <v>-11.128962927792401</v>
      </c>
      <c r="FD105" s="4">
        <v>-11.093884236512711</v>
      </c>
      <c r="FE105" s="4">
        <v>-11.058941647963151</v>
      </c>
      <c r="FF105" s="4">
        <v>-11.02413217038159</v>
      </c>
      <c r="FG105" s="4">
        <v>-10.989452857394751</v>
      </c>
      <c r="FH105" s="4">
        <v>-10.95490083552872</v>
      </c>
      <c r="FI105" s="4">
        <v>-10.920473331734749</v>
      </c>
      <c r="FJ105" s="4">
        <v>-10.88616770067444</v>
      </c>
      <c r="FK105" s="4">
        <v>-10.85198145149878</v>
      </c>
      <c r="FL105" s="4">
        <v>-10.817912273846879</v>
      </c>
      <c r="FM105" s="4">
        <v>-10.783958062783871</v>
      </c>
      <c r="FN105" s="4">
        <v>-10.75011694239535</v>
      </c>
      <c r="FO105" s="4">
        <v>-10.71638728775552</v>
      </c>
      <c r="FP105" s="4">
        <v>-10.682767744989469</v>
      </c>
      <c r="FQ105" s="4">
        <v>-10.64925724915766</v>
      </c>
      <c r="FR105" s="4">
        <v>-10.61585503970143</v>
      </c>
      <c r="FS105" s="4">
        <v>-10.58256067320295</v>
      </c>
      <c r="FT105" s="4">
        <v>-10.54937403323221</v>
      </c>
      <c r="FU105" s="4">
        <v>-10.51629533707618</v>
      </c>
      <c r="FV105" s="4">
        <v>-10.483325139171971</v>
      </c>
      <c r="FW105" s="4">
        <v>-10.45046433109589</v>
      </c>
      <c r="FX105" s="4">
        <v>-10.41771413799442</v>
      </c>
      <c r="FY105" s="4">
        <v>-10.385076111379639</v>
      </c>
      <c r="FZ105" s="4">
        <v>-10.352552118250941</v>
      </c>
      <c r="GA105" s="4">
        <v>-10.32014432654668</v>
      </c>
      <c r="GB105" s="4">
        <v>-10.28785518697206</v>
      </c>
      <c r="GC105" s="4">
        <v>-10.255687411293311</v>
      </c>
      <c r="GD105" s="4">
        <v>-10.22364394723232</v>
      </c>
      <c r="GE105" s="4">
        <v>-10.191727950138739</v>
      </c>
      <c r="GF105" s="4">
        <v>-10.159942751658591</v>
      </c>
      <c r="GG105" s="4">
        <v>-10.128291825657399</v>
      </c>
      <c r="GH105" s="4">
        <v>-10.096778751693639</v>
      </c>
      <c r="GI105" s="4">
        <v>-10.06540717636959</v>
      </c>
      <c r="GJ105" s="4">
        <v>-10.034180772917249</v>
      </c>
      <c r="GK105" s="4">
        <v>-10.0031031993996</v>
      </c>
      <c r="GL105" s="4">
        <v>-9.9721780559272979</v>
      </c>
      <c r="GM105" s="4">
        <v>-9.9414088413036374</v>
      </c>
      <c r="GN105" s="4">
        <v>-9.910798909518622</v>
      </c>
      <c r="GO105" s="4">
        <v>-9.8803514265147552</v>
      </c>
      <c r="GP105" s="4">
        <v>-9.8500693276435456</v>
      </c>
      <c r="GQ105" s="4">
        <v>-9.8199552762223536</v>
      </c>
      <c r="GR105" s="4">
        <v>-9.7900116235865262</v>
      </c>
      <c r="GS105" s="4">
        <v>-9.7602403710129746</v>
      </c>
      <c r="GT105" s="4">
        <v>-9.730643133867126</v>
      </c>
      <c r="GU105" s="4">
        <v>-9.7012211082983963</v>
      </c>
      <c r="GV105" s="4">
        <v>-9.6719750407780545</v>
      </c>
      <c r="GW105" s="4">
        <v>-9.6429052007409517</v>
      </c>
      <c r="GX105" s="4">
        <v>-9.614011356557091</v>
      </c>
      <c r="GY105" s="4">
        <v>-9.5852927550228841</v>
      </c>
      <c r="GZ105" s="4">
        <v>-9.5567481045252283</v>
      </c>
      <c r="HA105" s="4">
        <v>-9.5283755619937693</v>
      </c>
      <c r="HB105" s="4">
        <v>-9.5001727237208513</v>
      </c>
      <c r="HC105" s="4">
        <v>-9.4721366200924439</v>
      </c>
      <c r="HD105" s="4">
        <v>-9.4442637142380548</v>
      </c>
      <c r="HE105" s="4">
        <v>-9.4165499045754277</v>
      </c>
      <c r="HF105" s="4">
        <v>-9.3889905311936452</v>
      </c>
      <c r="HG105" s="4">
        <v>-9.3615803859879456</v>
      </c>
      <c r="HH105" s="4">
        <v>-9.3343137264337237</v>
      </c>
      <c r="HI105" s="4">
        <v>-9.307184292858512</v>
      </c>
      <c r="HJ105" s="4">
        <v>-9.280185329049992</v>
      </c>
      <c r="HK105" s="4">
        <v>-9.2533096060138931</v>
      </c>
      <c r="HL105" s="4">
        <v>-9.2265494486770727</v>
      </c>
      <c r="HM105" s="4">
        <v>-9.1998967653129675</v>
      </c>
      <c r="HN105" s="4">
        <v>-9.1733430794504258</v>
      </c>
      <c r="HO105" s="4">
        <v>-9.1468795640126856</v>
      </c>
      <c r="HP105" s="4">
        <v>-9.12049707742176</v>
      </c>
      <c r="HQ105" s="4">
        <v>-9.0941862013921408</v>
      </c>
      <c r="HR105" s="4">
        <v>-9.067937280129982</v>
      </c>
      <c r="HS105" s="4">
        <v>-9.0417404606472687</v>
      </c>
      <c r="HT105" s="4">
        <v>-9.0155857338958345</v>
      </c>
      <c r="HU105" s="4">
        <v>-8.9894629764237841</v>
      </c>
      <c r="HV105" s="4">
        <v>-8.9633619922568819</v>
      </c>
      <c r="HW105" s="4">
        <v>-8.9372725547089136</v>
      </c>
      <c r="HX105" s="4">
        <v>-8.9111844478295694</v>
      </c>
      <c r="HY105" s="4">
        <v>-8.8850875072053697</v>
      </c>
      <c r="HZ105" s="4">
        <v>-8.8589716598371027</v>
      </c>
      <c r="IA105" s="4">
        <v>-8.8328269628294152</v>
      </c>
      <c r="IB105" s="4">
        <v>-8.8066436406416244</v>
      </c>
      <c r="IC105" s="4">
        <v>-8.7804121206638968</v>
      </c>
      <c r="ID105" s="4">
        <v>-8.7541230669024035</v>
      </c>
      <c r="IE105" s="4">
        <v>-8.7277674115750585</v>
      </c>
      <c r="IF105" s="4">
        <v>-8.7013363844432696</v>
      </c>
      <c r="IG105" s="4">
        <v>-8.674821539726409</v>
      </c>
      <c r="IH105" s="4">
        <v>-8.6482147804722658</v>
      </c>
      <c r="II105" s="4">
        <v>-8.6215083802809502</v>
      </c>
      <c r="IJ105" s="4">
        <v>-8.5946950023064197</v>
      </c>
      <c r="IK105" s="4">
        <v>-8.5677677154871272</v>
      </c>
      <c r="IL105" s="4">
        <v>-8.5407200079829373</v>
      </c>
      <c r="IM105" s="4">
        <v>-8.5135457978227222</v>
      </c>
    </row>
    <row r="106" spans="2:247" x14ac:dyDescent="0.35">
      <c r="B106" s="58">
        <v>0.9</v>
      </c>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v>-12.57092974630473</v>
      </c>
      <c r="DW106" s="4">
        <v>-12.53063877137874</v>
      </c>
      <c r="DX106" s="4">
        <v>-12.49049379152453</v>
      </c>
      <c r="DY106" s="4">
        <v>-12.45049763491895</v>
      </c>
      <c r="DZ106" s="4">
        <v>-12.41065298970525</v>
      </c>
      <c r="EA106" s="4">
        <v>-12.3709623927541</v>
      </c>
      <c r="EB106" s="4">
        <v>-12.33142821867405</v>
      </c>
      <c r="EC106" s="4">
        <v>-12.292052669163541</v>
      </c>
      <c r="ED106" s="4">
        <v>-12.252837762799951</v>
      </c>
      <c r="EE106" s="4">
        <v>-12.213785325365411</v>
      </c>
      <c r="EF106" s="4">
        <v>-12.174896980810381</v>
      </c>
      <c r="EG106" s="4">
        <v>-12.136174142957049</v>
      </c>
      <c r="EH106" s="4">
        <v>-12.09761800804648</v>
      </c>
      <c r="EI106" s="4">
        <v>-12.05922954823065</v>
      </c>
      <c r="EJ106" s="4">
        <v>-12.02100950611041</v>
      </c>
      <c r="EK106" s="4">
        <v>-11.982958390416229</v>
      </c>
      <c r="EL106" s="4">
        <v>-11.945076472925161</v>
      </c>
      <c r="EM106" s="4">
        <v>-11.90736378670136</v>
      </c>
      <c r="EN106" s="4">
        <v>-11.86982012574097</v>
      </c>
      <c r="EO106" s="4">
        <v>-11.832445046094779</v>
      </c>
      <c r="EP106" s="4">
        <v>-11.79523786853172</v>
      </c>
      <c r="EQ106" s="4">
        <v>-11.758197682797309</v>
      </c>
      <c r="ER106" s="4">
        <v>-11.721323353508589</v>
      </c>
      <c r="ES106" s="4">
        <v>-11.684613527714889</v>
      </c>
      <c r="ET106" s="4">
        <v>-11.64806664414054</v>
      </c>
      <c r="EU106" s="4">
        <v>-11.61168094411059</v>
      </c>
      <c r="EV106" s="4">
        <v>-11.575454484145769</v>
      </c>
      <c r="EW106" s="4">
        <v>-11.53938515019663</v>
      </c>
      <c r="EX106" s="4">
        <v>-11.50347067347041</v>
      </c>
      <c r="EY106" s="4">
        <v>-11.46770864778701</v>
      </c>
      <c r="EZ106" s="4">
        <v>-11.43209654838294</v>
      </c>
      <c r="FA106" s="4">
        <v>-11.396631752064691</v>
      </c>
      <c r="FB106" s="4">
        <v>-11.36131155859545</v>
      </c>
      <c r="FC106" s="4">
        <v>-11.326133213181199</v>
      </c>
      <c r="FD106" s="4">
        <v>-11.29109392990506</v>
      </c>
      <c r="FE106" s="4">
        <v>-11.256190915943</v>
      </c>
      <c r="FF106" s="4">
        <v>-11.22142139637617</v>
      </c>
      <c r="FG106" s="4">
        <v>-11.18678263940236</v>
      </c>
      <c r="FH106" s="4">
        <v>-11.152271981732699</v>
      </c>
      <c r="FI106" s="4">
        <v>-11.117886853949461</v>
      </c>
      <c r="FJ106" s="4">
        <v>-11.08362480558811</v>
      </c>
      <c r="FK106" s="4">
        <v>-11.049483529698721</v>
      </c>
      <c r="FL106" s="4">
        <v>-11.015460886634591</v>
      </c>
      <c r="FM106" s="4">
        <v>-10.98155492681178</v>
      </c>
      <c r="FN106" s="4">
        <v>-10.947763912180489</v>
      </c>
      <c r="FO106" s="4">
        <v>-10.91408633615155</v>
      </c>
      <c r="FP106" s="4">
        <v>-10.88052094172448</v>
      </c>
      <c r="FQ106" s="4">
        <v>-10.84706673757116</v>
      </c>
      <c r="FR106" s="4">
        <v>-10.813723011839921</v>
      </c>
      <c r="FS106" s="4">
        <v>-10.78048934345947</v>
      </c>
      <c r="FT106" s="4">
        <v>-10.747365610739459</v>
      </c>
      <c r="FU106" s="4">
        <v>-10.71435199708576</v>
      </c>
      <c r="FV106" s="4">
        <v>-10.68144899367369</v>
      </c>
      <c r="FW106" s="4">
        <v>-10.64865739894981</v>
      </c>
      <c r="FX106" s="4">
        <v>-10.615978314864259</v>
      </c>
      <c r="FY106" s="4">
        <v>-10.58341313976846</v>
      </c>
      <c r="FZ106" s="4">
        <v>-10.550963557949711</v>
      </c>
      <c r="GA106" s="4">
        <v>-10.518631525810511</v>
      </c>
      <c r="GB106" s="4">
        <v>-10.486419254740481</v>
      </c>
      <c r="GC106" s="4">
        <v>-10.454329190766851</v>
      </c>
      <c r="GD106" s="4">
        <v>-10.42236399110962</v>
      </c>
      <c r="GE106" s="4">
        <v>-10.39052649780578</v>
      </c>
      <c r="GF106" s="4">
        <v>-10.358819708604591</v>
      </c>
      <c r="GG106" s="4">
        <v>-10.32724674537077</v>
      </c>
      <c r="GH106" s="4">
        <v>-10.2958108202657</v>
      </c>
      <c r="GI106" s="4">
        <v>-10.264515200005849</v>
      </c>
      <c r="GJ106" s="4">
        <v>-10.23336316852356</v>
      </c>
      <c r="GK106" s="4">
        <v>-10.202357988376621</v>
      </c>
      <c r="GL106" s="4">
        <v>-10.171502861270261</v>
      </c>
      <c r="GM106" s="4">
        <v>-10.14080088806732</v>
      </c>
      <c r="GN106" s="4">
        <v>-10.11025502866883</v>
      </c>
      <c r="GO106" s="4">
        <v>-10.07986806215008</v>
      </c>
      <c r="GP106" s="4">
        <v>-10.049642547533489</v>
      </c>
      <c r="GQ106" s="4">
        <v>-10.019580785571939</v>
      </c>
      <c r="GR106" s="4">
        <v>-9.9896847819034953</v>
      </c>
      <c r="GS106" s="4">
        <v>-9.959956211921849</v>
      </c>
      <c r="GT106" s="4">
        <v>-9.9303963876851284</v>
      </c>
      <c r="GU106" s="4">
        <v>-9.9010062271627337</v>
      </c>
      <c r="GV106" s="4">
        <v>-9.8717862260916256</v>
      </c>
      <c r="GW106" s="4">
        <v>-9.8427364326843474</v>
      </c>
      <c r="GX106" s="4">
        <v>-9.8138564253998251</v>
      </c>
      <c r="GY106" s="4">
        <v>-9.7851452939550647</v>
      </c>
      <c r="GZ106" s="4">
        <v>-9.7566016237225259</v>
      </c>
      <c r="HA106" s="4">
        <v>-9.7282234836245074</v>
      </c>
      <c r="HB106" s="4">
        <v>-9.7000084176020422</v>
      </c>
      <c r="HC106" s="4">
        <v>-9.6719534397030422</v>
      </c>
      <c r="HD106" s="4">
        <v>-9.6440550328023633</v>
      </c>
      <c r="HE106" s="4">
        <v>-9.6163091509355958</v>
      </c>
      <c r="HF106" s="4">
        <v>-9.5887112251993756</v>
      </c>
      <c r="HG106" s="4">
        <v>-9.5612561731419525</v>
      </c>
      <c r="HH106" s="4">
        <v>-9.5339384115431507</v>
      </c>
      <c r="HI106" s="4">
        <v>-9.5067518724573716</v>
      </c>
      <c r="HJ106" s="4">
        <v>-9.479690022370912</v>
      </c>
      <c r="HK106" s="4">
        <v>-9.4527458843040861</v>
      </c>
      <c r="HL106" s="4">
        <v>-9.4259120626700721</v>
      </c>
      <c r="HM106" s="4">
        <v>-9.399180770684648</v>
      </c>
      <c r="HN106" s="4">
        <v>-9.3725438601058855</v>
      </c>
      <c r="HO106" s="4">
        <v>-9.3459928530696992</v>
      </c>
      <c r="HP106" s="4">
        <v>-9.3195189757749262</v>
      </c>
      <c r="HQ106" s="4">
        <v>-9.2931131937618652</v>
      </c>
      <c r="HR106" s="4">
        <v>-9.2667662485204438</v>
      </c>
      <c r="HS106" s="4">
        <v>-9.2404686951577411</v>
      </c>
      <c r="HT106" s="4">
        <v>-9.2142109408503821</v>
      </c>
      <c r="HU106" s="4">
        <v>-9.1879832838054334</v>
      </c>
      <c r="HV106" s="4">
        <v>-9.1617759524524622</v>
      </c>
      <c r="HW106" s="4">
        <v>-9.1355791445928194</v>
      </c>
      <c r="HX106" s="4">
        <v>-9.1093830662341553</v>
      </c>
      <c r="HY106" s="4">
        <v>-9.0831779698463411</v>
      </c>
      <c r="HZ106" s="4">
        <v>-9.0569541917822924</v>
      </c>
      <c r="IA106" s="4">
        <v>-9.0307021886176067</v>
      </c>
      <c r="IB106" s="4">
        <v>-9.0044125721761272</v>
      </c>
      <c r="IC106" s="4">
        <v>-8.9780761430230207</v>
      </c>
      <c r="ID106" s="4">
        <v>-8.9516839222229514</v>
      </c>
      <c r="IE106" s="4">
        <v>-8.9252271811800057</v>
      </c>
      <c r="IF106" s="4">
        <v>-8.8986974693958789</v>
      </c>
      <c r="IG106" s="4">
        <v>-8.8720866400035447</v>
      </c>
      <c r="IH106" s="4">
        <v>-8.8453868729567553</v>
      </c>
      <c r="II106" s="4">
        <v>-8.8185906957792231</v>
      </c>
      <c r="IJ106" s="4">
        <v>-8.7916910018006327</v>
      </c>
      <c r="IK106" s="4">
        <v>-8.7646810658318408</v>
      </c>
      <c r="IL106" s="4">
        <v>-8.7375545572546649</v>
      </c>
      <c r="IM106" s="4">
        <v>-8.7103055505278313</v>
      </c>
    </row>
    <row r="107" spans="2:247" x14ac:dyDescent="0.35">
      <c r="B107" s="58">
        <v>0.91</v>
      </c>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v>-12.766033586301759</v>
      </c>
      <c r="DW107" s="4">
        <v>-12.725837296892671</v>
      </c>
      <c r="DX107" s="4">
        <v>-12.68578564691397</v>
      </c>
      <c r="DY107" s="4">
        <v>-12.645881350907359</v>
      </c>
      <c r="DZ107" s="4">
        <v>-12.60612698743827</v>
      </c>
      <c r="EA107" s="4">
        <v>-12.56652498865791</v>
      </c>
      <c r="EB107" s="4">
        <v>-12.52707763012801</v>
      </c>
      <c r="EC107" s="4">
        <v>-12.487787020995</v>
      </c>
      <c r="ED107" s="4">
        <v>-12.44865509460146</v>
      </c>
      <c r="EE107" s="4">
        <v>-12.409683599626989</v>
      </c>
      <c r="EF107" s="4">
        <v>-12.370874091851769</v>
      </c>
      <c r="EG107" s="4">
        <v>-12.3322279266362</v>
      </c>
      <c r="EH107" s="4">
        <v>-12.293746252211941</v>
      </c>
      <c r="EI107" s="4">
        <v>-12.25543000387578</v>
      </c>
      <c r="EJ107" s="4">
        <v>-12.217279899179371</v>
      </c>
      <c r="EK107" s="4">
        <v>-12.179296434201049</v>
      </c>
      <c r="EL107" s="4">
        <v>-12.141479880984599</v>
      </c>
      <c r="EM107" s="4">
        <v>-12.103830286223269</v>
      </c>
      <c r="EN107" s="4">
        <v>-12.06634747126065</v>
      </c>
      <c r="EO107" s="4">
        <v>-12.02903103347335</v>
      </c>
      <c r="EP107" s="4">
        <v>-11.991880349090801</v>
      </c>
      <c r="EQ107" s="4">
        <v>-11.954894577498511</v>
      </c>
      <c r="ER107" s="4">
        <v>-11.91807266705986</v>
      </c>
      <c r="ES107" s="4">
        <v>-11.881413362479689</v>
      </c>
      <c r="ET107" s="4">
        <v>-11.84491521372089</v>
      </c>
      <c r="EU107" s="4">
        <v>-11.808576586471039</v>
      </c>
      <c r="EV107" s="4">
        <v>-11.772395674142199</v>
      </c>
      <c r="EW107" s="4">
        <v>-11.736370511372449</v>
      </c>
      <c r="EX107" s="4">
        <v>-11.70049898898176</v>
      </c>
      <c r="EY107" s="4">
        <v>-11.664778870319861</v>
      </c>
      <c r="EZ107" s="4">
        <v>-11.629207808926781</v>
      </c>
      <c r="FA107" s="4">
        <v>-11.593783367411669</v>
      </c>
      <c r="FB107" s="4">
        <v>-11.55850303743858</v>
      </c>
      <c r="FC107" s="4">
        <v>-11.52336426069208</v>
      </c>
      <c r="FD107" s="4">
        <v>-11.488364450680461</v>
      </c>
      <c r="FE107" s="4">
        <v>-11.453501015218521</v>
      </c>
      <c r="FF107" s="4">
        <v>-11.41877137941818</v>
      </c>
      <c r="FG107" s="4">
        <v>-11.38417300900103</v>
      </c>
      <c r="FH107" s="4">
        <v>-11.349703433735471</v>
      </c>
      <c r="FI107" s="4">
        <v>-11.31536027078921</v>
      </c>
      <c r="FJ107" s="4">
        <v>-11.281141247779001</v>
      </c>
      <c r="FK107" s="4">
        <v>-11.24704422529177</v>
      </c>
      <c r="FL107" s="4">
        <v>-11.21306721864558</v>
      </c>
      <c r="FM107" s="4">
        <v>-11.179208418655129</v>
      </c>
      <c r="FN107" s="4">
        <v>-11.145466211166839</v>
      </c>
      <c r="FO107" s="4">
        <v>-11.111839195128001</v>
      </c>
      <c r="FP107" s="4">
        <v>-11.078326198961649</v>
      </c>
      <c r="FQ107" s="4">
        <v>-11.04492629502402</v>
      </c>
      <c r="FR107" s="4">
        <v>-11.011638811933359</v>
      </c>
      <c r="FS107" s="4">
        <v>-10.978463344572001</v>
      </c>
      <c r="FT107" s="4">
        <v>-10.945399761580401</v>
      </c>
      <c r="FU107" s="4">
        <v>-10.91244821018218</v>
      </c>
      <c r="FV107" s="4">
        <v>-10.879609118201101</v>
      </c>
      <c r="FW107" s="4">
        <v>-10.846883193157939</v>
      </c>
      <c r="FX107" s="4">
        <v>-10.814271418362321</v>
      </c>
      <c r="FY107" s="4">
        <v>-10.781775045945849</v>
      </c>
      <c r="FZ107" s="4">
        <v>-10.749395586814691</v>
      </c>
      <c r="GA107" s="4">
        <v>-10.717134797534721</v>
      </c>
      <c r="GB107" s="4">
        <v>-10.68499466419577</v>
      </c>
      <c r="GC107" s="4">
        <v>-10.65297738333852</v>
      </c>
      <c r="GD107" s="4">
        <v>-10.62108534006139</v>
      </c>
      <c r="GE107" s="4">
        <v>-10.58932108346109</v>
      </c>
      <c r="GF107" s="4">
        <v>-10.557687299591819</v>
      </c>
      <c r="GG107" s="4">
        <v>-10.52618678216208</v>
      </c>
      <c r="GH107" s="4">
        <v>-10.494822401215311</v>
      </c>
      <c r="GI107" s="4">
        <v>-10.463597070068181</v>
      </c>
      <c r="GJ107" s="4">
        <v>-10.432513710802739</v>
      </c>
      <c r="GK107" s="4">
        <v>-10.401575218628411</v>
      </c>
      <c r="GL107" s="4">
        <v>-10.3707844254444</v>
      </c>
      <c r="GM107" s="4">
        <v>-10.34014406294493</v>
      </c>
      <c r="GN107" s="4">
        <v>-10.30965672561544</v>
      </c>
      <c r="GO107" s="4">
        <v>-10.27932483396976</v>
      </c>
      <c r="GP107" s="4">
        <v>-10.24915059837697</v>
      </c>
      <c r="GQ107" s="4">
        <v>-10.219135983817949</v>
      </c>
      <c r="GR107" s="4">
        <v>-10.18928267590238</v>
      </c>
      <c r="GS107" s="4">
        <v>-10.15959204846091</v>
      </c>
      <c r="GT107" s="4">
        <v>-10.13006513300909</v>
      </c>
      <c r="GU107" s="4">
        <v>-10.100702590358679</v>
      </c>
      <c r="GV107" s="4">
        <v>-10.071504684626779</v>
      </c>
      <c r="GW107" s="4">
        <v>-10.04247125986778</v>
      </c>
      <c r="GX107" s="4">
        <v>-10.0136017195242</v>
      </c>
      <c r="GY107" s="4">
        <v>-9.9848950088635995</v>
      </c>
      <c r="GZ107" s="4">
        <v>-9.9563496005380756</v>
      </c>
      <c r="HA107" s="4">
        <v>-9.9279634833727606</v>
      </c>
      <c r="HB107" s="4">
        <v>-9.8997341544584856</v>
      </c>
      <c r="HC107" s="4">
        <v>-9.87165861459426</v>
      </c>
      <c r="HD107" s="4">
        <v>-9.843733367095183</v>
      </c>
      <c r="HE107" s="4">
        <v>-9.8159544199529982</v>
      </c>
      <c r="HF107" s="4">
        <v>-9.7883172913092125</v>
      </c>
      <c r="HG107" s="4">
        <v>-9.7608170181746736</v>
      </c>
      <c r="HH107" s="4">
        <v>-9.7334481683043848</v>
      </c>
      <c r="HI107" s="4">
        <v>-9.7062048551142368</v>
      </c>
      <c r="HJ107" s="4">
        <v>-9.6790807555039553</v>
      </c>
      <c r="HK107" s="4">
        <v>-9.6520691304316628</v>
      </c>
      <c r="HL107" s="4">
        <v>-9.625162848066644</v>
      </c>
      <c r="HM107" s="4">
        <v>-9.5983544093311917</v>
      </c>
      <c r="HN107" s="4">
        <v>-9.571635975627359</v>
      </c>
      <c r="HO107" s="4">
        <v>-9.5449993985318144</v>
      </c>
      <c r="HP107" s="4">
        <v>-9.518436251230483</v>
      </c>
      <c r="HQ107" s="4">
        <v>-9.4919378614555647</v>
      </c>
      <c r="HR107" s="4">
        <v>-9.4654953456795532</v>
      </c>
      <c r="HS107" s="4">
        <v>-9.4390996443155402</v>
      </c>
      <c r="HT107" s="4">
        <v>-9.4127415576684772</v>
      </c>
      <c r="HU107" s="4">
        <v>-9.3864117823803781</v>
      </c>
      <c r="HV107" s="4">
        <v>-9.3601009481123043</v>
      </c>
      <c r="HW107" s="4">
        <v>-9.3337996542074926</v>
      </c>
      <c r="HX107" s="4">
        <v>-9.3074985060842863</v>
      </c>
      <c r="HY107" s="4">
        <v>-9.2811881511123779</v>
      </c>
      <c r="HZ107" s="4">
        <v>-9.2548593137351034</v>
      </c>
      <c r="IA107" s="4">
        <v>-9.2285028296086793</v>
      </c>
      <c r="IB107" s="4">
        <v>-9.2021096785422181</v>
      </c>
      <c r="IC107" s="4">
        <v>-9.1756710160353485</v>
      </c>
      <c r="ID107" s="4">
        <v>-9.1491782032250537</v>
      </c>
      <c r="IE107" s="4">
        <v>-9.1226228350716454</v>
      </c>
      <c r="IF107" s="4">
        <v>-9.0959967666301047</v>
      </c>
      <c r="IG107" s="4">
        <v>-9.0692921372744308</v>
      </c>
      <c r="IH107" s="4">
        <v>-9.0425013927617073</v>
      </c>
      <c r="II107" s="4">
        <v>-9.0156173050455308</v>
      </c>
      <c r="IJ107" s="4">
        <v>-8.9886329897682842</v>
      </c>
      <c r="IK107" s="4">
        <v>-8.961541921386365</v>
      </c>
      <c r="IL107" s="4">
        <v>-8.9343379459024312</v>
      </c>
      <c r="IM107" s="4">
        <v>-8.9070152912023062</v>
      </c>
    </row>
    <row r="108" spans="2:247" x14ac:dyDescent="0.35">
      <c r="B108" s="58">
        <v>0.92</v>
      </c>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v>-12.96121995466571</v>
      </c>
      <c r="DW108" s="4">
        <v>-12.92111664510594</v>
      </c>
      <c r="DX108" s="4">
        <v>-12.88115663766734</v>
      </c>
      <c r="DY108" s="4">
        <v>-12.841342539872761</v>
      </c>
      <c r="DZ108" s="4">
        <v>-12.80167682732781</v>
      </c>
      <c r="EA108" s="4">
        <v>-12.762161834028349</v>
      </c>
      <c r="EB108" s="4">
        <v>-12.722799742941911</v>
      </c>
      <c r="EC108" s="4">
        <v>-12.683592576941519</v>
      </c>
      <c r="ED108" s="4">
        <v>-12.64454219017547</v>
      </c>
      <c r="EE108" s="4">
        <v>-12.60565025995693</v>
      </c>
      <c r="EF108" s="4">
        <v>-12.566918279259321</v>
      </c>
      <c r="EG108" s="4">
        <v>-12.528347549903399</v>
      </c>
      <c r="EH108" s="4">
        <v>-12.48993917652272</v>
      </c>
      <c r="EI108" s="4">
        <v>-12.451694061391461</v>
      </c>
      <c r="EJ108" s="4">
        <v>-12.413612900197981</v>
      </c>
      <c r="EK108" s="4">
        <v>-12.375696178842849</v>
      </c>
      <c r="EL108" s="4">
        <v>-12.33794417133757</v>
      </c>
      <c r="EM108" s="4">
        <v>-12.300356938873209</v>
      </c>
      <c r="EN108" s="4">
        <v>-12.26293433012394</v>
      </c>
      <c r="EO108" s="4">
        <v>-12.225675982841389</v>
      </c>
      <c r="EP108" s="4">
        <v>-12.18858132678886</v>
      </c>
      <c r="EQ108" s="4">
        <v>-12.15164958805463</v>
      </c>
      <c r="ER108" s="4">
        <v>-12.1148797947736</v>
      </c>
      <c r="ES108" s="4">
        <v>-12.07827078427545</v>
      </c>
      <c r="ET108" s="4">
        <v>-12.04182121166602</v>
      </c>
      <c r="EU108" s="4">
        <v>-12.00552955983531</v>
      </c>
      <c r="EV108" s="4">
        <v>-11.969394150873489</v>
      </c>
      <c r="EW108" s="4">
        <v>-11.9334131588615</v>
      </c>
      <c r="EX108" s="4">
        <v>-11.89758462398931</v>
      </c>
      <c r="EY108" s="4">
        <v>-11.861906467940139</v>
      </c>
      <c r="EZ108" s="4">
        <v>-11.826376510464129</v>
      </c>
      <c r="FA108" s="4">
        <v>-11.790992487050691</v>
      </c>
      <c r="FB108" s="4">
        <v>-11.755752067593409</v>
      </c>
      <c r="FC108" s="4">
        <v>-11.720652875927129</v>
      </c>
      <c r="FD108" s="4">
        <v>-11.6856925101029</v>
      </c>
      <c r="FE108" s="4">
        <v>-11.650868563252519</v>
      </c>
      <c r="FF108" s="4">
        <v>-11.616178644881719</v>
      </c>
      <c r="FG108" s="4">
        <v>-11.58162040241916</v>
      </c>
      <c r="FH108" s="4">
        <v>-11.547191542837229</v>
      </c>
      <c r="FI108" s="4">
        <v>-11.512889854151179</v>
      </c>
      <c r="FJ108" s="4">
        <v>-11.478713226594961</v>
      </c>
      <c r="FK108" s="4">
        <v>-11.444659673266131</v>
      </c>
      <c r="FL108" s="4">
        <v>-11.410727350026621</v>
      </c>
      <c r="FM108" s="4">
        <v>-11.37691457444485</v>
      </c>
      <c r="FN108" s="4">
        <v>-11.343219843563769</v>
      </c>
      <c r="FO108" s="4">
        <v>-11.30964185028173</v>
      </c>
      <c r="FP108" s="4">
        <v>-11.27617949813812</v>
      </c>
      <c r="FQ108" s="4">
        <v>-11.24283191430284</v>
      </c>
      <c r="FR108" s="4">
        <v>-11.20959846057913</v>
      </c>
      <c r="FS108" s="4">
        <v>-11.176478742242219</v>
      </c>
      <c r="FT108" s="4">
        <v>-11.14347261455203</v>
      </c>
      <c r="FU108" s="4">
        <v>-11.11058018679673</v>
      </c>
      <c r="FV108" s="4">
        <v>-11.077801823745309</v>
      </c>
      <c r="FW108" s="4">
        <v>-11.045138144410471</v>
      </c>
      <c r="FX108" s="4">
        <v>-11.01259001804979</v>
      </c>
      <c r="FY108" s="4">
        <v>-10.980158557360051</v>
      </c>
      <c r="FZ108" s="4">
        <v>-10.947845108849959</v>
      </c>
      <c r="GA108" s="4">
        <v>-10.9156512404066</v>
      </c>
      <c r="GB108" s="4">
        <v>-10.883578726102559</v>
      </c>
      <c r="GC108" s="4">
        <v>-10.851629528323169</v>
      </c>
      <c r="GD108" s="4">
        <v>-10.81980577732398</v>
      </c>
      <c r="GE108" s="4">
        <v>-10.788109748360821</v>
      </c>
      <c r="GF108" s="4">
        <v>-10.75654383656385</v>
      </c>
      <c r="GG108" s="4">
        <v>-10.72511052975622</v>
      </c>
      <c r="GH108" s="4">
        <v>-10.693812379443219</v>
      </c>
      <c r="GI108" s="4">
        <v>-10.662651970222109</v>
      </c>
      <c r="GJ108" s="4">
        <v>-10.631631887883399</v>
      </c>
      <c r="GK108" s="4">
        <v>-10.600754686490999</v>
      </c>
      <c r="GL108" s="4">
        <v>-10.570022854743589</v>
      </c>
      <c r="GM108" s="4">
        <v>-10.53943878192813</v>
      </c>
      <c r="GN108" s="4">
        <v>-10.50900472378348</v>
      </c>
      <c r="GO108" s="4">
        <v>-10.478722768593149</v>
      </c>
      <c r="GP108" s="4">
        <v>-10.448594803824941</v>
      </c>
      <c r="GQ108" s="4">
        <v>-10.41862248362872</v>
      </c>
      <c r="GR108" s="4">
        <v>-10.388807197494099</v>
      </c>
      <c r="GS108" s="4">
        <v>-10.3591500403569</v>
      </c>
      <c r="GT108" s="4">
        <v>-10.329651784426551</v>
      </c>
      <c r="GU108" s="4">
        <v>-10.300312852987901</v>
      </c>
      <c r="GV108" s="4">
        <v>-10.271133296408861</v>
      </c>
      <c r="GW108" s="4">
        <v>-10.24211277056207</v>
      </c>
      <c r="GX108" s="4">
        <v>-10.213250517843051</v>
      </c>
      <c r="GY108" s="4">
        <v>-10.18454535094113</v>
      </c>
      <c r="GZ108" s="4">
        <v>-10.15599563949162</v>
      </c>
      <c r="HA108" s="4">
        <v>-10.12759929971053</v>
      </c>
      <c r="HB108" s="4">
        <v>-10.09935378708423</v>
      </c>
      <c r="HC108" s="4">
        <v>-10.07125609215981</v>
      </c>
      <c r="HD108" s="4">
        <v>-10.04330273945374</v>
      </c>
      <c r="HE108" s="4">
        <v>-10.01548978947087</v>
      </c>
      <c r="HF108" s="4">
        <v>-9.987812843799551</v>
      </c>
      <c r="HG108" s="4">
        <v>-9.9602670532250972</v>
      </c>
      <c r="HH108" s="4">
        <v>-9.9328471287799047</v>
      </c>
      <c r="HI108" s="4">
        <v>-9.9055473556280003</v>
      </c>
      <c r="HJ108" s="4">
        <v>-9.878361609660498</v>
      </c>
      <c r="HK108" s="4">
        <v>-9.8512833766603656</v>
      </c>
      <c r="HL108" s="4">
        <v>-9.8243057738777395</v>
      </c>
      <c r="HM108" s="4">
        <v>-9.797421573841298</v>
      </c>
      <c r="HN108" s="4">
        <v>-9.7706232302174616</v>
      </c>
      <c r="HO108" s="4">
        <v>-9.743902905516677</v>
      </c>
      <c r="HP108" s="4">
        <v>-9.7172525004355208</v>
      </c>
      <c r="HQ108" s="4">
        <v>-9.6906636846145329</v>
      </c>
      <c r="HR108" s="4">
        <v>-9.6641279285841293</v>
      </c>
      <c r="HS108" s="4">
        <v>-9.637636536665406</v>
      </c>
      <c r="HT108" s="4">
        <v>-9.6111806805894311</v>
      </c>
      <c r="HU108" s="4">
        <v>-9.5847514335954109</v>
      </c>
      <c r="HV108" s="4">
        <v>-9.5583398047698065</v>
      </c>
      <c r="HW108" s="4">
        <v>-9.5319367733877769</v>
      </c>
      <c r="HX108" s="4">
        <v>-9.5055333230246166</v>
      </c>
      <c r="HY108" s="4">
        <v>-9.4791204752071359</v>
      </c>
      <c r="HZ108" s="4">
        <v>-9.45268932238519</v>
      </c>
      <c r="IA108" s="4">
        <v>-9.4262310600105312</v>
      </c>
      <c r="IB108" s="4">
        <v>-9.3997370175213746</v>
      </c>
      <c r="IC108" s="4">
        <v>-9.3731986880444538</v>
      </c>
      <c r="ID108" s="4">
        <v>-9.3466077566389174</v>
      </c>
      <c r="IE108" s="4">
        <v>-9.3199561269232074</v>
      </c>
      <c r="IF108" s="4">
        <v>-9.293235945941948</v>
      </c>
      <c r="IG108" s="4">
        <v>-9.2664396271484328</v>
      </c>
      <c r="IH108" s="4">
        <v>-9.2395598713961338</v>
      </c>
      <c r="II108" s="4">
        <v>-9.2125896858537999</v>
      </c>
      <c r="IJ108" s="4">
        <v>-9.1855224007767688</v>
      </c>
      <c r="IK108" s="4">
        <v>-9.1583516840891086</v>
      </c>
      <c r="IL108" s="4">
        <v>-9.1310715537502976</v>
      </c>
      <c r="IM108" s="4">
        <v>-9.103676387900812</v>
      </c>
    </row>
    <row r="109" spans="2:247" x14ac:dyDescent="0.35">
      <c r="B109" s="58">
        <v>0.93</v>
      </c>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v>-13.156486120266029</v>
      </c>
      <c r="DW109" s="4">
        <v>-13.11647412938507</v>
      </c>
      <c r="DX109" s="4">
        <v>-13.076604122169909</v>
      </c>
      <c r="DY109" s="4">
        <v>-13.0368786053084</v>
      </c>
      <c r="DZ109" s="4">
        <v>-12.9972999576111</v>
      </c>
      <c r="EA109" s="4">
        <v>-12.957870421012631</v>
      </c>
      <c r="EB109" s="4">
        <v>-12.918592091853821</v>
      </c>
      <c r="EC109" s="4">
        <v>-12.879466912518559</v>
      </c>
      <c r="ED109" s="4">
        <v>-12.84049666350176</v>
      </c>
      <c r="EE109" s="4">
        <v>-12.801682955985941</v>
      </c>
      <c r="EF109" s="4">
        <v>-12.76302722500578</v>
      </c>
      <c r="EG109" s="4">
        <v>-12.724530723279351</v>
      </c>
      <c r="EH109" s="4">
        <v>-12.6861945157845</v>
      </c>
      <c r="EI109" s="4">
        <v>-12.64801947515808</v>
      </c>
      <c r="EJ109" s="4">
        <v>-12.610006277991911</v>
      </c>
      <c r="EK109" s="4">
        <v>-12.57215540209846</v>
      </c>
      <c r="EL109" s="4">
        <v>-12.53446712481275</v>
      </c>
      <c r="EM109" s="4">
        <v>-12.496941522394049</v>
      </c>
      <c r="EN109" s="4">
        <v>-12.45957847058351</v>
      </c>
      <c r="EO109" s="4">
        <v>-12.42237764636805</v>
      </c>
      <c r="EP109" s="4">
        <v>-12.38533853099209</v>
      </c>
      <c r="EQ109" s="4">
        <v>-12.34846041425125</v>
      </c>
      <c r="ER109" s="4">
        <v>-12.31174240009134</v>
      </c>
      <c r="ES109" s="4">
        <v>-12.275183413526561</v>
      </c>
      <c r="ET109" s="4">
        <v>-12.23878220887986</v>
      </c>
      <c r="EU109" s="4">
        <v>-12.202537379336119</v>
      </c>
      <c r="EV109" s="4">
        <v>-12.166447367787191</v>
      </c>
      <c r="EW109" s="4">
        <v>-12.130510478934831</v>
      </c>
      <c r="EX109" s="4">
        <v>-12.094724892605051</v>
      </c>
      <c r="EY109" s="4">
        <v>-12.05908867821285</v>
      </c>
      <c r="EZ109" s="4">
        <v>-12.023599810304299</v>
      </c>
      <c r="FA109" s="4">
        <v>-11.988256185088289</v>
      </c>
      <c r="FB109" s="4">
        <v>-11.95305563785749</v>
      </c>
      <c r="FC109" s="4">
        <v>-11.91799596118423</v>
      </c>
      <c r="FD109" s="4">
        <v>-11.88307492376539</v>
      </c>
      <c r="FE109" s="4">
        <v>-11.848290289776349</v>
      </c>
      <c r="FF109" s="4">
        <v>-11.81363983858447</v>
      </c>
      <c r="FG109" s="4">
        <v>-11.779121384660421</v>
      </c>
      <c r="FH109" s="4">
        <v>-11.744732797516971</v>
      </c>
      <c r="FI109" s="4">
        <v>-11.710472021495709</v>
      </c>
      <c r="FJ109" s="4">
        <v>-11.67633709521621</v>
      </c>
      <c r="FK109" s="4">
        <v>-11.642326170495741</v>
      </c>
      <c r="FL109" s="4">
        <v>-11.608437530544689</v>
      </c>
      <c r="FM109" s="4">
        <v>-11.57466960724097</v>
      </c>
      <c r="FN109" s="4">
        <v>-11.54102099728674</v>
      </c>
      <c r="FO109" s="4">
        <v>-11.50749047705437</v>
      </c>
      <c r="FP109" s="4">
        <v>-11.47407701593214</v>
      </c>
      <c r="FQ109" s="4">
        <v>-11.44077978798852</v>
      </c>
      <c r="FR109" s="4">
        <v>-11.40759818178382</v>
      </c>
      <c r="FS109" s="4">
        <v>-11.37453180816944</v>
      </c>
      <c r="FT109" s="4">
        <v>-11.341580505930549</v>
      </c>
      <c r="FU109" s="4">
        <v>-11.30874434514539</v>
      </c>
      <c r="FV109" s="4">
        <v>-11.276023628153091</v>
      </c>
      <c r="FW109" s="4">
        <v>-11.243418888045049</v>
      </c>
      <c r="FX109" s="4">
        <v>-11.21093088461677</v>
      </c>
      <c r="FY109" s="4">
        <v>-11.178560597744291</v>
      </c>
      <c r="FZ109" s="4">
        <v>-11.14630921817516</v>
      </c>
      <c r="GA109" s="4">
        <v>-11.11417813575126</v>
      </c>
      <c r="GB109" s="4">
        <v>-11.08216892511083</v>
      </c>
      <c r="GC109" s="4">
        <v>-11.050283328943941</v>
      </c>
      <c r="GD109" s="4">
        <v>-11.01852323890599</v>
      </c>
      <c r="GE109" s="4">
        <v>-10.986890674320181</v>
      </c>
      <c r="GF109" s="4">
        <v>-10.955387758828429</v>
      </c>
      <c r="GG109" s="4">
        <v>-10.924016695174039</v>
      </c>
      <c r="GH109" s="4">
        <v>-10.892779738324171</v>
      </c>
      <c r="GI109" s="4">
        <v>-10.86167916716067</v>
      </c>
      <c r="GJ109" s="4">
        <v>-10.830717254986549</v>
      </c>
      <c r="GK109" s="4">
        <v>-10.799896239111019</v>
      </c>
      <c r="GL109" s="4">
        <v>-10.769218289788119</v>
      </c>
      <c r="GM109" s="4">
        <v>-10.73868547879337</v>
      </c>
      <c r="GN109" s="4">
        <v>-10.7082997479278</v>
      </c>
      <c r="GO109" s="4">
        <v>-10.67806287774086</v>
      </c>
      <c r="GP109" s="4">
        <v>-10.64797645676232</v>
      </c>
      <c r="GQ109" s="4">
        <v>-10.61804185152749</v>
      </c>
      <c r="GR109" s="4">
        <v>-10.588260177671961</v>
      </c>
      <c r="GS109" s="4">
        <v>-10.5586322723608</v>
      </c>
      <c r="GT109" s="4">
        <v>-10.529158668301861</v>
      </c>
      <c r="GU109" s="4">
        <v>-10.499839569576601</v>
      </c>
      <c r="GV109" s="4">
        <v>-10.4706748295021</v>
      </c>
      <c r="GW109" s="4">
        <v>-10.44166393071651</v>
      </c>
      <c r="GX109" s="4">
        <v>-10.41280596765796</v>
      </c>
      <c r="GY109" s="4">
        <v>-10.3840996315826</v>
      </c>
      <c r="GZ109" s="4">
        <v>-10.35554319824244</v>
      </c>
      <c r="HA109" s="4">
        <v>-10.32713451831861</v>
      </c>
      <c r="HB109" s="4">
        <v>-10.29887101068053</v>
      </c>
      <c r="HC109" s="4">
        <v>-10.270749658514619</v>
      </c>
      <c r="HD109" s="4">
        <v>-10.242767008343391</v>
      </c>
      <c r="HE109" s="4">
        <v>-10.21491917192896</v>
      </c>
      <c r="HF109" s="4">
        <v>-10.187201831033279</v>
      </c>
      <c r="HG109" s="4">
        <v>-10.15961024498367</v>
      </c>
      <c r="HH109" s="4">
        <v>-10.132139260971099</v>
      </c>
      <c r="HI109" s="4">
        <v>-10.10478332698813</v>
      </c>
      <c r="HJ109" s="4">
        <v>-10.077536507294919</v>
      </c>
      <c r="HK109" s="4">
        <v>-10.050392500283261</v>
      </c>
      <c r="HL109" s="4">
        <v>-10.023344658593221</v>
      </c>
      <c r="HM109" s="4">
        <v>-9.9963860113217713</v>
      </c>
      <c r="HN109" s="4">
        <v>-9.9695092881495935</v>
      </c>
      <c r="HO109" s="4">
        <v>-9.9427069452008574</v>
      </c>
      <c r="HP109" s="4">
        <v>-9.9159711924402529</v>
      </c>
      <c r="HQ109" s="4">
        <v>-9.8892940224033925</v>
      </c>
      <c r="HR109" s="4">
        <v>-9.8626672400495305</v>
      </c>
      <c r="HS109" s="4">
        <v>-9.836082493520335</v>
      </c>
      <c r="HT109" s="4">
        <v>-9.8095313055848656</v>
      </c>
      <c r="HU109" s="4">
        <v>-9.7830051055493428</v>
      </c>
      <c r="HV109" s="4">
        <v>-9.7564952614089684</v>
      </c>
      <c r="HW109" s="4">
        <v>-9.729993112022246</v>
      </c>
      <c r="HX109" s="4">
        <v>-9.7034899990899568</v>
      </c>
      <c r="HY109" s="4">
        <v>-9.6769772987269533</v>
      </c>
      <c r="HZ109" s="4">
        <v>-9.6504464524210096</v>
      </c>
      <c r="IA109" s="4">
        <v>-9.6238889971817621</v>
      </c>
      <c r="IB109" s="4">
        <v>-9.5972965946922493</v>
      </c>
      <c r="IC109" s="4">
        <v>-9.5706610592870422</v>
      </c>
      <c r="ID109" s="4">
        <v>-9.5439743845948684</v>
      </c>
      <c r="IE109" s="4">
        <v>-9.5172287686960466</v>
      </c>
      <c r="IF109" s="4">
        <v>-9.4904166376621006</v>
      </c>
      <c r="IG109" s="4">
        <v>-9.4635306673600166</v>
      </c>
      <c r="IH109" s="4">
        <v>-9.4365638034223558</v>
      </c>
      <c r="II109" s="4">
        <v>-9.4095092793000354</v>
      </c>
      <c r="IJ109" s="4">
        <v>-9.3823606323354465</v>
      </c>
      <c r="IK109" s="4">
        <v>-9.3551117178100398</v>
      </c>
      <c r="IL109" s="4">
        <v>-9.3277567209403038</v>
      </c>
      <c r="IM109" s="4">
        <v>-9.3002901668130402</v>
      </c>
    </row>
    <row r="110" spans="2:247" x14ac:dyDescent="0.35">
      <c r="B110" s="58">
        <v>0.94</v>
      </c>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v>-13.35182943863208</v>
      </c>
      <c r="DW110" s="4">
        <v>-13.311907147468551</v>
      </c>
      <c r="DX110" s="4">
        <v>-13.272125540707799</v>
      </c>
      <c r="DY110" s="4">
        <v>-13.23248702997908</v>
      </c>
      <c r="DZ110" s="4">
        <v>-13.192993903036941</v>
      </c>
      <c r="EA110" s="4">
        <v>-13.15364831540783</v>
      </c>
      <c r="EB110" s="4">
        <v>-13.11445228232183</v>
      </c>
      <c r="EC110" s="4">
        <v>-13.07540767099862</v>
      </c>
      <c r="ED110" s="4">
        <v>-13.036516193357979</v>
      </c>
      <c r="EE110" s="4">
        <v>-12.997779399226641</v>
      </c>
      <c r="EF110" s="4">
        <v>-12.95919867011396</v>
      </c>
      <c r="EG110" s="4">
        <v>-12.92077521362881</v>
      </c>
      <c r="EH110" s="4">
        <v>-12.88251005860937</v>
      </c>
      <c r="EI110" s="4">
        <v>-12.844404051035861</v>
      </c>
      <c r="EJ110" s="4">
        <v>-12.80645785079418</v>
      </c>
      <c r="EK110" s="4">
        <v>-12.76867192935485</v>
      </c>
      <c r="EL110" s="4">
        <v>-12.73104656842842</v>
      </c>
      <c r="EM110" s="4">
        <v>-12.69358185965265</v>
      </c>
      <c r="EN110" s="4">
        <v>-12.65627770536234</v>
      </c>
      <c r="EO110" s="4">
        <v>-12.61913382048456</v>
      </c>
      <c r="EP110" s="4">
        <v>-12.582149735596721</v>
      </c>
      <c r="EQ110" s="4">
        <v>-12.545324801174671</v>
      </c>
      <c r="ER110" s="4">
        <v>-12.508658193050829</v>
      </c>
      <c r="ES110" s="4">
        <v>-12.472148919091421</v>
      </c>
      <c r="ET110" s="4">
        <v>-12.435795827093219</v>
      </c>
      <c r="EU110" s="4">
        <v>-12.39959761388741</v>
      </c>
      <c r="EV110" s="4">
        <v>-12.363552835628511</v>
      </c>
      <c r="EW110" s="4">
        <v>-12.327659919234231</v>
      </c>
      <c r="EX110" s="4">
        <v>-12.291917174929139</v>
      </c>
      <c r="EY110" s="4">
        <v>-12.256322809834019</v>
      </c>
      <c r="EZ110" s="4">
        <v>-12.22087494252979</v>
      </c>
      <c r="FA110" s="4">
        <v>-12.185571618512441</v>
      </c>
      <c r="FB110" s="4">
        <v>-12.15041082644343</v>
      </c>
      <c r="FC110" s="4">
        <v>-12.115390515088119</v>
      </c>
      <c r="FD110" s="4">
        <v>-12.08050861082258</v>
      </c>
      <c r="FE110" s="4">
        <v>-12.04576303557946</v>
      </c>
      <c r="FF110" s="4">
        <v>-12.01115172509156</v>
      </c>
      <c r="FG110" s="4">
        <v>-11.97667264728382</v>
      </c>
      <c r="FH110" s="4">
        <v>-11.942323820654771</v>
      </c>
      <c r="FI110" s="4">
        <v>-11.90810333248255</v>
      </c>
      <c r="FJ110" s="4">
        <v>-11.874009356682761</v>
      </c>
      <c r="FK110" s="4">
        <v>-11.8400401711434</v>
      </c>
      <c r="FL110" s="4">
        <v>-11.80619417435668</v>
      </c>
      <c r="FM110" s="4">
        <v>-11.7724699011687</v>
      </c>
      <c r="FN110" s="4">
        <v>-11.73886603746754</v>
      </c>
      <c r="FO110" s="4">
        <v>-11.705381433633519</v>
      </c>
      <c r="FP110" s="4">
        <v>-11.67201511658066</v>
      </c>
      <c r="FQ110" s="4">
        <v>-11.63876630022536</v>
      </c>
      <c r="FR110" s="4">
        <v>-11.60563439422768</v>
      </c>
      <c r="FS110" s="4">
        <v>-11.57261901086267</v>
      </c>
      <c r="FT110" s="4">
        <v>-11.539719969892619</v>
      </c>
      <c r="FU110" s="4">
        <v>-11.5069373013276</v>
      </c>
      <c r="FV110" s="4">
        <v>-11.47427124597959</v>
      </c>
      <c r="FW110" s="4">
        <v>-11.441722253734859</v>
      </c>
      <c r="FX110" s="4">
        <v>-11.40929097949272</v>
      </c>
      <c r="FY110" s="4">
        <v>-11.37697827673953</v>
      </c>
      <c r="FZ110" s="4">
        <v>-11.34478518875326</v>
      </c>
      <c r="GA110" s="4">
        <v>-11.312712937457659</v>
      </c>
      <c r="GB110" s="4">
        <v>-11.2807629099722</v>
      </c>
      <c r="GC110" s="4">
        <v>-11.248936642928429</v>
      </c>
      <c r="GD110" s="4">
        <v>-11.21723580465048</v>
      </c>
      <c r="GE110" s="4">
        <v>-11.18566217532198</v>
      </c>
      <c r="GF110" s="4">
        <v>-11.15421762528571</v>
      </c>
      <c r="GG110" s="4">
        <v>-11.122904091645591</v>
      </c>
      <c r="GH110" s="4">
        <v>-11.09172355336151</v>
      </c>
      <c r="GI110" s="4">
        <v>-11.06067800504605</v>
      </c>
      <c r="GJ110" s="4">
        <v>-11.029769429690241</v>
      </c>
      <c r="GK110" s="4">
        <v>-10.998999770557219</v>
      </c>
      <c r="GL110" s="4">
        <v>-10.968370902496281</v>
      </c>
      <c r="GM110" s="4">
        <v>-10.93788460293576</v>
      </c>
      <c r="GN110" s="4">
        <v>-10.90754252281992</v>
      </c>
      <c r="GO110" s="4">
        <v>-10.877346157755721</v>
      </c>
      <c r="GP110" s="4">
        <v>-10.84729681963401</v>
      </c>
      <c r="GQ110" s="4">
        <v>-10.817395608986009</v>
      </c>
      <c r="GR110" s="4">
        <v>-10.787643388327689</v>
      </c>
      <c r="GS110" s="4">
        <v>-10.758040756734569</v>
      </c>
      <c r="GT110" s="4">
        <v>-10.72858802587683</v>
      </c>
      <c r="GU110" s="4">
        <v>-10.69928519772926</v>
      </c>
      <c r="GV110" s="4">
        <v>-10.67013194415278</v>
      </c>
      <c r="GW110" s="4">
        <v>-10.64112758852618</v>
      </c>
      <c r="GX110" s="4">
        <v>-10.612271089585169</v>
      </c>
      <c r="GY110" s="4">
        <v>-10.583561027604951</v>
      </c>
      <c r="GZ110" s="4">
        <v>-10.554995593038949</v>
      </c>
      <c r="HA110" s="4">
        <v>-10.52657257770495</v>
      </c>
      <c r="HB110" s="4">
        <v>-10.498289368584279</v>
      </c>
      <c r="HC110" s="4">
        <v>-10.470142944278919</v>
      </c>
      <c r="HD110" s="4">
        <v>-10.442129874146101</v>
      </c>
      <c r="HE110" s="4">
        <v>-10.41424632010906</v>
      </c>
      <c r="HF110" s="4">
        <v>-10.386488041119661</v>
      </c>
      <c r="HG110" s="4">
        <v>-10.358850400228309</v>
      </c>
      <c r="HH110" s="4">
        <v>-10.331328374195859</v>
      </c>
      <c r="HI110" s="4">
        <v>-10.30391656556357</v>
      </c>
      <c r="HJ110" s="4">
        <v>-10.27660921707924</v>
      </c>
      <c r="HK110" s="4">
        <v>-10.249400228361161</v>
      </c>
      <c r="HL110" s="4">
        <v>-10.22228317466605</v>
      </c>
      <c r="HM110" s="4">
        <v>-10.19525132761302</v>
      </c>
      <c r="HN110" s="4">
        <v>-10.168297677704279</v>
      </c>
      <c r="HO110" s="4">
        <v>-10.14141495847019</v>
      </c>
      <c r="HP110" s="4">
        <v>-10.11459567205902</v>
      </c>
      <c r="HQ110" s="4">
        <v>-10.08783211608133</v>
      </c>
      <c r="HR110" s="4">
        <v>-10.061116411514661</v>
      </c>
      <c r="HS110" s="4">
        <v>-10.03444053146684</v>
      </c>
      <c r="HT110" s="4">
        <v>-10.007796330595029</v>
      </c>
      <c r="HU110" s="4">
        <v>-9.9811755749739035</v>
      </c>
      <c r="HV110" s="4">
        <v>-9.9545699722071852</v>
      </c>
      <c r="HW110" s="4">
        <v>-9.927971201577936</v>
      </c>
      <c r="HX110" s="4">
        <v>-9.9013709440357314</v>
      </c>
      <c r="HY110" s="4">
        <v>-9.8747609118237882</v>
      </c>
      <c r="HZ110" s="4">
        <v>-9.8481328775544803</v>
      </c>
      <c r="IA110" s="4">
        <v>-9.8214787025505697</v>
      </c>
      <c r="IB110" s="4">
        <v>-9.7947903642777874</v>
      </c>
      <c r="IC110" s="4">
        <v>-9.7680599827045924</v>
      </c>
      <c r="ID110" s="4">
        <v>-9.7412798454378908</v>
      </c>
      <c r="IE110" s="4">
        <v>-9.71444243149576</v>
      </c>
      <c r="IF110" s="4">
        <v>-9.6875404335922894</v>
      </c>
      <c r="IG110" s="4">
        <v>-9.6605667788249328</v>
      </c>
      <c r="IH110" s="4">
        <v>-9.633514647670383</v>
      </c>
      <c r="II110" s="4">
        <v>-9.6063774912117736</v>
      </c>
      <c r="IJ110" s="4">
        <v>-9.5791490465353775</v>
      </c>
      <c r="IK110" s="4">
        <v>-9.5518233502537591</v>
      </c>
      <c r="IL110" s="4">
        <v>-9.5243947501277777</v>
      </c>
      <c r="IM110" s="4">
        <v>-9.4968579147773475</v>
      </c>
    </row>
    <row r="111" spans="2:247" x14ac:dyDescent="0.35">
      <c r="B111" s="58">
        <v>0.95</v>
      </c>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v>-13.54724734780635</v>
      </c>
      <c r="DW111" s="4">
        <v>-13.507413177429131</v>
      </c>
      <c r="DX111" s="4">
        <v>-13.467718411564499</v>
      </c>
      <c r="DY111" s="4">
        <v>-13.42816537217494</v>
      </c>
      <c r="DZ111" s="4">
        <v>-13.38875626129845</v>
      </c>
      <c r="EA111" s="4">
        <v>-13.34949315329443</v>
      </c>
      <c r="EB111" s="4">
        <v>-13.310377987377271</v>
      </c>
      <c r="EC111" s="4">
        <v>-13.271412560501171</v>
      </c>
      <c r="ED111" s="4">
        <v>-13.23259852066184</v>
      </c>
      <c r="EE111" s="4">
        <v>-13.19393736068063</v>
      </c>
      <c r="EF111" s="4">
        <v>-13.15543041253814</v>
      </c>
      <c r="EG111" s="4">
        <v>-13.117078842323309</v>
      </c>
      <c r="EH111" s="4">
        <v>-13.078883645863259</v>
      </c>
      <c r="EI111" s="4">
        <v>-13.040845645097839</v>
      </c>
      <c r="EJ111" s="4">
        <v>-13.00296548525967</v>
      </c>
      <c r="EK111" s="4">
        <v>-12.96524363291905</v>
      </c>
      <c r="EL111" s="4">
        <v>-12.927680374946579</v>
      </c>
      <c r="EM111" s="4">
        <v>-12.89027581844449</v>
      </c>
      <c r="EN111" s="4">
        <v>-12.853029891690539</v>
      </c>
      <c r="EO111" s="4">
        <v>-12.81594234613204</v>
      </c>
      <c r="EP111" s="4">
        <v>-12.779012759462329</v>
      </c>
      <c r="EQ111" s="4">
        <v>-12.74224053980209</v>
      </c>
      <c r="ER111" s="4">
        <v>-12.705624931001379</v>
      </c>
      <c r="ES111" s="4">
        <v>-12.669165019068579</v>
      </c>
      <c r="ET111" s="4">
        <v>-12.632859739722701</v>
      </c>
      <c r="EU111" s="4">
        <v>-12.59670788705591</v>
      </c>
      <c r="EV111" s="4">
        <v>-12.56070812328281</v>
      </c>
      <c r="EW111" s="4">
        <v>-12.52485898954146</v>
      </c>
      <c r="EX111" s="4">
        <v>-12.4891589177006</v>
      </c>
      <c r="EY111" s="4">
        <v>-12.45360624311644</v>
      </c>
      <c r="EZ111" s="4">
        <v>-12.418199218270329</v>
      </c>
      <c r="FA111" s="4">
        <v>-12.382936027208091</v>
      </c>
      <c r="FB111" s="4">
        <v>-12.347814800690401</v>
      </c>
      <c r="FC111" s="4">
        <v>-12.31283363195227</v>
      </c>
      <c r="FD111" s="4">
        <v>-12.27799059296037</v>
      </c>
      <c r="FE111" s="4">
        <v>-12.24328375104581</v>
      </c>
      <c r="FF111" s="4">
        <v>-12.208711185781601</v>
      </c>
      <c r="FG111" s="4">
        <v>-12.174271005965309</v>
      </c>
      <c r="FH111" s="4">
        <v>-12.13996136656019</v>
      </c>
      <c r="FI111" s="4">
        <v>-12.10578048544137</v>
      </c>
      <c r="FJ111" s="4">
        <v>-12.07172665978921</v>
      </c>
      <c r="FK111" s="4">
        <v>-12.03779828196757</v>
      </c>
      <c r="FL111" s="4">
        <v>-12.00399385472322</v>
      </c>
      <c r="FM111" s="4">
        <v>-11.970312005541871</v>
      </c>
      <c r="FN111" s="4">
        <v>-11.936751499997319</v>
      </c>
      <c r="FO111" s="4">
        <v>-11.90331125393354</v>
      </c>
      <c r="FP111" s="4">
        <v>-11.86999034432492</v>
      </c>
      <c r="FQ111" s="4">
        <v>-11.836788018666009</v>
      </c>
      <c r="FR111" s="4">
        <v>-11.80370370275201</v>
      </c>
      <c r="FS111" s="4">
        <v>-11.77073700672188</v>
      </c>
      <c r="FT111" s="4">
        <v>-11.73788772924881</v>
      </c>
      <c r="FU111" s="4">
        <v>-11.705155859778181</v>
      </c>
      <c r="FV111" s="4">
        <v>-11.67254157872941</v>
      </c>
      <c r="FW111" s="4">
        <v>-11.64004525559646</v>
      </c>
      <c r="FX111" s="4">
        <v>-11.607667444902249</v>
      </c>
      <c r="FY111" s="4">
        <v>-11.575408879982451</v>
      </c>
      <c r="FZ111" s="4">
        <v>-11.54327046459683</v>
      </c>
      <c r="GA111" s="4">
        <v>-11.511253262389319</v>
      </c>
      <c r="GB111" s="4">
        <v>-11.47935848424085</v>
      </c>
      <c r="GC111" s="4">
        <v>-11.447587473582679</v>
      </c>
      <c r="GD111" s="4">
        <v>-11.41594168976151</v>
      </c>
      <c r="GE111" s="4">
        <v>-11.384422689569639</v>
      </c>
      <c r="GF111" s="4">
        <v>-11.35303210707578</v>
      </c>
      <c r="GG111" s="4">
        <v>-11.32177163191283</v>
      </c>
      <c r="GH111" s="4">
        <v>-11.290642986196859</v>
      </c>
      <c r="GI111" s="4">
        <v>-11.259647900269821</v>
      </c>
      <c r="GJ111" s="4">
        <v>-11.22878808747304</v>
      </c>
      <c r="GK111" s="4">
        <v>-11.198065218170839</v>
      </c>
      <c r="GL111" s="4">
        <v>-11.167480893254041</v>
      </c>
      <c r="GM111" s="4">
        <v>-11.137036617360611</v>
      </c>
      <c r="GN111" s="4">
        <v>-11.10673377205454</v>
      </c>
      <c r="GO111" s="4">
        <v>-11.076573589207049</v>
      </c>
      <c r="GP111" s="4">
        <v>-11.04655712482122</v>
      </c>
      <c r="GQ111" s="4">
        <v>-11.01668523353918</v>
      </c>
      <c r="GR111" s="4">
        <v>-10.986958544063169</v>
      </c>
      <c r="GS111" s="4">
        <v>-10.957377435712941</v>
      </c>
      <c r="GT111" s="4">
        <v>-10.927942016330491</v>
      </c>
      <c r="GU111" s="4">
        <v>-10.89865210172974</v>
      </c>
      <c r="GV111" s="4">
        <v>-10.86950719687259</v>
      </c>
      <c r="GW111" s="4">
        <v>-10.840506478936589</v>
      </c>
      <c r="GX111" s="4">
        <v>-10.81164878241948</v>
      </c>
      <c r="GY111" s="4">
        <v>-10.78293258640816</v>
      </c>
      <c r="GZ111" s="4">
        <v>-10.75435600411676</v>
      </c>
      <c r="HA111" s="4">
        <v>-10.72591677477998</v>
      </c>
      <c r="HB111" s="4">
        <v>-10.697612257964609</v>
      </c>
      <c r="HC111" s="4">
        <v>-10.669439430341541</v>
      </c>
      <c r="HD111" s="4">
        <v>-10.64139488494019</v>
      </c>
      <c r="HE111" s="4">
        <v>-10.613474832884171</v>
      </c>
      <c r="HF111" s="4">
        <v>-10.585675107589781</v>
      </c>
      <c r="HG111" s="4">
        <v>-10.557991171386551</v>
      </c>
      <c r="HH111" s="4">
        <v>-10.530418124502379</v>
      </c>
      <c r="HI111" s="4">
        <v>-10.502950716336899</v>
      </c>
      <c r="HJ111" s="4">
        <v>-10.475583358930351</v>
      </c>
      <c r="HK111" s="4">
        <v>-10.44831014251956</v>
      </c>
      <c r="HL111" s="4">
        <v>-10.42112485305899</v>
      </c>
      <c r="HM111" s="4">
        <v>-10.3940209915701</v>
      </c>
      <c r="HN111" s="4">
        <v>-10.366991795172201</v>
      </c>
      <c r="HO111" s="4">
        <v>-10.34003025963634</v>
      </c>
      <c r="HP111" s="4">
        <v>-10.31312916329529</v>
      </c>
      <c r="HQ111" s="4">
        <v>-10.28628109213469</v>
      </c>
      <c r="HR111" s="4">
        <v>-10.25947846588431</v>
      </c>
      <c r="HS111" s="4">
        <v>-10.23271356492352</v>
      </c>
      <c r="HT111" s="4">
        <v>-10.205978557812021</v>
      </c>
      <c r="HU111" s="4">
        <v>-10.179265529254771</v>
      </c>
      <c r="HV111" s="4">
        <v>-10.152566508309601</v>
      </c>
      <c r="HW111" s="4">
        <v>-10.125873496647969</v>
      </c>
      <c r="HX111" s="4">
        <v>-10.099178496681381</v>
      </c>
      <c r="HY111" s="4">
        <v>-10.072473539369719</v>
      </c>
      <c r="HZ111" s="4">
        <v>-10.0457507115349</v>
      </c>
      <c r="IA111" s="4">
        <v>-10.019002182508689</v>
      </c>
      <c r="IB111" s="4">
        <v>-9.9922202299528351</v>
      </c>
      <c r="IC111" s="4">
        <v>-9.9653972646990621</v>
      </c>
      <c r="ID111" s="4">
        <v>-9.9385258544674357</v>
      </c>
      <c r="IE111" s="4">
        <v>-9.9115987463331905</v>
      </c>
      <c r="IF111" s="4">
        <v>-9.8846088878257703</v>
      </c>
      <c r="IG111" s="4">
        <v>-9.8575494465568045</v>
      </c>
      <c r="IH111" s="4">
        <v>-9.8304138282882221</v>
      </c>
      <c r="II111" s="4">
        <v>-9.8031956933676945</v>
      </c>
      <c r="IJ111" s="4">
        <v>-9.7758889714719093</v>
      </c>
      <c r="IK111" s="4">
        <v>-9.7484878746162025</v>
      </c>
      <c r="IL111" s="4">
        <v>-9.7209869084017733</v>
      </c>
      <c r="IM111" s="4">
        <v>-9.6933808814894054</v>
      </c>
    </row>
    <row r="112" spans="2:247" x14ac:dyDescent="0.35">
      <c r="B112" s="58">
        <v>0.96</v>
      </c>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v>-13.74273736450424</v>
      </c>
      <c r="DW112" s="4">
        <v>-13.70298977394468</v>
      </c>
      <c r="DX112" s="4">
        <v>-13.66338032742417</v>
      </c>
      <c r="DY112" s="4">
        <v>-13.623911262268409</v>
      </c>
      <c r="DZ112" s="4">
        <v>-13.58458469976356</v>
      </c>
      <c r="EA112" s="4">
        <v>-13.54540263795873</v>
      </c>
      <c r="EB112" s="4">
        <v>-13.50636694475604</v>
      </c>
      <c r="EC112" s="4">
        <v>-13.46747935134821</v>
      </c>
      <c r="ED112" s="4">
        <v>-13.42874144606326</v>
      </c>
      <c r="EE112" s="4">
        <v>-13.39015466867763</v>
      </c>
      <c r="EF112" s="4">
        <v>-13.351720305258381</v>
      </c>
      <c r="EG112" s="4">
        <v>-13.31343948359523</v>
      </c>
      <c r="EH112" s="4">
        <v>-13.275313169282169</v>
      </c>
      <c r="EI112" s="4">
        <v>-13.237342162506041</v>
      </c>
      <c r="EJ112" s="4">
        <v>-13.199527095597739</v>
      </c>
      <c r="EK112" s="4">
        <v>-13.16186843139867</v>
      </c>
      <c r="EL112" s="4">
        <v>-13.124366462490499</v>
      </c>
      <c r="EM112" s="4">
        <v>-13.08702131133313</v>
      </c>
      <c r="EN112" s="4">
        <v>-13.049832931348879</v>
      </c>
      <c r="EO112" s="4">
        <v>-13.012801108987169</v>
      </c>
      <c r="EP112" s="4">
        <v>-12.97592546679517</v>
      </c>
      <c r="EQ112" s="4">
        <v>-12.9392054675147</v>
      </c>
      <c r="ER112" s="4">
        <v>-12.902640419216381</v>
      </c>
      <c r="ES112" s="4">
        <v>-12.86622948147469</v>
      </c>
      <c r="ET112" s="4">
        <v>-12.829971672578299</v>
      </c>
      <c r="EU112" s="4">
        <v>-12.79386587776064</v>
      </c>
      <c r="EV112" s="4">
        <v>-12.75791085842641</v>
      </c>
      <c r="EW112" s="4">
        <v>-12.72210526233923</v>
      </c>
      <c r="EX112" s="4">
        <v>-12.68644763472599</v>
      </c>
      <c r="EY112" s="4">
        <v>-12.65093643024284</v>
      </c>
      <c r="EZ112" s="4">
        <v>-12.615570025737039</v>
      </c>
      <c r="FA112" s="4">
        <v>-12.580346733729399</v>
      </c>
      <c r="FB112" s="4">
        <v>-12.545264816531439</v>
      </c>
      <c r="FC112" s="4">
        <v>-12.510322500901371</v>
      </c>
      <c r="FD112" s="4">
        <v>-12.475517993134069</v>
      </c>
      <c r="FE112" s="4">
        <v>-12.440849494471379</v>
      </c>
      <c r="FF112" s="4">
        <v>-12.40631521670997</v>
      </c>
      <c r="FG112" s="4">
        <v>-12.371913397877901</v>
      </c>
      <c r="FH112" s="4">
        <v>-12.337642317843271</v>
      </c>
      <c r="FI112" s="4">
        <v>-12.303500313714199</v>
      </c>
      <c r="FJ112" s="4">
        <v>-12.26948579488325</v>
      </c>
      <c r="FK112" s="4">
        <v>-12.235597257568561</v>
      </c>
      <c r="FL112" s="4">
        <v>-12.201833298700731</v>
      </c>
      <c r="FM112" s="4">
        <v>-12.16819262900527</v>
      </c>
      <c r="FN112" s="4">
        <v>-12.13467408513155</v>
      </c>
      <c r="FO112" s="4">
        <v>-12.10127664068288</v>
      </c>
      <c r="FP112" s="4">
        <v>-12.06799941600684</v>
      </c>
      <c r="FQ112" s="4">
        <v>-12.03484168661207</v>
      </c>
      <c r="FR112" s="4">
        <v>-12.00180289008633</v>
      </c>
      <c r="FS112" s="4">
        <v>-11.968882631400881</v>
      </c>
      <c r="FT112" s="4">
        <v>-11.936080686498419</v>
      </c>
      <c r="FU112" s="4">
        <v>-11.90339700407573</v>
      </c>
      <c r="FV112" s="4">
        <v>-11.87083170548749</v>
      </c>
      <c r="FW112" s="4">
        <v>-11.8383850827149</v>
      </c>
      <c r="FX112" s="4">
        <v>-11.80605759436038</v>
      </c>
      <c r="FY112" s="4">
        <v>-11.773849859649451</v>
      </c>
      <c r="FZ112" s="4">
        <v>-11.74176265044076</v>
      </c>
      <c r="GA112" s="4">
        <v>-11.709796881266129</v>
      </c>
      <c r="GB112" s="4">
        <v>-11.677953597443381</v>
      </c>
      <c r="GC112" s="4">
        <v>-11.64623396132648</v>
      </c>
      <c r="GD112" s="4">
        <v>-11.614639236777791</v>
      </c>
      <c r="GE112" s="4">
        <v>-11.583170771967991</v>
      </c>
      <c r="GF112" s="4">
        <v>-11.551829980629501</v>
      </c>
      <c r="GG112" s="4">
        <v>-11.520618321906319</v>
      </c>
      <c r="GH112" s="4">
        <v>-11.4895372789615</v>
      </c>
      <c r="GI112" s="4">
        <v>-11.458588336518369</v>
      </c>
      <c r="GJ112" s="4">
        <v>-11.42777295752512</v>
      </c>
      <c r="GK112" s="4">
        <v>-11.39709255914376</v>
      </c>
      <c r="GL112" s="4">
        <v>-11.36654848827342</v>
      </c>
      <c r="GM112" s="4">
        <v>-11.336141996825029</v>
      </c>
      <c r="GN112" s="4">
        <v>-11.305874216967959</v>
      </c>
      <c r="GO112" s="4">
        <v>-11.275746136571311</v>
      </c>
      <c r="GP112" s="4">
        <v>-11.24575857506137</v>
      </c>
      <c r="GQ112" s="4">
        <v>-11.215912159913479</v>
      </c>
      <c r="GR112" s="4">
        <v>-11.1862073039904</v>
      </c>
      <c r="GS112" s="4">
        <v>-11.156644183931521</v>
      </c>
      <c r="GT112" s="4">
        <v>-11.12722271978676</v>
      </c>
      <c r="GU112" s="4">
        <v>-11.09794255607666</v>
      </c>
      <c r="GV112" s="4">
        <v>-11.06880304444655</v>
      </c>
      <c r="GW112" s="4">
        <v>-11.03980322806677</v>
      </c>
      <c r="GX112" s="4">
        <v>-11.01094182791444</v>
      </c>
      <c r="GY112" s="4">
        <v>-10.982217231054319</v>
      </c>
      <c r="GZ112" s="4">
        <v>-10.953627481017911</v>
      </c>
      <c r="HA112" s="4">
        <v>-10.925170270360139</v>
      </c>
      <c r="HB112" s="4">
        <v>-10.89684293545486</v>
      </c>
      <c r="HC112" s="4">
        <v>-10.868642453568681</v>
      </c>
      <c r="HD112" s="4">
        <v>-10.840565442235709</v>
      </c>
      <c r="HE112" s="4">
        <v>-10.81260816093423</v>
      </c>
      <c r="HF112" s="4">
        <v>-10.784766515049251</v>
      </c>
      <c r="HG112" s="4">
        <v>-10.757036062085859</v>
      </c>
      <c r="HH112" s="4">
        <v>-10.72941202008117</v>
      </c>
      <c r="HI112" s="4">
        <v>-10.701889278146201</v>
      </c>
      <c r="HJ112" s="4">
        <v>-10.674462409052961</v>
      </c>
      <c r="HK112" s="4">
        <v>-10.64712568376811</v>
      </c>
      <c r="HL112" s="4">
        <v>-10.61987308782051</v>
      </c>
      <c r="HM112" s="4">
        <v>-10.59269833937759</v>
      </c>
      <c r="HN112" s="4">
        <v>-10.5655949088951</v>
      </c>
      <c r="HO112" s="4">
        <v>-10.53855604019388</v>
      </c>
      <c r="HP112" s="4">
        <v>-10.51157477280942</v>
      </c>
      <c r="HQ112" s="4">
        <v>-10.484643965452699</v>
      </c>
      <c r="HR112" s="4">
        <v>-10.45775632041425</v>
      </c>
      <c r="HS112" s="4">
        <v>-10.4309044087396</v>
      </c>
      <c r="HT112" s="4">
        <v>-10.40408069600068</v>
      </c>
      <c r="HU112" s="4">
        <v>-10.377277568486191</v>
      </c>
      <c r="HV112" s="4">
        <v>-10.35048735963294</v>
      </c>
      <c r="HW112" s="4">
        <v>-10.323702376522711</v>
      </c>
      <c r="HX112" s="4">
        <v>-10.29691492626973</v>
      </c>
      <c r="HY112" s="4">
        <v>-10.27011734212914</v>
      </c>
      <c r="HZ112" s="4">
        <v>-10.243302009161161</v>
      </c>
      <c r="IA112" s="4">
        <v>-10.21646138929286</v>
      </c>
      <c r="IB112" s="4">
        <v>-10.189588045625809</v>
      </c>
      <c r="IC112" s="4">
        <v>-10.162674665848639</v>
      </c>
      <c r="ID112" s="4">
        <v>-10.13571408462164</v>
      </c>
      <c r="IE112" s="4">
        <v>-10.108699304812729</v>
      </c>
      <c r="IF112" s="4">
        <v>-10.0816235174753</v>
      </c>
      <c r="IG112" s="4">
        <v>-10.05448012047149</v>
      </c>
      <c r="IH112" s="4">
        <v>-10.027262735656979</v>
      </c>
      <c r="II112" s="4">
        <v>-9.9999652245577266</v>
      </c>
      <c r="IJ112" s="4">
        <v>-9.9725817024827492</v>
      </c>
      <c r="IK112" s="4">
        <v>-9.9451065510315093</v>
      </c>
      <c r="IL112" s="4">
        <v>-9.9175344289676097</v>
      </c>
      <c r="IM112" s="4">
        <v>-9.8898602814464063</v>
      </c>
    </row>
    <row r="113" spans="2:247" x14ac:dyDescent="0.35">
      <c r="B113" s="58">
        <v>0.97</v>
      </c>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v>-13.9382970805563</v>
      </c>
      <c r="DW113" s="4">
        <v>-13.89863456485163</v>
      </c>
      <c r="DX113" s="4">
        <v>-13.859108952055619</v>
      </c>
      <c r="DY113" s="4">
        <v>-13.819722399547359</v>
      </c>
      <c r="DZ113" s="4">
        <v>-13.780476952475439</v>
      </c>
      <c r="EA113" s="4">
        <v>-13.741374537076499</v>
      </c>
      <c r="EB113" s="4">
        <v>-13.702416954280229</v>
      </c>
      <c r="EC113" s="4">
        <v>-13.663605873656349</v>
      </c>
      <c r="ED113" s="4">
        <v>-13.62494282775822</v>
      </c>
      <c r="EE113" s="4">
        <v>-13.586429206919631</v>
      </c>
      <c r="EF113" s="4">
        <v>-13.548066254560521</v>
      </c>
      <c r="EG113" s="4">
        <v>-13.509855063057239</v>
      </c>
      <c r="EH113" s="4">
        <v>-13.47179657023112</v>
      </c>
      <c r="EI113" s="4">
        <v>-13.4338915565083</v>
      </c>
      <c r="EJ113" s="4">
        <v>-13.396140642800329</v>
      </c>
      <c r="EK113" s="4">
        <v>-13.35854428915305</v>
      </c>
      <c r="EL113" s="4">
        <v>-13.321102794207031</v>
      </c>
      <c r="EM113" s="4">
        <v>-13.28381629550841</v>
      </c>
      <c r="EN113" s="4">
        <v>-13.246684770704849</v>
      </c>
      <c r="EO113" s="4">
        <v>-13.20970803965492</v>
      </c>
      <c r="EP113" s="4">
        <v>-13.17288576747344</v>
      </c>
      <c r="EQ113" s="4">
        <v>-13.136217468528621</v>
      </c>
      <c r="ER113" s="4">
        <v>-13.09970251139949</v>
      </c>
      <c r="ES113" s="4">
        <v>-13.06334012479441</v>
      </c>
      <c r="ET113" s="4">
        <v>-13.027129404423009</v>
      </c>
      <c r="EU113" s="4">
        <v>-12.99106932080562</v>
      </c>
      <c r="EV113" s="4">
        <v>-12.955158727995</v>
      </c>
      <c r="EW113" s="4">
        <v>-12.919396373176239</v>
      </c>
      <c r="EX113" s="4">
        <v>-12.883780907101221</v>
      </c>
      <c r="EY113" s="4">
        <v>-12.848310895304371</v>
      </c>
      <c r="EZ113" s="4">
        <v>-12.81298483003753</v>
      </c>
      <c r="FA113" s="4">
        <v>-12.777801142851491</v>
      </c>
      <c r="FB113" s="4">
        <v>-12.742758217743811</v>
      </c>
      <c r="FC113" s="4">
        <v>-12.707854404782051</v>
      </c>
      <c r="FD113" s="4">
        <v>-12.673088034104831</v>
      </c>
      <c r="FE113" s="4">
        <v>-12.638457430193631</v>
      </c>
      <c r="FF113" s="4">
        <v>-12.603960926302159</v>
      </c>
      <c r="FG113" s="4">
        <v>-12.5695968789224</v>
      </c>
      <c r="FH113" s="4">
        <v>-12.535363682162069</v>
      </c>
      <c r="FI113" s="4">
        <v>-12.5012597819021</v>
      </c>
      <c r="FJ113" s="4">
        <v>-12.46728368960064</v>
      </c>
      <c r="FK113" s="4">
        <v>-12.433433995605959</v>
      </c>
      <c r="FL113" s="4">
        <v>-12.39970938184141</v>
      </c>
      <c r="FM113" s="4">
        <v>-12.36610863372419</v>
      </c>
      <c r="FN113" s="4">
        <v>-12.33263065118277</v>
      </c>
      <c r="FO113" s="4">
        <v>-12.29927445864028</v>
      </c>
      <c r="FP113" s="4">
        <v>-12.26603921383634</v>
      </c>
      <c r="FQ113" s="4">
        <v>-12.23292421536666</v>
      </c>
      <c r="FR113" s="4">
        <v>-12.19992890882715</v>
      </c>
      <c r="FS113" s="4">
        <v>-12.16705289146002</v>
      </c>
      <c r="FT113" s="4">
        <v>-12.134295915209639</v>
      </c>
      <c r="FU113" s="4">
        <v>-12.101657888109569</v>
      </c>
      <c r="FV113" s="4">
        <v>-12.069138873936179</v>
      </c>
      <c r="FW113" s="4">
        <v>-12.036739090079219</v>
      </c>
      <c r="FX113" s="4">
        <v>-12.004458903597589</v>
      </c>
      <c r="FY113" s="4">
        <v>-11.97229882544478</v>
      </c>
      <c r="FZ113" s="4">
        <v>-11.940259502867759</v>
      </c>
      <c r="GA113" s="4">
        <v>-11.90834171000165</v>
      </c>
      <c r="GB113" s="4">
        <v>-11.8765463367015</v>
      </c>
      <c r="GC113" s="4">
        <v>-11.84487437567218</v>
      </c>
      <c r="GD113" s="4">
        <v>-11.813326907975661</v>
      </c>
      <c r="GE113" s="4">
        <v>-11.78190508701425</v>
      </c>
      <c r="GF113" s="4">
        <v>-11.750610121105341</v>
      </c>
      <c r="GG113" s="4">
        <v>-11.719443254779931</v>
      </c>
      <c r="GH113" s="4">
        <v>-11.68840574895351</v>
      </c>
      <c r="GI113" s="4">
        <v>-11.6574988601302</v>
      </c>
      <c r="GJ113" s="4">
        <v>-11.62672381881451</v>
      </c>
      <c r="GK113" s="4">
        <v>-11.59608180731473</v>
      </c>
      <c r="GL113" s="4">
        <v>-11.56557393713021</v>
      </c>
      <c r="GM113" s="4">
        <v>-11.535201226120931</v>
      </c>
      <c r="GN113" s="4">
        <v>-11.504964575661379</v>
      </c>
      <c r="GO113" s="4">
        <v>-11.474864747982711</v>
      </c>
      <c r="GP113" s="4">
        <v>-11.44490234390544</v>
      </c>
      <c r="GQ113" s="4">
        <v>-11.41507778116336</v>
      </c>
      <c r="GR113" s="4">
        <v>-11.38539127351245</v>
      </c>
      <c r="GS113" s="4">
        <v>-11.35584281081276</v>
      </c>
      <c r="GT113" s="4">
        <v>-11.3264321402613</v>
      </c>
      <c r="GU113" s="4">
        <v>-11.297158748942749</v>
      </c>
      <c r="GV113" s="4">
        <v>-11.268021847853291</v>
      </c>
      <c r="GW113" s="4">
        <v>-11.239020357537211</v>
      </c>
      <c r="GX113" s="4">
        <v>-11.21015289546262</v>
      </c>
      <c r="GY113" s="4">
        <v>-11.18141776524485</v>
      </c>
      <c r="GZ113" s="4">
        <v>-11.152812947810119</v>
      </c>
      <c r="HA113" s="4">
        <v>-11.12433609457444</v>
      </c>
      <c r="HB113" s="4">
        <v>-11.09598452269441</v>
      </c>
      <c r="HC113" s="4">
        <v>-11.06775521242928</v>
      </c>
      <c r="HD113" s="4">
        <v>-11.039644806635531</v>
      </c>
      <c r="HE113" s="4">
        <v>-11.011649612396781</v>
      </c>
      <c r="HF113" s="4">
        <v>-10.983765604776179</v>
      </c>
      <c r="HG113" s="4">
        <v>-10.955988432659399</v>
      </c>
      <c r="HH113" s="4">
        <v>-10.92831342664252</v>
      </c>
      <c r="HI113" s="4">
        <v>-10.90073560890143</v>
      </c>
      <c r="HJ113" s="4">
        <v>-10.87324970496679</v>
      </c>
      <c r="HK113" s="4">
        <v>-10.84585015731337</v>
      </c>
      <c r="HL113" s="4">
        <v>-10.818531140660941</v>
      </c>
      <c r="HM113" s="4">
        <v>-10.79128657887178</v>
      </c>
      <c r="HN113" s="4">
        <v>-10.7641101633196</v>
      </c>
      <c r="HO113" s="4">
        <v>-10.736995372595491</v>
      </c>
      <c r="HP113" s="4">
        <v>-10.70993549340788</v>
      </c>
      <c r="HQ113" s="4">
        <v>-10.68292364252769</v>
      </c>
      <c r="HR113" s="4">
        <v>-10.655952789622519</v>
      </c>
      <c r="HS113" s="4">
        <v>-10.629015780821531</v>
      </c>
      <c r="HT113" s="4">
        <v>-10.602105362847521</v>
      </c>
      <c r="HU113" s="4">
        <v>-10.57521420755301</v>
      </c>
      <c r="HV113" s="4">
        <v>-10.54833493669449</v>
      </c>
      <c r="HW113" s="4">
        <v>-10.521460146782379</v>
      </c>
      <c r="HX113" s="4">
        <v>-10.494582433844119</v>
      </c>
      <c r="HY113" s="4">
        <v>-10.4676944179429</v>
      </c>
      <c r="HZ113" s="4">
        <v>-10.44078876729839</v>
      </c>
      <c r="IA113" s="4">
        <v>-10.41385822186203</v>
      </c>
      <c r="IB113" s="4">
        <v>-10.386895616206621</v>
      </c>
      <c r="IC113" s="4">
        <v>-10.35989390159744</v>
      </c>
      <c r="ID113" s="4">
        <v>-10.332846167122121</v>
      </c>
      <c r="IE113" s="4">
        <v>-10.30574565976587</v>
      </c>
      <c r="IF113" s="4">
        <v>-10.278585803329671</v>
      </c>
      <c r="IG113" s="4">
        <v>-10.251360216100529</v>
      </c>
      <c r="IH113" s="4">
        <v>-10.224062727195371</v>
      </c>
      <c r="II113" s="4">
        <v>-10.19668739151148</v>
      </c>
      <c r="IJ113" s="4">
        <v>-10.16922850323121</v>
      </c>
      <c r="IK113" s="4">
        <v>-10.141680607839181</v>
      </c>
      <c r="IL113" s="4">
        <v>-10.11403851262572</v>
      </c>
      <c r="IM113" s="4">
        <v>-10.08629729566089</v>
      </c>
    </row>
    <row r="114" spans="2:247" x14ac:dyDescent="0.35">
      <c r="B114" s="58">
        <v>0.98</v>
      </c>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v>-14.13392415961046</v>
      </c>
      <c r="DW114" s="4">
        <v>-14.094345247956831</v>
      </c>
      <c r="DX114" s="4">
        <v>-14.05490201725182</v>
      </c>
      <c r="DY114" s="4">
        <v>-14.01559654929917</v>
      </c>
      <c r="DZ114" s="4">
        <v>-13.97643081739623</v>
      </c>
      <c r="EA114" s="4">
        <v>-13.937406680130939</v>
      </c>
      <c r="EB114" s="4">
        <v>-13.898525875463131</v>
      </c>
      <c r="EC114" s="4">
        <v>-13.859790015140209</v>
      </c>
      <c r="ED114" s="4">
        <v>-13.82120057949891</v>
      </c>
      <c r="EE114" s="4">
        <v>-13.78275891270439</v>
      </c>
      <c r="EF114" s="4">
        <v>-13.7444662184779</v>
      </c>
      <c r="EG114" s="4">
        <v>-13.70632355636373</v>
      </c>
      <c r="EH114" s="4">
        <v>-13.668331838584839</v>
      </c>
      <c r="EI114" s="4">
        <v>-13.630491827534071</v>
      </c>
      <c r="EJ114" s="4">
        <v>-13.592804133947039</v>
      </c>
      <c r="EK114" s="4">
        <v>-13.555269215798161</v>
      </c>
      <c r="EL114" s="4">
        <v>-13.517887377958511</v>
      </c>
      <c r="EM114" s="4">
        <v>-13.48065877265088</v>
      </c>
      <c r="EN114" s="4">
        <v>-13.44358340073104</v>
      </c>
      <c r="EO114" s="4">
        <v>-13.40666111382035</v>
      </c>
      <c r="EP114" s="4">
        <v>-13.369891617308619</v>
      </c>
      <c r="EQ114" s="4">
        <v>-13.333274474239531</v>
      </c>
      <c r="ER114" s="4">
        <v>-13.296809110084739</v>
      </c>
      <c r="ES114" s="4">
        <v>-13.26049481840491</v>
      </c>
      <c r="ET114" s="4">
        <v>-13.224330767388921</v>
      </c>
      <c r="EU114" s="4">
        <v>-13.18831600725362</v>
      </c>
      <c r="EV114" s="4">
        <v>-13.15244947847976</v>
      </c>
      <c r="EW114" s="4">
        <v>-13.11673002084922</v>
      </c>
      <c r="EX114" s="4">
        <v>-13.081156383242281</v>
      </c>
      <c r="EY114" s="4">
        <v>-13.04572723414268</v>
      </c>
      <c r="EZ114" s="4">
        <v>-13.010441172792071</v>
      </c>
      <c r="FA114" s="4">
        <v>-12.97529674092452</v>
      </c>
      <c r="FB114" s="4">
        <v>-12.940292435005089</v>
      </c>
      <c r="FC114" s="4">
        <v>-12.905426718888</v>
      </c>
      <c r="FD114" s="4">
        <v>-12.870698036801549</v>
      </c>
      <c r="FE114" s="4">
        <v>-12.8361048265614</v>
      </c>
      <c r="FF114" s="4">
        <v>-12.80164553290536</v>
      </c>
      <c r="FG114" s="4">
        <v>-12.767318620839029</v>
      </c>
      <c r="FH114" s="4">
        <v>-12.733122588875069</v>
      </c>
      <c r="FI114" s="4">
        <v>-12.69905598204557</v>
      </c>
      <c r="FJ114" s="4">
        <v>-12.66511740456451</v>
      </c>
      <c r="FK114" s="4">
        <v>-12.63130553201354</v>
      </c>
      <c r="FL114" s="4">
        <v>-12.59761912292617</v>
      </c>
      <c r="FM114" s="4">
        <v>-12.564057029643971</v>
      </c>
      <c r="FN114" s="4">
        <v>-12.530618208321179</v>
      </c>
      <c r="FO114" s="4">
        <v>-12.4973017279576</v>
      </c>
      <c r="FP114" s="4">
        <v>-12.46410677834386</v>
      </c>
      <c r="FQ114" s="4">
        <v>-12.431032676810281</v>
      </c>
      <c r="FR114" s="4">
        <v>-12.39807887367704</v>
      </c>
      <c r="FS114" s="4">
        <v>-12.365244956313919</v>
      </c>
      <c r="FT114" s="4">
        <v>-12.332530651727041</v>
      </c>
      <c r="FU114" s="4">
        <v>-12.299935827603219</v>
      </c>
      <c r="FV114" s="4">
        <v>-12.267460491754729</v>
      </c>
      <c r="FW114" s="4">
        <v>-12.235104789921699</v>
      </c>
      <c r="FX114" s="4">
        <v>-12.20286900190543</v>
      </c>
      <c r="FY114" s="4">
        <v>-12.170753536020619</v>
      </c>
      <c r="FZ114" s="4">
        <v>-12.13875892187237</v>
      </c>
      <c r="GA114" s="4">
        <v>-12.10688580148032</v>
      </c>
      <c r="GB114" s="4">
        <v>-12.075134918790241</v>
      </c>
      <c r="GC114" s="4">
        <v>-12.04350710762994</v>
      </c>
      <c r="GD114" s="4">
        <v>-12.012003278184521</v>
      </c>
      <c r="GE114" s="4">
        <v>-11.98062440208186</v>
      </c>
      <c r="GF114" s="4">
        <v>-11.949371496195489</v>
      </c>
      <c r="GG114" s="4">
        <v>-11.91824560528744</v>
      </c>
      <c r="GH114" s="4">
        <v>-11.887247783626581</v>
      </c>
      <c r="GI114" s="4">
        <v>-11.856379075731351</v>
      </c>
      <c r="GJ114" s="4">
        <v>-11.825640496396501</v>
      </c>
      <c r="GK114" s="4">
        <v>-11.795033010172149</v>
      </c>
      <c r="GL114" s="4">
        <v>-11.764557510471979</v>
      </c>
      <c r="GM114" s="4">
        <v>-11.734214798491561</v>
      </c>
      <c r="GN114" s="4">
        <v>-11.70400556212241</v>
      </c>
      <c r="GO114" s="4">
        <v>-11.67393035504789</v>
      </c>
      <c r="GP114" s="4">
        <v>-11.643989576207071</v>
      </c>
      <c r="GQ114" s="4">
        <v>-11.61418344980958</v>
      </c>
      <c r="GR114" s="4">
        <v>-11.584512006080139</v>
      </c>
      <c r="GS114" s="4">
        <v>-11.55497506290444</v>
      </c>
      <c r="GT114" s="4">
        <v>-11.525572208540581</v>
      </c>
      <c r="GU114" s="4">
        <v>-11.49630278554954</v>
      </c>
      <c r="GV114" s="4">
        <v>-11.46716587608759</v>
      </c>
      <c r="GW114" s="4">
        <v>-11.43816028868992</v>
      </c>
      <c r="GX114" s="4">
        <v>-11.409284546662191</v>
      </c>
      <c r="GY114" s="4">
        <v>-11.380536878180891</v>
      </c>
      <c r="GZ114" s="4">
        <v>-11.35191520818892</v>
      </c>
      <c r="HA114" s="4">
        <v>-11.32341715215617</v>
      </c>
      <c r="HB114" s="4">
        <v>-11.29504001175893</v>
      </c>
      <c r="HC114" s="4">
        <v>-11.26678077251538</v>
      </c>
      <c r="HD114" s="4">
        <v>-11.23863610339817</v>
      </c>
      <c r="HE114" s="4">
        <v>-11.21060235842816</v>
      </c>
      <c r="HF114" s="4">
        <v>-11.182675580238429</v>
      </c>
      <c r="HG114" s="4">
        <v>-11.154851505580609</v>
      </c>
      <c r="HH114" s="4">
        <v>-11.12712557273262</v>
      </c>
      <c r="HI114" s="4">
        <v>-11.099492930749999</v>
      </c>
      <c r="HJ114" s="4">
        <v>-11.071948450491931</v>
      </c>
      <c r="HK114" s="4">
        <v>-11.04448673733857</v>
      </c>
      <c r="HL114" s="4">
        <v>-11.017102145505049</v>
      </c>
      <c r="HM114" s="4">
        <v>-10.98978879384731</v>
      </c>
      <c r="HN114" s="4">
        <v>-10.96254058304307</v>
      </c>
      <c r="HO114" s="4">
        <v>-10.93535121402568</v>
      </c>
      <c r="HP114" s="4">
        <v>-10.908214207537441</v>
      </c>
      <c r="HQ114" s="4">
        <v>-10.88112292466538</v>
      </c>
      <c r="HR114" s="4">
        <v>-10.85407058821543</v>
      </c>
      <c r="HS114" s="4">
        <v>-10.82705030477719</v>
      </c>
      <c r="HT114" s="4">
        <v>-10.8000550873295</v>
      </c>
      <c r="HU114" s="4">
        <v>-10.773077878233551</v>
      </c>
      <c r="HV114" s="4">
        <v>-10.74611157246181</v>
      </c>
      <c r="HW114" s="4">
        <v>-10.719149040910059</v>
      </c>
      <c r="HX114" s="4">
        <v>-10.692183153643031</v>
      </c>
      <c r="HY114" s="4">
        <v>-10.665206802926599</v>
      </c>
      <c r="HZ114" s="4">
        <v>-10.63821292590365</v>
      </c>
      <c r="IA114" s="4">
        <v>-10.611194526777121</v>
      </c>
      <c r="IB114" s="4">
        <v>-10.58414469836865</v>
      </c>
      <c r="IC114" s="4">
        <v>-10.557056642929981</v>
      </c>
      <c r="ID114" s="4">
        <v>-10.52992369209184</v>
      </c>
      <c r="IE114" s="4">
        <v>-10.50273932584474</v>
      </c>
      <c r="IF114" s="4">
        <v>-10.475497190455339</v>
      </c>
      <c r="IG114" s="4">
        <v>-10.44819111523339</v>
      </c>
      <c r="IH114" s="4">
        <v>-10.42081512807475</v>
      </c>
      <c r="II114" s="4">
        <v>-10.393363469717309</v>
      </c>
      <c r="IJ114" s="4">
        <v>-10.36583060665915</v>
      </c>
      <c r="IK114" s="4">
        <v>-10.33821124269955</v>
      </c>
      <c r="IL114" s="4">
        <v>-10.310500329075101</v>
      </c>
      <c r="IM114" s="4">
        <v>-10.28269307317607</v>
      </c>
    </row>
    <row r="115" spans="2:247" x14ac:dyDescent="0.35">
      <c r="B115" s="58">
        <v>0.99</v>
      </c>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v>-14.32961633407229</v>
      </c>
      <c r="DW115" s="4">
        <v>-14.29011958808618</v>
      </c>
      <c r="DX115" s="4">
        <v>-14.25075732000254</v>
      </c>
      <c r="DY115" s="4">
        <v>-14.211531540122101</v>
      </c>
      <c r="DZ115" s="4">
        <v>-14.17244415387113</v>
      </c>
      <c r="EA115" s="4">
        <v>-14.133496956042199</v>
      </c>
      <c r="EB115" s="4">
        <v>-14.09469162531472</v>
      </c>
      <c r="EC115" s="4">
        <v>-14.056029719102799</v>
      </c>
      <c r="ED115" s="4">
        <v>-14.017512668776821</v>
      </c>
      <c r="EE115" s="4">
        <v>-13.97914177530663</v>
      </c>
      <c r="EF115" s="4">
        <v>-13.94091820537311</v>
      </c>
      <c r="EG115" s="4">
        <v>-13.902842987994291</v>
      </c>
      <c r="EH115" s="4">
        <v>-13.864917011710491</v>
      </c>
      <c r="EI115" s="4">
        <v>-13.827141022372251</v>
      </c>
      <c r="EJ115" s="4">
        <v>-13.789515621570891</v>
      </c>
      <c r="EK115" s="4">
        <v>-13.75204126575002</v>
      </c>
      <c r="EL115" s="4">
        <v>-13.714718266032159</v>
      </c>
      <c r="EM115" s="4">
        <v>-13.677546788791339</v>
      </c>
      <c r="EN115" s="4">
        <v>-13.64052685699721</v>
      </c>
      <c r="EO115" s="4">
        <v>-13.603658352352459</v>
      </c>
      <c r="EP115" s="4">
        <v>-13.566941018238531</v>
      </c>
      <c r="EQ115" s="4">
        <v>-13.53037446347995</v>
      </c>
      <c r="ER115" s="4">
        <v>-13.49395816693049</v>
      </c>
      <c r="ES115" s="4">
        <v>-13.45769148287771</v>
      </c>
      <c r="ET115" s="4">
        <v>-13.421573647256</v>
      </c>
      <c r="EU115" s="4">
        <v>-13.385603784649829</v>
      </c>
      <c r="EV115" s="4">
        <v>-13.3497809160621</v>
      </c>
      <c r="EW115" s="4">
        <v>-13.314103967414731</v>
      </c>
      <c r="EX115" s="4">
        <v>-13.278571778739741</v>
      </c>
      <c r="EY115" s="4">
        <v>-13.243183114012551</v>
      </c>
      <c r="EZ115" s="4">
        <v>-13.20793667157036</v>
      </c>
      <c r="FA115" s="4">
        <v>-13.1728310950508</v>
      </c>
      <c r="FB115" s="4">
        <v>-13.137864984778959</v>
      </c>
      <c r="FC115" s="4">
        <v>-13.10303690952323</v>
      </c>
      <c r="FD115" s="4">
        <v>-13.06834541853388</v>
      </c>
      <c r="FE115" s="4">
        <v>-13.03378905377116</v>
      </c>
      <c r="FF115" s="4">
        <v>-12.99936636222559</v>
      </c>
      <c r="FG115" s="4">
        <v>-12.96507590822559</v>
      </c>
      <c r="FH115" s="4">
        <v>-12.930916285625811</v>
      </c>
      <c r="FI115" s="4">
        <v>-12.896886129764081</v>
      </c>
      <c r="FJ115" s="4">
        <v>-12.862984129073521</v>
      </c>
      <c r="FK115" s="4">
        <v>-12.82920903623479</v>
      </c>
      <c r="FL115" s="4">
        <v>-12.79555967875209</v>
      </c>
      <c r="FM115" s="4">
        <v>-12.762034968838931</v>
      </c>
      <c r="FN115" s="4">
        <v>-12.72863391250068</v>
      </c>
      <c r="FO115" s="4">
        <v>-12.695355617704109</v>
      </c>
      <c r="FP115" s="4">
        <v>-12.662199301529929</v>
      </c>
      <c r="FQ115" s="4">
        <v>-12.629164296208669</v>
      </c>
      <c r="FR115" s="4">
        <v>-12.59625005394928</v>
      </c>
      <c r="FS115" s="4">
        <v>-12.56345615047668</v>
      </c>
      <c r="FT115" s="4">
        <v>-12.530782287205939</v>
      </c>
      <c r="FU115" s="4">
        <v>-12.498228291990401</v>
      </c>
      <c r="FV115" s="4">
        <v>-12.465794118393999</v>
      </c>
      <c r="FW115" s="4">
        <v>-12.43347984345106</v>
      </c>
      <c r="FX115" s="4">
        <v>-12.401285663890359</v>
      </c>
      <c r="FY115" s="4">
        <v>-12.36921189081545</v>
      </c>
      <c r="FZ115" s="4">
        <v>-12.337258942848059</v>
      </c>
      <c r="GA115" s="4">
        <v>-12.3054273377575</v>
      </c>
      <c r="GB115" s="4">
        <v>-12.273717682614221</v>
      </c>
      <c r="GC115" s="4">
        <v>-12.24213066252152</v>
      </c>
      <c r="GD115" s="4">
        <v>-12.21066702799574</v>
      </c>
      <c r="GE115" s="4">
        <v>-12.17932758107907</v>
      </c>
      <c r="GF115" s="4">
        <v>-12.14811316028438</v>
      </c>
      <c r="GG115" s="4">
        <v>-12.117024624485209</v>
      </c>
      <c r="GH115" s="4">
        <v>-12.086062835875349</v>
      </c>
      <c r="GI115" s="4">
        <v>-12.05522864213583</v>
      </c>
      <c r="GJ115" s="4">
        <v>-12.024522857954389</v>
      </c>
      <c r="GK115" s="4">
        <v>-11.99394624605338</v>
      </c>
      <c r="GL115" s="4">
        <v>-11.963499497886961</v>
      </c>
      <c r="GM115" s="4">
        <v>-11.93318321417415</v>
      </c>
      <c r="GN115" s="4">
        <v>-11.9029978854376</v>
      </c>
      <c r="GO115" s="4">
        <v>-11.87294387271837</v>
      </c>
      <c r="GP115" s="4">
        <v>-11.843021388638061</v>
      </c>
      <c r="GQ115" s="4">
        <v>-11.81323047897502</v>
      </c>
      <c r="GR115" s="4">
        <v>-11.78357100491942</v>
      </c>
      <c r="GS115" s="4">
        <v>-11.75404262616498</v>
      </c>
      <c r="GT115" s="4">
        <v>-11.72464478498723</v>
      </c>
      <c r="GU115" s="4">
        <v>-11.695376691451139</v>
      </c>
      <c r="GV115" s="4">
        <v>-11.66623730987812</v>
      </c>
      <c r="GW115" s="4">
        <v>-11.637225346693221</v>
      </c>
      <c r="GX115" s="4">
        <v>-11.608339239759831</v>
      </c>
      <c r="GY115" s="4">
        <v>-11.57957714929532</v>
      </c>
      <c r="GZ115" s="4">
        <v>-11.55093695044858</v>
      </c>
      <c r="HA115" s="4">
        <v>-11.522416227603941</v>
      </c>
      <c r="HB115" s="4">
        <v>-11.494012270462941</v>
      </c>
      <c r="HC115" s="4">
        <v>-11.465722071938661</v>
      </c>
      <c r="HD115" s="4">
        <v>-11.437542327883341</v>
      </c>
      <c r="HE115" s="4">
        <v>-11.40946943865427</v>
      </c>
      <c r="HF115" s="4">
        <v>-11.38149951250899</v>
      </c>
      <c r="HG115" s="4">
        <v>-11.353628370804939</v>
      </c>
      <c r="HH115" s="4">
        <v>-11.32585155496659</v>
      </c>
      <c r="HI115" s="4">
        <v>-11.29816433516857</v>
      </c>
      <c r="HJ115" s="4">
        <v>-11.27056172067074</v>
      </c>
      <c r="HK115" s="4">
        <v>-11.24303847172971</v>
      </c>
      <c r="HL115" s="4">
        <v>-11.21558911300016</v>
      </c>
      <c r="HM115" s="4">
        <v>-11.18820794832844</v>
      </c>
      <c r="HN115" s="4">
        <v>-11.160889076832859</v>
      </c>
      <c r="HO115" s="4">
        <v>-11.133626410156159</v>
      </c>
      <c r="HP115" s="4">
        <v>-11.106413690768051</v>
      </c>
      <c r="HQ115" s="4">
        <v>-11.07924451119078</v>
      </c>
      <c r="HR115" s="4">
        <v>-11.05211233401463</v>
      </c>
      <c r="HS115" s="4">
        <v>-11.02501051256675</v>
      </c>
      <c r="HT115" s="4">
        <v>-10.99793231209363</v>
      </c>
      <c r="HU115" s="4">
        <v>-10.97087093131676</v>
      </c>
      <c r="HV115" s="4">
        <v>-10.94381952421911</v>
      </c>
      <c r="HW115" s="4">
        <v>-10.916771221921801</v>
      </c>
      <c r="HX115" s="4">
        <v>-10.8897191545118</v>
      </c>
      <c r="HY115" s="4">
        <v>-10.86265647268376</v>
      </c>
      <c r="HZ115" s="4">
        <v>-10.83557636906392</v>
      </c>
      <c r="IA115" s="4">
        <v>-10.808472099088091</v>
      </c>
      <c r="IB115" s="4">
        <v>-10.781337001311901</v>
      </c>
      <c r="IC115" s="4">
        <v>-10.754164517038539</v>
      </c>
      <c r="ID115" s="4">
        <v>-10.726948209156349</v>
      </c>
      <c r="IE115" s="4">
        <v>-10.69968178008734</v>
      </c>
      <c r="IF115" s="4">
        <v>-10.672359088756959</v>
      </c>
      <c r="IG115" s="4">
        <v>-10.64497416650414</v>
      </c>
      <c r="IH115" s="4">
        <v>-10.617521231862421</v>
      </c>
      <c r="II115" s="4">
        <v>-10.589994704151639</v>
      </c>
      <c r="IJ115" s="4">
        <v>-10.562389215831571</v>
      </c>
      <c r="IK115" s="4">
        <v>-10.534699623579931</v>
      </c>
      <c r="IL115" s="4">
        <v>-10.506921018066651</v>
      </c>
      <c r="IM115" s="4">
        <v>-10.479048732409179</v>
      </c>
    </row>
    <row r="116" spans="2:247" x14ac:dyDescent="0.35">
      <c r="B116" s="58">
        <v>1</v>
      </c>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v>-14.525371402264289</v>
      </c>
      <c r="DW116" s="4">
        <v>-14.48595541434965</v>
      </c>
      <c r="DX116" s="4">
        <v>-14.446672719879141</v>
      </c>
      <c r="DY116" s="4">
        <v>-14.407525261443009</v>
      </c>
      <c r="DZ116" s="4">
        <v>-14.36851488029148</v>
      </c>
      <c r="EA116" s="4">
        <v>-14.329643310985981</v>
      </c>
      <c r="EB116" s="4">
        <v>-14.290912176325691</v>
      </c>
      <c r="EC116" s="4">
        <v>-14.25232298259272</v>
      </c>
      <c r="ED116" s="4">
        <v>-14.21387711515858</v>
      </c>
      <c r="EE116" s="4">
        <v>-14.175575834496369</v>
      </c>
      <c r="EF116" s="4">
        <v>-14.13742027264105</v>
      </c>
      <c r="EG116" s="4">
        <v>-14.09941143014022</v>
      </c>
      <c r="EH116" s="4">
        <v>-14.061550173535711</v>
      </c>
      <c r="EI116" s="4">
        <v>-14.023837233415231</v>
      </c>
      <c r="EJ116" s="4">
        <v>-13.98627320307043</v>
      </c>
      <c r="EK116" s="4">
        <v>-13.948858537795431</v>
      </c>
      <c r="EL116" s="4">
        <v>-13.91159355485604</v>
      </c>
      <c r="EM116" s="4">
        <v>-13.87447843415697</v>
      </c>
      <c r="EN116" s="4">
        <v>-13.83751321962936</v>
      </c>
      <c r="EO116" s="4">
        <v>-13.80069782135633</v>
      </c>
      <c r="EP116" s="4">
        <v>-13.764032018450481</v>
      </c>
      <c r="EQ116" s="4">
        <v>-13.72751546268915</v>
      </c>
      <c r="ER116" s="4">
        <v>-13.69114768291009</v>
      </c>
      <c r="ES116" s="4">
        <v>-13.65492809016208</v>
      </c>
      <c r="ET116" s="4">
        <v>-13.618855983599721</v>
      </c>
      <c r="EU116" s="4">
        <v>-13.58293055710288</v>
      </c>
      <c r="EV116" s="4">
        <v>-13.547150906597571</v>
      </c>
      <c r="EW116" s="4">
        <v>-13.51151603804375</v>
      </c>
      <c r="EX116" s="4">
        <v>-13.4760248760522</v>
      </c>
      <c r="EY116" s="4">
        <v>-13.440676273082209</v>
      </c>
      <c r="EZ116" s="4">
        <v>-13.40546901916704</v>
      </c>
      <c r="FA116" s="4">
        <v>-13.370401852105349</v>
      </c>
      <c r="FB116" s="4">
        <v>-13.33547346805088</v>
      </c>
      <c r="FC116" s="4">
        <v>-13.300682532425951</v>
      </c>
      <c r="FD116" s="4">
        <v>-13.266027691078021</v>
      </c>
      <c r="FE116" s="4">
        <v>-13.23150758159286</v>
      </c>
      <c r="FF116" s="4">
        <v>-13.197120844673091</v>
      </c>
      <c r="FG116" s="4">
        <v>-13.16286613548618</v>
      </c>
      <c r="FH116" s="4">
        <v>-13.128742134881801</v>
      </c>
      <c r="FI116" s="4">
        <v>-13.094747560376369</v>
      </c>
      <c r="FJ116" s="4">
        <v>-13.060881176799951</v>
      </c>
      <c r="FK116" s="4">
        <v>-13.027141806499371</v>
      </c>
      <c r="FL116" s="4">
        <v>-12.993528338992149</v>
      </c>
      <c r="FM116" s="4">
        <v>-12.96003973996638</v>
      </c>
      <c r="FN116" s="4">
        <v>-12.92667505952309</v>
      </c>
      <c r="FO116" s="4">
        <v>-12.89343343956277</v>
      </c>
      <c r="FP116" s="4">
        <v>-12.860314120220171</v>
      </c>
      <c r="FQ116" s="4">
        <v>-12.82731644525858</v>
      </c>
      <c r="FR116" s="4">
        <v>-12.79443986634111</v>
      </c>
      <c r="FS116" s="4">
        <v>-12.761683946104529</v>
      </c>
      <c r="FT116" s="4">
        <v>-12.72904835997039</v>
      </c>
      <c r="FU116" s="4">
        <v>-12.696532896638489</v>
      </c>
      <c r="FV116" s="4">
        <v>-12.66413745721878</v>
      </c>
      <c r="FW116" s="4">
        <v>-12.631862052969639</v>
      </c>
      <c r="FX116" s="4">
        <v>-12.59970680162388</v>
      </c>
      <c r="FY116" s="4">
        <v>-12.56767192229638</v>
      </c>
      <c r="FZ116" s="4">
        <v>-12.5357577289821</v>
      </c>
      <c r="GA116" s="4">
        <v>-12.50396462266645</v>
      </c>
      <c r="GB116" s="4">
        <v>-12.47229308208515</v>
      </c>
      <c r="GC116" s="4">
        <v>-12.44074365318467</v>
      </c>
      <c r="GD116" s="4">
        <v>-12.409316937348169</v>
      </c>
      <c r="GE116" s="4">
        <v>-12.37801357846606</v>
      </c>
      <c r="GF116" s="4">
        <v>-12.346834248942979</v>
      </c>
      <c r="GG116" s="4">
        <v>-12.315779634744899</v>
      </c>
      <c r="GH116" s="4">
        <v>-12.28485041960281</v>
      </c>
      <c r="GI116" s="4">
        <v>-12.254047268497199</v>
      </c>
      <c r="GJ116" s="4">
        <v>-12.223370810559279</v>
      </c>
      <c r="GK116" s="4">
        <v>-12.192821621529889</v>
      </c>
      <c r="GL116" s="4">
        <v>-12.16240020592504</v>
      </c>
      <c r="GM116" s="4">
        <v>-12.13210697906035</v>
      </c>
      <c r="GN116" s="4">
        <v>-12.10194224908976</v>
      </c>
      <c r="GO116" s="4">
        <v>-12.071906199215739</v>
      </c>
      <c r="GP116" s="4">
        <v>-12.0419988702262</v>
      </c>
      <c r="GQ116" s="4">
        <v>-12.012220143513719</v>
      </c>
      <c r="GR116" s="4">
        <v>-11.98256972472567</v>
      </c>
      <c r="GS116" s="4">
        <v>-11.95304712819202</v>
      </c>
      <c r="GT116" s="4">
        <v>-11.923651662267989</v>
      </c>
      <c r="GU116" s="4">
        <v>-11.89438241572271</v>
      </c>
      <c r="GV116" s="4">
        <v>-11.86523824529452</v>
      </c>
      <c r="GW116" s="4">
        <v>-11.836217764523759</v>
      </c>
      <c r="GX116" s="4">
        <v>-11.80731933396229</v>
      </c>
      <c r="GY116" s="4">
        <v>-11.778541052847221</v>
      </c>
      <c r="GZ116" s="4">
        <v>-11.749880752312579</v>
      </c>
      <c r="HA116" s="4">
        <v>-11.721335990200981</v>
      </c>
      <c r="HB116" s="4">
        <v>-11.692904047521781</v>
      </c>
      <c r="HC116" s="4">
        <v>-11.6645819265899</v>
      </c>
      <c r="HD116" s="4">
        <v>-11.63636635086481</v>
      </c>
      <c r="HE116" s="4">
        <v>-11.608253766495389</v>
      </c>
      <c r="HF116" s="4">
        <v>-11.580240345563039</v>
      </c>
      <c r="HG116" s="4">
        <v>-11.552321991001531</v>
      </c>
      <c r="HH116" s="4">
        <v>-11.524494343160271</v>
      </c>
      <c r="HI116" s="4">
        <v>-11.49675278796345</v>
      </c>
      <c r="HJ116" s="4">
        <v>-11.46909246660814</v>
      </c>
      <c r="HK116" s="4">
        <v>-11.44150828673067</v>
      </c>
      <c r="HL116" s="4">
        <v>-11.413994934962981</v>
      </c>
      <c r="HM116" s="4">
        <v>-11.38654689078915</v>
      </c>
      <c r="HN116" s="4">
        <v>-11.35915844160381</v>
      </c>
      <c r="HO116" s="4">
        <v>-11.33182369886854</v>
      </c>
      <c r="HP116" s="4">
        <v>-11.304536615252109</v>
      </c>
      <c r="HQ116" s="4">
        <v>-11.277291002638069</v>
      </c>
      <c r="HR116" s="4">
        <v>-11.250080550876129</v>
      </c>
      <c r="HS116" s="4">
        <v>-11.22289884715112</v>
      </c>
      <c r="HT116" s="4">
        <v>-11.19573939584004</v>
      </c>
      <c r="HU116" s="4">
        <v>-11.168595638727179</v>
      </c>
      <c r="HV116" s="4">
        <v>-11.14146097544503</v>
      </c>
      <c r="HW116" s="4">
        <v>-11.11432878401088</v>
      </c>
      <c r="HX116" s="4">
        <v>-11.08719244132935</v>
      </c>
      <c r="HY116" s="4">
        <v>-11.06004534353437</v>
      </c>
      <c r="HZ116" s="4">
        <v>-11.032880926047151</v>
      </c>
      <c r="IA116" s="4">
        <v>-11.00569268323123</v>
      </c>
      <c r="IB116" s="4">
        <v>-10.978474187531511</v>
      </c>
      <c r="IC116" s="4">
        <v>-10.95121910798979</v>
      </c>
      <c r="ID116" s="4">
        <v>-10.92392122803628</v>
      </c>
      <c r="IE116" s="4">
        <v>-10.89657446246501</v>
      </c>
      <c r="IF116" s="4">
        <v>-10.86917287350837</v>
      </c>
      <c r="IG116" s="4">
        <v>-10.84171068593537</v>
      </c>
      <c r="IH116" s="4">
        <v>-10.814182301107451</v>
      </c>
      <c r="II116" s="4">
        <v>-10.78658230993557</v>
      </c>
      <c r="IJ116" s="4">
        <v>-10.75890550469073</v>
      </c>
      <c r="IK116" s="4">
        <v>-10.731146889632591</v>
      </c>
      <c r="IL116" s="4">
        <v>-10.70330169042855</v>
      </c>
      <c r="IM116" s="4">
        <v>-10.67536536234641</v>
      </c>
    </row>
    <row r="117" spans="2:247" x14ac:dyDescent="0.35">
      <c r="B117" s="58">
        <v>1.01</v>
      </c>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v>-14.72118722578567</v>
      </c>
      <c r="DW117" s="4">
        <v>-14.681850617603439</v>
      </c>
      <c r="DX117" s="4">
        <v>-14.64264613661194</v>
      </c>
      <c r="DY117" s="4">
        <v>-14.60357566122201</v>
      </c>
      <c r="DZ117" s="4">
        <v>-14.56464097193647</v>
      </c>
      <c r="EA117" s="4">
        <v>-14.52584374638227</v>
      </c>
      <c r="EB117" s="4">
        <v>-14.48718555461071</v>
      </c>
      <c r="EC117" s="4">
        <v>-14.448667854708329</v>
      </c>
      <c r="ED117" s="4">
        <v>-14.41029198875588</v>
      </c>
      <c r="EE117" s="4">
        <v>-14.372059179177061</v>
      </c>
      <c r="EF117" s="4">
        <v>-14.333970525515751</v>
      </c>
      <c r="EG117" s="4">
        <v>-14.29602700167958</v>
      </c>
      <c r="EH117" s="4">
        <v>-14.258229453687431</v>
      </c>
      <c r="EI117" s="4">
        <v>-14.22057859795588</v>
      </c>
      <c r="EJ117" s="4">
        <v>-14.183075020157039</v>
      </c>
      <c r="EK117" s="4">
        <v>-14.145719174678669</v>
      </c>
      <c r="EL117" s="4">
        <v>-14.108511384712839</v>
      </c>
      <c r="EM117" s="4">
        <v>-14.07145184299767</v>
      </c>
      <c r="EN117" s="4">
        <v>-14.03454061323078</v>
      </c>
      <c r="EO117" s="4">
        <v>-13.99777763217015</v>
      </c>
      <c r="EP117" s="4">
        <v>-13.96116271243284</v>
      </c>
      <c r="EQ117" s="4">
        <v>-13.924695545996199</v>
      </c>
      <c r="ER117" s="4">
        <v>-13.888375708401851</v>
      </c>
      <c r="ES117" s="4">
        <v>-13.852202663656159</v>
      </c>
      <c r="ET117" s="4">
        <v>-13.816175769814979</v>
      </c>
      <c r="EU117" s="4">
        <v>-13.78029428523398</v>
      </c>
      <c r="EV117" s="4">
        <v>-13.744557375460159</v>
      </c>
      <c r="EW117" s="4">
        <v>-13.70896412073235</v>
      </c>
      <c r="EX117" s="4">
        <v>-13.673513524053201</v>
      </c>
      <c r="EY117" s="4">
        <v>-13.638204519787109</v>
      </c>
      <c r="EZ117" s="4">
        <v>-13.603035982733671</v>
      </c>
      <c r="FA117" s="4">
        <v>-13.56800673761791</v>
      </c>
      <c r="FB117" s="4">
        <v>-13.53311556893417</v>
      </c>
      <c r="FC117" s="4">
        <v>-13.49836123107335</v>
      </c>
      <c r="FD117" s="4">
        <v>-13.463742458658279</v>
      </c>
      <c r="FE117" s="4">
        <v>-13.429257977006859</v>
      </c>
      <c r="FF117" s="4">
        <v>-13.394906512637901</v>
      </c>
      <c r="FG117" s="4">
        <v>-13.36068680373111</v>
      </c>
      <c r="FH117" s="4">
        <v>-13.32659761044828</v>
      </c>
      <c r="FI117" s="4">
        <v>-13.2926377250222</v>
      </c>
      <c r="FJ117" s="4">
        <v>-13.258805981515909</v>
      </c>
      <c r="FK117" s="4">
        <v>-13.22510126515599</v>
      </c>
      <c r="FL117" s="4">
        <v>-13.19152252114227</v>
      </c>
      <c r="FM117" s="4">
        <v>-13.158068762838919</v>
      </c>
      <c r="FN117" s="4">
        <v>-13.1247390792525</v>
      </c>
      <c r="FO117" s="4">
        <v>-13.091532641707399</v>
      </c>
      <c r="FP117" s="4">
        <v>-13.058448709631801</v>
      </c>
      <c r="FQ117" s="4">
        <v>-13.02548663537427</v>
      </c>
      <c r="FR117" s="4">
        <v>-12.99264586797625</v>
      </c>
      <c r="FS117" s="4">
        <v>-12.959925955833739</v>
      </c>
      <c r="FT117" s="4">
        <v>-12.927326548190321</v>
      </c>
      <c r="FU117" s="4">
        <v>-12.89484739541235</v>
      </c>
      <c r="FV117" s="4">
        <v>-12.862488348008039</v>
      </c>
      <c r="FW117" s="4">
        <v>-12.83024935436276</v>
      </c>
      <c r="FX117" s="4">
        <v>-12.798130457175359</v>
      </c>
      <c r="FY117" s="4">
        <v>-12.76613178859119</v>
      </c>
      <c r="FZ117" s="4">
        <v>-12.73425356404212</v>
      </c>
      <c r="GA117" s="4">
        <v>-12.702496074814739</v>
      </c>
      <c r="GB117" s="4">
        <v>-12.670859679382749</v>
      </c>
      <c r="GC117" s="4">
        <v>-12.639344793550981</v>
      </c>
      <c r="GD117" s="4">
        <v>-12.60795187947261</v>
      </c>
      <c r="GE117" s="4">
        <v>-12.57668143361254</v>
      </c>
      <c r="GF117" s="4">
        <v>-12.545533973742209</v>
      </c>
      <c r="GG117" s="4">
        <v>-12.514510025061551</v>
      </c>
      <c r="GH117" s="4">
        <v>-12.48361010555543</v>
      </c>
      <c r="GI117" s="4">
        <v>-12.452834710699211</v>
      </c>
      <c r="GJ117" s="4">
        <v>-12.422184297637729</v>
      </c>
      <c r="GK117" s="4">
        <v>-12.391659268968059</v>
      </c>
      <c r="GL117" s="4">
        <v>-12.36125995626178</v>
      </c>
      <c r="GM117" s="4">
        <v>-12.33098660346727</v>
      </c>
      <c r="GN117" s="4">
        <v>-12.300839350334099</v>
      </c>
      <c r="GO117" s="4">
        <v>-12.27081821600386</v>
      </c>
      <c r="GP117" s="4">
        <v>-12.24092308291014</v>
      </c>
      <c r="GQ117" s="4">
        <v>-12.21115368112957</v>
      </c>
      <c r="GR117" s="4">
        <v>-12.181509573321719</v>
      </c>
      <c r="GS117" s="4">
        <v>-12.151990140391391</v>
      </c>
      <c r="GT117" s="4">
        <v>-12.12259456800054</v>
      </c>
      <c r="GU117" s="4">
        <v>-12.093321834049579</v>
      </c>
      <c r="GV117" s="4">
        <v>-12.064170697240369</v>
      </c>
      <c r="GW117" s="4">
        <v>-12.035139686821941</v>
      </c>
      <c r="GX117" s="4">
        <v>-12.00622709361167</v>
      </c>
      <c r="GY117" s="4">
        <v>-11.97743096237271</v>
      </c>
      <c r="GZ117" s="4">
        <v>-11.948749085615949</v>
      </c>
      <c r="HA117" s="4">
        <v>-11.9201789988843</v>
      </c>
      <c r="HB117" s="4">
        <v>-11.891717977563379</v>
      </c>
      <c r="HC117" s="4">
        <v>-11.863363035250289</v>
      </c>
      <c r="HD117" s="4">
        <v>-11.835110923699631</v>
      </c>
      <c r="HE117" s="4">
        <v>-11.806958134352509</v>
      </c>
      <c r="HF117" s="4">
        <v>-11.778900901442791</v>
      </c>
      <c r="HG117" s="4">
        <v>-11.75093520666125</v>
      </c>
      <c r="HH117" s="4">
        <v>-11.723056785347261</v>
      </c>
      <c r="HI117" s="4">
        <v>-11.695261134165669</v>
      </c>
      <c r="HJ117" s="4">
        <v>-11.66754352021632</v>
      </c>
      <c r="HK117" s="4">
        <v>-11.639898991511791</v>
      </c>
      <c r="HL117" s="4">
        <v>-11.61232238875122</v>
      </c>
      <c r="HM117" s="4">
        <v>-11.58480835830793</v>
      </c>
      <c r="HN117" s="4">
        <v>-11.55735136634075</v>
      </c>
      <c r="HO117" s="4">
        <v>-11.5299457139318</v>
      </c>
      <c r="HP117" s="4">
        <v>-11.502585553147661</v>
      </c>
      <c r="HQ117" s="4">
        <v>-11.47526490391394</v>
      </c>
      <c r="HR117" s="4">
        <v>-11.447977671590531</v>
      </c>
      <c r="HS117" s="4">
        <v>-11.420717665130271</v>
      </c>
      <c r="HT117" s="4">
        <v>-11.393478615701451</v>
      </c>
      <c r="HU117" s="4">
        <v>-11.36625419565239</v>
      </c>
      <c r="HV117" s="4">
        <v>-11.33903803769755</v>
      </c>
      <c r="HW117" s="4">
        <v>-11.31182375420245</v>
      </c>
      <c r="HX117" s="4">
        <v>-11.28460495644824</v>
      </c>
      <c r="HY117" s="4">
        <v>-11.257375273757591</v>
      </c>
      <c r="HZ117" s="4">
        <v>-11.2301283723676</v>
      </c>
      <c r="IA117" s="4">
        <v>-11.20285797393896</v>
      </c>
      <c r="IB117" s="4">
        <v>-11.17555787359573</v>
      </c>
      <c r="IC117" s="4">
        <v>-11.148221957395769</v>
      </c>
      <c r="ID117" s="4">
        <v>-11.12084421913778</v>
      </c>
      <c r="IE117" s="4">
        <v>-11.09341877641894</v>
      </c>
      <c r="IF117" s="4">
        <v>-11.06593988586339</v>
      </c>
      <c r="IG117" s="4">
        <v>-11.03840195745078</v>
      </c>
      <c r="IH117" s="4">
        <v>-11.01079956788274</v>
      </c>
      <c r="II117" s="4">
        <v>-10.983127472932811</v>
      </c>
      <c r="IJ117" s="4">
        <v>-10.95538061873591</v>
      </c>
      <c r="IK117" s="4">
        <v>-10.92755415198137</v>
      </c>
      <c r="IL117" s="4">
        <v>-10.89964342898323</v>
      </c>
      <c r="IM117" s="4">
        <v>-10.871644023611079</v>
      </c>
    </row>
    <row r="118" spans="2:247" x14ac:dyDescent="0.35">
      <c r="B118" s="58">
        <v>1.02</v>
      </c>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v>-14.917061727055559</v>
      </c>
      <c r="DW118" s="4">
        <v>-14.87780314809271</v>
      </c>
      <c r="DX118" s="4">
        <v>-14.838675547843341</v>
      </c>
      <c r="DY118" s="4">
        <v>-14.799680743825469</v>
      </c>
      <c r="DZ118" s="4">
        <v>-14.760820458976481</v>
      </c>
      <c r="EA118" s="4">
        <v>-14.72209631703636</v>
      </c>
      <c r="EB118" s="4">
        <v>-14.68350983819392</v>
      </c>
      <c r="EC118" s="4">
        <v>-14.64506243503264</v>
      </c>
      <c r="ED118" s="4">
        <v>-14.60675540881304</v>
      </c>
      <c r="EE118" s="4">
        <v>-14.568589946128061</v>
      </c>
      <c r="EF118" s="4">
        <v>-14.53056711596745</v>
      </c>
      <c r="EG118" s="4">
        <v>-14.49268786722595</v>
      </c>
      <c r="EH118" s="4">
        <v>-14.454953026688729</v>
      </c>
      <c r="EI118" s="4">
        <v>-14.41736329752626</v>
      </c>
      <c r="EJ118" s="4">
        <v>-14.379919258327121</v>
      </c>
      <c r="EK118" s="4">
        <v>-14.342621362696731</v>
      </c>
      <c r="EL118" s="4">
        <v>-14.305469939445571</v>
      </c>
      <c r="EM118" s="4">
        <v>-14.268465193387019</v>
      </c>
      <c r="EN118" s="4">
        <v>-14.23160720676246</v>
      </c>
      <c r="EO118" s="4">
        <v>-14.19489594130583</v>
      </c>
      <c r="EP118" s="4">
        <v>-14.15833124095583</v>
      </c>
      <c r="EQ118" s="4">
        <v>-14.121912835219</v>
      </c>
      <c r="ER118" s="4">
        <v>-14.08564034318284</v>
      </c>
      <c r="ES118" s="4">
        <v>-14.04951327817021</v>
      </c>
      <c r="ET118" s="4">
        <v>-14.01353105302401</v>
      </c>
      <c r="EU118" s="4">
        <v>-13.977692986001991</v>
      </c>
      <c r="EV118" s="4">
        <v>-13.94199830725824</v>
      </c>
      <c r="EW118" s="4">
        <v>-13.906446165880361</v>
      </c>
      <c r="EX118" s="4">
        <v>-13.87103563744548</v>
      </c>
      <c r="EY118" s="4">
        <v>-13.83576573205282</v>
      </c>
      <c r="EZ118" s="4">
        <v>-13.80063540278363</v>
      </c>
      <c r="FA118" s="4">
        <v>-13.76564355453462</v>
      </c>
      <c r="FB118" s="4">
        <v>-13.730789053164161</v>
      </c>
      <c r="FC118" s="4">
        <v>-13.696070734886121</v>
      </c>
      <c r="FD118" s="4">
        <v>-13.66148741584125</v>
      </c>
      <c r="FE118" s="4">
        <v>-13.62703790177089</v>
      </c>
      <c r="FF118" s="4">
        <v>-13.59272099771421</v>
      </c>
      <c r="FG118" s="4">
        <v>-13.55853551764671</v>
      </c>
      <c r="FH118" s="4">
        <v>-13.524480293975049</v>
      </c>
      <c r="FI118" s="4">
        <v>-13.49055418680064</v>
      </c>
      <c r="FJ118" s="4">
        <v>-13.45675609286342</v>
      </c>
      <c r="FK118" s="4">
        <v>-13.4230849540774</v>
      </c>
      <c r="FL118" s="4">
        <v>-13.38953976556815</v>
      </c>
      <c r="FM118" s="4">
        <v>-13.356119583125709</v>
      </c>
      <c r="FN118" s="4">
        <v>-13.32282352998716</v>
      </c>
      <c r="FO118" s="4">
        <v>-13.28965080286661</v>
      </c>
      <c r="FP118" s="4">
        <v>-13.25660067715507</v>
      </c>
      <c r="FQ118" s="4">
        <v>-13.223672511216719</v>
      </c>
      <c r="FR118" s="4">
        <v>-13.190865749715391</v>
      </c>
      <c r="FS118" s="4">
        <v>-13.15817992591067</v>
      </c>
      <c r="FT118" s="4">
        <v>-13.12561466287247</v>
      </c>
      <c r="FU118" s="4">
        <v>-13.09316967357022</v>
      </c>
      <c r="FV118" s="4">
        <v>-13.06084475980324</v>
      </c>
      <c r="FW118" s="4">
        <v>-13.0286398099487</v>
      </c>
      <c r="FX118" s="4">
        <v>-12.996554795514349</v>
      </c>
      <c r="FY118" s="4">
        <v>-12.96458976649431</v>
      </c>
      <c r="FZ118" s="4">
        <v>-12.93274484553795</v>
      </c>
      <c r="GA118" s="4">
        <v>-12.901020220953811</v>
      </c>
      <c r="GB118" s="4">
        <v>-12.8694161385818</v>
      </c>
      <c r="GC118" s="4">
        <v>-12.83793289257919</v>
      </c>
      <c r="GD118" s="4">
        <v>-12.8065708151777</v>
      </c>
      <c r="GE118" s="4">
        <v>-12.775330265479329</v>
      </c>
      <c r="GF118" s="4">
        <v>-12.744211617370221</v>
      </c>
      <c r="GG118" s="4">
        <v>-12.71321524664096</v>
      </c>
      <c r="GH118" s="4">
        <v>-12.68234151741231</v>
      </c>
      <c r="GI118" s="4">
        <v>-12.6515907679718</v>
      </c>
      <c r="GJ118" s="4">
        <v>-12.620963296135651</v>
      </c>
      <c r="GK118" s="4">
        <v>-12.59045934425591</v>
      </c>
      <c r="GL118" s="4">
        <v>-12.560079083997209</v>
      </c>
      <c r="GM118" s="4">
        <v>-12.529822601012169</v>
      </c>
      <c r="GN118" s="4">
        <v>-12.49968987964632</v>
      </c>
      <c r="GO118" s="4">
        <v>-12.469680787804229</v>
      </c>
      <c r="GP118" s="4">
        <v>-12.43979506210848</v>
      </c>
      <c r="GQ118" s="4">
        <v>-12.41003229348151</v>
      </c>
      <c r="GR118" s="4">
        <v>-12.3803919132771</v>
      </c>
      <c r="GS118" s="4">
        <v>-12.350873180083861</v>
      </c>
      <c r="GT118" s="4">
        <v>-12.321475167317949</v>
      </c>
      <c r="GU118" s="4">
        <v>-12.292196751715879</v>
      </c>
      <c r="GV118" s="4">
        <v>-12.263036602829381</v>
      </c>
      <c r="GW118" s="4">
        <v>-12.233993173617421</v>
      </c>
      <c r="GX118" s="4">
        <v>-12.20506469221996</v>
      </c>
      <c r="GY118" s="4">
        <v>-12.176249154987911</v>
      </c>
      <c r="GZ118" s="4">
        <v>-12.14754432083401</v>
      </c>
      <c r="HA118" s="4">
        <v>-12.11894770695738</v>
      </c>
      <c r="HB118" s="4">
        <v>-12.09045658598313</v>
      </c>
      <c r="HC118" s="4">
        <v>-12.062067984547079</v>
      </c>
      <c r="HD118" s="4">
        <v>-12.033778683343989</v>
      </c>
      <c r="HE118" s="4">
        <v>-12.00558521864523</v>
      </c>
      <c r="HF118" s="4">
        <v>-11.97748388528079</v>
      </c>
      <c r="HG118" s="4">
        <v>-11.94947074106949</v>
      </c>
      <c r="HH118" s="4">
        <v>-11.92154161266901</v>
      </c>
      <c r="HI118" s="4">
        <v>-11.89369210280802</v>
      </c>
      <c r="HJ118" s="4">
        <v>-11.865917598851579</v>
      </c>
      <c r="HK118" s="4">
        <v>-11.83821328264197</v>
      </c>
      <c r="HL118" s="4">
        <v>-11.810574141547869</v>
      </c>
      <c r="HM118" s="4">
        <v>-11.782994980646251</v>
      </c>
      <c r="HN118" s="4">
        <v>-11.75547043595483</v>
      </c>
      <c r="HO118" s="4">
        <v>-11.72799498862441</v>
      </c>
      <c r="HP118" s="4">
        <v>-11.70056297999651</v>
      </c>
      <c r="HQ118" s="4">
        <v>-11.67316862742496</v>
      </c>
      <c r="HR118" s="4">
        <v>-11.645806040756639</v>
      </c>
      <c r="HS118" s="4">
        <v>-11.61846923936292</v>
      </c>
      <c r="HT118" s="4">
        <v>-11.591152169611631</v>
      </c>
      <c r="HU118" s="4">
        <v>-11.563848722666309</v>
      </c>
      <c r="HV118" s="4">
        <v>-11.536552752500739</v>
      </c>
      <c r="HW118" s="4">
        <v>-11.50925809401539</v>
      </c>
      <c r="HX118" s="4">
        <v>-11.48195858114501</v>
      </c>
      <c r="HY118" s="4">
        <v>-11.45464806484692</v>
      </c>
      <c r="HZ118" s="4">
        <v>-11.42732043086462</v>
      </c>
      <c r="IA118" s="4">
        <v>-11.39996961716253</v>
      </c>
      <c r="IB118" s="4">
        <v>-11.37258963093459</v>
      </c>
      <c r="IC118" s="4">
        <v>-11.345174565092231</v>
      </c>
      <c r="ID118" s="4">
        <v>-11.317718614145001</v>
      </c>
      <c r="IE118" s="4">
        <v>-11.29021608939259</v>
      </c>
      <c r="IF118" s="4">
        <v>-11.2626614333536</v>
      </c>
      <c r="IG118" s="4">
        <v>-11.23504923336494</v>
      </c>
      <c r="IH118" s="4">
        <v>-11.20737423429212</v>
      </c>
      <c r="II118" s="4">
        <v>-11.17963135030033</v>
      </c>
      <c r="IJ118" s="4">
        <v>-11.151815675642579</v>
      </c>
      <c r="IK118" s="4">
        <v>-11.12392249443206</v>
      </c>
      <c r="IL118" s="4">
        <v>-11.095947289371191</v>
      </c>
      <c r="IM118" s="4">
        <v>-11.067885749421629</v>
      </c>
    </row>
    <row r="119" spans="2:247" x14ac:dyDescent="0.35">
      <c r="B119" s="58">
        <v>1.03</v>
      </c>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v>-15.112992887024021</v>
      </c>
      <c r="DW119" s="4">
        <v>-15.0738110132577</v>
      </c>
      <c r="DX119" s="4">
        <v>-15.03475898703908</v>
      </c>
      <c r="DY119" s="4">
        <v>-14.99583856805245</v>
      </c>
      <c r="DZ119" s="4">
        <v>-14.95705142462108</v>
      </c>
      <c r="EA119" s="4">
        <v>-14.91839912941596</v>
      </c>
      <c r="EB119" s="4">
        <v>-14.87988315542021</v>
      </c>
      <c r="EC119" s="4">
        <v>-14.841504872183171</v>
      </c>
      <c r="ED119" s="4">
        <v>-14.803265542398011</v>
      </c>
      <c r="EE119" s="4">
        <v>-14.76516631883684</v>
      </c>
      <c r="EF119" s="4">
        <v>-14.72720824167536</v>
      </c>
      <c r="EG119" s="4">
        <v>-14.689392236239369</v>
      </c>
      <c r="EH119" s="4">
        <v>-14.65171911120315</v>
      </c>
      <c r="EI119" s="4">
        <v>-14.61418955726848</v>
      </c>
      <c r="EJ119" s="4">
        <v>-14.576804146350691</v>
      </c>
      <c r="EK119" s="4">
        <v>-14.53956333129563</v>
      </c>
      <c r="EL119" s="4">
        <v>-14.502467446148779</v>
      </c>
      <c r="EM119" s="4">
        <v>-14.465516706994469</v>
      </c>
      <c r="EN119" s="4">
        <v>-14.428711213379721</v>
      </c>
      <c r="EO119" s="4">
        <v>-14.39205095033261</v>
      </c>
      <c r="EP119" s="4">
        <v>-14.35553579098225</v>
      </c>
      <c r="EQ119" s="4">
        <v>-14.31916549978162</v>
      </c>
      <c r="ER119" s="4">
        <v>-14.282939736330279</v>
      </c>
      <c r="ES119" s="4">
        <v>-14.24685805978948</v>
      </c>
      <c r="ET119" s="4">
        <v>-14.21091993387571</v>
      </c>
      <c r="EU119" s="4">
        <v>-14.17512473241489</v>
      </c>
      <c r="EV119" s="4">
        <v>-14.139471745432481</v>
      </c>
      <c r="EW119" s="4">
        <v>-14.10396018575053</v>
      </c>
      <c r="EX119" s="4">
        <v>-14.06858919605618</v>
      </c>
      <c r="EY119" s="4">
        <v>-14.033357856401039</v>
      </c>
      <c r="EZ119" s="4">
        <v>-13.99826519208526</v>
      </c>
      <c r="FA119" s="4">
        <v>-13.963310181875061</v>
      </c>
      <c r="FB119" s="4">
        <v>-13.928491766497309</v>
      </c>
      <c r="FC119" s="4">
        <v>-13.89380885734978</v>
      </c>
      <c r="FD119" s="4">
        <v>-13.85926034536163</v>
      </c>
      <c r="FE119" s="4">
        <v>-13.82484510993438</v>
      </c>
      <c r="FF119" s="4">
        <v>-13.790562027890109</v>
      </c>
      <c r="FG119" s="4">
        <v>-13.756409982351011</v>
      </c>
      <c r="FH119" s="4">
        <v>-13.72238787147125</v>
      </c>
      <c r="FI119" s="4">
        <v>-13.68849461694102</v>
      </c>
      <c r="FJ119" s="4">
        <v>-13.65472917218128</v>
      </c>
      <c r="FK119" s="4">
        <v>-13.62109053014761</v>
      </c>
      <c r="FL119" s="4">
        <v>-13.587577730661589</v>
      </c>
      <c r="FM119" s="4">
        <v>-13.554189867190241</v>
      </c>
      <c r="FN119" s="4">
        <v>-13.52092609299539</v>
      </c>
      <c r="FO119" s="4">
        <v>-13.487785626578839</v>
      </c>
      <c r="FP119" s="4">
        <v>-13.45476775635202</v>
      </c>
      <c r="FQ119" s="4">
        <v>-13.42187184446467</v>
      </c>
      <c r="FR119" s="4">
        <v>-13.38909732973233</v>
      </c>
      <c r="FS119" s="4">
        <v>-13.356443729608831</v>
      </c>
      <c r="FT119" s="4">
        <v>-13.32391064115755</v>
      </c>
      <c r="FU119" s="4">
        <v>-13.291497740983131</v>
      </c>
      <c r="FV119" s="4">
        <v>-13.25920478409415</v>
      </c>
      <c r="FW119" s="4">
        <v>-13.22703160167676</v>
      </c>
      <c r="FX119" s="4">
        <v>-13.194978097768489</v>
      </c>
      <c r="FY119" s="4">
        <v>-13.163044244832671</v>
      </c>
      <c r="FZ119" s="4">
        <v>-13.131230078243741</v>
      </c>
      <c r="GA119" s="4">
        <v>-13.099535689704741</v>
      </c>
      <c r="GB119" s="4">
        <v>-13.06796121962882</v>
      </c>
      <c r="GC119" s="4">
        <v>-13.036506848527869</v>
      </c>
      <c r="GD119" s="4">
        <v>-13.0051727874613</v>
      </c>
      <c r="GE119" s="4">
        <v>-12.97395926760834</v>
      </c>
      <c r="GF119" s="4">
        <v>-12.94286652903711</v>
      </c>
      <c r="GG119" s="4">
        <v>-12.91189480875274</v>
      </c>
      <c r="GH119" s="4">
        <v>-12.88104432811447</v>
      </c>
      <c r="GI119" s="4">
        <v>-12.85031527972105</v>
      </c>
      <c r="GJ119" s="4">
        <v>-12.81970781386771</v>
      </c>
      <c r="GK119" s="4">
        <v>-12.78922202468606</v>
      </c>
      <c r="GL119" s="4">
        <v>-12.75885793608111</v>
      </c>
      <c r="GM119" s="4">
        <v>-12.728615487583649</v>
      </c>
      <c r="GN119" s="4">
        <v>-12.69849452023846</v>
      </c>
      <c r="GO119" s="4">
        <v>-12.66849476264874</v>
      </c>
      <c r="GP119" s="4">
        <v>-12.638615817298691</v>
      </c>
      <c r="GQ119" s="4">
        <v>-12.60885714727242</v>
      </c>
      <c r="GR119" s="4">
        <v>-12.579218063486479</v>
      </c>
      <c r="GS119" s="4">
        <v>-12.54969771254841</v>
      </c>
      <c r="GT119" s="4">
        <v>-12.520295065349019</v>
      </c>
      <c r="GU119" s="4">
        <v>-12.49100890649026</v>
      </c>
      <c r="GV119" s="4">
        <v>-12.46183782464322</v>
      </c>
      <c r="GW119" s="4">
        <v>-12.432780203923439</v>
      </c>
      <c r="GX119" s="4">
        <v>-12.40383421636197</v>
      </c>
      <c r="GY119" s="4">
        <v>-12.374997815541169</v>
      </c>
      <c r="GZ119" s="4">
        <v>-12.346268731455019</v>
      </c>
      <c r="HA119" s="4">
        <v>-12.317644466643079</v>
      </c>
      <c r="HB119" s="4">
        <v>-12.289122293637069</v>
      </c>
      <c r="HC119" s="4">
        <v>-12.26069925374795</v>
      </c>
      <c r="HD119" s="4">
        <v>-12.232372157211019</v>
      </c>
      <c r="HE119" s="4">
        <v>-12.20413758469533</v>
      </c>
      <c r="HF119" s="4">
        <v>-12.175991890173471</v>
      </c>
      <c r="HG119" s="4">
        <v>-12.147931205136731</v>
      </c>
      <c r="HH119" s="4">
        <v>-12.11995144413075</v>
      </c>
      <c r="HI119" s="4">
        <v>-12.0920483115768</v>
      </c>
      <c r="HJ119" s="4">
        <v>-12.06421730983468</v>
      </c>
      <c r="HK119" s="4">
        <v>-12.036453748453519</v>
      </c>
      <c r="HL119" s="4">
        <v>-12.008752754549599</v>
      </c>
      <c r="HM119" s="4">
        <v>-11.98110928424137</v>
      </c>
      <c r="HN119" s="4">
        <v>-11.95351813506559</v>
      </c>
      <c r="HO119" s="4">
        <v>-11.92597395929196</v>
      </c>
      <c r="HP119" s="4">
        <v>-11.89847127804814</v>
      </c>
      <c r="HQ119" s="4">
        <v>-11.871004496161479</v>
      </c>
      <c r="HR119" s="4">
        <v>-11.843567917621391</v>
      </c>
      <c r="HS119" s="4">
        <v>-11.81615576156126</v>
      </c>
      <c r="HT119" s="4">
        <v>-11.788762178657869</v>
      </c>
      <c r="HU119" s="4">
        <v>-11.76138126784388</v>
      </c>
      <c r="HV119" s="4">
        <v>-11.734007093229479</v>
      </c>
      <c r="HW119" s="4">
        <v>-11.706633701127259</v>
      </c>
      <c r="HX119" s="4">
        <v>-11.67925513707832</v>
      </c>
      <c r="HY119" s="4">
        <v>-11.651865462776881</v>
      </c>
      <c r="HZ119" s="4">
        <v>-11.62445877279443</v>
      </c>
      <c r="IA119" s="4">
        <v>-11.59702921100822</v>
      </c>
      <c r="IB119" s="4">
        <v>-11.56957098664104</v>
      </c>
      <c r="IC119" s="4">
        <v>-11.542078389826701</v>
      </c>
      <c r="ID119" s="4">
        <v>-11.51454580661836</v>
      </c>
      <c r="IE119" s="4">
        <v>-11.48696773336396</v>
      </c>
      <c r="IF119" s="4">
        <v>-11.45933879037965</v>
      </c>
      <c r="IG119" s="4">
        <v>-11.431653734857511</v>
      </c>
      <c r="IH119" s="4">
        <v>-11.40390747295295</v>
      </c>
      <c r="II119" s="4">
        <v>-11.37609507100254</v>
      </c>
      <c r="IJ119" s="4">
        <v>-11.348211765831669</v>
      </c>
      <c r="IK119" s="4">
        <v>-11.320252974119891</v>
      </c>
      <c r="IL119" s="4">
        <v>-11.29221430079742</v>
      </c>
      <c r="IM119" s="4">
        <v>-11.2640915464566</v>
      </c>
    </row>
    <row r="120" spans="2:247" x14ac:dyDescent="0.35">
      <c r="B120" s="58">
        <v>1.04</v>
      </c>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v>-15.308978743036819</v>
      </c>
      <c r="DW120" s="4">
        <v>-15.269872275690069</v>
      </c>
      <c r="DX120" s="4">
        <v>-15.230894541544849</v>
      </c>
      <c r="DY120" s="4">
        <v>-15.19204724529826</v>
      </c>
      <c r="DZ120" s="4">
        <v>-15.15333200339766</v>
      </c>
      <c r="EA120" s="4">
        <v>-15.11475034004998</v>
      </c>
      <c r="EB120" s="4">
        <v>-15.07630368347923</v>
      </c>
      <c r="EC120" s="4">
        <v>-15.03799336246356</v>
      </c>
      <c r="ED120" s="4">
        <v>-14.99982060318314</v>
      </c>
      <c r="EE120" s="4">
        <v>-14.961786526409419</v>
      </c>
      <c r="EF120" s="4">
        <v>-14.92389214506605</v>
      </c>
      <c r="EG120" s="4">
        <v>-14.8861383621892</v>
      </c>
      <c r="EH120" s="4">
        <v>-14.84852596931664</v>
      </c>
      <c r="EI120" s="4">
        <v>-14.81105564532932</v>
      </c>
      <c r="EJ120" s="4">
        <v>-14.773727955770269</v>
      </c>
      <c r="EK120" s="4">
        <v>-14.736543352662229</v>
      </c>
      <c r="EL120" s="4">
        <v>-14.69950217484169</v>
      </c>
      <c r="EM120" s="4">
        <v>-14.662604648825869</v>
      </c>
      <c r="EN120" s="4">
        <v>-14.625850890224299</v>
      </c>
      <c r="EO120" s="4">
        <v>-14.589240905703701</v>
      </c>
      <c r="EP120" s="4">
        <v>-14.55277459551079</v>
      </c>
      <c r="EQ120" s="4">
        <v>-14.516451756553479</v>
      </c>
      <c r="ER120" s="4">
        <v>-14.48027208603644</v>
      </c>
      <c r="ES120" s="4">
        <v>-14.44423518564219</v>
      </c>
      <c r="ET120" s="4">
        <v>-14.408340566244661</v>
      </c>
      <c r="EU120" s="4">
        <v>-14.37258765313644</v>
      </c>
      <c r="EV120" s="4">
        <v>-14.336975791746561</v>
      </c>
      <c r="EW120" s="4">
        <v>-14.301504253820021</v>
      </c>
      <c r="EX120" s="4">
        <v>-14.266172244025549</v>
      </c>
      <c r="EY120" s="4">
        <v>-14.23097890695319</v>
      </c>
      <c r="EZ120" s="4">
        <v>-14.19592333445768</v>
      </c>
      <c r="FA120" s="4">
        <v>-14.161004573299531</v>
      </c>
      <c r="FB120" s="4">
        <v>-14.126221633030861</v>
      </c>
      <c r="FC120" s="4">
        <v>-14.09157349406869</v>
      </c>
      <c r="FD120" s="4">
        <v>-14.057059115894511</v>
      </c>
      <c r="FE120" s="4">
        <v>-14.0226774453154</v>
      </c>
      <c r="FF120" s="4">
        <v>-13.988427424718751</v>
      </c>
      <c r="FG120" s="4">
        <v>-13.954308000250149</v>
      </c>
      <c r="FH120" s="4">
        <v>-13.92031812984192</v>
      </c>
      <c r="FI120" s="4">
        <v>-13.88645679101789</v>
      </c>
      <c r="FJ120" s="4">
        <v>-13.85272298840014</v>
      </c>
      <c r="FK120" s="4">
        <v>-13.819115760842321</v>
      </c>
      <c r="FL120" s="4">
        <v>-13.785634188115109</v>
      </c>
      <c r="FM120" s="4">
        <v>-13.7522773970715</v>
      </c>
      <c r="FN120" s="4">
        <v>-13.71904456722028</v>
      </c>
      <c r="FO120" s="4">
        <v>-13.685934935640439</v>
      </c>
      <c r="FP120" s="4">
        <v>-13.652947801172401</v>
      </c>
      <c r="FQ120" s="4">
        <v>-13.620082527826019</v>
      </c>
      <c r="FR120" s="4">
        <v>-13.58733854735188</v>
      </c>
      <c r="FS120" s="4">
        <v>-13.554715360927389</v>
      </c>
      <c r="FT120" s="4">
        <v>-13.52221253991625</v>
      </c>
      <c r="FU120" s="4">
        <v>-13.4898297256678</v>
      </c>
      <c r="FV120" s="4">
        <v>-13.457566628330209</v>
      </c>
      <c r="FW120" s="4">
        <v>-13.4254230246604</v>
      </c>
      <c r="FX120" s="4">
        <v>-13.39339875482241</v>
      </c>
      <c r="FY120" s="4">
        <v>-13.36149371817559</v>
      </c>
      <c r="FZ120" s="4">
        <v>-13.329707868063551</v>
      </c>
      <c r="GA120" s="4">
        <v>-13.298041205624161</v>
      </c>
      <c r="GB120" s="4">
        <v>-13.26649377265157</v>
      </c>
      <c r="GC120" s="4">
        <v>-13.235065643550071</v>
      </c>
      <c r="GD120" s="4">
        <v>-13.20375691642996</v>
      </c>
      <c r="GE120" s="4">
        <v>-13.17256770340404</v>
      </c>
      <c r="GF120" s="4">
        <v>-13.141498120152759</v>
      </c>
      <c r="GG120" s="4">
        <v>-13.11054827483412</v>
      </c>
      <c r="GH120" s="4">
        <v>-13.079718256421589</v>
      </c>
      <c r="GI120" s="4">
        <v>-13.049008122560879</v>
      </c>
      <c r="GJ120" s="4">
        <v>-13.01841788704159</v>
      </c>
      <c r="GK120" s="4">
        <v>-12.987947506985501</v>
      </c>
      <c r="GL120" s="4">
        <v>-12.95759686985677</v>
      </c>
      <c r="GM120" s="4">
        <v>-12.927365780402759</v>
      </c>
      <c r="GN120" s="4">
        <v>-12.8972539476358</v>
      </c>
      <c r="GO120" s="4">
        <v>-12.86726097196701</v>
      </c>
      <c r="GP120" s="4">
        <v>-12.837386332603881</v>
      </c>
      <c r="GQ120" s="4">
        <v>-12.807629375320101</v>
      </c>
      <c r="GR120" s="4">
        <v>-12.777989300705819</v>
      </c>
      <c r="GS120" s="4">
        <v>-12.74846515300144</v>
      </c>
      <c r="GT120" s="4">
        <v>-12.719055809613909</v>
      </c>
      <c r="GU120" s="4">
        <v>-12.689759971409829</v>
      </c>
      <c r="GV120" s="4">
        <v>-12.66057615387183</v>
      </c>
      <c r="GW120" s="4">
        <v>-12.631502679199331</v>
      </c>
      <c r="GX120" s="4">
        <v>-12.602537669425409</v>
      </c>
      <c r="GY120" s="4">
        <v>-12.573679040614341</v>
      </c>
      <c r="GZ120" s="4">
        <v>-12.544924498194749</v>
      </c>
      <c r="HA120" s="4">
        <v>-12.516271533474081</v>
      </c>
      <c r="HB120" s="4">
        <v>-12.487717421370959</v>
      </c>
      <c r="HC120" s="4">
        <v>-12.45925921939131</v>
      </c>
      <c r="HD120" s="4">
        <v>-12.430893767865269</v>
      </c>
      <c r="HE120" s="4">
        <v>-12.402617691450679</v>
      </c>
      <c r="HF120" s="4">
        <v>-12.37442740190053</v>
      </c>
      <c r="HG120" s="4">
        <v>-12.34631910208072</v>
      </c>
      <c r="HH120" s="4">
        <v>-12.3182887912157</v>
      </c>
      <c r="HI120" s="4">
        <v>-12.29033227133028</v>
      </c>
      <c r="HJ120" s="4">
        <v>-12.26244515484753</v>
      </c>
      <c r="HK120" s="4">
        <v>-12.23462287329324</v>
      </c>
      <c r="HL120" s="4">
        <v>-12.206860687051369</v>
      </c>
      <c r="HM120" s="4">
        <v>-12.17915369610599</v>
      </c>
      <c r="HN120" s="4">
        <v>-12.151496851699889</v>
      </c>
      <c r="HO120" s="4">
        <v>-12.123884968833559</v>
      </c>
      <c r="HP120" s="4">
        <v>-12.09631273952308</v>
      </c>
      <c r="HQ120" s="4">
        <v>-12.068774746730719</v>
      </c>
      <c r="HR120" s="4">
        <v>-12.04126547887901</v>
      </c>
      <c r="HS120" s="4">
        <v>-12.013779344855131</v>
      </c>
      <c r="HT120" s="4">
        <v>-11.986310689410841</v>
      </c>
      <c r="HU120" s="4">
        <v>-11.95885380886153</v>
      </c>
      <c r="HV120" s="4">
        <v>-11.9314029669872</v>
      </c>
      <c r="HW120" s="4">
        <v>-11.9039524110385</v>
      </c>
      <c r="HX120" s="4">
        <v>-11.87649638775164</v>
      </c>
      <c r="HY120" s="4">
        <v>-11.849029159277549</v>
      </c>
      <c r="HZ120" s="4">
        <v>-11.82154501893317</v>
      </c>
      <c r="IA120" s="4">
        <v>-11.794038306685829</v>
      </c>
      <c r="IB120" s="4">
        <v>-11.766503424284579</v>
      </c>
      <c r="IC120" s="4">
        <v>-11.73893484995795</v>
      </c>
      <c r="ID120" s="4">
        <v>-11.711327152601189</v>
      </c>
      <c r="IE120" s="4">
        <v>-11.68367500538209</v>
      </c>
      <c r="IF120" s="4">
        <v>-11.65597319869978</v>
      </c>
      <c r="IG120" s="4">
        <v>-11.62821665243791</v>
      </c>
      <c r="IH120" s="4">
        <v>-11.600400427459499</v>
      </c>
      <c r="II120" s="4">
        <v>-11.572519736296901</v>
      </c>
      <c r="IJ120" s="4">
        <v>-11.544569952999201</v>
      </c>
      <c r="IK120" s="4">
        <v>-11.516546622104331</v>
      </c>
      <c r="IL120" s="4">
        <v>-11.488445466712079</v>
      </c>
      <c r="IM120" s="4">
        <v>-11.460262395639649</v>
      </c>
    </row>
    <row r="121" spans="2:247" x14ac:dyDescent="0.35">
      <c r="B121" s="58">
        <v>1.05</v>
      </c>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v>-15.505017386840089</v>
      </c>
      <c r="DW121" s="4">
        <v>-15.46598505122436</v>
      </c>
      <c r="DX121" s="4">
        <v>-15.427080350772259</v>
      </c>
      <c r="DY121" s="4">
        <v>-15.388304937842641</v>
      </c>
      <c r="DZ121" s="4">
        <v>-15.349660379547</v>
      </c>
      <c r="EA121" s="4">
        <v>-15.31114815403623</v>
      </c>
      <c r="EB121" s="4">
        <v>-15.272769647028211</v>
      </c>
      <c r="EC121" s="4">
        <v>-15.23452614860444</v>
      </c>
      <c r="ED121" s="4">
        <v>-15.19641885030472</v>
      </c>
      <c r="EE121" s="4">
        <v>-15.15844884254809</v>
      </c>
      <c r="EF121" s="4">
        <v>-15.12061711240665</v>
      </c>
      <c r="EG121" s="4">
        <v>-15.08292454175934</v>
      </c>
      <c r="EH121" s="4">
        <v>-15.04537190584978</v>
      </c>
      <c r="EI121" s="4">
        <v>-15.007959872271689</v>
      </c>
      <c r="EJ121" s="4">
        <v>-14.97068900040302</v>
      </c>
      <c r="EK121" s="4">
        <v>-14.9335597413075</v>
      </c>
      <c r="EL121" s="4">
        <v>-14.896572438120231</v>
      </c>
      <c r="EM121" s="4">
        <v>-14.859727326930489</v>
      </c>
      <c r="EN121" s="4">
        <v>-14.823024538171911</v>
      </c>
      <c r="EO121" s="4">
        <v>-14.786464098527841</v>
      </c>
      <c r="EP121" s="4">
        <v>-14.750045933353309</v>
      </c>
      <c r="EQ121" s="4">
        <v>-14.713769869614749</v>
      </c>
      <c r="ER121" s="4">
        <v>-14.67763563934146</v>
      </c>
      <c r="ES121" s="4">
        <v>-14.64164288357985</v>
      </c>
      <c r="ET121" s="4">
        <v>-14.60579115683727</v>
      </c>
      <c r="EU121" s="4">
        <v>-14.570079931996929</v>
      </c>
      <c r="EV121" s="4">
        <v>-14.53450860568103</v>
      </c>
      <c r="EW121" s="4">
        <v>-14.499076504035161</v>
      </c>
      <c r="EX121" s="4">
        <v>-14.46378288890136</v>
      </c>
      <c r="EY121" s="4">
        <v>-14.42862696434335</v>
      </c>
      <c r="EZ121" s="4">
        <v>-14.393607883482771</v>
      </c>
      <c r="FA121" s="4">
        <v>-14.358724755601081</v>
      </c>
      <c r="FB121" s="4">
        <v>-14.323976653456899</v>
      </c>
      <c r="FC121" s="4">
        <v>-14.28936262076631</v>
      </c>
      <c r="FD121" s="4">
        <v>-14.254881679788079</v>
      </c>
      <c r="FE121" s="4">
        <v>-14.220532838954179</v>
      </c>
      <c r="FF121" s="4">
        <v>-14.18631510048267</v>
      </c>
      <c r="FG121" s="4">
        <v>-14.152227467907389</v>
      </c>
      <c r="FH121" s="4">
        <v>-14.118268953457861</v>
      </c>
      <c r="FI121" s="4">
        <v>-14.08443858522077</v>
      </c>
      <c r="FJ121" s="4">
        <v>-14.05073541401479</v>
      </c>
      <c r="FK121" s="4">
        <v>-14.01715851990936</v>
      </c>
      <c r="FL121" s="4">
        <v>-13.98370701831994</v>
      </c>
      <c r="FM121" s="4">
        <v>-13.95038006561283</v>
      </c>
      <c r="FN121" s="4">
        <v>-13.91717686415512</v>
      </c>
      <c r="FO121" s="4">
        <v>-13.88409666674807</v>
      </c>
      <c r="FP121" s="4">
        <v>-13.85113878038594</v>
      </c>
      <c r="FQ121" s="4">
        <v>-13.818302569286541</v>
      </c>
      <c r="FR121" s="4">
        <v>-13.78558745714445</v>
      </c>
      <c r="FS121" s="4">
        <v>-13.75299292856406</v>
      </c>
      <c r="FT121" s="4">
        <v>-13.720518529635481</v>
      </c>
      <c r="FU121" s="4">
        <v>-13.688163867623439</v>
      </c>
      <c r="FV121" s="4">
        <v>-13.655928609746621</v>
      </c>
      <c r="FW121" s="4">
        <v>-13.623812481033029</v>
      </c>
      <c r="FX121" s="4">
        <v>-13.59181526124463</v>
      </c>
      <c r="FY121" s="4">
        <v>-13.559936780874329</v>
      </c>
      <c r="FZ121" s="4">
        <v>-13.5281769162254</v>
      </c>
      <c r="GA121" s="4">
        <v>-13.496535583594261</v>
      </c>
      <c r="GB121" s="4">
        <v>-13.4650127325851</v>
      </c>
      <c r="GC121" s="4">
        <v>-13.4336083385944</v>
      </c>
      <c r="GD121" s="4">
        <v>-13.40232239451184</v>
      </c>
      <c r="GE121" s="4">
        <v>-13.371154901692391</v>
      </c>
      <c r="GF121" s="4">
        <v>-13.34010586026263</v>
      </c>
      <c r="GG121" s="4">
        <v>-13.30917525883163</v>
      </c>
      <c r="GH121" s="4">
        <v>-13.278363063683461</v>
      </c>
      <c r="GI121" s="4">
        <v>-13.247669207534861</v>
      </c>
      <c r="GJ121" s="4">
        <v>-13.217093577946891</v>
      </c>
      <c r="GK121" s="4">
        <v>-13.18663600548371</v>
      </c>
      <c r="GL121" s="4">
        <v>-13.156296251715951</v>
      </c>
      <c r="GM121" s="4">
        <v>-13.12607399716792</v>
      </c>
      <c r="GN121" s="4">
        <v>-13.095968829310779</v>
      </c>
      <c r="GO121" s="4">
        <v>-13.06598023070341</v>
      </c>
      <c r="GP121" s="4">
        <v>-13.03610756738321</v>
      </c>
      <c r="GQ121" s="4">
        <v>-13.006350077607699</v>
      </c>
      <c r="GR121" s="4">
        <v>-12.97670686104532</v>
      </c>
      <c r="GS121" s="4">
        <v>-12.94717686851067</v>
      </c>
      <c r="GT121" s="4">
        <v>-12.917758892335391</v>
      </c>
      <c r="GU121" s="4">
        <v>-12.888451557461231</v>
      </c>
      <c r="GV121" s="4">
        <v>-12.85925331333527</v>
      </c>
      <c r="GW121" s="4">
        <v>-12.83016242668195</v>
      </c>
      <c r="GX121" s="4">
        <v>-12.8011769752184</v>
      </c>
      <c r="GY121" s="4">
        <v>-12.77229484237216</v>
      </c>
      <c r="GZ121" s="4">
        <v>-12.743513713053</v>
      </c>
      <c r="HA121" s="4">
        <v>-12.71483107052086</v>
      </c>
      <c r="HB121" s="4">
        <v>-12.68624419438359</v>
      </c>
      <c r="HC121" s="4">
        <v>-12.657750159750011</v>
      </c>
      <c r="HD121" s="4">
        <v>-12.629345837552471</v>
      </c>
      <c r="HE121" s="4">
        <v>-12.60102789604684</v>
      </c>
      <c r="HF121" s="4">
        <v>-12.57279280348606</v>
      </c>
      <c r="HG121" s="4">
        <v>-12.544636831956151</v>
      </c>
      <c r="HH121" s="4">
        <v>-12.51655606235432</v>
      </c>
      <c r="HI121" s="4">
        <v>-12.488546390479801</v>
      </c>
      <c r="HJ121" s="4">
        <v>-12.46060353420112</v>
      </c>
      <c r="HK121" s="4">
        <v>-12.43272304165445</v>
      </c>
      <c r="HL121" s="4">
        <v>-12.4049003004217</v>
      </c>
      <c r="HM121" s="4">
        <v>-12.37713054762933</v>
      </c>
      <c r="HN121" s="4">
        <v>-12.349408880903409</v>
      </c>
      <c r="HO121" s="4">
        <v>-12.321730270110621</v>
      </c>
      <c r="HP121" s="4">
        <v>-12.294089569809641</v>
      </c>
      <c r="HQ121" s="4">
        <v>-12.26648153233424</v>
      </c>
      <c r="HR121" s="4">
        <v>-12.23890082142433</v>
      </c>
      <c r="HS121" s="4">
        <v>-12.21134202631964</v>
      </c>
      <c r="HT121" s="4">
        <v>-12.183799676228171</v>
      </c>
      <c r="HU121" s="4">
        <v>-12.15626825507932</v>
      </c>
      <c r="HV121" s="4">
        <v>-12.12874221647305</v>
      </c>
      <c r="HW121" s="4">
        <v>-12.101215998733251</v>
      </c>
      <c r="HX121" s="4">
        <v>-12.073684039977691</v>
      </c>
      <c r="HY121" s="4">
        <v>-12.04614079311599</v>
      </c>
      <c r="HZ121" s="4">
        <v>-12.018580740689179</v>
      </c>
      <c r="IA121" s="4">
        <v>-11.990998409469229</v>
      </c>
      <c r="IB121" s="4">
        <v>-11.963388384737449</v>
      </c>
      <c r="IC121" s="4">
        <v>-11.93574532416673</v>
      </c>
      <c r="ID121" s="4">
        <v>-11.90806397123583</v>
      </c>
      <c r="IE121" s="4">
        <v>-11.880339168108961</v>
      </c>
      <c r="IF121" s="4">
        <v>-11.85256586791998</v>
      </c>
      <c r="IG121" s="4">
        <v>-11.824739146404999</v>
      </c>
      <c r="IH121" s="4">
        <v>-11.79685421283393</v>
      </c>
      <c r="II121" s="4">
        <v>-11.768906420197689</v>
      </c>
      <c r="IJ121" s="4">
        <v>-11.7408912746141</v>
      </c>
      <c r="IK121" s="4">
        <v>-11.712804443921369</v>
      </c>
      <c r="IL121" s="4">
        <v>-11.684641765435741</v>
      </c>
      <c r="IM121" s="4">
        <v>-11.656399252856421</v>
      </c>
    </row>
    <row r="122" spans="2:247" x14ac:dyDescent="0.35">
      <c r="B122" s="58">
        <v>1.06</v>
      </c>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v>-15.701106962713091</v>
      </c>
      <c r="DW122" s="4">
        <v>-15.66214750715389</v>
      </c>
      <c r="DX122" s="4">
        <v>-15.623314604504269</v>
      </c>
      <c r="DY122" s="4">
        <v>-15.58460985725023</v>
      </c>
      <c r="DZ122" s="4">
        <v>-15.546034785523631</v>
      </c>
      <c r="EA122" s="4">
        <v>-15.5075908236459</v>
      </c>
      <c r="EB122" s="4">
        <v>-15.469279316903441</v>
      </c>
      <c r="EC122" s="4">
        <v>-15.431101518582929</v>
      </c>
      <c r="ED122" s="4">
        <v>-15.39305858729116</v>
      </c>
      <c r="EE122" s="4">
        <v>-15.355151584586309</v>
      </c>
      <c r="EF122" s="4">
        <v>-15.31738147294497</v>
      </c>
      <c r="EG122" s="4">
        <v>-15.27974911408875</v>
      </c>
      <c r="EH122" s="4">
        <v>-15.242255267692951</v>
      </c>
      <c r="EI122" s="4">
        <v>-15.20490059049815</v>
      </c>
      <c r="EJ122" s="4">
        <v>-15.16768563584343</v>
      </c>
      <c r="EK122" s="4">
        <v>-15.130610853637901</v>
      </c>
      <c r="EL122" s="4">
        <v>-15.093676590785639</v>
      </c>
      <c r="EM122" s="4">
        <v>-15.056883092073971</v>
      </c>
      <c r="EN122" s="4">
        <v>-15.02023050153525</v>
      </c>
      <c r="EO122" s="4">
        <v>-14.983718864286651</v>
      </c>
      <c r="EP122" s="4">
        <v>-14.94734812885021</v>
      </c>
      <c r="EQ122" s="4">
        <v>-14.91111814995134</v>
      </c>
      <c r="ER122" s="4">
        <v>-14.875028691790121</v>
      </c>
      <c r="ES122" s="4">
        <v>-14.83907943177625</v>
      </c>
      <c r="ET122" s="4">
        <v>-14.803269964713721</v>
      </c>
      <c r="EU122" s="4">
        <v>-14.7675998074173</v>
      </c>
      <c r="EV122" s="4">
        <v>-14.732068403739399</v>
      </c>
      <c r="EW122" s="4">
        <v>-14.69667512998007</v>
      </c>
      <c r="EX122" s="4">
        <v>-14.661419300650341</v>
      </c>
      <c r="EY122" s="4">
        <v>-14.626300174553419</v>
      </c>
      <c r="EZ122" s="4">
        <v>-14.59131696114571</v>
      </c>
      <c r="FA122" s="4">
        <v>-14.55646882713415</v>
      </c>
      <c r="FB122" s="4">
        <v>-14.52175490326375</v>
      </c>
      <c r="FC122" s="4">
        <v>-14.48717429124518</v>
      </c>
      <c r="FD122" s="4">
        <v>-14.452726070769749</v>
      </c>
      <c r="FE122" s="4">
        <v>-14.418409306555141</v>
      </c>
      <c r="FF122" s="4">
        <v>-14.38422305536421</v>
      </c>
      <c r="FG122" s="4">
        <v>-14.35016637293629</v>
      </c>
      <c r="FH122" s="4">
        <v>-14.316238320768971</v>
      </c>
      <c r="FI122" s="4">
        <v>-14.28243797268796</v>
      </c>
      <c r="FJ122" s="4">
        <v>-14.248764421141431</v>
      </c>
      <c r="FK122" s="4">
        <v>-14.21521678315624</v>
      </c>
      <c r="FL122" s="4">
        <v>-14.18179420589329</v>
      </c>
      <c r="FM122" s="4">
        <v>-14.148495871741581</v>
      </c>
      <c r="FN122" s="4">
        <v>-14.11532100289195</v>
      </c>
      <c r="FO122" s="4">
        <v>-14.082268865334861</v>
      </c>
      <c r="FP122" s="4">
        <v>-14.04933877222882</v>
      </c>
      <c r="FQ122" s="4">
        <v>-14.016530086592001</v>
      </c>
      <c r="FR122" s="4">
        <v>-13.98384222327191</v>
      </c>
      <c r="FS122" s="4">
        <v>-13.951274650155471</v>
      </c>
      <c r="FT122" s="4">
        <v>-13.918826888586089</v>
      </c>
      <c r="FU122" s="4">
        <v>-13.8864985129615</v>
      </c>
      <c r="FV122" s="4">
        <v>-13.854289149492921</v>
      </c>
      <c r="FW122" s="4">
        <v>-13.822198474112961</v>
      </c>
      <c r="FX122" s="4">
        <v>-13.79022620952769</v>
      </c>
      <c r="FY122" s="4">
        <v>-13.75837212141619</v>
      </c>
      <c r="FZ122" s="4">
        <v>-13.72663601378844</v>
      </c>
      <c r="GA122" s="4">
        <v>-13.69501772352104</v>
      </c>
      <c r="GB122" s="4">
        <v>-13.663517114098781</v>
      </c>
      <c r="GC122" s="4">
        <v>-13.632134068596651</v>
      </c>
      <c r="GD122" s="4">
        <v>-13.600868481946961</v>
      </c>
      <c r="GE122" s="4">
        <v>-13.56972025254152</v>
      </c>
      <c r="GF122" s="4">
        <v>-13.53868927322829</v>
      </c>
      <c r="GG122" s="4">
        <v>-13.50777542176675</v>
      </c>
      <c r="GH122" s="4">
        <v>-13.47697855081395</v>
      </c>
      <c r="GI122" s="4">
        <v>-13.446298477517599</v>
      </c>
      <c r="GJ122" s="4">
        <v>-13.415734972798999</v>
      </c>
      <c r="GK122" s="4">
        <v>-13.3852877504104</v>
      </c>
      <c r="GL122" s="4">
        <v>-13.354956455857421</v>
      </c>
      <c r="GM122" s="4">
        <v>-13.324740655277679</v>
      </c>
      <c r="GN122" s="4">
        <v>-13.294639824368859</v>
      </c>
      <c r="GO122" s="4">
        <v>-13.264653337460789</v>
      </c>
      <c r="GP122" s="4">
        <v>-13.23478045682463</v>
      </c>
      <c r="GQ122" s="4">
        <v>-13.20502032231267</v>
      </c>
      <c r="GR122" s="4">
        <v>-13.175371941418261</v>
      </c>
      <c r="GS122" s="4">
        <v>-13.14583417984475</v>
      </c>
      <c r="GT122" s="4">
        <v>-13.116405752666299</v>
      </c>
      <c r="GU122" s="4">
        <v>-13.087085216160951</v>
      </c>
      <c r="GV122" s="4">
        <v>-13.057870960389209</v>
      </c>
      <c r="GW122" s="4">
        <v>-13.028761202587249</v>
      </c>
      <c r="GX122" s="4">
        <v>-12.99975398143617</v>
      </c>
      <c r="GY122" s="4">
        <v>-12.97084715226179</v>
      </c>
      <c r="GZ122" s="4">
        <v>-12.94203838321296</v>
      </c>
      <c r="HA122" s="4">
        <v>-12.913325152457199</v>
      </c>
      <c r="HB122" s="4">
        <v>-12.88470474642545</v>
      </c>
      <c r="HC122" s="4">
        <v>-12.85617425912907</v>
      </c>
      <c r="HD122" s="4">
        <v>-12.82773059256359</v>
      </c>
      <c r="HE122" s="4">
        <v>-12.799370458205489</v>
      </c>
      <c r="HF122" s="4">
        <v>-12.771090379600089</v>
      </c>
      <c r="HG122" s="4">
        <v>-12.74288669602995</v>
      </c>
      <c r="HH122" s="4">
        <v>-12.71475556724525</v>
      </c>
      <c r="HI122" s="4">
        <v>-12.686692979230189</v>
      </c>
      <c r="HJ122" s="4">
        <v>-12.658694750971121</v>
      </c>
      <c r="HK122" s="4">
        <v>-12.630756542185511</v>
      </c>
      <c r="HL122" s="4">
        <v>-12.60287386196458</v>
      </c>
      <c r="HM122" s="4">
        <v>-12.57504207827472</v>
      </c>
      <c r="HN122" s="4">
        <v>-12.547256428259059</v>
      </c>
      <c r="HO122" s="4">
        <v>-12.519512029273599</v>
      </c>
      <c r="HP122" s="4">
        <v>-12.49180389058899</v>
      </c>
      <c r="HQ122" s="4">
        <v>-12.4641269256842</v>
      </c>
      <c r="HR122" s="4">
        <v>-12.436475965055729</v>
      </c>
      <c r="HS122" s="4">
        <v>-12.408845769462561</v>
      </c>
      <c r="HT122" s="4">
        <v>-12.38123104352594</v>
      </c>
      <c r="HU122" s="4">
        <v>-12.353626449600551</v>
      </c>
      <c r="HV122" s="4">
        <v>-12.326026621834149</v>
      </c>
      <c r="HW122" s="4">
        <v>-12.298426180331679</v>
      </c>
      <c r="HX122" s="4">
        <v>-12.270819745341431</v>
      </c>
      <c r="HY122" s="4">
        <v>-12.24320195138093</v>
      </c>
      <c r="HZ122" s="4">
        <v>-12.21556746122338</v>
      </c>
      <c r="IA122" s="4">
        <v>-12.187910979666899</v>
      </c>
      <c r="IB122" s="4">
        <v>-12.160227267012329</v>
      </c>
      <c r="IC122" s="4">
        <v>-12.132511152178751</v>
      </c>
      <c r="ID122" s="4">
        <v>-12.104757545390051</v>
      </c>
      <c r="IE122" s="4">
        <v>-12.07696145036997</v>
      </c>
      <c r="IF122" s="4">
        <v>-12.049117975988169</v>
      </c>
      <c r="IG122" s="4">
        <v>-12.02122234730521</v>
      </c>
      <c r="IH122" s="4">
        <v>-11.993269915969391</v>
      </c>
      <c r="II122" s="4">
        <v>-11.965256169924229</v>
      </c>
      <c r="IJ122" s="4">
        <v>-11.937176742391481</v>
      </c>
      <c r="IK122" s="4">
        <v>-11.909027420100269</v>
      </c>
      <c r="IL122" s="4">
        <v>-11.880804150739159</v>
      </c>
      <c r="IM122" s="4">
        <v>-11.85250304961356</v>
      </c>
    </row>
    <row r="123" spans="2:247" x14ac:dyDescent="0.35">
      <c r="B123" s="58">
        <v>1.07</v>
      </c>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v>-15.897245665717771</v>
      </c>
      <c r="DW123" s="4">
        <v>-15.85835786055841</v>
      </c>
      <c r="DX123" s="4">
        <v>-15.819595541307271</v>
      </c>
      <c r="DY123" s="4">
        <v>-15.78096026287175</v>
      </c>
      <c r="DZ123" s="4">
        <v>-15.74245350059071</v>
      </c>
      <c r="EA123" s="4">
        <v>-15.704076647014681</v>
      </c>
      <c r="EB123" s="4">
        <v>-15.66583100890985</v>
      </c>
      <c r="EC123" s="4">
        <v>-15.62771780451161</v>
      </c>
      <c r="ED123" s="4">
        <v>-15.58973816105042</v>
      </c>
      <c r="EE123" s="4">
        <v>-15.55189311257385</v>
      </c>
      <c r="EF123" s="4">
        <v>-15.51418359808822</v>
      </c>
      <c r="EG123" s="4">
        <v>-15.47661046004019</v>
      </c>
      <c r="EH123" s="4">
        <v>-15.439174443159329</v>
      </c>
      <c r="EI123" s="4">
        <v>-15.401876193680391</v>
      </c>
      <c r="EJ123" s="4">
        <v>-15.36471625896111</v>
      </c>
      <c r="EK123" s="4">
        <v>-15.327695087511851</v>
      </c>
      <c r="EL123" s="4">
        <v>-15.29081302944822</v>
      </c>
      <c r="EM123" s="4">
        <v>-15.25407033737719</v>
      </c>
      <c r="EN123" s="4">
        <v>-15.217467167723409</v>
      </c>
      <c r="EO123" s="4">
        <v>-15.18100358250039</v>
      </c>
      <c r="EP123" s="4">
        <v>-15.1446795515266</v>
      </c>
      <c r="EQ123" s="4">
        <v>-15.10849495508486</v>
      </c>
      <c r="ER123" s="4">
        <v>-15.07244958701798</v>
      </c>
      <c r="ES123" s="4">
        <v>-15.036543158251821</v>
      </c>
      <c r="ET123" s="4">
        <v>-15.00077530073173</v>
      </c>
      <c r="EU123" s="4">
        <v>-14.9651455717547</v>
      </c>
      <c r="EV123" s="4">
        <v>-14.929653458676709</v>
      </c>
      <c r="EW123" s="4">
        <v>-14.894298383969391</v>
      </c>
      <c r="EX123" s="4">
        <v>-14.859079710596999</v>
      </c>
      <c r="EY123" s="4">
        <v>-14.82399674768094</v>
      </c>
      <c r="EZ123" s="4">
        <v>-14.78904875641512</v>
      </c>
      <c r="FA123" s="4">
        <v>-14.7542349561921</v>
      </c>
      <c r="FB123" s="4">
        <v>-14.71955453089635</v>
      </c>
      <c r="FC123" s="4">
        <v>-14.685006635317761</v>
      </c>
      <c r="FD123" s="4">
        <v>-14.65059040163678</v>
      </c>
      <c r="FE123" s="4">
        <v>-14.616304945928389</v>
      </c>
      <c r="FF123" s="4">
        <v>-14.58214937463141</v>
      </c>
      <c r="FG123" s="4">
        <v>-14.548122790926881</v>
      </c>
      <c r="FH123" s="4">
        <v>-14.51422430096914</v>
      </c>
      <c r="FI123" s="4">
        <v>-14.480453019911071</v>
      </c>
      <c r="FJ123" s="4">
        <v>-14.44680807766624</v>
      </c>
      <c r="FK123" s="4">
        <v>-14.41328862434918</v>
      </c>
      <c r="FL123" s="4">
        <v>-14.379893835337681</v>
      </c>
      <c r="FM123" s="4">
        <v>-14.34662291590141</v>
      </c>
      <c r="FN123" s="4">
        <v>-14.31347510534269</v>
      </c>
      <c r="FO123" s="4">
        <v>-14.280449680599331</v>
      </c>
      <c r="FP123" s="4">
        <v>-14.247545959261609</v>
      </c>
      <c r="FQ123" s="4">
        <v>-14.214763301959101</v>
      </c>
      <c r="FR123" s="4">
        <v>-14.18210111407846</v>
      </c>
      <c r="FS123" s="4">
        <v>-14.14955884677682</v>
      </c>
      <c r="FT123" s="4">
        <v>-14.117135997262301</v>
      </c>
      <c r="FU123" s="4">
        <v>-14.08483210831799</v>
      </c>
      <c r="FV123" s="4">
        <v>-14.052646767052231</v>
      </c>
      <c r="FW123" s="4">
        <v>-14.020579602865149</v>
      </c>
      <c r="FX123" s="4">
        <v>-13.98863028462798</v>
      </c>
      <c r="FY123" s="4">
        <v>-13.956798517079131</v>
      </c>
      <c r="FZ123" s="4">
        <v>-13.92508403644818</v>
      </c>
      <c r="GA123" s="4">
        <v>-13.89348660532629</v>
      </c>
      <c r="GB123" s="4">
        <v>-13.86200600680924</v>
      </c>
      <c r="GC123" s="4">
        <v>-13.830642037947211</v>
      </c>
      <c r="GD123" s="4">
        <v>-13.79939450254053</v>
      </c>
      <c r="GE123" s="4">
        <v>-13.7682632033305</v>
      </c>
      <c r="GF123" s="4">
        <v>-13.73724793363848</v>
      </c>
      <c r="GG123" s="4">
        <v>-13.70634846851369</v>
      </c>
      <c r="GH123" s="4">
        <v>-13.67556455545618</v>
      </c>
      <c r="GI123" s="4">
        <v>-13.644895904785139</v>
      </c>
      <c r="GJ123" s="4">
        <v>-13.614342179728769</v>
      </c>
      <c r="GK123" s="4">
        <v>-13.583902986314699</v>
      </c>
      <c r="GL123" s="4">
        <v>-13.5535778631429</v>
      </c>
      <c r="GM123" s="4">
        <v>-13.5233662711258</v>
      </c>
      <c r="GN123" s="4">
        <v>-13.49326758328173</v>
      </c>
      <c r="GO123" s="4">
        <v>-13.463281074667581</v>
      </c>
      <c r="GP123" s="4">
        <v>-13.43340591253761</v>
      </c>
      <c r="GQ123" s="4">
        <v>-13.403641146812889</v>
      </c>
      <c r="GR123" s="4">
        <v>-13.37398570094552</v>
      </c>
      <c r="GS123" s="4">
        <v>-13.344438363257821</v>
      </c>
      <c r="GT123" s="4">
        <v>-13.314997778833691</v>
      </c>
      <c r="GU123" s="4">
        <v>-13.28566244203566</v>
      </c>
      <c r="GV123" s="4">
        <v>-13.256430689715909</v>
      </c>
      <c r="GW123" s="4">
        <v>-13.22730069518397</v>
      </c>
      <c r="GX123" s="4">
        <v>-13.19827046298869</v>
      </c>
      <c r="GY123" s="4">
        <v>-13.16933782456427</v>
      </c>
      <c r="GZ123" s="4">
        <v>-13.14050043478511</v>
      </c>
      <c r="HA123" s="4">
        <v>-13.1117557694654</v>
      </c>
      <c r="HB123" s="4">
        <v>-13.083101123832749</v>
      </c>
      <c r="HC123" s="4">
        <v>-13.054533611997799</v>
      </c>
      <c r="HD123" s="4">
        <v>-13.02605016743334</v>
      </c>
      <c r="HE123" s="4">
        <v>-12.997647544469039</v>
      </c>
      <c r="HF123" s="4">
        <v>-12.96932232080016</v>
      </c>
      <c r="HG123" s="4">
        <v>-12.94107090100105</v>
      </c>
      <c r="HH123" s="4">
        <v>-12.912889521026599</v>
      </c>
      <c r="HI123" s="4">
        <v>-12.88477425367755</v>
      </c>
      <c r="HJ123" s="4">
        <v>-12.856721014998801</v>
      </c>
      <c r="HK123" s="4">
        <v>-12.828725571572869</v>
      </c>
      <c r="HL123" s="4">
        <v>-12.800783548665191</v>
      </c>
      <c r="HM123" s="4">
        <v>-12.772890439170981</v>
      </c>
      <c r="HN123" s="4">
        <v>-12.745041613309169</v>
      </c>
      <c r="HO123" s="4">
        <v>-12.71723232900322</v>
      </c>
      <c r="HP123" s="4">
        <v>-12.68945774288524</v>
      </c>
      <c r="HQ123" s="4">
        <v>-12.661712921854971</v>
      </c>
      <c r="HR123" s="4">
        <v>-12.633992855123401</v>
      </c>
      <c r="HS123" s="4">
        <v>-12.60629246666668</v>
      </c>
      <c r="HT123" s="4">
        <v>-12.578606628015869</v>
      </c>
      <c r="HU123" s="4">
        <v>-12.550930171304969</v>
      </c>
      <c r="HV123" s="4">
        <v>-12.52325790250018</v>
      </c>
      <c r="HW123" s="4">
        <v>-12.49558461473281</v>
      </c>
      <c r="HX123" s="4">
        <v>-12.46790510165876</v>
      </c>
      <c r="HY123" s="4">
        <v>-12.440214170768691</v>
      </c>
      <c r="HZ123" s="4">
        <v>-12.412506656574809</v>
      </c>
      <c r="IA123" s="4">
        <v>-12.38477743360129</v>
      </c>
      <c r="IB123" s="4">
        <v>-12.35702142911067</v>
      </c>
      <c r="IC123" s="4">
        <v>-12.329233635498561</v>
      </c>
      <c r="ID123" s="4">
        <v>-12.301409122294761</v>
      </c>
      <c r="IE123" s="4">
        <v>-12.273543047712829</v>
      </c>
      <c r="IF123" s="4">
        <v>-12.245630669693281</v>
      </c>
      <c r="IG123" s="4">
        <v>-12.21766735639182</v>
      </c>
      <c r="IH123" s="4">
        <v>-12.189648596068331</v>
      </c>
      <c r="II123" s="4">
        <v>-12.161570006337181</v>
      </c>
      <c r="IJ123" s="4">
        <v>-12.13342734274579</v>
      </c>
      <c r="IK123" s="4">
        <v>-12.10521650665296</v>
      </c>
      <c r="IL123" s="4">
        <v>-12.07693355238445</v>
      </c>
      <c r="IM123" s="4">
        <v>-12.04857469364919</v>
      </c>
    </row>
    <row r="124" spans="2:247" x14ac:dyDescent="0.35">
      <c r="B124" s="58">
        <v>1.08</v>
      </c>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v>-16.093431740054569</v>
      </c>
      <c r="DW124" s="4">
        <v>-16.054614376734349</v>
      </c>
      <c r="DX124" s="4">
        <v>-16.015921447040011</v>
      </c>
      <c r="DY124" s="4">
        <v>-15.9773544604365</v>
      </c>
      <c r="DZ124" s="4">
        <v>-15.93891484949884</v>
      </c>
      <c r="EA124" s="4">
        <v>-15.90060396691076</v>
      </c>
      <c r="EB124" s="4">
        <v>-15.86242308267926</v>
      </c>
      <c r="EC124" s="4">
        <v>-15.824373381587611</v>
      </c>
      <c r="ED124" s="4">
        <v>-15.786455960909279</v>
      </c>
      <c r="EE124" s="4">
        <v>-15.748671828403721</v>
      </c>
      <c r="EF124" s="4">
        <v>-15.71102190061479</v>
      </c>
      <c r="EG124" s="4">
        <v>-15.67350700149184</v>
      </c>
      <c r="EH124" s="4">
        <v>-15.63612786135063</v>
      </c>
      <c r="EI124" s="4">
        <v>-15.598885116191999</v>
      </c>
      <c r="EJ124" s="4">
        <v>-15.561779307392509</v>
      </c>
      <c r="EK124" s="4">
        <v>-15.52481088178007</v>
      </c>
      <c r="EL124" s="4">
        <v>-15.48798019210588</v>
      </c>
      <c r="EM124" s="4">
        <v>-15.45128749792036</v>
      </c>
      <c r="EN124" s="4">
        <v>-15.41473296685961</v>
      </c>
      <c r="EO124" s="4">
        <v>-15.378316676344379</v>
      </c>
      <c r="EP124" s="4">
        <v>-15.34203861569269</v>
      </c>
      <c r="EQ124" s="4">
        <v>-15.305898688641429</v>
      </c>
      <c r="ER124" s="4">
        <v>-15.26989671627228</v>
      </c>
      <c r="ES124" s="4">
        <v>-15.23403244032998</v>
      </c>
      <c r="ET124" s="4">
        <v>-15.198305526921549</v>
      </c>
      <c r="EU124" s="4">
        <v>-15.162715570577999</v>
      </c>
      <c r="EV124" s="4">
        <v>-15.127262098658729</v>
      </c>
      <c r="EW124" s="4">
        <v>-15.091944576074329</v>
      </c>
      <c r="EX124" s="4">
        <v>-15.05676241030036</v>
      </c>
      <c r="EY124" s="4">
        <v>-15.021714956650319</v>
      </c>
      <c r="EZ124" s="4">
        <v>-14.98680152377413</v>
      </c>
      <c r="FA124" s="4">
        <v>-14.95202137934386</v>
      </c>
      <c r="FB124" s="4">
        <v>-14.917373755886249</v>
      </c>
      <c r="FC124" s="4">
        <v>-14.8828578567185</v>
      </c>
      <c r="FD124" s="4">
        <v>-14.848472861941181</v>
      </c>
      <c r="FE124" s="4">
        <v>-14.81421793444038</v>
      </c>
      <c r="FF124" s="4">
        <v>-14.78009222584862</v>
      </c>
      <c r="FG124" s="4">
        <v>-14.746094882413299</v>
      </c>
      <c r="FH124" s="4">
        <v>-14.71222505071994</v>
      </c>
      <c r="FI124" s="4">
        <v>-14.67848188321719</v>
      </c>
      <c r="FJ124" s="4">
        <v>-14.644864543489771</v>
      </c>
      <c r="FK124" s="4">
        <v>-14.61137221122706</v>
      </c>
      <c r="FL124" s="4">
        <v>-14.57800408683465</v>
      </c>
      <c r="FM124" s="4">
        <v>-14.544759395638451</v>
      </c>
      <c r="FN124" s="4">
        <v>-14.51163739163248</v>
      </c>
      <c r="FO124" s="4">
        <v>-14.47863736072426</v>
      </c>
      <c r="FP124" s="4">
        <v>-14.445758623434189</v>
      </c>
      <c r="FQ124" s="4">
        <v>-14.413000537009969</v>
      </c>
      <c r="FR124" s="4">
        <v>-14.3803624969196</v>
      </c>
      <c r="FS124" s="4">
        <v>-14.34784393769276</v>
      </c>
      <c r="FT124" s="4">
        <v>-14.315444333084111</v>
      </c>
      <c r="FU124" s="4">
        <v>-14.283163195537909</v>
      </c>
      <c r="FV124" s="4">
        <v>-14.25100007493989</v>
      </c>
      <c r="FW124" s="4">
        <v>-14.21895455664672</v>
      </c>
      <c r="FX124" s="4">
        <v>-14.18702625879205</v>
      </c>
      <c r="FY124" s="4">
        <v>-14.1552148288725</v>
      </c>
      <c r="FZ124" s="4">
        <v>-14.12351993962579</v>
      </c>
      <c r="GA124" s="4">
        <v>-14.09194128421775</v>
      </c>
      <c r="GB124" s="4">
        <v>-14.06047857076447</v>
      </c>
      <c r="GC124" s="4">
        <v>-14.029131516219479</v>
      </c>
      <c r="GD124" s="4">
        <v>-13.997899839665269</v>
      </c>
      <c r="GE124" s="4">
        <v>-13.966783255052601</v>
      </c>
      <c r="GF124" s="4">
        <v>-13.935781463438181</v>
      </c>
      <c r="GG124" s="4">
        <v>-13.90489414477668</v>
      </c>
      <c r="GH124" s="4">
        <v>-13.874120949327789</v>
      </c>
      <c r="GI124" s="4">
        <v>-13.843461488743939</v>
      </c>
      <c r="GJ124" s="4">
        <v>-13.81291532690879</v>
      </c>
      <c r="GK124" s="4">
        <v>-13.78248197059864</v>
      </c>
      <c r="GL124" s="4">
        <v>-13.75216086004318</v>
      </c>
      <c r="GM124" s="4">
        <v>-13.72195135946326</v>
      </c>
      <c r="GN124" s="4">
        <v>-13.69185274766429</v>
      </c>
      <c r="GO124" s="4">
        <v>-13.66186420876525</v>
      </c>
      <c r="GP124" s="4">
        <v>-13.631984823142879</v>
      </c>
      <c r="GQ124" s="4">
        <v>-13.60221355866852</v>
      </c>
      <c r="GR124" s="4">
        <v>-13.57254926231559</v>
      </c>
      <c r="GS124" s="4">
        <v>-13.54299065221096</v>
      </c>
      <c r="GT124" s="4">
        <v>-13.513536310201591</v>
      </c>
      <c r="GU124" s="4">
        <v>-13.48418467500457</v>
      </c>
      <c r="GV124" s="4">
        <v>-13.45493403600226</v>
      </c>
      <c r="GW124" s="4">
        <v>-13.42578252774199</v>
      </c>
      <c r="GX124" s="4">
        <v>-13.39672812519184</v>
      </c>
      <c r="GY124" s="4">
        <v>-13.367768639800101</v>
      </c>
      <c r="GZ124" s="4">
        <v>-13.33890171639846</v>
      </c>
      <c r="HA124" s="4">
        <v>-13.310124830983099</v>
      </c>
      <c r="HB124" s="4">
        <v>-13.281435289400431</v>
      </c>
      <c r="HC124" s="4">
        <v>-13.25283022695842</v>
      </c>
      <c r="HD124" s="4">
        <v>-13.22430660897542</v>
      </c>
      <c r="HE124" s="4">
        <v>-13.19586123227332</v>
      </c>
      <c r="HF124" s="4">
        <v>-13.16749072761322</v>
      </c>
      <c r="HG124" s="4">
        <v>-13.13919156306528</v>
      </c>
      <c r="HH124" s="4">
        <v>-13.110960048297949</v>
      </c>
      <c r="HI124" s="4">
        <v>-13.08279233976427</v>
      </c>
      <c r="HJ124" s="4">
        <v>-13.054684446756699</v>
      </c>
      <c r="HK124" s="4">
        <v>-13.02663223829647</v>
      </c>
      <c r="HL124" s="4">
        <v>-12.99863145081693</v>
      </c>
      <c r="HM124" s="4">
        <v>-12.970677696594709</v>
      </c>
      <c r="HN124" s="4">
        <v>-12.94276647287904</v>
      </c>
      <c r="HO124" s="4">
        <v>-12.91489317166277</v>
      </c>
      <c r="HP124" s="4">
        <v>-12.887053090037149</v>
      </c>
      <c r="HQ124" s="4">
        <v>-12.859241441066841</v>
      </c>
      <c r="HR124" s="4">
        <v>-12.831453365119881</v>
      </c>
      <c r="HS124" s="4">
        <v>-12.80368394158458</v>
      </c>
      <c r="HT124" s="4">
        <v>-12.775928200903349</v>
      </c>
      <c r="HU124" s="4">
        <v>-12.74818113685253</v>
      </c>
      <c r="HV124" s="4">
        <v>-12.720437718996211</v>
      </c>
      <c r="HW124" s="4">
        <v>-12.69269290524209</v>
      </c>
      <c r="HX124" s="4">
        <v>-12.66494165442783</v>
      </c>
      <c r="HY124" s="4">
        <v>-12.637178938867651</v>
      </c>
      <c r="HZ124" s="4">
        <v>-12.609399756789241</v>
      </c>
      <c r="IA124" s="4">
        <v>-12.58159914459463</v>
      </c>
      <c r="IB124" s="4">
        <v>-12.553772188880311</v>
      </c>
      <c r="IC124" s="4">
        <v>-12.52591403815414</v>
      </c>
      <c r="ID124" s="4">
        <v>-12.498019914191561</v>
      </c>
      <c r="IE124" s="4">
        <v>-12.47008512297591</v>
      </c>
      <c r="IF124" s="4">
        <v>-12.44210506517207</v>
      </c>
      <c r="IG124" s="4">
        <v>-12.41407524608765</v>
      </c>
      <c r="IH124" s="4">
        <v>-12.38599128507933</v>
      </c>
      <c r="II124" s="4">
        <v>-12.357848924367969</v>
      </c>
      <c r="IJ124" s="4">
        <v>-12.329644037230199</v>
      </c>
      <c r="IK124" s="4">
        <v>-12.301372635539449</v>
      </c>
      <c r="IL124" s="4">
        <v>-12.273030876634991</v>
      </c>
      <c r="IM124" s="4">
        <v>-12.24461506950172</v>
      </c>
    </row>
    <row r="125" spans="2:247" x14ac:dyDescent="0.35">
      <c r="B125" s="58">
        <v>1.0900000000000001</v>
      </c>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v>-16.28966347751583</v>
      </c>
      <c r="DW125" s="4">
        <v>-16.250915367717369</v>
      </c>
      <c r="DX125" s="4">
        <v>-16.212290653450619</v>
      </c>
      <c r="DY125" s="4">
        <v>-16.173790800726731</v>
      </c>
      <c r="DZ125" s="4">
        <v>-16.13541720124082</v>
      </c>
      <c r="EA125" s="4">
        <v>-16.097171169571851</v>
      </c>
      <c r="EB125" s="4">
        <v>-16.059053940590371</v>
      </c>
      <c r="EC125" s="4">
        <v>-16.021066667095091</v>
      </c>
      <c r="ED125" s="4">
        <v>-15.983210417697419</v>
      </c>
      <c r="EE125" s="4">
        <v>-15.94548617497531</v>
      </c>
      <c r="EF125" s="4">
        <v>-15.907894833913121</v>
      </c>
      <c r="EG125" s="4">
        <v>-15.870437200647251</v>
      </c>
      <c r="EH125" s="4">
        <v>-15.833113991531841</v>
      </c>
      <c r="EI125" s="4">
        <v>-15.79592583254162</v>
      </c>
      <c r="EJ125" s="4">
        <v>-15.75887325902338</v>
      </c>
      <c r="EK125" s="4">
        <v>-15.72195671580875</v>
      </c>
      <c r="EL125" s="4">
        <v>-15.68517655769694</v>
      </c>
      <c r="EM125" s="4">
        <v>-15.648533050314761</v>
      </c>
      <c r="EN125" s="4">
        <v>-15.61202637135851</v>
      </c>
      <c r="EO125" s="4">
        <v>-15.5756566122195</v>
      </c>
      <c r="EP125" s="4">
        <v>-15.53942377999272</v>
      </c>
      <c r="EQ125" s="4">
        <v>-15.50332779986471</v>
      </c>
      <c r="ER125" s="4">
        <v>-15.467368517873449</v>
      </c>
      <c r="ES125" s="4">
        <v>-15.43154570403145</v>
      </c>
      <c r="ET125" s="4">
        <v>-15.39585905579731</v>
      </c>
      <c r="EU125" s="4">
        <v>-15.36030820188074</v>
      </c>
      <c r="EV125" s="4">
        <v>-15.324892706360259</v>
      </c>
      <c r="EW125" s="4">
        <v>-15.289612073091121</v>
      </c>
      <c r="EX125" s="4">
        <v>-15.254465750377159</v>
      </c>
      <c r="EY125" s="4">
        <v>-15.21945313587675</v>
      </c>
      <c r="EZ125" s="4">
        <v>-15.18457358171122</v>
      </c>
      <c r="FA125" s="4">
        <v>-15.149826399739281</v>
      </c>
      <c r="FB125" s="4">
        <v>-15.115210866960551</v>
      </c>
      <c r="FC125" s="4">
        <v>-15.08072623100678</v>
      </c>
      <c r="FD125" s="4">
        <v>-15.04637171567841</v>
      </c>
      <c r="FE125" s="4">
        <v>-15.01214652648161</v>
      </c>
      <c r="FF125" s="4">
        <v>-14.97804985611949</v>
      </c>
      <c r="FG125" s="4">
        <v>-14.94408088988958</v>
      </c>
      <c r="FH125" s="4">
        <v>-14.910238810939809</v>
      </c>
      <c r="FI125" s="4">
        <v>-14.876522805332931</v>
      </c>
      <c r="FJ125" s="4">
        <v>-14.842932066871439</v>
      </c>
      <c r="FK125" s="4">
        <v>-14.809465801633729</v>
      </c>
      <c r="FL125" s="4">
        <v>-14.77612323217415</v>
      </c>
      <c r="FM125" s="4">
        <v>-14.7429036013403</v>
      </c>
      <c r="FN125" s="4">
        <v>-14.70980617566404</v>
      </c>
      <c r="FO125" s="4">
        <v>-14.676830248283</v>
      </c>
      <c r="FP125" s="4">
        <v>-14.64397514135419</v>
      </c>
      <c r="FQ125" s="4">
        <v>-14.611240207924061</v>
      </c>
      <c r="FR125" s="4">
        <v>-14.578624833222131</v>
      </c>
      <c r="FS125" s="4">
        <v>-14.546128435351489</v>
      </c>
      <c r="FT125" s="4">
        <v>-14.51375046535232</v>
      </c>
      <c r="FU125" s="4">
        <v>-14.481490406620511</v>
      </c>
      <c r="FV125" s="4">
        <v>-14.449347773668871</v>
      </c>
      <c r="FW125" s="4">
        <v>-14.41732211022385</v>
      </c>
      <c r="FX125" s="4">
        <v>-14.3854129866561</v>
      </c>
      <c r="FY125" s="4">
        <v>-14.353619996750639</v>
      </c>
      <c r="FZ125" s="4">
        <v>-14.32194275382648</v>
      </c>
      <c r="GA125" s="4">
        <v>-14.29038088622433</v>
      </c>
      <c r="GB125" s="4">
        <v>-14.2589340321845</v>
      </c>
      <c r="GC125" s="4">
        <v>-14.22760183414567</v>
      </c>
      <c r="GD125" s="4">
        <v>-14.196383932499</v>
      </c>
      <c r="GE125" s="4">
        <v>-14.16527995884007</v>
      </c>
      <c r="GF125" s="4">
        <v>-14.134289528763871</v>
      </c>
      <c r="GG125" s="4">
        <v>-14.103412234256011</v>
      </c>
      <c r="GH125" s="4">
        <v>-14.072647635735439</v>
      </c>
      <c r="GI125" s="4">
        <v>-14.041995253809951</v>
      </c>
      <c r="GJ125" s="4">
        <v>-14.0114545608083</v>
      </c>
      <c r="GK125" s="4">
        <v>-13.98102497215668</v>
      </c>
      <c r="GL125" s="4">
        <v>-13.95070583766892</v>
      </c>
      <c r="GM125" s="4">
        <v>-13.920496432822199</v>
      </c>
      <c r="GN125" s="4">
        <v>-13.89039595009111</v>
      </c>
      <c r="GO125" s="4">
        <v>-13.86040349041323</v>
      </c>
      <c r="GP125" s="4">
        <v>-13.830518054859271</v>
      </c>
      <c r="GQ125" s="4">
        <v>-13.80073853657998</v>
      </c>
      <c r="GR125" s="4">
        <v>-13.77106371310049</v>
      </c>
      <c r="GS125" s="4">
        <v>-13.741492239030091</v>
      </c>
      <c r="GT125" s="4">
        <v>-13.712022639253631</v>
      </c>
      <c r="GU125" s="4">
        <v>-13.68265330266594</v>
      </c>
      <c r="GV125" s="4">
        <v>-13.653382476508069</v>
      </c>
      <c r="GW125" s="4">
        <v>-13.62420826135792</v>
      </c>
      <c r="GX125" s="4">
        <v>-13.5951286068253</v>
      </c>
      <c r="GY125" s="4">
        <v>-13.566141307992799</v>
      </c>
      <c r="GZ125" s="4">
        <v>-13.537244002642099</v>
      </c>
      <c r="HA125" s="4">
        <v>-13.508434169295001</v>
      </c>
      <c r="HB125" s="4">
        <v>-13.47970912609585</v>
      </c>
      <c r="HC125" s="4">
        <v>-13.451066030553649</v>
      </c>
      <c r="HD125" s="4">
        <v>-13.422501880155901</v>
      </c>
      <c r="HE125" s="4">
        <v>-13.39401351385971</v>
      </c>
      <c r="HF125" s="4">
        <v>-13.36559761445996</v>
      </c>
      <c r="HG125" s="4">
        <v>-13.33725071182579</v>
      </c>
      <c r="HH125" s="4">
        <v>-13.308969186993</v>
      </c>
      <c r="HI125" s="4">
        <v>-13.280749277090781</v>
      </c>
      <c r="HJ125" s="4">
        <v>-13.25258708107825</v>
      </c>
      <c r="HK125" s="4">
        <v>-13.22447856625798</v>
      </c>
      <c r="HL125" s="4">
        <v>-13.196419575529809</v>
      </c>
      <c r="HM125" s="4">
        <v>-13.168405835343149</v>
      </c>
      <c r="HN125" s="4">
        <v>-13.14043296430023</v>
      </c>
      <c r="HO125" s="4">
        <v>-13.11249648236033</v>
      </c>
      <c r="HP125" s="4">
        <v>-13.084591820589701</v>
      </c>
      <c r="HQ125" s="4">
        <v>-13.0567143313994</v>
      </c>
      <c r="HR125" s="4">
        <v>-13.028859299210341</v>
      </c>
      <c r="HS125" s="4">
        <v>-13.001021951482629</v>
      </c>
      <c r="HT125" s="4">
        <v>-12.973197470044489</v>
      </c>
      <c r="HU125" s="4">
        <v>-12.945381002654621</v>
      </c>
      <c r="HV125" s="4">
        <v>-12.917567674731631</v>
      </c>
      <c r="HW125" s="4">
        <v>-12.88975260118357</v>
      </c>
      <c r="HX125" s="4">
        <v>-12.861930898271041</v>
      </c>
      <c r="HY125" s="4">
        <v>-12.83409769543861</v>
      </c>
      <c r="HZ125" s="4">
        <v>-12.80624814704913</v>
      </c>
      <c r="IA125" s="4">
        <v>-12.77837744396022</v>
      </c>
      <c r="IB125" s="4">
        <v>-12.75048082488077</v>
      </c>
      <c r="IC125" s="4">
        <v>-12.722553587450919</v>
      </c>
      <c r="ID125" s="4">
        <v>-12.694591098990751</v>
      </c>
      <c r="IE125" s="4">
        <v>-12.66658880686583</v>
      </c>
      <c r="IF125" s="4">
        <v>-12.63854224842302</v>
      </c>
      <c r="IG125" s="4">
        <v>-12.610447060452159</v>
      </c>
      <c r="IH125" s="4">
        <v>-12.582298988134481</v>
      </c>
      <c r="II125" s="4">
        <v>-12.554093893443129</v>
      </c>
      <c r="IJ125" s="4">
        <v>-12.52582776296471</v>
      </c>
      <c r="IK125" s="4">
        <v>-12.49749671511673</v>
      </c>
      <c r="IL125" s="4">
        <v>-12.46909700673913</v>
      </c>
      <c r="IM125" s="4">
        <v>-12.44062503904418</v>
      </c>
    </row>
    <row r="126" spans="2:247" x14ac:dyDescent="0.35">
      <c r="B126" s="58">
        <v>1.1000000000000001</v>
      </c>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v>-16.48593921602691</v>
      </c>
      <c r="DW126" s="4">
        <v>-16.447259190889739</v>
      </c>
      <c r="DX126" s="4">
        <v>-16.408701536852639</v>
      </c>
      <c r="DY126" s="4">
        <v>-16.37026767832587</v>
      </c>
      <c r="DZ126" s="4">
        <v>-16.331958967874169</v>
      </c>
      <c r="EA126" s="4">
        <v>-16.293776683602779</v>
      </c>
      <c r="EB126" s="4">
        <v>-16.255722026742649</v>
      </c>
      <c r="EC126" s="4">
        <v>-16.21779611945454</v>
      </c>
      <c r="ED126" s="4">
        <v>-16.18000000287017</v>
      </c>
      <c r="EE126" s="4">
        <v>-16.142334635388231</v>
      </c>
      <c r="EF126" s="4">
        <v>-16.104800891242711</v>
      </c>
      <c r="EG126" s="4">
        <v>-16.067399559358801</v>
      </c>
      <c r="EH126" s="4">
        <v>-16.03013134251189</v>
      </c>
      <c r="EI126" s="4">
        <v>-15.99299685680281</v>
      </c>
      <c r="EJ126" s="4">
        <v>-15.955996631460719</v>
      </c>
      <c r="EK126" s="4">
        <v>-15.919131108984139</v>
      </c>
      <c r="EL126" s="4">
        <v>-15.882400645627911</v>
      </c>
      <c r="EM126" s="4">
        <v>-15.845805512241959</v>
      </c>
      <c r="EN126" s="4">
        <v>-15.809345895465629</v>
      </c>
      <c r="EO126" s="4">
        <v>-15.773021899278451</v>
      </c>
      <c r="EP126" s="4">
        <v>-15.736833546905959</v>
      </c>
      <c r="EQ126" s="4">
        <v>-15.70078078307667</v>
      </c>
      <c r="ER126" s="4">
        <v>-15.664863476622459</v>
      </c>
      <c r="ES126" s="4">
        <v>-15.629081423413229</v>
      </c>
      <c r="ET126" s="4">
        <v>-15.59343434961276</v>
      </c>
      <c r="EU126" s="4">
        <v>-15.5579219152389</v>
      </c>
      <c r="EV126" s="4">
        <v>-15.52254371801077</v>
      </c>
      <c r="EW126" s="4">
        <v>-15.487299297459881</v>
      </c>
      <c r="EX126" s="4">
        <v>-15.452188139280381</v>
      </c>
      <c r="EY126" s="4">
        <v>-15.41720967989135</v>
      </c>
      <c r="EZ126" s="4">
        <v>-15.38236331117996</v>
      </c>
      <c r="FA126" s="4">
        <v>-15.347648385392571</v>
      </c>
      <c r="FB126" s="4">
        <v>-15.31306422013855</v>
      </c>
      <c r="FC126" s="4">
        <v>-15.278610103468329</v>
      </c>
      <c r="FD126" s="4">
        <v>-15.244285298986711</v>
      </c>
      <c r="FE126" s="4">
        <v>-15.21008905095907</v>
      </c>
      <c r="FF126" s="4">
        <v>-15.176020589368671</v>
      </c>
      <c r="FG126" s="4">
        <v>-15.14207913487965</v>
      </c>
      <c r="FH126" s="4">
        <v>-15.108263903662269</v>
      </c>
      <c r="FI126" s="4">
        <v>-15.074574112034741</v>
      </c>
      <c r="FJ126" s="4">
        <v>-15.04100898087653</v>
      </c>
      <c r="FK126" s="4">
        <v>-15.00756773976916</v>
      </c>
      <c r="FL126" s="4">
        <v>-14.97424963081995</v>
      </c>
      <c r="FM126" s="4">
        <v>-14.941053912127989</v>
      </c>
      <c r="FN126" s="4">
        <v>-14.90797986085002</v>
      </c>
      <c r="FO126" s="4">
        <v>-14.875026775829591</v>
      </c>
      <c r="FP126" s="4">
        <v>-14.84219397975332</v>
      </c>
      <c r="FQ126" s="4">
        <v>-14.80948082080201</v>
      </c>
      <c r="FR126" s="4">
        <v>-14.77688667376778</v>
      </c>
      <c r="FS126" s="4">
        <v>-14.744410940612489</v>
      </c>
      <c r="FT126" s="4">
        <v>-14.712053050447039</v>
      </c>
      <c r="FU126" s="4">
        <v>-14.67981245891515</v>
      </c>
      <c r="FV126" s="4">
        <v>-14.64768864697152</v>
      </c>
      <c r="FW126" s="4">
        <v>-14.615681119047609</v>
      </c>
      <c r="FX126" s="4">
        <v>-14.583789400605641</v>
      </c>
      <c r="FY126" s="4">
        <v>-14.55201303508534</v>
      </c>
      <c r="FZ126" s="4">
        <v>-14.520351580254889</v>
      </c>
      <c r="GA126" s="4">
        <v>-14.48880460398165</v>
      </c>
      <c r="GB126" s="4">
        <v>-14.45737167944624</v>
      </c>
      <c r="GC126" s="4">
        <v>-14.426052379826389</v>
      </c>
      <c r="GD126" s="4">
        <v>-14.39484627248464</v>
      </c>
      <c r="GE126" s="4">
        <v>-14.36375291269785</v>
      </c>
      <c r="GF126" s="4">
        <v>-14.332771836972089</v>
      </c>
      <c r="GG126" s="4">
        <v>-14.301902555990999</v>
      </c>
      <c r="GH126" s="4">
        <v>-14.27114454724909</v>
      </c>
      <c r="GI126" s="4">
        <v>-14.24049724742723</v>
      </c>
      <c r="GJ126" s="4">
        <v>-14.20996004456816</v>
      </c>
      <c r="GK126" s="4">
        <v>-14.17953227011561</v>
      </c>
      <c r="GL126" s="4">
        <v>-14.149213190879889</v>
      </c>
      <c r="GM126" s="4">
        <v>-14.119002000997259</v>
      </c>
      <c r="GN126" s="4">
        <v>-14.08889781394913</v>
      </c>
      <c r="GO126" s="4">
        <v>-14.058899654709039</v>
      </c>
      <c r="GP126" s="4">
        <v>-14.0290064520845</v>
      </c>
      <c r="GQ126" s="4">
        <v>-13.99921703132016</v>
      </c>
      <c r="GR126" s="4">
        <v>-13.96953010702731</v>
      </c>
      <c r="GS126" s="4">
        <v>-13.93994427650277</v>
      </c>
      <c r="GT126" s="4">
        <v>-13.910458013497131</v>
      </c>
      <c r="GU126" s="4">
        <v>-13.881069662490219</v>
      </c>
      <c r="GV126" s="4">
        <v>-13.851777433526729</v>
      </c>
      <c r="GW126" s="4">
        <v>-13.822579397661571</v>
      </c>
      <c r="GX126" s="4">
        <v>-13.79347348306027</v>
      </c>
      <c r="GY126" s="4">
        <v>-13.764457471793451</v>
      </c>
      <c r="GZ126" s="4">
        <v>-13.735528997360779</v>
      </c>
      <c r="HA126" s="4">
        <v>-13.7066855429733</v>
      </c>
      <c r="HB126" s="4">
        <v>-13.67792444061717</v>
      </c>
      <c r="HC126" s="4">
        <v>-13.649242870916829</v>
      </c>
      <c r="HD126" s="4">
        <v>-13.620637863808581</v>
      </c>
      <c r="HE126" s="4">
        <v>-13.59210630002975</v>
      </c>
      <c r="HF126" s="4">
        <v>-13.56364491342354</v>
      </c>
      <c r="HG126" s="4">
        <v>-13.53525029405205</v>
      </c>
      <c r="HH126" s="4">
        <v>-13.506918892104951</v>
      </c>
      <c r="HI126" s="4">
        <v>-13.478647022585861</v>
      </c>
      <c r="HJ126" s="4">
        <v>-13.45043087075253</v>
      </c>
      <c r="HK126" s="4">
        <v>-13.42226649828072</v>
      </c>
      <c r="HL126" s="4">
        <v>-13.394149850119261</v>
      </c>
      <c r="HM126" s="4">
        <v>-13.36607676199595</v>
      </c>
      <c r="HN126" s="4">
        <v>-13.33804296853226</v>
      </c>
      <c r="HO126" s="4">
        <v>-13.31004411191897</v>
      </c>
      <c r="HP126" s="4">
        <v>-13.282075751103291</v>
      </c>
      <c r="HQ126" s="4">
        <v>-13.254133371432649</v>
      </c>
      <c r="HR126" s="4">
        <v>-13.226212394699999</v>
      </c>
      <c r="HS126" s="4">
        <v>-13.198308189531859</v>
      </c>
      <c r="HT126" s="4">
        <v>-13.170416082059241</v>
      </c>
      <c r="HU126" s="4">
        <v>-13.14253136681012</v>
      </c>
      <c r="HV126" s="4">
        <v>-13.114649317761939</v>
      </c>
      <c r="HW126" s="4">
        <v>-13.086765199492071</v>
      </c>
      <c r="HX126" s="4">
        <v>-13.058874278364019</v>
      </c>
      <c r="HY126" s="4">
        <v>-13.03097183368901</v>
      </c>
      <c r="HZ126" s="4">
        <v>-13.003053168802071</v>
      </c>
      <c r="IA126" s="4">
        <v>-12.97511362199595</v>
      </c>
      <c r="IB126" s="4">
        <v>-12.94714857725449</v>
      </c>
      <c r="IC126" s="4">
        <v>-12.919153474733781</v>
      </c>
      <c r="ID126" s="4">
        <v>-12.89112382093813</v>
      </c>
      <c r="IE126" s="4">
        <v>-12.86305519854422</v>
      </c>
      <c r="IF126" s="4">
        <v>-12.834943275828129</v>
      </c>
      <c r="IG126" s="4">
        <v>-12.80678381565413</v>
      </c>
      <c r="IH126" s="4">
        <v>-12.77857268398871</v>
      </c>
      <c r="II126" s="4">
        <v>-12.750305857906159</v>
      </c>
      <c r="IJ126" s="4">
        <v>-12.721979433056511</v>
      </c>
      <c r="IK126" s="4">
        <v>-12.69358963057241</v>
      </c>
      <c r="IL126" s="4">
        <v>-12.66513280339287</v>
      </c>
      <c r="IM126" s="4">
        <v>-12.636605441989349</v>
      </c>
    </row>
    <row r="127" spans="2:247" x14ac:dyDescent="0.35">
      <c r="B127" s="58">
        <v>1.1100000000000001</v>
      </c>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v>-16.682257338268919</v>
      </c>
      <c r="DW127" s="4">
        <v>-16.643644247663481</v>
      </c>
      <c r="DX127" s="4">
        <v>-16.605152516872959</v>
      </c>
      <c r="DY127" s="4">
        <v>-16.566783530433081</v>
      </c>
      <c r="DZ127" s="4">
        <v>-16.528538603404051</v>
      </c>
      <c r="EA127" s="4">
        <v>-16.490418978928059</v>
      </c>
      <c r="EB127" s="4">
        <v>-16.452425825977461</v>
      </c>
      <c r="EC127" s="4">
        <v>-16.414560237312489</v>
      </c>
      <c r="ED127" s="4">
        <v>-16.376823227664801</v>
      </c>
      <c r="EE127" s="4">
        <v>-16.339215732162671</v>
      </c>
      <c r="EF127" s="4">
        <v>-16.301738605014219</v>
      </c>
      <c r="EG127" s="4">
        <v>-16.264392618462949</v>
      </c>
      <c r="EH127" s="4">
        <v>-16.227178462027641</v>
      </c>
      <c r="EI127" s="4">
        <v>-16.190096742040861</v>
      </c>
      <c r="EJ127" s="4">
        <v>-16.153147981494001</v>
      </c>
      <c r="EK127" s="4">
        <v>-16.116332620199671</v>
      </c>
      <c r="EL127" s="4">
        <v>-16.079651015276461</v>
      </c>
      <c r="EM127" s="4">
        <v>-16.043103441962799</v>
      </c>
      <c r="EN127" s="4">
        <v>-16.00669009476098</v>
      </c>
      <c r="EO127" s="4">
        <v>-15.97041108891257</v>
      </c>
      <c r="EP127" s="4">
        <v>-15.93426646220329</v>
      </c>
      <c r="EQ127" s="4">
        <v>-15.89825617709227</v>
      </c>
      <c r="ER127" s="4">
        <v>-15.862380123159051</v>
      </c>
      <c r="ES127" s="4">
        <v>-15.82663811985786</v>
      </c>
      <c r="ET127" s="4">
        <v>-15.79102991956762</v>
      </c>
      <c r="EU127" s="4">
        <v>-15.755555210920701</v>
      </c>
      <c r="EV127" s="4">
        <v>-15.720213622394279</v>
      </c>
      <c r="EW127" s="4">
        <v>-15.685004726141671</v>
      </c>
      <c r="EX127" s="4">
        <v>-15.649928042041161</v>
      </c>
      <c r="EY127" s="4">
        <v>-15.61498304193579</v>
      </c>
      <c r="EZ127" s="4">
        <v>-15.58016915403554</v>
      </c>
      <c r="FA127" s="4">
        <v>-15.545485767450749</v>
      </c>
      <c r="FB127" s="4">
        <v>-15.510932236823709</v>
      </c>
      <c r="FC127" s="4">
        <v>-15.476507887023191</v>
      </c>
      <c r="FD127" s="4">
        <v>-15.442212017864961</v>
      </c>
      <c r="FE127" s="4">
        <v>-15.408043908819639</v>
      </c>
      <c r="FF127" s="4">
        <v>-15.3740028236684</v>
      </c>
      <c r="FG127" s="4">
        <v>-15.340088015065851</v>
      </c>
      <c r="FH127" s="4">
        <v>-15.30629872896848</v>
      </c>
      <c r="FI127" s="4">
        <v>-15.27263420888811</v>
      </c>
      <c r="FJ127" s="4">
        <v>-15.239093699927841</v>
      </c>
      <c r="FK127" s="4">
        <v>-15.20567645256085</v>
      </c>
      <c r="FL127" s="4">
        <v>-15.172381726111221</v>
      </c>
      <c r="FM127" s="4">
        <v>-15.13920879189881</v>
      </c>
      <c r="FN127" s="4">
        <v>-15.106156936011351</v>
      </c>
      <c r="FO127" s="4">
        <v>-15.07322546166856</v>
      </c>
      <c r="FP127" s="4">
        <v>-15.04041369114675</v>
      </c>
      <c r="FQ127" s="4">
        <v>-15.00772096723442</v>
      </c>
      <c r="FR127" s="4">
        <v>-14.97514665419294</v>
      </c>
      <c r="FS127" s="4">
        <v>-14.94269013820033</v>
      </c>
      <c r="FT127" s="4">
        <v>-14.910350827259441</v>
      </c>
      <c r="FU127" s="4">
        <v>-14.878128150557259</v>
      </c>
      <c r="FV127" s="4">
        <v>-14.84602155726537</v>
      </c>
      <c r="FW127" s="4">
        <v>-14.81403051477723</v>
      </c>
      <c r="FX127" s="4">
        <v>-14.78215450638282</v>
      </c>
      <c r="FY127" s="4">
        <v>-14.75039302838562</v>
      </c>
      <c r="FZ127" s="4">
        <v>-14.7187455866731</v>
      </c>
      <c r="GA127" s="4">
        <v>-14.687211692756049</v>
      </c>
      <c r="GB127" s="4">
        <v>-14.6557908592982</v>
      </c>
      <c r="GC127" s="4">
        <v>-14.62448259516179</v>
      </c>
      <c r="GD127" s="4">
        <v>-14.5932864000004</v>
      </c>
      <c r="GE127" s="4">
        <v>-14.56220175843473</v>
      </c>
      <c r="GF127" s="4">
        <v>-14.53122813385154</v>
      </c>
      <c r="GG127" s="4">
        <v>-14.50036496187032</v>
      </c>
      <c r="GH127" s="4">
        <v>-14.469611643525941</v>
      </c>
      <c r="GI127" s="4">
        <v>-14.438967538219091</v>
      </c>
      <c r="GJ127" s="4">
        <v>-14.408431956489199</v>
      </c>
      <c r="GK127" s="4">
        <v>-14.378004152667209</v>
      </c>
      <c r="GL127" s="4">
        <v>-14.34768331746754</v>
      </c>
      <c r="GM127" s="4">
        <v>-14.31746857057996</v>
      </c>
      <c r="GN127" s="4">
        <v>-14.287358953322959</v>
      </c>
      <c r="GO127" s="4">
        <v>-14.257353421421421</v>
      </c>
      <c r="GP127" s="4">
        <v>-14.227450837969609</v>
      </c>
      <c r="GQ127" s="4">
        <v>-14.19764996664137</v>
      </c>
      <c r="GR127" s="4">
        <v>-14.167949465206741</v>
      </c>
      <c r="GS127" s="4">
        <v>-14.13834787941399</v>
      </c>
      <c r="GT127" s="4">
        <v>-14.10884363729124</v>
      </c>
      <c r="GU127" s="4">
        <v>-14.079435043921981</v>
      </c>
      <c r="GV127" s="4">
        <v>-14.05012027674214</v>
      </c>
      <c r="GW127" s="4">
        <v>-14.020897381406209</v>
      </c>
      <c r="GX127" s="4">
        <v>-13.991764268261649</v>
      </c>
      <c r="GY127" s="4">
        <v>-13.962718709470471</v>
      </c>
      <c r="GZ127" s="4">
        <v>-13.93375833680849</v>
      </c>
      <c r="HA127" s="4">
        <v>-13.90488064017023</v>
      </c>
      <c r="HB127" s="4">
        <v>-13.87608296680024</v>
      </c>
      <c r="HC127" s="4">
        <v>-13.847362521267801</v>
      </c>
      <c r="HD127" s="4">
        <v>-13.81871636619527</v>
      </c>
      <c r="HE127" s="4">
        <v>-13.790141423745199</v>
      </c>
      <c r="HF127" s="4">
        <v>-13.761634477865821</v>
      </c>
      <c r="HG127" s="4">
        <v>-13.73319217728864</v>
      </c>
      <c r="HH127" s="4">
        <v>-13.704811039266779</v>
      </c>
      <c r="HI127" s="4">
        <v>-13.67648745403732</v>
      </c>
      <c r="HJ127" s="4">
        <v>-13.64821768998547</v>
      </c>
      <c r="HK127" s="4">
        <v>-13.61999789948392</v>
      </c>
      <c r="HL127" s="4">
        <v>-13.59182412537613</v>
      </c>
      <c r="HM127" s="4">
        <v>-13.5636923080672</v>
      </c>
      <c r="HN127" s="4">
        <v>-13.53559829318317</v>
      </c>
      <c r="HO127" s="4">
        <v>-13.507537839754891</v>
      </c>
      <c r="HP127" s="4">
        <v>-13.479506628880291</v>
      </c>
      <c r="HQ127" s="4">
        <v>-13.451500272814661</v>
      </c>
      <c r="HR127" s="4">
        <v>-13.423514324437869</v>
      </c>
      <c r="HS127" s="4">
        <v>-13.395544287044251</v>
      </c>
      <c r="HT127" s="4">
        <v>-13.36758562439883</v>
      </c>
      <c r="HU127" s="4">
        <v>-13.339633771004561</v>
      </c>
      <c r="HV127" s="4">
        <v>-13.31168414252191</v>
      </c>
      <c r="HW127" s="4">
        <v>-13.28373214628424</v>
      </c>
      <c r="HX127" s="4">
        <v>-13.25577319185021</v>
      </c>
      <c r="HY127" s="4">
        <v>-13.22780270153836</v>
      </c>
      <c r="HZ127" s="4">
        <v>-13.199816120885879</v>
      </c>
      <c r="IA127" s="4">
        <v>-13.171808928979271</v>
      </c>
      <c r="IB127" s="4">
        <v>-13.14377664860282</v>
      </c>
      <c r="IC127" s="4">
        <v>-13.11571485615594</v>
      </c>
      <c r="ID127" s="4">
        <v>-13.08761919129025</v>
      </c>
      <c r="IE127" s="4">
        <v>-13.059485366222839</v>
      </c>
      <c r="IF127" s="4">
        <v>-13.0313091746822</v>
      </c>
      <c r="IG127" s="4">
        <v>-13.003086500450181</v>
      </c>
      <c r="IH127" s="4">
        <v>-12.974813325462479</v>
      </c>
      <c r="II127" s="4">
        <v>-12.94648573743916</v>
      </c>
      <c r="IJ127" s="4">
        <v>-12.91809993701502</v>
      </c>
      <c r="IK127" s="4">
        <v>-12.88965224434792</v>
      </c>
      <c r="IL127" s="4">
        <v>-12.86113910518494</v>
      </c>
      <c r="IM127" s="4">
        <v>-12.832557096370239</v>
      </c>
    </row>
    <row r="128" spans="2:247" x14ac:dyDescent="0.35">
      <c r="B128" s="58">
        <v>1.1200000000000001</v>
      </c>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v>-16.878616270374248</v>
      </c>
      <c r="DW128" s="4">
        <v>-16.84006898223382</v>
      </c>
      <c r="DX128" s="4">
        <v>-16.8016420552648</v>
      </c>
      <c r="DY128" s="4">
        <v>-16.763336835738059</v>
      </c>
      <c r="DZ128" s="4">
        <v>-16.72515460272103</v>
      </c>
      <c r="EA128" s="4">
        <v>-16.687096565792711</v>
      </c>
      <c r="EB128" s="4">
        <v>-16.649163862942402</v>
      </c>
      <c r="EC128" s="4">
        <v>-16.611357558667368</v>
      </c>
      <c r="ED128" s="4">
        <v>-16.57367864228609</v>
      </c>
      <c r="EE128" s="4">
        <v>-16.53612802648086</v>
      </c>
      <c r="EF128" s="4">
        <v>-16.498706546084239</v>
      </c>
      <c r="EG128" s="4">
        <v>-16.461414957122781</v>
      </c>
      <c r="EH128" s="4">
        <v>-16.424253936128981</v>
      </c>
      <c r="EI128" s="4">
        <v>-16.38722407973323</v>
      </c>
      <c r="EJ128" s="4">
        <v>-16.35032590454399</v>
      </c>
      <c r="EK128" s="4">
        <v>-16.313559847324392</v>
      </c>
      <c r="EL128" s="4">
        <v>-16.276926265470831</v>
      </c>
      <c r="EM128" s="4">
        <v>-16.240425437797601</v>
      </c>
      <c r="EN128" s="4">
        <v>-16.204057565629199</v>
      </c>
      <c r="EO128" s="4">
        <v>-16.16782277420084</v>
      </c>
      <c r="EP128" s="4">
        <v>-16.13172111436376</v>
      </c>
      <c r="EQ128" s="4">
        <v>-16.09575256459102</v>
      </c>
      <c r="ER128" s="4">
        <v>-16.05991703327669</v>
      </c>
      <c r="ES128" s="4">
        <v>-16.024214361318201</v>
      </c>
      <c r="ET128" s="4">
        <v>-15.98864432497019</v>
      </c>
      <c r="EU128" s="4">
        <v>-15.953206638954709</v>
      </c>
      <c r="EV128" s="4">
        <v>-15.917900959810311</v>
      </c>
      <c r="EW128" s="4">
        <v>-15.8827268894608</v>
      </c>
      <c r="EX128" s="4">
        <v>-15.847683978980781</v>
      </c>
      <c r="EY128" s="4">
        <v>-15.81277173253379</v>
      </c>
      <c r="EZ128" s="4">
        <v>-15.77798961145578</v>
      </c>
      <c r="FA128" s="4">
        <v>-15.74333703845503</v>
      </c>
      <c r="FB128" s="4">
        <v>-15.70881340189775</v>
      </c>
      <c r="FC128" s="4">
        <v>-15.67441806014604</v>
      </c>
      <c r="FD128" s="4">
        <v>-15.640150345914581</v>
      </c>
      <c r="FE128" s="4">
        <v>-15.60600957060956</v>
      </c>
      <c r="FF128" s="4">
        <v>-15.57199502861396</v>
      </c>
      <c r="FG128" s="4">
        <v>-15.5381060014806</v>
      </c>
      <c r="FH128" s="4">
        <v>-15.50434176199639</v>
      </c>
      <c r="FI128" s="4">
        <v>-15.470701578078129</v>
      </c>
      <c r="FJ128" s="4">
        <v>-15.437184716463021</v>
      </c>
      <c r="FK128" s="4">
        <v>-15.403790446156091</v>
      </c>
      <c r="FL128" s="4">
        <v>-15.37051804159794</v>
      </c>
      <c r="FM128" s="4">
        <v>-15.337366785517659</v>
      </c>
      <c r="FN128" s="4">
        <v>-15.30433597143803</v>
      </c>
      <c r="FO128" s="4">
        <v>-15.27142490580014</v>
      </c>
      <c r="FP128" s="4">
        <v>-15.238632909679881</v>
      </c>
      <c r="FQ128" s="4">
        <v>-15.205959320068869</v>
      </c>
      <c r="FR128" s="4">
        <v>-15.17340349069665</v>
      </c>
      <c r="FS128" s="4">
        <v>-15.140964792375179</v>
      </c>
      <c r="FT128" s="4">
        <v>-15.108642612848049</v>
      </c>
      <c r="FU128" s="4">
        <v>-15.076436356133559</v>
      </c>
      <c r="FV128" s="4">
        <v>-15.044345441352609</v>
      </c>
      <c r="FW128" s="4">
        <v>-15.01236930103869</v>
      </c>
      <c r="FX128" s="4">
        <v>-14.98050737893004</v>
      </c>
      <c r="FY128" s="4">
        <v>-14.94875912725068</v>
      </c>
      <c r="FZ128" s="4">
        <v>-14.917124003489461</v>
      </c>
      <c r="GA128" s="4">
        <v>-14.88560146669322</v>
      </c>
      <c r="GB128" s="4">
        <v>-14.854190973293431</v>
      </c>
      <c r="GC128" s="4">
        <v>-14.822891972491041</v>
      </c>
      <c r="GD128" s="4">
        <v>-14.791703901228169</v>
      </c>
      <c r="GE128" s="4">
        <v>-14.760626178780401</v>
      </c>
      <c r="GF128" s="4">
        <v>-14.72965820100687</v>
      </c>
      <c r="GG128" s="4">
        <v>-14.6987993342994</v>
      </c>
      <c r="GH128" s="4">
        <v>-14.66804890927536</v>
      </c>
      <c r="GI128" s="4">
        <v>-14.63740621426248</v>
      </c>
      <c r="GJ128" s="4">
        <v>-14.606870488625409</v>
      </c>
      <c r="GK128" s="4">
        <v>-14.576440915988179</v>
      </c>
      <c r="GL128" s="4">
        <v>-14.54611661740571</v>
      </c>
      <c r="GM128" s="4">
        <v>-14.51589664454187</v>
      </c>
      <c r="GN128" s="4">
        <v>-14.48577997291008</v>
      </c>
      <c r="GO128" s="4">
        <v>-14.45576549523404</v>
      </c>
      <c r="GP128" s="4">
        <v>-14.425852014985839</v>
      </c>
      <c r="GQ128" s="4">
        <v>-14.396038240156949</v>
      </c>
      <c r="GR128" s="4">
        <v>-14.366322777318519</v>
      </c>
      <c r="GS128" s="4">
        <v>-14.33670412602322</v>
      </c>
      <c r="GT128" s="4">
        <v>-14.3071806736005</v>
      </c>
      <c r="GU128" s="4">
        <v>-14.27775069039375</v>
      </c>
      <c r="GV128" s="4">
        <v>-14.24841232548456</v>
      </c>
      <c r="GW128" s="4">
        <v>-14.219163602946621</v>
      </c>
      <c r="GX128" s="4">
        <v>-14.190002418666911</v>
      </c>
      <c r="GY128" s="4">
        <v>-14.16092653776839</v>
      </c>
      <c r="GZ128" s="4">
        <v>-14.131933592664289</v>
      </c>
      <c r="HA128" s="4">
        <v>-14.10302108176781</v>
      </c>
      <c r="HB128" s="4">
        <v>-14.074186368878401</v>
      </c>
      <c r="HC128" s="4">
        <v>-14.045426683259191</v>
      </c>
      <c r="HD128" s="4">
        <v>-14.01673912041521</v>
      </c>
      <c r="HE128" s="4">
        <v>-13.98812064357773</v>
      </c>
      <c r="HF128" s="4">
        <v>-13.959568085894301</v>
      </c>
      <c r="HG128" s="4">
        <v>-13.93107815331838</v>
      </c>
      <c r="HH128" s="4">
        <v>-13.902647428189081</v>
      </c>
      <c r="HI128" s="4">
        <v>-13.87427237348443</v>
      </c>
      <c r="HJ128" s="4">
        <v>-13.84594933772906</v>
      </c>
      <c r="HK128" s="4">
        <v>-13.817674560531181</v>
      </c>
      <c r="HL128" s="4">
        <v>-13.78944417871929</v>
      </c>
      <c r="HM128" s="4">
        <v>-13.76125423304719</v>
      </c>
      <c r="HN128" s="4">
        <v>-13.733100675428579</v>
      </c>
      <c r="HO128" s="4">
        <v>-13.70497937666285</v>
      </c>
      <c r="HP128" s="4">
        <v>-13.67688613460793</v>
      </c>
      <c r="HQ128" s="4">
        <v>-13.6488166827548</v>
      </c>
      <c r="HR128" s="4">
        <v>-13.62076669915507</v>
      </c>
      <c r="HS128" s="4">
        <v>-13.592731815652391</v>
      </c>
      <c r="HT128" s="4">
        <v>-13.56470762736533</v>
      </c>
      <c r="HU128" s="4">
        <v>-13.53668970236982</v>
      </c>
      <c r="HV128" s="4">
        <v>-13.50867359152724</v>
      </c>
      <c r="HW128" s="4">
        <v>-13.480654838405449</v>
      </c>
      <c r="HX128" s="4">
        <v>-13.45262898923858</v>
      </c>
      <c r="HY128" s="4">
        <v>-13.424591602873029</v>
      </c>
      <c r="HZ128" s="4">
        <v>-13.396538260648351</v>
      </c>
      <c r="IA128" s="4">
        <v>-13.36846457616106</v>
      </c>
      <c r="IB128" s="4">
        <v>-13.340366204864029</v>
      </c>
      <c r="IC128" s="4">
        <v>-13.31223885345293</v>
      </c>
      <c r="ID128" s="4">
        <v>-13.284078288996289</v>
      </c>
      <c r="IE128" s="4">
        <v>-13.255880347766089</v>
      </c>
      <c r="IF128" s="4">
        <v>-13.227640943730069</v>
      </c>
      <c r="IG128" s="4">
        <v>-13.19935607666927</v>
      </c>
      <c r="IH128" s="4">
        <v>-13.171021839887789</v>
      </c>
      <c r="II128" s="4">
        <v>-13.142634427484809</v>
      </c>
      <c r="IJ128" s="4">
        <v>-13.11419014116365</v>
      </c>
      <c r="IK128" s="4">
        <v>-13.08568539655368</v>
      </c>
      <c r="IL128" s="4">
        <v>-13.057116729028049</v>
      </c>
      <c r="IM128" s="4">
        <v>-13.02848079900058</v>
      </c>
    </row>
    <row r="129" spans="2:247" x14ac:dyDescent="0.35">
      <c r="B129" s="58">
        <v>1.1299999999999999</v>
      </c>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v>-17.075014480689511</v>
      </c>
      <c r="DW129" s="4">
        <v>-17.03653188039511</v>
      </c>
      <c r="DX129" s="4">
        <v>-16.998168654779128</v>
      </c>
      <c r="DY129" s="4">
        <v>-16.95992611334945</v>
      </c>
      <c r="DZ129" s="4">
        <v>-16.921805500586981</v>
      </c>
      <c r="EA129" s="4">
        <v>-16.88380799380646</v>
      </c>
      <c r="EB129" s="4">
        <v>-16.845934701192501</v>
      </c>
      <c r="EC129" s="4">
        <v>-16.808186660026411</v>
      </c>
      <c r="ED129" s="4">
        <v>-16.770564835116819</v>
      </c>
      <c r="EE129" s="4">
        <v>-16.733070117448719</v>
      </c>
      <c r="EF129" s="4">
        <v>-16.695703323062752</v>
      </c>
      <c r="EG129" s="4">
        <v>-16.658465192177491</v>
      </c>
      <c r="EH129" s="4">
        <v>-16.621356388564241</v>
      </c>
      <c r="EI129" s="4">
        <v>-16.584377499184789</v>
      </c>
      <c r="EJ129" s="4">
        <v>-16.547529034099959</v>
      </c>
      <c r="EK129" s="4">
        <v>-16.510811426654861</v>
      </c>
      <c r="EL129" s="4">
        <v>-16.474225033947</v>
      </c>
      <c r="EM129" s="4">
        <v>-16.43777013757915</v>
      </c>
      <c r="EN129" s="4">
        <v>-16.401446944699192</v>
      </c>
      <c r="EO129" s="4">
        <v>-16.365255589325329</v>
      </c>
      <c r="EP129" s="4">
        <v>-16.329196133954991</v>
      </c>
      <c r="EQ129" s="4">
        <v>-16.293268571450739</v>
      </c>
      <c r="ER129" s="4">
        <v>-16.25747282719815</v>
      </c>
      <c r="ES129" s="4">
        <v>-16.221808761523739</v>
      </c>
      <c r="ET129" s="4">
        <v>-16.18627617236281</v>
      </c>
      <c r="EU129" s="4">
        <v>-16.15087479816248</v>
      </c>
      <c r="EV129" s="4">
        <v>-16.11560432100292</v>
      </c>
      <c r="EW129" s="4">
        <v>-16.080464369919021</v>
      </c>
      <c r="EX129" s="4">
        <v>-16.045454524400071</v>
      </c>
      <c r="EY129" s="4">
        <v>-16.010574318045759</v>
      </c>
      <c r="EZ129" s="4">
        <v>-15.97582324235216</v>
      </c>
      <c r="FA129" s="4">
        <v>-15.941200750600901</v>
      </c>
      <c r="FB129" s="4">
        <v>-15.90670626182275</v>
      </c>
      <c r="FC129" s="4">
        <v>-15.87233916480497</v>
      </c>
      <c r="FD129" s="4">
        <v>-15.838098822110309</v>
      </c>
      <c r="FE129" s="4">
        <v>-15.803984574075271</v>
      </c>
      <c r="FF129" s="4">
        <v>-15.769995742752551</v>
      </c>
      <c r="FG129" s="4">
        <v>-15.736131635764069</v>
      </c>
      <c r="FH129" s="4">
        <v>-15.70239155002916</v>
      </c>
      <c r="FI129" s="4">
        <v>-15.668774775332651</v>
      </c>
      <c r="FJ129" s="4">
        <v>-15.63528059769836</v>
      </c>
      <c r="FK129" s="4">
        <v>-15.60190830253344</v>
      </c>
      <c r="FL129" s="4">
        <v>-15.56865717751052</v>
      </c>
      <c r="FM129" s="4">
        <v>-15.535526515155089</v>
      </c>
      <c r="FN129" s="4">
        <v>-15.50251561510836</v>
      </c>
      <c r="FO129" s="4">
        <v>-15.46962378603596</v>
      </c>
      <c r="FP129" s="4">
        <v>-15.43685034715697</v>
      </c>
      <c r="FQ129" s="4">
        <v>-15.404194629369121</v>
      </c>
      <c r="FR129" s="4">
        <v>-15.371655975949389</v>
      </c>
      <c r="FS129" s="4">
        <v>-15.33923374281189</v>
      </c>
      <c r="FT129" s="4">
        <v>-15.3069272983094</v>
      </c>
      <c r="FU129" s="4">
        <v>-15.27473602256709</v>
      </c>
      <c r="FV129" s="4">
        <v>-15.24265930634234</v>
      </c>
      <c r="FW129" s="4">
        <v>-15.210696549407491</v>
      </c>
      <c r="FX129" s="4">
        <v>-15.17884715845719</v>
      </c>
      <c r="FY129" s="4">
        <v>-15.147110544545949</v>
      </c>
      <c r="FZ129" s="4">
        <v>-15.115486120066119</v>
      </c>
      <c r="GA129" s="4">
        <v>-15.08397329528059</v>
      </c>
      <c r="GB129" s="4">
        <v>-15.05257147442887</v>
      </c>
      <c r="GC129" s="4">
        <v>-15.021280051430111</v>
      </c>
      <c r="GD129" s="4">
        <v>-14.99009840520918</v>
      </c>
      <c r="GE129" s="4">
        <v>-14.95902589467782</v>
      </c>
      <c r="GF129" s="4">
        <v>-14.92806185340508</v>
      </c>
      <c r="GG129" s="4">
        <v>-14.897205584015479</v>
      </c>
      <c r="GH129" s="4">
        <v>-14.86645635235635</v>
      </c>
      <c r="GI129" s="4">
        <v>-14.835813381478481</v>
      </c>
      <c r="GJ129" s="4">
        <v>-14.80527584547699</v>
      </c>
      <c r="GK129" s="4">
        <v>-14.774842863241229</v>
      </c>
      <c r="GL129" s="4">
        <v>-14.74451349216417</v>
      </c>
      <c r="GM129" s="4">
        <v>-14.714286721862891</v>
      </c>
      <c r="GN129" s="4">
        <v>-14.68416146796284</v>
      </c>
      <c r="GO129" s="4">
        <v>-14.654136565998339</v>
      </c>
      <c r="GP129" s="4">
        <v>-14.624210765482349</v>
      </c>
      <c r="GQ129" s="4">
        <v>-14.594382724196871</v>
      </c>
      <c r="GR129" s="4">
        <v>-14.564651002754941</v>
      </c>
      <c r="GS129" s="4">
        <v>-14.535014059483879</v>
      </c>
      <c r="GT129" s="4">
        <v>-14.505470245676401</v>
      </c>
      <c r="GU129" s="4">
        <v>-14.4760178012545</v>
      </c>
      <c r="GV129" s="4">
        <v>-14.44665485088829</v>
      </c>
      <c r="GW129" s="4">
        <v>-14.41737940060853</v>
      </c>
      <c r="GX129" s="4">
        <v>-14.388189334947461</v>
      </c>
      <c r="GY129" s="4">
        <v>-14.35908241464038</v>
      </c>
      <c r="GZ129" s="4">
        <v>-14.330056274914419</v>
      </c>
      <c r="HA129" s="4">
        <v>-14.30110842438792</v>
      </c>
      <c r="HB129" s="4">
        <v>-14.27223624459897</v>
      </c>
      <c r="HC129" s="4">
        <v>-14.24343699017728</v>
      </c>
      <c r="HD129" s="4">
        <v>-14.214707789667759</v>
      </c>
      <c r="HE129" s="4">
        <v>-14.186045647011641</v>
      </c>
      <c r="HF129" s="4">
        <v>-14.157447443683919</v>
      </c>
      <c r="HG129" s="4">
        <v>-14.12890994148227</v>
      </c>
      <c r="HH129" s="4">
        <v>-14.10042978595828</v>
      </c>
      <c r="HI129" s="4">
        <v>-14.07200351047628</v>
      </c>
      <c r="HJ129" s="4">
        <v>-14.04362754088184</v>
      </c>
      <c r="HK129" s="4">
        <v>-14.015298200756339</v>
      </c>
      <c r="HL129" s="4">
        <v>-13.98701171723201</v>
      </c>
      <c r="HM129" s="4">
        <v>-13.95876422733604</v>
      </c>
      <c r="HN129" s="4">
        <v>-13.93055178483027</v>
      </c>
      <c r="HO129" s="4">
        <v>-13.90237036750943</v>
      </c>
      <c r="HP129" s="4">
        <v>-13.874215884917859</v>
      </c>
      <c r="HQ129" s="4">
        <v>-13.84608418644237</v>
      </c>
      <c r="HR129" s="4">
        <v>-13.817971069737039</v>
      </c>
      <c r="HS129" s="4">
        <v>-13.78987228943236</v>
      </c>
      <c r="HT129" s="4">
        <v>-13.761783566083031</v>
      </c>
      <c r="HU129" s="4">
        <v>-13.73370059530353</v>
      </c>
      <c r="HV129" s="4">
        <v>-13.705619057043339</v>
      </c>
      <c r="HW129" s="4">
        <v>-13.67753462495177</v>
      </c>
      <c r="HX129" s="4">
        <v>-13.64944297578233</v>
      </c>
      <c r="HY129" s="4">
        <v>-13.62133979878805</v>
      </c>
      <c r="HZ129" s="4">
        <v>-13.59322080505931</v>
      </c>
      <c r="IA129" s="4">
        <v>-13.565081736756531</v>
      </c>
      <c r="IB129" s="4">
        <v>-13.536918376192521</v>
      </c>
      <c r="IC129" s="4">
        <v>-13.508726554720511</v>
      </c>
      <c r="ID129" s="4">
        <v>-13.48050216138558</v>
      </c>
      <c r="IE129" s="4">
        <v>-13.45224115130071</v>
      </c>
      <c r="IF129" s="4">
        <v>-13.4239395537096</v>
      </c>
      <c r="IG129" s="4">
        <v>-13.39559347970353</v>
      </c>
      <c r="IH129" s="4">
        <v>-13.367199129558889</v>
      </c>
      <c r="II129" s="4">
        <v>-13.33875279966985</v>
      </c>
      <c r="IJ129" s="4">
        <v>-13.310250889049181</v>
      </c>
      <c r="IK129" s="4">
        <v>-13.28168990537703</v>
      </c>
      <c r="IL129" s="4">
        <v>-13.253066470578741</v>
      </c>
      <c r="IM129" s="4">
        <v>-13.22437732591769</v>
      </c>
    </row>
    <row r="130" spans="2:247" x14ac:dyDescent="0.35">
      <c r="B130" s="58">
        <v>1.1399999999999999</v>
      </c>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v>-17.2714504785997</v>
      </c>
      <c r="DW130" s="4">
        <v>-17.233031468414509</v>
      </c>
      <c r="DX130" s="4">
        <v>-17.19473085808977</v>
      </c>
      <c r="DY130" s="4">
        <v>-17.156549921772221</v>
      </c>
      <c r="DZ130" s="4">
        <v>-17.118489870665741</v>
      </c>
      <c r="EA130" s="4">
        <v>-17.0805518510263</v>
      </c>
      <c r="EB130" s="4">
        <v>-17.042736942324659</v>
      </c>
      <c r="EC130" s="4">
        <v>-17.005046155590261</v>
      </c>
      <c r="ED130" s="4">
        <v>-16.967480431949941</v>
      </c>
      <c r="EE130" s="4">
        <v>-16.930040641372202</v>
      </c>
      <c r="EF130" s="4">
        <v>-16.892727581630631</v>
      </c>
      <c r="EG130" s="4">
        <v>-16.855541977495509</v>
      </c>
      <c r="EH130" s="4">
        <v>-16.818484480163679</v>
      </c>
      <c r="EI130" s="4">
        <v>-16.781555666935429</v>
      </c>
      <c r="EJ130" s="4">
        <v>-16.74475604114474</v>
      </c>
      <c r="EK130" s="4">
        <v>-16.708086032349371</v>
      </c>
      <c r="EL130" s="4">
        <v>-16.671545996784399</v>
      </c>
      <c r="EM130" s="4">
        <v>-16.635136218081559</v>
      </c>
      <c r="EN130" s="4">
        <v>-16.598856908255492</v>
      </c>
      <c r="EO130" s="4">
        <v>-16.562708208955659</v>
      </c>
      <c r="EP130" s="4">
        <v>-16.526690192980212</v>
      </c>
      <c r="EQ130" s="4">
        <v>-16.49080286604746</v>
      </c>
      <c r="ER130" s="4">
        <v>-16.455046168817368</v>
      </c>
      <c r="ES130" s="4">
        <v>-16.419419979153471</v>
      </c>
      <c r="ET130" s="4">
        <v>-16.383924114614501</v>
      </c>
      <c r="EU130" s="4">
        <v>-16.34855833516113</v>
      </c>
      <c r="EV130" s="4">
        <v>-16.313322346062989</v>
      </c>
      <c r="EW130" s="4">
        <v>-16.278215800987571</v>
      </c>
      <c r="EX130" s="4">
        <v>-16.243238305251701</v>
      </c>
      <c r="EY130" s="4">
        <v>-16.208389419212889</v>
      </c>
      <c r="EZ130" s="4">
        <v>-16.17366866177796</v>
      </c>
      <c r="FA130" s="4">
        <v>-16.139075514002979</v>
      </c>
      <c r="FB130" s="4">
        <v>-16.10460942275715</v>
      </c>
      <c r="FC130" s="4">
        <v>-16.07026980442355</v>
      </c>
      <c r="FD130" s="4">
        <v>-16.036056048605371</v>
      </c>
      <c r="FE130" s="4">
        <v>-16.001967521808641</v>
      </c>
      <c r="FF130" s="4">
        <v>-15.968003571068859</v>
      </c>
      <c r="FG130" s="4">
        <v>-15.934163527490201</v>
      </c>
      <c r="FH130" s="4">
        <v>-15.90044670966469</v>
      </c>
      <c r="FI130" s="4">
        <v>-15.86685242693925</v>
      </c>
      <c r="FJ130" s="4">
        <v>-15.833379982498791</v>
      </c>
      <c r="FK130" s="4">
        <v>-15.800028676233429</v>
      </c>
      <c r="FL130" s="4">
        <v>-15.76679780736006</v>
      </c>
      <c r="FM130" s="4">
        <v>-15.733686676768309</v>
      </c>
      <c r="FN130" s="4">
        <v>-15.70069458906354</v>
      </c>
      <c r="FO130" s="4">
        <v>-15.667820854280681</v>
      </c>
      <c r="FP130" s="4">
        <v>-15.635064789245099</v>
      </c>
      <c r="FQ130" s="4">
        <v>-15.602425718559029</v>
      </c>
      <c r="FR130" s="4">
        <v>-15.56990297519477</v>
      </c>
      <c r="FS130" s="4">
        <v>-15.53749590067881</v>
      </c>
      <c r="FT130" s="4">
        <v>-15.505203844854099</v>
      </c>
      <c r="FU130" s="4">
        <v>-15.473026165211641</v>
      </c>
      <c r="FV130" s="4">
        <v>-15.440962225784769</v>
      </c>
      <c r="FW130" s="4">
        <v>-15.40901139560523</v>
      </c>
      <c r="FX130" s="4">
        <v>-15.377173046722049</v>
      </c>
      <c r="FY130" s="4">
        <v>-15.34544655178953</v>
      </c>
      <c r="FZ130" s="4">
        <v>-15.313831281233631</v>
      </c>
      <c r="GA130" s="4">
        <v>-15.282326600011229</v>
      </c>
      <c r="GB130" s="4">
        <v>-15.250931863979179</v>
      </c>
      <c r="GC130" s="4">
        <v>-15.2196464158952</v>
      </c>
      <c r="GD130" s="4">
        <v>-15.1884695810759</v>
      </c>
      <c r="GE130" s="4">
        <v>-15.15740066274072</v>
      </c>
      <c r="GF130" s="4">
        <v>-15.126438937074131</v>
      </c>
      <c r="GG130" s="4">
        <v>-15.095583648041799</v>
      </c>
      <c r="GH130" s="4">
        <v>-15.064834001998991</v>
      </c>
      <c r="GI130" s="4">
        <v>-15.034189162131741</v>
      </c>
      <c r="GJ130" s="4">
        <v>-15.003648242775039</v>
      </c>
      <c r="GK130" s="4">
        <v>-14.97321030365201</v>
      </c>
      <c r="GL130" s="4">
        <v>-14.942874344081501</v>
      </c>
      <c r="GM130" s="4">
        <v>-14.912639297201141</v>
      </c>
      <c r="GN130" s="4">
        <v>-14.88250402425489</v>
      </c>
      <c r="GO130" s="4">
        <v>-14.852467308993379</v>
      </c>
      <c r="GP130" s="4">
        <v>-14.822527852235259</v>
      </c>
      <c r="GQ130" s="4">
        <v>-14.792684266637719</v>
      </c>
      <c r="GR130" s="4">
        <v>-14.762935071723129</v>
      </c>
      <c r="GS130" s="4">
        <v>-14.73327868920688</v>
      </c>
      <c r="GT130" s="4">
        <v>-14.70371343866948</v>
      </c>
      <c r="GU130" s="4">
        <v>-14.67423753361536</v>
      </c>
      <c r="GV130" s="4">
        <v>-14.6448490779559</v>
      </c>
      <c r="GW130" s="4">
        <v>-14.61554606295304</v>
      </c>
      <c r="GX130" s="4">
        <v>-14.586326364655781</v>
      </c>
      <c r="GY130" s="4">
        <v>-14.55718774185843</v>
      </c>
      <c r="GZ130" s="4">
        <v>-14.528127834606311</v>
      </c>
      <c r="HA130" s="4">
        <v>-14.49914416326946</v>
      </c>
      <c r="HB130" s="4">
        <v>-14.470234128202391</v>
      </c>
      <c r="HC130" s="4">
        <v>-14.441395010002029</v>
      </c>
      <c r="HD130" s="4">
        <v>-14.41262397037306</v>
      </c>
      <c r="HE130" s="4">
        <v>-14.383918053604511</v>
      </c>
      <c r="HF130" s="4">
        <v>-14.35527418865763</v>
      </c>
      <c r="HG130" s="4">
        <v>-14.326689191860231</v>
      </c>
      <c r="HH130" s="4">
        <v>-14.298159770199319</v>
      </c>
      <c r="HI130" s="4">
        <v>-14.269682525198281</v>
      </c>
      <c r="HJ130" s="4">
        <v>-14.24125395736198</v>
      </c>
      <c r="HK130" s="4">
        <v>-14.21287047116858</v>
      </c>
      <c r="HL130" s="4">
        <v>-14.18452838058403</v>
      </c>
      <c r="HM130" s="4">
        <v>-14.156223915070081</v>
      </c>
      <c r="HN130" s="4">
        <v>-14.12795322605537</v>
      </c>
      <c r="HO130" s="4">
        <v>-14.099712393835061</v>
      </c>
      <c r="HP130" s="4">
        <v>-14.07149743486201</v>
      </c>
      <c r="HQ130" s="4">
        <v>-14.043304309390241</v>
      </c>
      <c r="HR130" s="4">
        <v>-14.015128929429499</v>
      </c>
      <c r="HS130" s="4">
        <v>-13.9869671669681</v>
      </c>
      <c r="HT130" s="4">
        <v>-13.95881486241927</v>
      </c>
      <c r="HU130" s="4">
        <v>-13.93066783324622</v>
      </c>
      <c r="HV130" s="4">
        <v>-13.90252188272015</v>
      </c>
      <c r="HW130" s="4">
        <v>-13.874372808764081</v>
      </c>
      <c r="HX130" s="4">
        <v>-13.8462164128373</v>
      </c>
      <c r="HY130" s="4">
        <v>-13.8180485088144</v>
      </c>
      <c r="HZ130" s="4">
        <v>-13.78986493181387</v>
      </c>
      <c r="IA130" s="4">
        <v>-13.761661546931441</v>
      </c>
      <c r="IB130" s="4">
        <v>-13.73343425783739</v>
      </c>
      <c r="IC130" s="4">
        <v>-13.70517901519459</v>
      </c>
      <c r="ID130" s="4">
        <v>-13.676891824859849</v>
      </c>
      <c r="IE130" s="4">
        <v>-13.648568755830411</v>
      </c>
      <c r="IF130" s="4">
        <v>-13.620205947901731</v>
      </c>
      <c r="IG130" s="4">
        <v>-13.591799619003829</v>
      </c>
      <c r="IH130" s="4">
        <v>-13.563346072187111</v>
      </c>
      <c r="II130" s="4">
        <v>-13.534841702230731</v>
      </c>
      <c r="IJ130" s="4">
        <v>-13.506283001850869</v>
      </c>
      <c r="IK130" s="4">
        <v>-13.47766656748664</v>
      </c>
      <c r="IL130" s="4">
        <v>-13.448989104648369</v>
      </c>
      <c r="IM130" s="4">
        <v>-13.420247432812021</v>
      </c>
    </row>
    <row r="131" spans="2:247" x14ac:dyDescent="0.35">
      <c r="B131" s="58">
        <v>1.1499999999999999</v>
      </c>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v>-17.467922813407998</v>
      </c>
      <c r="DW131" s="4">
        <v>-17.42956631195781</v>
      </c>
      <c r="DX131" s="4">
        <v>-17.391327246766171</v>
      </c>
      <c r="DY131" s="4">
        <v>-17.353206857928491</v>
      </c>
      <c r="DZ131" s="4">
        <v>-17.31520632459188</v>
      </c>
      <c r="EA131" s="4">
        <v>-17.277326763073969</v>
      </c>
      <c r="EB131" s="4">
        <v>-17.239569225141508</v>
      </c>
      <c r="EC131" s="4">
        <v>-17.201934696462171</v>
      </c>
      <c r="ED131" s="4">
        <v>-17.164424095240111</v>
      </c>
      <c r="EE131" s="4">
        <v>-17.127038271048161</v>
      </c>
      <c r="EF131" s="4">
        <v>-17.089778003865469</v>
      </c>
      <c r="EG131" s="4">
        <v>-17.052644003331</v>
      </c>
      <c r="EH131" s="4">
        <v>-17.015636908221541</v>
      </c>
      <c r="EI131" s="4">
        <v>-16.978757286161141</v>
      </c>
      <c r="EJ131" s="4">
        <v>-16.942005633568499</v>
      </c>
      <c r="EK131" s="4">
        <v>-16.905382375847399</v>
      </c>
      <c r="EL131" s="4">
        <v>-16.86888786782275</v>
      </c>
      <c r="EM131" s="4">
        <v>-16.832522394425322</v>
      </c>
      <c r="EN131" s="4">
        <v>-16.796286171624072</v>
      </c>
      <c r="EO131" s="4">
        <v>-16.760179347605739</v>
      </c>
      <c r="EP131" s="4">
        <v>-16.724202004197</v>
      </c>
      <c r="EQ131" s="4">
        <v>-16.688354158525389</v>
      </c>
      <c r="ER131" s="4">
        <v>-16.652635764910961</v>
      </c>
      <c r="ES131" s="4">
        <v>-16.617046716979491</v>
      </c>
      <c r="ET131" s="4">
        <v>-16.581586849987051</v>
      </c>
      <c r="EU131" s="4">
        <v>-16.546255943341791</v>
      </c>
      <c r="EV131" s="4">
        <v>-16.5110537233091</v>
      </c>
      <c r="EW131" s="4">
        <v>-16.47597986588233</v>
      </c>
      <c r="EX131" s="4">
        <v>-16.441033999801029</v>
      </c>
      <c r="EY131" s="4">
        <v>-16.406215709695871</v>
      </c>
      <c r="EZ131" s="4">
        <v>-16.37152453933799</v>
      </c>
      <c r="FA131" s="4">
        <v>-16.336959994969629</v>
      </c>
      <c r="FB131" s="4">
        <v>-16.30252154868991</v>
      </c>
      <c r="FC131" s="4">
        <v>-16.268208641870672</v>
      </c>
      <c r="FD131" s="4">
        <v>-16.234020688573551</v>
      </c>
      <c r="FE131" s="4">
        <v>-16.199957078940571</v>
      </c>
      <c r="FF131" s="4">
        <v>-16.16601718252949</v>
      </c>
      <c r="FG131" s="4">
        <v>-16.132200351563661</v>
      </c>
      <c r="FH131" s="4">
        <v>-16.098505924067251</v>
      </c>
      <c r="FI131" s="4">
        <v>-16.064933226855999</v>
      </c>
      <c r="FJ131" s="4">
        <v>-16.031481578353681</v>
      </c>
      <c r="FK131" s="4">
        <v>-15.99815029120686</v>
      </c>
      <c r="FL131" s="4">
        <v>-15.96493867466798</v>
      </c>
      <c r="FM131" s="4">
        <v>-15.93184603672254</v>
      </c>
      <c r="FN131" s="4">
        <v>-15.898871685932409</v>
      </c>
      <c r="FO131" s="4">
        <v>-15.86601493297416</v>
      </c>
      <c r="FP131" s="4">
        <v>-15.83327509184867</v>
      </c>
      <c r="FQ131" s="4">
        <v>-15.80065148074452</v>
      </c>
      <c r="FR131" s="4">
        <v>-15.76814342253674</v>
      </c>
      <c r="FS131" s="4">
        <v>-15.73575024490788</v>
      </c>
      <c r="FT131" s="4">
        <v>-15.70347128007942</v>
      </c>
      <c r="FU131" s="4">
        <v>-15.67130586414612</v>
      </c>
      <c r="FV131" s="4">
        <v>-15.63925333600792</v>
      </c>
      <c r="FW131" s="4">
        <v>-15.60731303589861</v>
      </c>
      <c r="FX131" s="4">
        <v>-15.57548430351301</v>
      </c>
      <c r="FY131" s="4">
        <v>-15.54376647573867</v>
      </c>
      <c r="FZ131" s="4">
        <v>-15.512158884001551</v>
      </c>
      <c r="GA131" s="4">
        <v>-15.480660851238691</v>
      </c>
      <c r="GB131" s="4">
        <v>-15.44927168851479</v>
      </c>
      <c r="GC131" s="4">
        <v>-15.41799069130249</v>
      </c>
      <c r="GD131" s="4">
        <v>-15.386817135450601</v>
      </c>
      <c r="GE131" s="4">
        <v>-15.355750272866871</v>
      </c>
      <c r="GF131" s="4">
        <v>-15.324789326945471</v>
      </c>
      <c r="GG131" s="4">
        <v>-15.293933487772181</v>
      </c>
      <c r="GH131" s="4">
        <v>-15.26318190714243</v>
      </c>
      <c r="GI131" s="4">
        <v>-15.23253369343122</v>
      </c>
      <c r="GJ131" s="4">
        <v>-15.20198790635331</v>
      </c>
      <c r="GK131" s="4">
        <v>-15.17154355165678</v>
      </c>
      <c r="GL131" s="4">
        <v>-15.141199575792029</v>
      </c>
      <c r="GM131" s="4">
        <v>-15.11095486060079</v>
      </c>
      <c r="GN131" s="4">
        <v>-15.0808082180695</v>
      </c>
      <c r="GO131" s="4">
        <v>-15.05075838519191</v>
      </c>
      <c r="GP131" s="4">
        <v>-15.02080401898573</v>
      </c>
      <c r="GQ131" s="4">
        <v>-14.99094369170731</v>
      </c>
      <c r="GR131" s="4">
        <v>-14.961175886307309</v>
      </c>
      <c r="GS131" s="4">
        <v>-14.931498992169731</v>
      </c>
      <c r="GT131" s="4">
        <v>-14.90191130117346</v>
      </c>
      <c r="GU131" s="4">
        <v>-14.872411004115531</v>
      </c>
      <c r="GV131" s="4">
        <v>-14.84299618753054</v>
      </c>
      <c r="GW131" s="4">
        <v>-14.813664830940111</v>
      </c>
      <c r="GX131" s="4">
        <v>-14.78441480456215</v>
      </c>
      <c r="GY131" s="4">
        <v>-14.75524386750598</v>
      </c>
      <c r="GZ131" s="4">
        <v>-14.726149666477809</v>
      </c>
      <c r="HA131" s="4">
        <v>-14.69712973501526</v>
      </c>
      <c r="HB131" s="4">
        <v>-14.668181493267189</v>
      </c>
      <c r="HC131" s="4">
        <v>-14.639302248331051</v>
      </c>
      <c r="HD131" s="4">
        <v>-14.610489195155109</v>
      </c>
      <c r="HE131" s="4">
        <v>-14.58173941801002</v>
      </c>
      <c r="HF131" s="4">
        <v>-14.553049892529749</v>
      </c>
      <c r="HG131" s="4">
        <v>-14.524417488317081</v>
      </c>
      <c r="HH131" s="4">
        <v>-14.49583897210613</v>
      </c>
      <c r="HI131" s="4">
        <v>-14.46731101147004</v>
      </c>
      <c r="HJ131" s="4">
        <v>-14.43883017905755</v>
      </c>
      <c r="HK131" s="4">
        <v>-14.41039295733931</v>
      </c>
      <c r="HL131" s="4">
        <v>-14.38199574384209</v>
      </c>
      <c r="HM131" s="4">
        <v>-14.353634856843151</v>
      </c>
      <c r="HN131" s="4">
        <v>-14.325306541497531</v>
      </c>
      <c r="HO131" s="4">
        <v>-14.297006976365561</v>
      </c>
      <c r="HP131" s="4">
        <v>-14.268732280306731</v>
      </c>
      <c r="HQ131" s="4">
        <v>-14.24047851970378</v>
      </c>
      <c r="HR131" s="4">
        <v>-14.212241715978029</v>
      </c>
      <c r="HS131" s="4">
        <v>-14.18401785335757</v>
      </c>
      <c r="HT131" s="4">
        <v>-14.15580288685519</v>
      </c>
      <c r="HU131" s="4">
        <v>-14.12759275041604</v>
      </c>
      <c r="HV131" s="4">
        <v>-14.09938336519115</v>
      </c>
      <c r="HW131" s="4">
        <v>-14.07117064789399</v>
      </c>
      <c r="HX131" s="4">
        <v>-14.042950519197831</v>
      </c>
      <c r="HY131" s="4">
        <v>-14.014718912130361</v>
      </c>
      <c r="HZ131" s="4">
        <v>-13.98647178042412</v>
      </c>
      <c r="IA131" s="4">
        <v>-13.95820510678219</v>
      </c>
      <c r="IB131" s="4">
        <v>-13.929914911017869</v>
      </c>
      <c r="IC131" s="4">
        <v>-13.901597258031661</v>
      </c>
      <c r="ID131" s="4">
        <v>-13.873248265587691</v>
      </c>
      <c r="IE131" s="4">
        <v>-13.84486411185563</v>
      </c>
      <c r="IF131" s="4">
        <v>-13.816441042684851</v>
      </c>
      <c r="IG131" s="4">
        <v>-13.787975378581409</v>
      </c>
      <c r="IH131" s="4">
        <v>-13.759463521359329</v>
      </c>
      <c r="II131" s="4">
        <v>-13.73090196044171</v>
      </c>
      <c r="IJ131" s="4">
        <v>-13.70228727878863</v>
      </c>
      <c r="IK131" s="4">
        <v>-13.673616158432839</v>
      </c>
      <c r="IL131" s="4">
        <v>-13.64488538560639</v>
      </c>
      <c r="IM131" s="4">
        <v>-13.61609185544398</v>
      </c>
    </row>
    <row r="132" spans="2:247" x14ac:dyDescent="0.35">
      <c r="B132" s="58">
        <v>1.1599999999999999</v>
      </c>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v>-17.664430073266519</v>
      </c>
      <c r="DW132" s="4">
        <v>-17.626135015062879</v>
      </c>
      <c r="DX132" s="4">
        <v>-17.587956440290672</v>
      </c>
      <c r="DY132" s="4">
        <v>-17.54989555621874</v>
      </c>
      <c r="DZ132" s="4">
        <v>-17.511953511075969</v>
      </c>
      <c r="EA132" s="4">
        <v>-17.47413139228382</v>
      </c>
      <c r="EB132" s="4">
        <v>-17.436430224841921</v>
      </c>
      <c r="EC132" s="4">
        <v>-17.398850969877671</v>
      </c>
      <c r="ED132" s="4">
        <v>-17.36139452337137</v>
      </c>
      <c r="EE132" s="4">
        <v>-17.32406171506635</v>
      </c>
      <c r="EF132" s="4">
        <v>-17.286853307574081</v>
      </c>
      <c r="EG132" s="4">
        <v>-17.249769995682431</v>
      </c>
      <c r="EH132" s="4">
        <v>-17.212812405875031</v>
      </c>
      <c r="EI132" s="4">
        <v>-17.175981096068401</v>
      </c>
      <c r="EJ132" s="4">
        <v>-17.139276555571659</v>
      </c>
      <c r="EK132" s="4">
        <v>-17.102699205273769</v>
      </c>
      <c r="EL132" s="4">
        <v>-17.066249398060481</v>
      </c>
      <c r="EM132" s="4">
        <v>-17.02992741946267</v>
      </c>
      <c r="EN132" s="4">
        <v>-16.99373348853533</v>
      </c>
      <c r="EO132" s="4">
        <v>-16.957667758966171</v>
      </c>
      <c r="EP132" s="4">
        <v>-16.921730320409651</v>
      </c>
      <c r="EQ132" s="4">
        <v>-16.885921200041139</v>
      </c>
      <c r="ER132" s="4">
        <v>-16.850240364324961</v>
      </c>
      <c r="ES132" s="4">
        <v>-16.814687720986441</v>
      </c>
      <c r="ET132" s="4">
        <v>-16.779263121178278</v>
      </c>
      <c r="EU132" s="4">
        <v>-16.743966361828051</v>
      </c>
      <c r="EV132" s="4">
        <v>-16.708797188153319</v>
      </c>
      <c r="EW132" s="4">
        <v>-16.673755296327741</v>
      </c>
      <c r="EX132" s="4">
        <v>-16.638840336281142</v>
      </c>
      <c r="EY132" s="4">
        <v>-16.604051914613841</v>
      </c>
      <c r="EZ132" s="4">
        <v>-16.569389597604861</v>
      </c>
      <c r="FA132" s="4">
        <v>-16.534852914291388</v>
      </c>
      <c r="FB132" s="4">
        <v>-16.500441359596731</v>
      </c>
      <c r="FC132" s="4">
        <v>-16.466154397481379</v>
      </c>
      <c r="FD132" s="4">
        <v>-16.43199146409264</v>
      </c>
      <c r="FE132" s="4">
        <v>-16.397951970885401</v>
      </c>
      <c r="FF132" s="4">
        <v>-16.3640353076885</v>
      </c>
      <c r="FG132" s="4">
        <v>-16.330240845688209</v>
      </c>
      <c r="FH132" s="4">
        <v>-16.296567940301969</v>
      </c>
      <c r="FI132" s="4">
        <v>-16.26301593391587</v>
      </c>
      <c r="FJ132" s="4">
        <v>-16.229584158457431</v>
      </c>
      <c r="FK132" s="4">
        <v>-16.196271937778331</v>
      </c>
      <c r="FL132" s="4">
        <v>-16.16307858982168</v>
      </c>
      <c r="FM132" s="4">
        <v>-16.130003428548861</v>
      </c>
      <c r="FN132" s="4">
        <v>-16.097045765603159</v>
      </c>
      <c r="FO132" s="4">
        <v>-16.064204911689039</v>
      </c>
      <c r="FP132" s="4">
        <v>-16.031480177646969</v>
      </c>
      <c r="FQ132" s="4">
        <v>-15.998870875206791</v>
      </c>
      <c r="FR132" s="4">
        <v>-15.96637631740437</v>
      </c>
      <c r="FS132" s="4">
        <v>-15.93399581864861</v>
      </c>
      <c r="FT132" s="4">
        <v>-15.90172869442951</v>
      </c>
      <c r="FU132" s="4">
        <v>-15.86957426065988</v>
      </c>
      <c r="FV132" s="4">
        <v>-15.837531832646659</v>
      </c>
      <c r="FW132" s="4">
        <v>-15.805600723691651</v>
      </c>
      <c r="FX132" s="4">
        <v>-15.77378024332328</v>
      </c>
      <c r="FY132" s="4">
        <v>-15.742069695165799</v>
      </c>
      <c r="FZ132" s="4">
        <v>-15.710468374454971</v>
      </c>
      <c r="GA132" s="4">
        <v>-15.678975565212269</v>
      </c>
      <c r="GB132" s="4">
        <v>-15.64759053709397</v>
      </c>
      <c r="GC132" s="4">
        <v>-15.61631254193362</v>
      </c>
      <c r="GD132" s="4">
        <v>-15.58514081000023</v>
      </c>
      <c r="GE132" s="4">
        <v>-15.554074545997461</v>
      </c>
      <c r="GF132" s="4">
        <v>-15.52311292483142</v>
      </c>
      <c r="GG132" s="4">
        <v>-15.4922550871781</v>
      </c>
      <c r="GH132" s="4">
        <v>-15.46150013488268</v>
      </c>
      <c r="GI132" s="4">
        <v>-15.430847126226981</v>
      </c>
      <c r="GJ132" s="4">
        <v>-15.40029507110062</v>
      </c>
      <c r="GK132" s="4">
        <v>-15.36984292611564</v>
      </c>
      <c r="GL132" s="4">
        <v>-15.339489589703531</v>
      </c>
      <c r="GM132" s="4">
        <v>-15.3092338972354</v>
      </c>
      <c r="GN132" s="4">
        <v>-15.27907461620727</v>
      </c>
      <c r="GO132" s="4">
        <v>-15.24901044153019</v>
      </c>
      <c r="GP132" s="4">
        <v>-15.219039990968369</v>
      </c>
      <c r="GQ132" s="4">
        <v>-15.18916180076425</v>
      </c>
      <c r="GR132" s="4">
        <v>-15.159374321491439</v>
      </c>
      <c r="GS132" s="4">
        <v>-15.12967591417333</v>
      </c>
      <c r="GT132" s="4">
        <v>-15.10006484670479</v>
      </c>
      <c r="GU132" s="4">
        <v>-15.07053929061172</v>
      </c>
      <c r="GV132" s="4">
        <v>-15.041097318181549</v>
      </c>
      <c r="GW132" s="4">
        <v>-15.011736899994951</v>
      </c>
      <c r="GX132" s="4">
        <v>-14.9824559028861</v>
      </c>
      <c r="GY132" s="4">
        <v>-14.953252088357139</v>
      </c>
      <c r="GZ132" s="4">
        <v>-14.9241231114672</v>
      </c>
      <c r="HA132" s="4">
        <v>-14.89506652021457</v>
      </c>
      <c r="HB132" s="4">
        <v>-14.86607975542743</v>
      </c>
      <c r="HC132" s="4">
        <v>-14.83716015117267</v>
      </c>
      <c r="HD132" s="4">
        <v>-14.808304935691989</v>
      </c>
      <c r="HE132" s="4">
        <v>-14.779511232867399</v>
      </c>
      <c r="HF132" s="4">
        <v>-14.75077606421709</v>
      </c>
      <c r="HG132" s="4">
        <v>-14.72209635141744</v>
      </c>
      <c r="HH132" s="4">
        <v>-14.693468919343839</v>
      </c>
      <c r="HI132" s="4">
        <v>-14.6648904996193</v>
      </c>
      <c r="HJ132" s="4">
        <v>-14.63635773465629</v>
      </c>
      <c r="HK132" s="4">
        <v>-14.607867182174131</v>
      </c>
      <c r="HL132" s="4">
        <v>-14.579415320170771</v>
      </c>
      <c r="HM132" s="4">
        <v>-14.550998552324881</v>
      </c>
      <c r="HN132" s="4">
        <v>-14.52261321380209</v>
      </c>
      <c r="HO132" s="4">
        <v>-14.494255577434529</v>
      </c>
      <c r="HP132" s="4">
        <v>-14.46592186024461</v>
      </c>
      <c r="HQ132" s="4">
        <v>-14.43760823027632</v>
      </c>
      <c r="HR132" s="4">
        <v>-14.409310813701101</v>
      </c>
      <c r="HS132" s="4">
        <v>-14.381025702160221</v>
      </c>
      <c r="HT132" s="4">
        <v>-14.352748960305361</v>
      </c>
      <c r="HU132" s="4">
        <v>-14.32447663349919</v>
      </c>
      <c r="HV132" s="4">
        <v>-14.296204755635619</v>
      </c>
      <c r="HW132" s="4">
        <v>-14.26792935703998</v>
      </c>
      <c r="HX132" s="4">
        <v>-14.23964647240963</v>
      </c>
      <c r="HY132" s="4">
        <v>-14.211352148754459</v>
      </c>
      <c r="HZ132" s="4">
        <v>-14.18304245329902</v>
      </c>
      <c r="IA132" s="4">
        <v>-14.15471348130772</v>
      </c>
      <c r="IB132" s="4">
        <v>-14.126361363795491</v>
      </c>
      <c r="IC132" s="4">
        <v>-14.0979822750887</v>
      </c>
      <c r="ID132" s="4">
        <v>-14.06957244020164</v>
      </c>
      <c r="IE132" s="4">
        <v>-14.04112814199623</v>
      </c>
      <c r="IF132" s="4">
        <v>-14.012645728094091</v>
      </c>
      <c r="IG132" s="4">
        <v>-13.984121617513059</v>
      </c>
      <c r="IH132" s="4">
        <v>-13.95555230700111</v>
      </c>
      <c r="II132" s="4">
        <v>-13.9269343770452</v>
      </c>
      <c r="IJ132" s="4">
        <v>-13.898264497532439</v>
      </c>
      <c r="IK132" s="4">
        <v>-13.869539433045841</v>
      </c>
      <c r="IL132" s="4">
        <v>-13.840756047778299</v>
      </c>
      <c r="IM132" s="4">
        <v>-13.811911310051469</v>
      </c>
    </row>
    <row r="133" spans="2:247" x14ac:dyDescent="0.35">
      <c r="B133" s="58">
        <v>1.17</v>
      </c>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v>-17.860970884154138</v>
      </c>
      <c r="DW133" s="4">
        <v>-17.822736219156049</v>
      </c>
      <c r="DX133" s="4">
        <v>-17.78461709511469</v>
      </c>
      <c r="DY133" s="4">
        <v>-17.746614687618511</v>
      </c>
      <c r="DZ133" s="4">
        <v>-17.708730115041199</v>
      </c>
      <c r="EA133" s="4">
        <v>-17.670964436878901</v>
      </c>
      <c r="EB133" s="4">
        <v>-17.633318652233921</v>
      </c>
      <c r="EC133" s="4">
        <v>-17.595793698454241</v>
      </c>
      <c r="ED133" s="4">
        <v>-17.558390449939321</v>
      </c>
      <c r="EE133" s="4">
        <v>-17.521109717121451</v>
      </c>
      <c r="EF133" s="4">
        <v>-17.483952245630849</v>
      </c>
      <c r="EG133" s="4">
        <v>-17.446918715652359</v>
      </c>
      <c r="EH133" s="4">
        <v>-17.410009741481129</v>
      </c>
      <c r="EI133" s="4">
        <v>-17.37322587128179</v>
      </c>
      <c r="EJ133" s="4">
        <v>-17.33656758705721</v>
      </c>
      <c r="EK133" s="4">
        <v>-17.30003530482993</v>
      </c>
      <c r="EL133" s="4">
        <v>-17.263629375037411</v>
      </c>
      <c r="EM133" s="4">
        <v>-17.227350083143811</v>
      </c>
      <c r="EN133" s="4">
        <v>-17.19119765046646</v>
      </c>
      <c r="EO133" s="4">
        <v>-17.155172235214948</v>
      </c>
      <c r="EP133" s="4">
        <v>-17.119273933739901</v>
      </c>
      <c r="EQ133" s="4">
        <v>-17.083502781985501</v>
      </c>
      <c r="ER133" s="4">
        <v>-17.047858757139341</v>
      </c>
      <c r="ES133" s="4">
        <v>-17.012341779470809</v>
      </c>
      <c r="ET133" s="4">
        <v>-16.976951714347631</v>
      </c>
      <c r="EU133" s="4">
        <v>-16.941688374419549</v>
      </c>
      <c r="EV133" s="4">
        <v>-16.906551521954661</v>
      </c>
      <c r="EW133" s="4">
        <v>-16.871540871313421</v>
      </c>
      <c r="EX133" s="4">
        <v>-16.836656091545152</v>
      </c>
      <c r="EY133" s="4">
        <v>-16.80189680908677</v>
      </c>
      <c r="EZ133" s="4">
        <v>-16.767262610545991</v>
      </c>
      <c r="FA133" s="4">
        <v>-16.73275304554792</v>
      </c>
      <c r="FB133" s="4">
        <v>-16.69836762962284</v>
      </c>
      <c r="FC133" s="4">
        <v>-16.66410584711225</v>
      </c>
      <c r="FD133" s="4">
        <v>-16.629967154070901</v>
      </c>
      <c r="FE133" s="4">
        <v>-16.595950981138191</v>
      </c>
      <c r="FF133" s="4">
        <v>-16.562056736356229</v>
      </c>
      <c r="FG133" s="4">
        <v>-16.528283807908149</v>
      </c>
      <c r="FH133" s="4">
        <v>-16.49463156675208</v>
      </c>
      <c r="FI133" s="4">
        <v>-16.461099369125151</v>
      </c>
      <c r="FJ133" s="4">
        <v>-16.427686558893669</v>
      </c>
      <c r="FK133" s="4">
        <v>-16.394392469724291</v>
      </c>
      <c r="FL133" s="4">
        <v>-16.361216427053868</v>
      </c>
      <c r="FM133" s="4">
        <v>-16.32815774983489</v>
      </c>
      <c r="FN133" s="4">
        <v>-16.295215752036039</v>
      </c>
      <c r="FO133" s="4">
        <v>-16.26238974387859</v>
      </c>
      <c r="FP133" s="4">
        <v>-16.22967903279007</v>
      </c>
      <c r="FQ133" s="4">
        <v>-16.197082924060599</v>
      </c>
      <c r="FR133" s="4">
        <v>-16.16460072118738</v>
      </c>
      <c r="FS133" s="4">
        <v>-16.132231725896741</v>
      </c>
      <c r="FT133" s="4">
        <v>-16.09997523783451</v>
      </c>
      <c r="FU133" s="4">
        <v>-16.0678305539193</v>
      </c>
      <c r="FV133" s="4">
        <v>-16.035796967354731</v>
      </c>
      <c r="FW133" s="4">
        <v>-16.003873766300831</v>
      </c>
      <c r="FX133" s="4">
        <v>-15.97206023220726</v>
      </c>
      <c r="FY133" s="4">
        <v>-15.94035563781366</v>
      </c>
      <c r="FZ133" s="4">
        <v>-15.908759244826211</v>
      </c>
      <c r="GA133" s="4">
        <v>-15.87727030128247</v>
      </c>
      <c r="GB133" s="4">
        <v>-15.845888038618551</v>
      </c>
      <c r="GC133" s="4">
        <v>-15.814611668457641</v>
      </c>
      <c r="GD133" s="4">
        <v>-15.783440379139391</v>
      </c>
      <c r="GE133" s="4">
        <v>-15.752373332014329</v>
      </c>
      <c r="GF133" s="4">
        <v>-15.72140965752922</v>
      </c>
      <c r="GG133" s="4">
        <v>-15.69054845113128</v>
      </c>
      <c r="GH133" s="4">
        <v>-15.6597887690224</v>
      </c>
      <c r="GI133" s="4">
        <v>-15.629129623795849</v>
      </c>
      <c r="GJ133" s="4">
        <v>-15.598569979988779</v>
      </c>
      <c r="GK133" s="4">
        <v>-15.56810874958761</v>
      </c>
      <c r="GL133" s="4">
        <v>-15.53774478752163</v>
      </c>
      <c r="GM133" s="4">
        <v>-15.50747688718314</v>
      </c>
      <c r="GN133" s="4">
        <v>-15.477303776011791</v>
      </c>
      <c r="GO133" s="4">
        <v>-15.447224111181519</v>
      </c>
      <c r="GP133" s="4">
        <v>-15.41723647542765</v>
      </c>
      <c r="GQ133" s="4">
        <v>-15.38733937305234</v>
      </c>
      <c r="GR133" s="4">
        <v>-15.357531226144159</v>
      </c>
      <c r="GS133" s="4">
        <v>-15.32781037104788</v>
      </c>
      <c r="GT133" s="4">
        <v>-15.29817505511892</v>
      </c>
      <c r="GU133" s="4">
        <v>-15.26862343379333</v>
      </c>
      <c r="GV133" s="4">
        <v>-15.239153568005619</v>
      </c>
      <c r="GW133" s="4">
        <v>-15.20976342198057</v>
      </c>
      <c r="GX133" s="4">
        <v>-15.180450861425809</v>
      </c>
      <c r="GY133" s="4">
        <v>-15.151213652147399</v>
      </c>
      <c r="GZ133" s="4">
        <v>-15.122049459108201</v>
      </c>
      <c r="HA133" s="4">
        <v>-15.092955845946051</v>
      </c>
      <c r="HB133" s="4">
        <v>-15.06393027496542</v>
      </c>
      <c r="HC133" s="4">
        <v>-15.034970107612031</v>
      </c>
      <c r="HD133" s="4">
        <v>-15.00607260543836</v>
      </c>
      <c r="HE133" s="4">
        <v>-14.97723493156267</v>
      </c>
      <c r="HF133" s="4">
        <v>-14.94845415262183</v>
      </c>
      <c r="HG133" s="4">
        <v>-14.9197272412144</v>
      </c>
      <c r="HH133" s="4">
        <v>-14.89105107882704</v>
      </c>
      <c r="HI133" s="4">
        <v>-14.862422459234359</v>
      </c>
      <c r="HJ133" s="4">
        <v>-14.83383809235858</v>
      </c>
      <c r="HK133" s="4">
        <v>-14.805294608572609</v>
      </c>
      <c r="HL133" s="4">
        <v>-14.776788563426869</v>
      </c>
      <c r="HM133" s="4">
        <v>-14.748316442778361</v>
      </c>
      <c r="HN133" s="4">
        <v>-14.719874668296439</v>
      </c>
      <c r="HO133" s="4">
        <v>-14.6914596033184</v>
      </c>
      <c r="HP133" s="4">
        <v>-14.663067559026</v>
      </c>
      <c r="HQ133" s="4">
        <v>-14.634694800910969</v>
      </c>
      <c r="HR133" s="4">
        <v>-14.6063375554973</v>
      </c>
      <c r="HS133" s="4">
        <v>-14.57799201728603</v>
      </c>
      <c r="HT133" s="4">
        <v>-14.54965435588602</v>
      </c>
      <c r="HU133" s="4">
        <v>-14.52132072329686</v>
      </c>
      <c r="HV133" s="4">
        <v>-14.492987261304069</v>
      </c>
      <c r="HW133" s="4">
        <v>-14.46465010895232</v>
      </c>
      <c r="HX133" s="4">
        <v>-14.436305410057081</v>
      </c>
      <c r="HY133" s="4">
        <v>-14.40794932072</v>
      </c>
      <c r="HZ133" s="4">
        <v>-14.379578016809459</v>
      </c>
      <c r="IA133" s="4">
        <v>-14.351187701372099</v>
      </c>
      <c r="IB133" s="4">
        <v>-14.32277461194022</v>
      </c>
      <c r="IC133" s="4">
        <v>-14.29433502770063</v>
      </c>
      <c r="ID133" s="4">
        <v>-14.26586527649463</v>
      </c>
      <c r="IE133" s="4">
        <v>-14.237361741616461</v>
      </c>
      <c r="IF133" s="4">
        <v>-14.208820868383571</v>
      </c>
      <c r="IG133" s="4">
        <v>-14.18023917045044</v>
      </c>
      <c r="IH133" s="4">
        <v>-14.151613235842159</v>
      </c>
      <c r="II133" s="4">
        <v>-14.122939732684509</v>
      </c>
      <c r="IJ133" s="4">
        <v>-14.09421541461165</v>
      </c>
      <c r="IK133" s="4">
        <v>-14.065437125832</v>
      </c>
      <c r="IL133" s="4">
        <v>-14.03660180583849</v>
      </c>
      <c r="IM133" s="4">
        <v>-14.0077064937493</v>
      </c>
    </row>
    <row r="134" spans="2:247" x14ac:dyDescent="0.35">
      <c r="B134" s="58">
        <v>1.18</v>
      </c>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v>-18.05754390889615</v>
      </c>
      <c r="DW134" s="4">
        <v>-18.01936860210861</v>
      </c>
      <c r="DX134" s="4">
        <v>-17.981307903751851</v>
      </c>
      <c r="DY134" s="4">
        <v>-17.94336295880786</v>
      </c>
      <c r="DZ134" s="4">
        <v>-17.905534856788929</v>
      </c>
      <c r="EA134" s="4">
        <v>-17.86782463017148</v>
      </c>
      <c r="EB134" s="4">
        <v>-17.830233252969659</v>
      </c>
      <c r="EC134" s="4">
        <v>-17.79276163945713</v>
      </c>
      <c r="ED134" s="4">
        <v>-17.755410643046371</v>
      </c>
      <c r="EE134" s="4">
        <v>-17.718181055334082</v>
      </c>
      <c r="EF134" s="4">
        <v>-17.6810736053204</v>
      </c>
      <c r="EG134" s="4">
        <v>-17.6440889588083</v>
      </c>
      <c r="EH134" s="4">
        <v>-17.60722771799</v>
      </c>
      <c r="EI134" s="4">
        <v>-17.570490421225081</v>
      </c>
      <c r="EJ134" s="4">
        <v>-17.533877543014381</v>
      </c>
      <c r="EK134" s="4">
        <v>-17.49738949417269</v>
      </c>
      <c r="EL134" s="4">
        <v>-17.461026622202191</v>
      </c>
      <c r="EM134" s="4">
        <v>-17.424789211866809</v>
      </c>
      <c r="EN134" s="4">
        <v>-17.388677485966351</v>
      </c>
      <c r="EO134" s="4">
        <v>-17.35269160630909</v>
      </c>
      <c r="EP134" s="4">
        <v>-17.316831674878031</v>
      </c>
      <c r="EQ134" s="4">
        <v>-17.28109773518641</v>
      </c>
      <c r="ER134" s="4">
        <v>-17.245489773814949</v>
      </c>
      <c r="ES134" s="4">
        <v>-17.21000772212366</v>
      </c>
      <c r="ET134" s="4">
        <v>-17.17465145812745</v>
      </c>
      <c r="EU134" s="4">
        <v>-17.13942080852458</v>
      </c>
      <c r="EV134" s="4">
        <v>-17.104315550865628</v>
      </c>
      <c r="EW134" s="4">
        <v>-17.06933541584818</v>
      </c>
      <c r="EX134" s="4">
        <v>-17.03448008972175</v>
      </c>
      <c r="EY134" s="4">
        <v>-16.9997492167861</v>
      </c>
      <c r="EZ134" s="4">
        <v>-16.9651424019651</v>
      </c>
      <c r="FA134" s="4">
        <v>-16.930659213435892</v>
      </c>
      <c r="FB134" s="4">
        <v>-16.896299185294289</v>
      </c>
      <c r="FC134" s="4">
        <v>-16.86206182023432</v>
      </c>
      <c r="FD134" s="4">
        <v>-16.827946592219789</v>
      </c>
      <c r="FE134" s="4">
        <v>-16.793952949126549</v>
      </c>
      <c r="FF134" s="4">
        <v>-16.76008031533107</v>
      </c>
      <c r="FG134" s="4">
        <v>-16.72632809422327</v>
      </c>
      <c r="FH134" s="4">
        <v>-16.692695670619528</v>
      </c>
      <c r="FI134" s="4">
        <v>-16.659182413053351</v>
      </c>
      <c r="FJ134" s="4">
        <v>-16.62578767592149</v>
      </c>
      <c r="FK134" s="4">
        <v>-16.59251080146154</v>
      </c>
      <c r="FL134" s="4">
        <v>-16.559351121542338</v>
      </c>
      <c r="FM134" s="4">
        <v>-16.52630795924474</v>
      </c>
      <c r="FN134" s="4">
        <v>-16.493380630214411</v>
      </c>
      <c r="FO134" s="4">
        <v>-16.460568443769539</v>
      </c>
      <c r="FP134" s="4">
        <v>-16.42787070374645</v>
      </c>
      <c r="FQ134" s="4">
        <v>-16.395286709069889</v>
      </c>
      <c r="FR134" s="4">
        <v>-16.362815754034859</v>
      </c>
      <c r="FS134" s="4">
        <v>-16.330457128290941</v>
      </c>
      <c r="FT134" s="4">
        <v>-16.298210116520799</v>
      </c>
      <c r="FU134" s="4">
        <v>-16.266073997807819</v>
      </c>
      <c r="FV134" s="4">
        <v>-16.23404804469066</v>
      </c>
      <c r="FW134" s="4">
        <v>-16.20213152190405</v>
      </c>
      <c r="FX134" s="4">
        <v>-16.170323684809421</v>
      </c>
      <c r="FY134" s="4">
        <v>-16.138623777520621</v>
      </c>
      <c r="FZ134" s="4">
        <v>-16.10703103073309</v>
      </c>
      <c r="GA134" s="4">
        <v>-16.075544659267951</v>
      </c>
      <c r="GB134" s="4">
        <v>-16.044163859344799</v>
      </c>
      <c r="GC134" s="4">
        <v>-16.01288780560051</v>
      </c>
      <c r="GD134" s="4">
        <v>-15.981715647872059</v>
      </c>
      <c r="GE134" s="4">
        <v>-15.95064650776709</v>
      </c>
      <c r="GF134" s="4">
        <v>-15.919679475044729</v>
      </c>
      <c r="GG134" s="4">
        <v>-15.888813603833899</v>
      </c>
      <c r="GH134" s="4">
        <v>-15.858047908717269</v>
      </c>
      <c r="GI134" s="4">
        <v>-15.82738136071082</v>
      </c>
      <c r="GJ134" s="4">
        <v>-15.796812883171031</v>
      </c>
      <c r="GK134" s="4">
        <v>-15.766341347662189</v>
      </c>
      <c r="GL134" s="4">
        <v>-15.73596556981788</v>
      </c>
      <c r="GM134" s="4">
        <v>-15.70568430523163</v>
      </c>
      <c r="GN134" s="4">
        <v>-15.675496245411001</v>
      </c>
      <c r="GO134" s="4">
        <v>-15.64540001383139</v>
      </c>
      <c r="GP134" s="4">
        <v>-15.6153941621237</v>
      </c>
      <c r="GQ134" s="4">
        <v>-15.585477166430699</v>
      </c>
      <c r="GR134" s="4">
        <v>-15.55564742396623</v>
      </c>
      <c r="GS134" s="4">
        <v>-15.52590324980954</v>
      </c>
      <c r="GT134" s="4">
        <v>-15.496242873966461</v>
      </c>
      <c r="GU134" s="4">
        <v>-15.46666443872677</v>
      </c>
      <c r="GV134" s="4">
        <v>-15.43716599634687</v>
      </c>
      <c r="GW134" s="4">
        <v>-15.407745507081509</v>
      </c>
      <c r="GX134" s="4">
        <v>-15.37840083759057</v>
      </c>
      <c r="GY134" s="4">
        <v>-15.349129759739769</v>
      </c>
      <c r="GZ134" s="4">
        <v>-15.31992994981502</v>
      </c>
      <c r="HA134" s="4">
        <v>-15.29079898816545</v>
      </c>
      <c r="HB134" s="4">
        <v>-15.261734359286759</v>
      </c>
      <c r="HC134" s="4">
        <v>-15.23273345235639</v>
      </c>
      <c r="HD134" s="4">
        <v>-15.20379356222457</v>
      </c>
      <c r="HE134" s="4">
        <v>-15.174911890865941</v>
      </c>
      <c r="HF134" s="4">
        <v>-15.146085549291289</v>
      </c>
      <c r="HG134" s="4">
        <v>-15.11731155991564</v>
      </c>
      <c r="HH134" s="4">
        <v>-15.088586859377781</v>
      </c>
      <c r="HI134" s="4">
        <v>-15.059908301799879</v>
      </c>
      <c r="HJ134" s="4">
        <v>-15.031272662477001</v>
      </c>
      <c r="HK134" s="4">
        <v>-15.00267664197928</v>
      </c>
      <c r="HL134" s="4">
        <v>-14.974116870650009</v>
      </c>
      <c r="HM134" s="4">
        <v>-14.945589913479321</v>
      </c>
      <c r="HN134" s="4">
        <v>-14.917092275329059</v>
      </c>
      <c r="HO134" s="4">
        <v>-14.888620406485551</v>
      </c>
      <c r="HP134" s="4">
        <v>-14.860170708511721</v>
      </c>
      <c r="HQ134" s="4">
        <v>-14.83173954037032</v>
      </c>
      <c r="HR134" s="4">
        <v>-14.80332322478769</v>
      </c>
      <c r="HS134" s="4">
        <v>-14.774918054826079</v>
      </c>
      <c r="HT134" s="4">
        <v>-14.74652030063211</v>
      </c>
      <c r="HU134" s="4">
        <v>-14.718126216327111</v>
      </c>
      <c r="HV134" s="4">
        <v>-14.68973204700541</v>
      </c>
      <c r="HW134" s="4">
        <v>-14.66133403580662</v>
      </c>
      <c r="HX134" s="4">
        <v>-14.632928431025769</v>
      </c>
      <c r="HY134" s="4">
        <v>-14.604511493228991</v>
      </c>
      <c r="HZ134" s="4">
        <v>-14.57607950233864</v>
      </c>
      <c r="IA134" s="4">
        <v>-14.547628764656251</v>
      </c>
      <c r="IB134" s="4">
        <v>-14.51915561978981</v>
      </c>
      <c r="IC134" s="4">
        <v>-14.49065644745432</v>
      </c>
      <c r="ID134" s="4">
        <v>-14.462127674116109</v>
      </c>
      <c r="IE134" s="4">
        <v>-14.43356577945092</v>
      </c>
      <c r="IF134" s="4">
        <v>-14.4049673025908</v>
      </c>
      <c r="IG134" s="4">
        <v>-14.376328848132401</v>
      </c>
      <c r="IH134" s="4">
        <v>-14.347647091885539</v>
      </c>
      <c r="II134" s="4">
        <v>-14.31891878633885</v>
      </c>
      <c r="IJ134" s="4">
        <v>-14.290140765825351</v>
      </c>
      <c r="IK134" s="4">
        <v>-14.26130995136905</v>
      </c>
      <c r="IL134" s="4">
        <v>-14.23242335519944</v>
      </c>
      <c r="IM134" s="4">
        <v>-14.20347808492072</v>
      </c>
    </row>
    <row r="135" spans="2:247" x14ac:dyDescent="0.35">
      <c r="B135" s="58">
        <v>1.19</v>
      </c>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v>-18.25414784622393</v>
      </c>
      <c r="DW135" s="4">
        <v>-18.216030877329111</v>
      </c>
      <c r="DX135" s="4">
        <v>-18.178027593903479</v>
      </c>
      <c r="DY135" s="4">
        <v>-18.140139111330139</v>
      </c>
      <c r="DZ135" s="4">
        <v>-18.102366491190239</v>
      </c>
      <c r="EA135" s="4">
        <v>-18.06471073978636</v>
      </c>
      <c r="EB135" s="4">
        <v>-18.027172806798379</v>
      </c>
      <c r="EC135" s="4">
        <v>-17.989753584080599</v>
      </c>
      <c r="ED135" s="4">
        <v>-17.952453904607871</v>
      </c>
      <c r="EE135" s="4">
        <v>-17.915274541579219</v>
      </c>
      <c r="EF135" s="4">
        <v>-17.878216207684911</v>
      </c>
      <c r="EG135" s="4">
        <v>-17.841279554543799</v>
      </c>
      <c r="EH135" s="4">
        <v>-17.804465172316359</v>
      </c>
      <c r="EI135" s="4">
        <v>-17.76777358949748</v>
      </c>
      <c r="EJ135" s="4">
        <v>-17.731205272893039</v>
      </c>
      <c r="EK135" s="4">
        <v>-17.69476062778244</v>
      </c>
      <c r="EL135" s="4">
        <v>-17.65843999826814</v>
      </c>
      <c r="EM135" s="4">
        <v>-17.62224366781324</v>
      </c>
      <c r="EN135" s="4">
        <v>-17.58617185996464</v>
      </c>
      <c r="EO135" s="4">
        <v>-17.550224739260599</v>
      </c>
      <c r="EP135" s="4">
        <v>-17.514402412318361</v>
      </c>
      <c r="EQ135" s="4">
        <v>-17.478704929096491</v>
      </c>
      <c r="ER135" s="4">
        <v>-17.443132284326001</v>
      </c>
      <c r="ES135" s="4">
        <v>-17.407684419101521</v>
      </c>
      <c r="ET135" s="4">
        <v>-17.37236122262431</v>
      </c>
      <c r="EU135" s="4">
        <v>-17.337162534085021</v>
      </c>
      <c r="EV135" s="4">
        <v>-17.30208814467542</v>
      </c>
      <c r="EW135" s="4">
        <v>-17.26713779971465</v>
      </c>
      <c r="EX135" s="4">
        <v>-17.232311200875881</v>
      </c>
      <c r="EY135" s="4">
        <v>-17.197608008497419</v>
      </c>
      <c r="EZ135" s="4">
        <v>-17.16302784396138</v>
      </c>
      <c r="FA135" s="4">
        <v>-17.128570292121498</v>
      </c>
      <c r="FB135" s="4">
        <v>-17.094234903761581</v>
      </c>
      <c r="FC135" s="4">
        <v>-17.060021198064781</v>
      </c>
      <c r="FD135" s="4">
        <v>-17.025928665073511</v>
      </c>
      <c r="FE135" s="4">
        <v>-16.991956768118499</v>
      </c>
      <c r="FF135" s="4">
        <v>-16.958104946196851</v>
      </c>
      <c r="FG135" s="4">
        <v>-16.924372616276621</v>
      </c>
      <c r="FH135" s="4">
        <v>-16.890759175507409</v>
      </c>
      <c r="FI135" s="4">
        <v>-16.85726400331535</v>
      </c>
      <c r="FJ135" s="4">
        <v>-16.82388646336166</v>
      </c>
      <c r="FK135" s="4">
        <v>-16.790625905344911</v>
      </c>
      <c r="FL135" s="4">
        <v>-16.75748166662688</v>
      </c>
      <c r="FM135" s="4">
        <v>-16.724453073664119</v>
      </c>
      <c r="FN135" s="4">
        <v>-16.691539443227612</v>
      </c>
      <c r="FO135" s="4">
        <v>-16.658740083394271</v>
      </c>
      <c r="FP135" s="4">
        <v>-16.626054294296331</v>
      </c>
      <c r="FQ135" s="4">
        <v>-16.593481368615279</v>
      </c>
      <c r="FR135" s="4">
        <v>-16.5610205918099</v>
      </c>
      <c r="FS135" s="4">
        <v>-16.528671242069141</v>
      </c>
      <c r="FT135" s="4">
        <v>-16.49643258998346</v>
      </c>
      <c r="FU135" s="4">
        <v>-16.46430389793003</v>
      </c>
      <c r="FV135" s="4">
        <v>-16.432284419169321</v>
      </c>
      <c r="FW135" s="4">
        <v>-16.400373396654711</v>
      </c>
      <c r="FX135" s="4">
        <v>-16.36857006155638</v>
      </c>
      <c r="FY135" s="4">
        <v>-16.336873631506609</v>
      </c>
      <c r="FZ135" s="4">
        <v>-16.305283308573479</v>
      </c>
      <c r="GA135" s="4">
        <v>-16.27379827697397</v>
      </c>
      <c r="GB135" s="4">
        <v>-16.242417700540159</v>
      </c>
      <c r="GC135" s="4">
        <v>-16.211140719953189</v>
      </c>
      <c r="GD135" s="4">
        <v>-16.17996644976418</v>
      </c>
      <c r="GE135" s="4">
        <v>-16.148893975221569</v>
      </c>
      <c r="GF135" s="4">
        <v>-16.117922348927959</v>
      </c>
      <c r="GG135" s="4">
        <v>-16.08705058735061</v>
      </c>
      <c r="GH135" s="4">
        <v>-16.056277667212012</v>
      </c>
      <c r="GI135" s="4">
        <v>-16.02560252178866</v>
      </c>
      <c r="GJ135" s="4">
        <v>-15.995024037146409</v>
      </c>
      <c r="GK135" s="4">
        <v>-15.964541048344479</v>
      </c>
      <c r="GL135" s="4">
        <v>-15.9341523356377</v>
      </c>
      <c r="GM135" s="4">
        <v>-15.903856620710171</v>
      </c>
      <c r="GN135" s="4">
        <v>-15.87365256297244</v>
      </c>
      <c r="GO135" s="4">
        <v>-15.843538755954251</v>
      </c>
      <c r="GP135" s="4">
        <v>-15.81351372382588</v>
      </c>
      <c r="GQ135" s="4">
        <v>-15.783575918079659</v>
      </c>
      <c r="GR135" s="4">
        <v>-15.75372371440238</v>
      </c>
      <c r="GS135" s="4">
        <v>-15.72395540976971</v>
      </c>
      <c r="GT135" s="4">
        <v>-15.694269219790939</v>
      </c>
      <c r="GU135" s="4">
        <v>-15.66466327633163</v>
      </c>
      <c r="GV135" s="4">
        <v>-15.63513562543994</v>
      </c>
      <c r="GW135" s="4">
        <v>-15.605684225600781</v>
      </c>
      <c r="GX135" s="4">
        <v>-15.576306946338899</v>
      </c>
      <c r="GY135" s="4">
        <v>-15.54700156719065</v>
      </c>
      <c r="GZ135" s="4">
        <v>-15.51776577706149</v>
      </c>
      <c r="HA135" s="4">
        <v>-15.4885971739828</v>
      </c>
      <c r="HB135" s="4">
        <v>-15.45949326528053</v>
      </c>
      <c r="HC135" s="4">
        <v>-15.430451468163501</v>
      </c>
      <c r="HD135" s="4">
        <v>-15.401469110737819</v>
      </c>
      <c r="HE135" s="4">
        <v>-15.37254343344982</v>
      </c>
      <c r="HF135" s="4">
        <v>-15.343671590958349</v>
      </c>
      <c r="HG135" s="4">
        <v>-15.31485065443219</v>
      </c>
      <c r="HH135" s="4">
        <v>-15.286077614268089</v>
      </c>
      <c r="HI135" s="4">
        <v>-15.257349383219699</v>
      </c>
      <c r="HJ135" s="4">
        <v>-15.22866279992663</v>
      </c>
      <c r="HK135" s="4">
        <v>-15.200014632829189</v>
      </c>
      <c r="HL135" s="4">
        <v>-15.171401584452401</v>
      </c>
      <c r="HM135" s="4">
        <v>-15.14282029604002</v>
      </c>
      <c r="HN135" s="4">
        <v>-15.11426735251772</v>
      </c>
      <c r="HO135" s="4">
        <v>-15.08573928776171</v>
      </c>
      <c r="HP135" s="4">
        <v>-15.05723259014799</v>
      </c>
      <c r="HQ135" s="4">
        <v>-15.02874370835521</v>
      </c>
      <c r="HR135" s="4">
        <v>-15.000269057392901</v>
      </c>
      <c r="HS135" s="4">
        <v>-14.97180502482575</v>
      </c>
      <c r="HT135" s="4">
        <v>-14.943347977162979</v>
      </c>
      <c r="HU135" s="4">
        <v>-14.91489426638223</v>
      </c>
      <c r="HV135" s="4">
        <v>-14.88644023655544</v>
      </c>
      <c r="HW135" s="4">
        <v>-14.85798223054489</v>
      </c>
      <c r="HX135" s="4">
        <v>-14.829516596737561</v>
      </c>
      <c r="HY135" s="4">
        <v>-14.80103969578464</v>
      </c>
      <c r="HZ135" s="4">
        <v>-14.77254790731606</v>
      </c>
      <c r="IA135" s="4">
        <v>-14.74403763659765</v>
      </c>
      <c r="IB135" s="4">
        <v>-14.71550532110097</v>
      </c>
      <c r="IC135" s="4">
        <v>-14.686947436957171</v>
      </c>
      <c r="ID135" s="4">
        <v>-14.65836050526539</v>
      </c>
      <c r="IE135" s="4">
        <v>-14.629741098230371</v>
      </c>
      <c r="IF135" s="4">
        <v>-14.60108584510275</v>
      </c>
      <c r="IG135" s="4">
        <v>-14.572391437898871</v>
      </c>
      <c r="IH135" s="4">
        <v>-14.54365463687861</v>
      </c>
      <c r="II135" s="4">
        <v>-14.51487227575994</v>
      </c>
      <c r="IJ135" s="4">
        <v>-14.486041266653681</v>
      </c>
      <c r="IK135" s="4">
        <v>-14.457158604700309</v>
      </c>
      <c r="IL135" s="4">
        <v>-14.42822137239766</v>
      </c>
      <c r="IM135" s="4">
        <v>-14.399226743604199</v>
      </c>
    </row>
    <row r="136" spans="2:247" x14ac:dyDescent="0.35">
      <c r="B136" s="58">
        <v>1.2</v>
      </c>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v>-18.45078142986959</v>
      </c>
      <c r="DW136" s="4">
        <v>-18.41272179288837</v>
      </c>
      <c r="DX136" s="4">
        <v>-18.374774927614549</v>
      </c>
      <c r="DY136" s="4">
        <v>-18.336941920778269</v>
      </c>
      <c r="DZ136" s="4">
        <v>-18.299223806901711</v>
      </c>
      <c r="EA136" s="4">
        <v>-18.261621566904712</v>
      </c>
      <c r="EB136" s="4">
        <v>-18.224136126836751</v>
      </c>
      <c r="EC136" s="4">
        <v>-18.18676835674237</v>
      </c>
      <c r="ED136" s="4">
        <v>-18.149519069668841</v>
      </c>
      <c r="EE136" s="4">
        <v>-18.11238902082156</v>
      </c>
      <c r="EF136" s="4">
        <v>-18.075378906874409</v>
      </c>
      <c r="EG136" s="4">
        <v>-18.038489365440601</v>
      </c>
      <c r="EH136" s="4">
        <v>-18.00172097470794</v>
      </c>
      <c r="EI136" s="4">
        <v>-17.965074253243941</v>
      </c>
      <c r="EJ136" s="4">
        <v>-17.928549659971889</v>
      </c>
      <c r="EK136" s="4">
        <v>-17.89214759432204</v>
      </c>
      <c r="EL136" s="4">
        <v>-17.8558683965569</v>
      </c>
      <c r="EM136" s="4">
        <v>-17.819712348271612</v>
      </c>
      <c r="EN136" s="4">
        <v>-17.783679673067919</v>
      </c>
      <c r="EO136" s="4">
        <v>-17.747770537398949</v>
      </c>
      <c r="EP136" s="4">
        <v>-17.71198505158112</v>
      </c>
      <c r="EQ136" s="4">
        <v>-17.67632327096824</v>
      </c>
      <c r="ER136" s="4">
        <v>-17.640785197281382</v>
      </c>
      <c r="ES136" s="4">
        <v>-17.60537078008679</v>
      </c>
      <c r="ET136" s="4">
        <v>-17.570079918413288</v>
      </c>
      <c r="EU136" s="4">
        <v>-17.534912462498561</v>
      </c>
      <c r="EV136" s="4">
        <v>-17.49986821565291</v>
      </c>
      <c r="EW136" s="4">
        <v>-17.464946936228429</v>
      </c>
      <c r="EX136" s="4">
        <v>-17.430148339678912</v>
      </c>
      <c r="EY136" s="4">
        <v>-17.395472100696711</v>
      </c>
      <c r="EZ136" s="4">
        <v>-17.360917855409362</v>
      </c>
      <c r="FA136" s="4">
        <v>-17.326485203620379</v>
      </c>
      <c r="FB136" s="4">
        <v>-17.292173711076181</v>
      </c>
      <c r="FC136" s="4">
        <v>-17.25798291174047</v>
      </c>
      <c r="FD136" s="4">
        <v>-17.223912310057901</v>
      </c>
      <c r="FE136" s="4">
        <v>-17.189961383187111</v>
      </c>
      <c r="FF136" s="4">
        <v>-17.156129583184171</v>
      </c>
      <c r="FG136" s="4">
        <v>-17.12241633911594</v>
      </c>
      <c r="FH136" s="4">
        <v>-17.088821059084481</v>
      </c>
      <c r="FI136" s="4">
        <v>-17.055343132142571</v>
      </c>
      <c r="FJ136" s="4">
        <v>-17.021981930081299</v>
      </c>
      <c r="FK136" s="4">
        <v>-16.988736809071359</v>
      </c>
      <c r="FL136" s="4">
        <v>-16.955607111139919</v>
      </c>
      <c r="FM136" s="4">
        <v>-16.922592165466622</v>
      </c>
      <c r="FN136" s="4">
        <v>-16.88969128948257</v>
      </c>
      <c r="FO136" s="4">
        <v>-16.856903789758061</v>
      </c>
      <c r="FP136" s="4">
        <v>-16.824228962665561</v>
      </c>
      <c r="FQ136" s="4">
        <v>-16.791666094806772</v>
      </c>
      <c r="FR136" s="4">
        <v>-16.759214463193981</v>
      </c>
      <c r="FS136" s="4">
        <v>-16.72687333517775</v>
      </c>
      <c r="FT136" s="4">
        <v>-16.69464196811472</v>
      </c>
      <c r="FU136" s="4">
        <v>-16.662519608772701</v>
      </c>
      <c r="FV136" s="4">
        <v>-16.630505492470181</v>
      </c>
      <c r="FW136" s="4">
        <v>-16.59859884195205</v>
      </c>
      <c r="FX136" s="4">
        <v>-16.566798866003971</v>
      </c>
      <c r="FY136" s="4">
        <v>-16.535104757811169</v>
      </c>
      <c r="FZ136" s="4">
        <v>-16.50351569306887</v>
      </c>
      <c r="GA136" s="4">
        <v>-16.472030827855061</v>
      </c>
      <c r="GB136" s="4">
        <v>-16.440649296277758</v>
      </c>
      <c r="GC136" s="4">
        <v>-16.409370207911511</v>
      </c>
      <c r="GD136" s="4">
        <v>-16.378192645039899</v>
      </c>
      <c r="GE136" s="4">
        <v>-16.347115659723581</v>
      </c>
      <c r="GF136" s="4">
        <v>-16.316138270713768</v>
      </c>
      <c r="GG136" s="4">
        <v>-16.285259460235121</v>
      </c>
      <c r="GH136" s="4">
        <v>-16.25447817066145</v>
      </c>
      <c r="GI136" s="4">
        <v>-16.223793301110589</v>
      </c>
      <c r="GJ136" s="4">
        <v>-16.193203703985521</v>
      </c>
      <c r="GK136" s="4">
        <v>-16.162708181489659</v>
      </c>
      <c r="GL136" s="4">
        <v>-16.132305482145579</v>
      </c>
      <c r="GM136" s="4">
        <v>-16.101994297346589</v>
      </c>
      <c r="GN136" s="4">
        <v>-16.071773257971088</v>
      </c>
      <c r="GO136" s="4">
        <v>-16.041640931089699</v>
      </c>
      <c r="GP136" s="4">
        <v>-16.01159581679503</v>
      </c>
      <c r="GQ136" s="4">
        <v>-15.981636345183491</v>
      </c>
      <c r="GR136" s="4">
        <v>-15.951760873517919</v>
      </c>
      <c r="GS136" s="4">
        <v>-15.921967683598851</v>
      </c>
      <c r="GT136" s="4">
        <v>-15.89225497937103</v>
      </c>
      <c r="GU136" s="4">
        <v>-15.862620884790999</v>
      </c>
      <c r="GV136" s="4">
        <v>-15.83306344197849</v>
      </c>
      <c r="GW136" s="4">
        <v>-15.803580609675009</v>
      </c>
      <c r="GX136" s="4">
        <v>-15.774170262028161</v>
      </c>
      <c r="GY136" s="4">
        <v>-15.74483018772059</v>
      </c>
      <c r="GZ136" s="4">
        <v>-15.71555808945873</v>
      </c>
      <c r="HA136" s="4">
        <v>-15.686351583834499</v>
      </c>
      <c r="HB136" s="4">
        <v>-15.65720820157072</v>
      </c>
      <c r="HC136" s="4">
        <v>-15.62812538815802</v>
      </c>
      <c r="HD136" s="4">
        <v>-15.59910050488924</v>
      </c>
      <c r="HE136" s="4">
        <v>-15.57013083029315</v>
      </c>
      <c r="HF136" s="4">
        <v>-15.541213561968309</v>
      </c>
      <c r="HG136" s="4">
        <v>-15.512345818813699</v>
      </c>
      <c r="HH136" s="4">
        <v>-15.483524643650879</v>
      </c>
      <c r="HI136" s="4">
        <v>-15.454747006230139</v>
      </c>
      <c r="HJ136" s="4">
        <v>-15.42600980660905</v>
      </c>
      <c r="HK136" s="4">
        <v>-15.397309878891519</v>
      </c>
      <c r="HL136" s="4">
        <v>-15.368643995310951</v>
      </c>
      <c r="HM136" s="4">
        <v>-15.340008870640551</v>
      </c>
      <c r="HN136" s="4">
        <v>-15.31140116691097</v>
      </c>
      <c r="HO136" s="4">
        <v>-15.282817498413481</v>
      </c>
      <c r="HP136" s="4">
        <v>-15.25425443696545</v>
      </c>
      <c r="HQ136" s="4">
        <v>-15.225708517413549</v>
      </c>
      <c r="HR136" s="4">
        <v>-15.197176243347901</v>
      </c>
      <c r="HS136" s="4">
        <v>-15.16865409300026</v>
      </c>
      <c r="HT136" s="4">
        <v>-15.14013852529748</v>
      </c>
      <c r="HU136" s="4">
        <v>-15.111625986041769</v>
      </c>
      <c r="HV136" s="4">
        <v>-15.08311291418735</v>
      </c>
      <c r="HW136" s="4">
        <v>-15.054595748184241</v>
      </c>
      <c r="HX136" s="4">
        <v>-15.026070932358859</v>
      </c>
      <c r="HY136" s="4">
        <v>-14.997534923301989</v>
      </c>
      <c r="HZ136" s="4">
        <v>-14.968984196233629</v>
      </c>
      <c r="IA136" s="4">
        <v>-14.94041525131682</v>
      </c>
      <c r="IB136" s="4">
        <v>-14.91182461989138</v>
      </c>
      <c r="IC136" s="4">
        <v>-14.88320887060026</v>
      </c>
      <c r="ID136" s="4">
        <v>-14.854564615382269</v>
      </c>
      <c r="IE136" s="4">
        <v>-14.825888515306129</v>
      </c>
      <c r="IF136" s="4">
        <v>-14.797177286221761</v>
      </c>
      <c r="IG136" s="4">
        <v>-14.768427704206371</v>
      </c>
      <c r="IH136" s="4">
        <v>-14.73963661078567</v>
      </c>
      <c r="II136" s="4">
        <v>-14.710800917910021</v>
      </c>
      <c r="IJ136" s="4">
        <v>-14.681917612668769</v>
      </c>
      <c r="IK136" s="4">
        <v>-14.65298376172788</v>
      </c>
      <c r="IL136" s="4">
        <v>-14.623996515476961</v>
      </c>
      <c r="IM136" s="4">
        <v>-14.594953111874229</v>
      </c>
    </row>
    <row r="137" spans="2:247" x14ac:dyDescent="0.35">
      <c r="B137" s="58">
        <v>1.21</v>
      </c>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v>-18.647443427694281</v>
      </c>
      <c r="DW137" s="4">
        <v>-18.60944013067569</v>
      </c>
      <c r="DX137" s="4">
        <v>-18.571548700457171</v>
      </c>
      <c r="DY137" s="4">
        <v>-18.533770196005399</v>
      </c>
      <c r="DZ137" s="4">
        <v>-18.49610562560213</v>
      </c>
      <c r="EA137" s="4">
        <v>-18.458555945526101</v>
      </c>
      <c r="EB137" s="4">
        <v>-18.42112205885438</v>
      </c>
      <c r="EC137" s="4">
        <v>-18.383804814390999</v>
      </c>
      <c r="ED137" s="4">
        <v>-18.346605005729781</v>
      </c>
      <c r="EE137" s="4">
        <v>-18.309523370457121</v>
      </c>
      <c r="EF137" s="4">
        <v>-18.272560589501069</v>
      </c>
      <c r="EG137" s="4">
        <v>-18.235717286630969</v>
      </c>
      <c r="EH137" s="4">
        <v>-18.198994028112651</v>
      </c>
      <c r="EI137" s="4">
        <v>-18.162391322521849</v>
      </c>
      <c r="EJ137" s="4">
        <v>-18.12590962071911</v>
      </c>
      <c r="EK137" s="4">
        <v>-18.08954931598748</v>
      </c>
      <c r="EL137" s="4">
        <v>-18.053310744333182</v>
      </c>
      <c r="EM137" s="4">
        <v>-18.017194184950121</v>
      </c>
      <c r="EN137" s="4">
        <v>-17.981199860845031</v>
      </c>
      <c r="EO137" s="4">
        <v>-17.945327939622398</v>
      </c>
      <c r="EP137" s="4">
        <v>-17.909578534424021</v>
      </c>
      <c r="EQ137" s="4">
        <v>-17.873951705018971</v>
      </c>
      <c r="ER137" s="4">
        <v>-17.838447459037809</v>
      </c>
      <c r="ES137" s="4">
        <v>-17.803065753343059</v>
      </c>
      <c r="ET137" s="4">
        <v>-17.76780649552914</v>
      </c>
      <c r="EU137" s="4">
        <v>-17.732669545539519</v>
      </c>
      <c r="EV137" s="4">
        <v>-17.697654717392808</v>
      </c>
      <c r="EW137" s="4">
        <v>-17.662761781004381</v>
      </c>
      <c r="EX137" s="4">
        <v>-17.62799046409102</v>
      </c>
      <c r="EY137" s="4">
        <v>-17.593340454144851</v>
      </c>
      <c r="EZ137" s="4">
        <v>-17.558811400461249</v>
      </c>
      <c r="FA137" s="4">
        <v>-17.52440291620599</v>
      </c>
      <c r="FB137" s="4">
        <v>-17.490114580503981</v>
      </c>
      <c r="FC137" s="4">
        <v>-17.455945940533638</v>
      </c>
      <c r="FD137" s="4">
        <v>-17.42189651360912</v>
      </c>
      <c r="FE137" s="4">
        <v>-17.38796578923246</v>
      </c>
      <c r="FF137" s="4">
        <v>-17.354153231097591</v>
      </c>
      <c r="FG137" s="4">
        <v>-17.320458279027939</v>
      </c>
      <c r="FH137" s="4">
        <v>-17.28688035082974</v>
      </c>
      <c r="FI137" s="4">
        <v>-17.253418844043349</v>
      </c>
      <c r="FJ137" s="4">
        <v>-17.220073137574069</v>
      </c>
      <c r="FK137" s="4">
        <v>-17.186842593186942</v>
      </c>
      <c r="FL137" s="4">
        <v>-17.153726556847928</v>
      </c>
      <c r="FM137" s="4">
        <v>-17.120724359897029</v>
      </c>
      <c r="FN137" s="4">
        <v>-17.08783532003849</v>
      </c>
      <c r="FO137" s="4">
        <v>-17.05505874213484</v>
      </c>
      <c r="FP137" s="4">
        <v>-17.0223939187936</v>
      </c>
      <c r="FQ137" s="4">
        <v>-16.98984013073493</v>
      </c>
      <c r="FR137" s="4">
        <v>-16.957396646933709</v>
      </c>
      <c r="FS137" s="4">
        <v>-16.925062724526271</v>
      </c>
      <c r="FT137" s="4">
        <v>-16.89283760847902</v>
      </c>
      <c r="FU137" s="4">
        <v>-16.860720531014611</v>
      </c>
      <c r="FV137" s="4">
        <v>-16.828710710794638</v>
      </c>
      <c r="FW137" s="4">
        <v>-16.796807351859801</v>
      </c>
      <c r="FX137" s="4">
        <v>-16.765009642330799</v>
      </c>
      <c r="FY137" s="4">
        <v>-16.733316752875272</v>
      </c>
      <c r="FZ137" s="4">
        <v>-16.701727834947679</v>
      </c>
      <c r="GA137" s="4">
        <v>-16.67024201881225</v>
      </c>
      <c r="GB137" s="4">
        <v>-16.638858411360701</v>
      </c>
      <c r="GC137" s="4">
        <v>-16.607576093738111</v>
      </c>
      <c r="GD137" s="4">
        <v>-16.576394118793061</v>
      </c>
      <c r="GE137" s="4">
        <v>-16.545311508369799</v>
      </c>
      <c r="GF137" s="4">
        <v>-16.514327250461541</v>
      </c>
      <c r="GG137" s="4">
        <v>-16.483440296246709</v>
      </c>
      <c r="GH137" s="4">
        <v>-16.452649557029702</v>
      </c>
      <c r="GI137" s="4">
        <v>-16.421953901111461</v>
      </c>
      <c r="GJ137" s="4">
        <v>-16.391352150613539</v>
      </c>
      <c r="GK137" s="4">
        <v>-16.360843078283171</v>
      </c>
      <c r="GL137" s="4">
        <v>-16.330425404304879</v>
      </c>
      <c r="GM137" s="4">
        <v>-16.300097793146641</v>
      </c>
      <c r="GN137" s="4">
        <v>-16.269858850468228</v>
      </c>
      <c r="GO137" s="4">
        <v>-16.23970712011899</v>
      </c>
      <c r="GP137" s="4">
        <v>-16.20964108125321</v>
      </c>
      <c r="GQ137" s="4">
        <v>-16.179659145589621</v>
      </c>
      <c r="GR137" s="4">
        <v>-16.149759654841901</v>
      </c>
      <c r="GS137" s="4">
        <v>-16.119940878346078</v>
      </c>
      <c r="GT137" s="4">
        <v>-16.090201010908569</v>
      </c>
      <c r="GU137" s="4">
        <v>-16.060538170899651</v>
      </c>
      <c r="GV137" s="4">
        <v>-16.030950398612671</v>
      </c>
      <c r="GW137" s="4">
        <v>-16.001435654910619</v>
      </c>
      <c r="GX137" s="4">
        <v>-15.971991820177729</v>
      </c>
      <c r="GY137" s="4">
        <v>-15.94261669359234</v>
      </c>
      <c r="GZ137" s="4">
        <v>-15.913307992736611</v>
      </c>
      <c r="HA137" s="4">
        <v>-15.88406335355355</v>
      </c>
      <c r="HB137" s="4">
        <v>-15.854880330662709</v>
      </c>
      <c r="HC137" s="4">
        <v>-15.82575639804074</v>
      </c>
      <c r="HD137" s="4">
        <v>-15.796688950072561</v>
      </c>
      <c r="HE137" s="4">
        <v>-15.767675302975469</v>
      </c>
      <c r="HF137" s="4">
        <v>-15.73871269659551</v>
      </c>
      <c r="HG137" s="4">
        <v>-15.709798296574711</v>
      </c>
      <c r="HH137" s="4">
        <v>-15.68092919688309</v>
      </c>
      <c r="HI137" s="4">
        <v>-15.652102422708509</v>
      </c>
      <c r="HJ137" s="4">
        <v>-15.62331493369452</v>
      </c>
      <c r="HK137" s="4">
        <v>-15.594563627514001</v>
      </c>
      <c r="HL137" s="4">
        <v>-15.565845343764691</v>
      </c>
      <c r="HM137" s="4">
        <v>-15.537156868169481</v>
      </c>
      <c r="HN137" s="4">
        <v>-15.508494937064221</v>
      </c>
      <c r="HO137" s="4">
        <v>-15.4798562421522</v>
      </c>
      <c r="HP137" s="4">
        <v>-15.45123743550425</v>
      </c>
      <c r="HQ137" s="4">
        <v>-15.422635134781141</v>
      </c>
      <c r="HR137" s="4">
        <v>-15.394045928653361</v>
      </c>
      <c r="HS137" s="4">
        <v>-15.365466382394301</v>
      </c>
      <c r="HT137" s="4">
        <v>-15.33689304361871</v>
      </c>
      <c r="HU137" s="4">
        <v>-15.308322448140689</v>
      </c>
      <c r="HV137" s="4">
        <v>-15.279751125923211</v>
      </c>
      <c r="HW137" s="4">
        <v>-15.25117560709131</v>
      </c>
      <c r="HX137" s="4">
        <v>-15.22259242798077</v>
      </c>
      <c r="HY137" s="4">
        <v>-15.193998137195321</v>
      </c>
      <c r="HZ137" s="4">
        <v>-15.165389301643661</v>
      </c>
      <c r="IA137" s="4">
        <v>-15.136762512529881</v>
      </c>
      <c r="IB137" s="4">
        <v>-15.10811439127068</v>
      </c>
      <c r="IC137" s="4">
        <v>-15.079441595313829</v>
      </c>
      <c r="ID137" s="4">
        <v>-15.050740823832321</v>
      </c>
      <c r="IE137" s="4">
        <v>-15.02200882327239</v>
      </c>
      <c r="IF137" s="4">
        <v>-14.993242392731091</v>
      </c>
      <c r="IG137" s="4">
        <v>-14.96443838914383</v>
      </c>
      <c r="IH137" s="4">
        <v>-14.935593732261641</v>
      </c>
      <c r="II137" s="4">
        <v>-14.906705409400599</v>
      </c>
      <c r="IJ137" s="4">
        <v>-14.877770479947371</v>
      </c>
      <c r="IK137" s="4">
        <v>-14.848786079605251</v>
      </c>
      <c r="IL137" s="4">
        <v>-14.819749424369119</v>
      </c>
      <c r="IM137" s="4">
        <v>-14.79065781421787</v>
      </c>
    </row>
    <row r="138" spans="2:247" x14ac:dyDescent="0.35">
      <c r="B138" s="58">
        <v>1.22</v>
      </c>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v>-18.844132640846361</v>
      </c>
      <c r="DW138" s="4">
        <v>-18.806184705582151</v>
      </c>
      <c r="DX138" s="4">
        <v>-18.768347740739252</v>
      </c>
      <c r="DY138" s="4">
        <v>-18.730622778358061</v>
      </c>
      <c r="DZ138" s="4">
        <v>-18.693010801249681</v>
      </c>
      <c r="EA138" s="4">
        <v>-18.655512741747799</v>
      </c>
      <c r="EB138" s="4">
        <v>-18.618129480574009</v>
      </c>
      <c r="EC138" s="4">
        <v>-18.580861845823989</v>
      </c>
      <c r="ED138" s="4">
        <v>-18.543710612080869</v>
      </c>
      <c r="EE138" s="4">
        <v>-18.506676499660699</v>
      </c>
      <c r="EF138" s="4">
        <v>-18.469760173995951</v>
      </c>
      <c r="EG138" s="4">
        <v>-18.432962245160979</v>
      </c>
      <c r="EH138" s="4">
        <v>-18.396283267543321</v>
      </c>
      <c r="EI138" s="4">
        <v>-18.359723739664009</v>
      </c>
      <c r="EJ138" s="4">
        <v>-18.323284104148851</v>
      </c>
      <c r="EK138" s="4">
        <v>-18.286964747851989</v>
      </c>
      <c r="EL138" s="4">
        <v>-18.250766002132131</v>
      </c>
      <c r="EM138" s="4">
        <v>-18.21468814328135</v>
      </c>
      <c r="EN138" s="4">
        <v>-18.178731393103359</v>
      </c>
      <c r="EO138" s="4">
        <v>-18.142895919640839</v>
      </c>
      <c r="EP138" s="4">
        <v>-18.107181838045761</v>
      </c>
      <c r="EQ138" s="4">
        <v>-18.07158921158975</v>
      </c>
      <c r="ER138" s="4">
        <v>-18.036118052807488</v>
      </c>
      <c r="ES138" s="4">
        <v>-18.000768324766611</v>
      </c>
      <c r="ET138" s="4">
        <v>-17.965539942455859</v>
      </c>
      <c r="EU138" s="4">
        <v>-17.930432774282341</v>
      </c>
      <c r="EV138" s="4">
        <v>-17.89544664366797</v>
      </c>
      <c r="EW138" s="4">
        <v>-17.860581330733371</v>
      </c>
      <c r="EX138" s="4">
        <v>-17.825836574057782</v>
      </c>
      <c r="EY138" s="4">
        <v>-17.7912120725011</v>
      </c>
      <c r="EZ138" s="4">
        <v>-17.7567074870753</v>
      </c>
      <c r="FA138" s="4">
        <v>-17.722322442849752</v>
      </c>
      <c r="FB138" s="4">
        <v>-17.68805653087524</v>
      </c>
      <c r="FC138" s="4">
        <v>-17.653909310111661</v>
      </c>
      <c r="FD138" s="4">
        <v>-17.61988030934284</v>
      </c>
      <c r="FE138" s="4">
        <v>-17.58596902906125</v>
      </c>
      <c r="FF138" s="4">
        <v>-17.552174943307101</v>
      </c>
      <c r="FG138" s="4">
        <v>-17.518497501444269</v>
      </c>
      <c r="FH138" s="4">
        <v>-17.48493612985683</v>
      </c>
      <c r="FI138" s="4">
        <v>-17.451490233549059</v>
      </c>
      <c r="FJ138" s="4">
        <v>-17.418159197634111</v>
      </c>
      <c r="FK138" s="4">
        <v>-17.38494238869432</v>
      </c>
      <c r="FL138" s="4">
        <v>-17.351839155999489</v>
      </c>
      <c r="FM138" s="4">
        <v>-17.318848832568399</v>
      </c>
      <c r="FN138" s="4">
        <v>-17.285970736060801</v>
      </c>
      <c r="FO138" s="4">
        <v>-17.253204169487891</v>
      </c>
      <c r="FP138" s="4">
        <v>-17.220548421730449</v>
      </c>
      <c r="FQ138" s="4">
        <v>-17.18800276785554</v>
      </c>
      <c r="FR138" s="4">
        <v>-17.15556646922375</v>
      </c>
      <c r="FS138" s="4">
        <v>-17.12323877338083</v>
      </c>
      <c r="FT138" s="4">
        <v>-17.091018913729268</v>
      </c>
      <c r="FU138" s="4">
        <v>-17.058906108977499</v>
      </c>
      <c r="FV138" s="4">
        <v>-17.026899562364989</v>
      </c>
      <c r="FW138" s="4">
        <v>-16.99499846066546</v>
      </c>
      <c r="FX138" s="4">
        <v>-16.963201972970559</v>
      </c>
      <c r="FY138" s="4">
        <v>-16.931509249259371</v>
      </c>
      <c r="FZ138" s="4">
        <v>-16.89991941876097</v>
      </c>
      <c r="GA138" s="4">
        <v>-16.868431588119019</v>
      </c>
      <c r="GB138" s="4">
        <v>-16.837044839368939</v>
      </c>
      <c r="GC138" s="4">
        <v>-16.805758227741819</v>
      </c>
      <c r="GD138" s="4">
        <v>-16.774570779308291</v>
      </c>
      <c r="GE138" s="4">
        <v>-16.743481488480231</v>
      </c>
      <c r="GF138" s="4">
        <v>-16.712489315387501</v>
      </c>
      <c r="GG138" s="4">
        <v>-16.681593183149769</v>
      </c>
      <c r="GH138" s="4">
        <v>-16.650791975064379</v>
      </c>
      <c r="GI138" s="4">
        <v>-16.620084531732601</v>
      </c>
      <c r="GJ138" s="4">
        <v>-16.589469648146789</v>
      </c>
      <c r="GK138" s="4">
        <v>-16.558946070763952</v>
      </c>
      <c r="GL138" s="4">
        <v>-16.528512494589119</v>
      </c>
      <c r="GM138" s="4">
        <v>-16.49816756029454</v>
      </c>
      <c r="GN138" s="4">
        <v>-16.46790985139987</v>
      </c>
      <c r="GO138" s="4">
        <v>-16.437737891539651</v>
      </c>
      <c r="GP138" s="4">
        <v>-16.40765014184203</v>
      </c>
      <c r="GQ138" s="4">
        <v>-16.377644998445678</v>
      </c>
      <c r="GR138" s="4">
        <v>-16.347720790177561</v>
      </c>
      <c r="GS138" s="4">
        <v>-16.31787577641666</v>
      </c>
      <c r="GT138" s="4">
        <v>-16.288108145165591</v>
      </c>
      <c r="GU138" s="4">
        <v>-16.258416011351699</v>
      </c>
      <c r="GV138" s="4">
        <v>-16.228797415378502</v>
      </c>
      <c r="GW138" s="4">
        <v>-16.19925032194492</v>
      </c>
      <c r="GX138" s="4">
        <v>-16.16977261915078</v>
      </c>
      <c r="GY138" s="4">
        <v>-16.140362117902281</v>
      </c>
      <c r="GZ138" s="4">
        <v>-16.11101655163192</v>
      </c>
      <c r="HA138" s="4">
        <v>-16.0817335763433</v>
      </c>
      <c r="HB138" s="4">
        <v>-16.052510770989961</v>
      </c>
      <c r="HC138" s="4">
        <v>-16.02334563819538</v>
      </c>
      <c r="HD138" s="4">
        <v>-15.994235605318231</v>
      </c>
      <c r="HE138" s="4">
        <v>-15.9651780258658</v>
      </c>
      <c r="HF138" s="4">
        <v>-15.93617018125458</v>
      </c>
      <c r="HG138" s="4">
        <v>-15.907209282916559</v>
      </c>
      <c r="HH138" s="4">
        <v>-15.87829247474615</v>
      </c>
      <c r="HI138" s="4">
        <v>-15.849416835880559</v>
      </c>
      <c r="HJ138" s="4">
        <v>-15.820579383805351</v>
      </c>
      <c r="HK138" s="4">
        <v>-15.79177707777278</v>
      </c>
      <c r="HL138" s="4">
        <v>-15.763006822521049</v>
      </c>
      <c r="HM138" s="4">
        <v>-15.734265472277951</v>
      </c>
      <c r="HN138" s="4">
        <v>-15.70554983503321</v>
      </c>
      <c r="HO138" s="4">
        <v>-15.676856677060201</v>
      </c>
      <c r="HP138" s="4">
        <v>-15.64818272766686</v>
      </c>
      <c r="HQ138" s="4">
        <v>-15.61952468415539</v>
      </c>
      <c r="HR138" s="4">
        <v>-15.59087921696648</v>
      </c>
      <c r="HS138" s="4">
        <v>-15.562242974985949</v>
      </c>
      <c r="HT138" s="4">
        <v>-15.533612590988479</v>
      </c>
      <c r="HU138" s="4">
        <v>-15.504984687193261</v>
      </c>
      <c r="HV138" s="4">
        <v>-15.47635588090658</v>
      </c>
      <c r="HW138" s="4">
        <v>-15.447722790224621</v>
      </c>
      <c r="HX138" s="4">
        <v>-15.41908203977081</v>
      </c>
      <c r="HY138" s="4">
        <v>-15.390430266442211</v>
      </c>
      <c r="HZ138" s="4">
        <v>-15.361764125137871</v>
      </c>
      <c r="IA138" s="4">
        <v>-15.333080294445571</v>
      </c>
      <c r="IB138" s="4">
        <v>-15.304375482260861</v>
      </c>
      <c r="IC138" s="4">
        <v>-15.27564643131478</v>
      </c>
      <c r="ID138" s="4">
        <v>-15.24688992458749</v>
      </c>
      <c r="IE138" s="4">
        <v>-15.218102790585061</v>
      </c>
      <c r="IF138" s="4">
        <v>-15.18928190845898</v>
      </c>
      <c r="IG138" s="4">
        <v>-15.16042421294811</v>
      </c>
      <c r="IH138" s="4">
        <v>-15.1315266991255</v>
      </c>
      <c r="II138" s="4">
        <v>-15.10258642693193</v>
      </c>
      <c r="IJ138" s="4">
        <v>-15.073600525482171</v>
      </c>
      <c r="IK138" s="4">
        <v>-15.04456619712896</v>
      </c>
      <c r="IL138" s="4">
        <v>-15.015480721272761</v>
      </c>
      <c r="IM138" s="4">
        <v>-14.98634145790767</v>
      </c>
    </row>
    <row r="139" spans="2:247" x14ac:dyDescent="0.35">
      <c r="B139" s="58">
        <v>1.23</v>
      </c>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v>-19.040847902947949</v>
      </c>
      <c r="DW139" s="4">
        <v>-19.002954364710309</v>
      </c>
      <c r="DX139" s="4">
        <v>-18.96517090873656</v>
      </c>
      <c r="DY139" s="4">
        <v>-18.92749854093034</v>
      </c>
      <c r="DZ139" s="4">
        <v>-18.889938219356999</v>
      </c>
      <c r="EA139" s="4">
        <v>-18.85249085305982</v>
      </c>
      <c r="EB139" s="4">
        <v>-18.815157300984129</v>
      </c>
      <c r="EC139" s="4">
        <v>-18.777938371016631</v>
      </c>
      <c r="ED139" s="4">
        <v>-18.740834819144268</v>
      </c>
      <c r="EE139" s="4">
        <v>-18.70384734873846</v>
      </c>
      <c r="EF139" s="4">
        <v>-18.66697660996963</v>
      </c>
      <c r="EG139" s="4">
        <v>-18.630223199354671</v>
      </c>
      <c r="EH139" s="4">
        <v>-18.593587659442669</v>
      </c>
      <c r="EI139" s="4">
        <v>-18.55707047863908</v>
      </c>
      <c r="EJ139" s="4">
        <v>-18.52067209117282</v>
      </c>
      <c r="EK139" s="4">
        <v>-18.48439287720478</v>
      </c>
      <c r="EL139" s="4">
        <v>-18.448233163079841</v>
      </c>
      <c r="EM139" s="4">
        <v>-18.412193221720091</v>
      </c>
      <c r="EN139" s="4">
        <v>-18.376273273158979</v>
      </c>
      <c r="EO139" s="4">
        <v>-18.340473485212321</v>
      </c>
      <c r="EP139" s="4">
        <v>-18.304793974283761</v>
      </c>
      <c r="EQ139" s="4">
        <v>-18.269234806298869</v>
      </c>
      <c r="ER139" s="4">
        <v>-18.233795997763291</v>
      </c>
      <c r="ES139" s="4">
        <v>-18.198477516937078</v>
      </c>
      <c r="ET139" s="4">
        <v>-18.16327928511889</v>
      </c>
      <c r="EU139" s="4">
        <v>-18.128201178030071</v>
      </c>
      <c r="EV139" s="4">
        <v>-18.09324302728977</v>
      </c>
      <c r="EW139" s="4">
        <v>-18.05840462197083</v>
      </c>
      <c r="EX139" s="4">
        <v>-18.023685710223841</v>
      </c>
      <c r="EY139" s="4">
        <v>-17.989086000958881</v>
      </c>
      <c r="EZ139" s="4">
        <v>-17.954605165570399</v>
      </c>
      <c r="FA139" s="4">
        <v>-17.920242839693032</v>
      </c>
      <c r="FB139" s="4">
        <v>-17.885998624972981</v>
      </c>
      <c r="FC139" s="4">
        <v>-17.85187209084156</v>
      </c>
      <c r="FD139" s="4">
        <v>-17.817862776274691</v>
      </c>
      <c r="FE139" s="4">
        <v>-17.78397019152407</v>
      </c>
      <c r="FF139" s="4">
        <v>-17.750193819804149</v>
      </c>
      <c r="FG139" s="4">
        <v>-17.716533118919191</v>
      </c>
      <c r="FH139" s="4">
        <v>-17.682987522815779</v>
      </c>
      <c r="FI139" s="4">
        <v>-17.649556443045348</v>
      </c>
      <c r="FJ139" s="4">
        <v>-17.616239270121302</v>
      </c>
      <c r="FK139" s="4">
        <v>-17.58303537475819</v>
      </c>
      <c r="FL139" s="4">
        <v>-17.549944108977289</v>
      </c>
      <c r="FM139" s="4">
        <v>-17.516964807067719</v>
      </c>
      <c r="FN139" s="4">
        <v>-17.484096786389411</v>
      </c>
      <c r="FO139" s="4">
        <v>-17.451339348009029</v>
      </c>
      <c r="FP139" s="4">
        <v>-17.418691777157331</v>
      </c>
      <c r="FQ139" s="4">
        <v>-17.386153343500759</v>
      </c>
      <c r="FR139" s="4">
        <v>-17.353723301220001</v>
      </c>
      <c r="FS139" s="4">
        <v>-17.321400888889901</v>
      </c>
      <c r="FT139" s="4">
        <v>-17.289185329156801</v>
      </c>
      <c r="FU139" s="4">
        <v>-17.257075828211612</v>
      </c>
      <c r="FV139" s="4">
        <v>-17.22507157505726</v>
      </c>
      <c r="FW139" s="4">
        <v>-17.193171740572598</v>
      </c>
      <c r="FX139" s="4">
        <v>-17.16137547637538</v>
      </c>
      <c r="FY139" s="4">
        <v>-17.12968191348952</v>
      </c>
      <c r="FZ139" s="4">
        <v>-17.09809016082329</v>
      </c>
      <c r="GA139" s="4">
        <v>-17.066599303467079</v>
      </c>
      <c r="GB139" s="4">
        <v>-17.035208400821141</v>
      </c>
      <c r="GC139" s="4">
        <v>-17.003916484565149</v>
      </c>
      <c r="GD139" s="4">
        <v>-16.9727225564843</v>
      </c>
      <c r="GE139" s="4">
        <v>-16.94162558616576</v>
      </c>
      <c r="GF139" s="4">
        <v>-16.910624508584011</v>
      </c>
      <c r="GG139" s="4">
        <v>-16.879718221592139</v>
      </c>
      <c r="GH139" s="4">
        <v>-16.84890558333937</v>
      </c>
      <c r="GI139" s="4">
        <v>-16.8181854096348</v>
      </c>
      <c r="GJ139" s="4">
        <v>-16.787556471279061</v>
      </c>
      <c r="GK139" s="4">
        <v>-16.757017491387</v>
      </c>
      <c r="GL139" s="4">
        <v>-16.72656714272269</v>
      </c>
      <c r="GM139" s="4">
        <v>-16.696204045071841</v>
      </c>
      <c r="GN139" s="4">
        <v>-16.665926762673919</v>
      </c>
      <c r="GO139" s="4">
        <v>-16.635733801738539</v>
      </c>
      <c r="GP139" s="4">
        <v>-16.605623608068669</v>
      </c>
      <c r="GQ139" s="4">
        <v>-16.575594564814711</v>
      </c>
      <c r="GR139" s="4">
        <v>-16.54564499038122</v>
      </c>
      <c r="GS139" s="4">
        <v>-16.51577313650883</v>
      </c>
      <c r="GT139" s="4">
        <v>-16.4859771865517</v>
      </c>
      <c r="GU139" s="4">
        <v>-16.456255253971019</v>
      </c>
      <c r="GV139" s="4">
        <v>-16.426605381062341</v>
      </c>
      <c r="GW139" s="4">
        <v>-16.397025537934869</v>
      </c>
      <c r="GX139" s="4">
        <v>-16.36751362175767</v>
      </c>
      <c r="GY139" s="4">
        <v>-16.338067456287291</v>
      </c>
      <c r="GZ139" s="4">
        <v>-16.308684791688439</v>
      </c>
      <c r="HA139" s="4">
        <v>-16.27936330465862</v>
      </c>
      <c r="HB139" s="4">
        <v>-16.250100598864542</v>
      </c>
      <c r="HC139" s="4">
        <v>-16.220894205696961</v>
      </c>
      <c r="HD139" s="4">
        <v>-16.191741585347629</v>
      </c>
      <c r="HE139" s="4">
        <v>-16.162640128211219</v>
      </c>
      <c r="HF139" s="4">
        <v>-16.13358715661127</v>
      </c>
      <c r="HG139" s="4">
        <v>-16.104579926848398</v>
      </c>
      <c r="HH139" s="4">
        <v>-16.075615631566489</v>
      </c>
      <c r="HI139" s="4">
        <v>-16.046691402430039</v>
      </c>
      <c r="HJ139" s="4">
        <v>-16.017804313104619</v>
      </c>
      <c r="HK139" s="4">
        <v>-15.98895138253001</v>
      </c>
      <c r="HL139" s="4">
        <v>-15.9601295784735</v>
      </c>
      <c r="HM139" s="4">
        <v>-15.93133582134913</v>
      </c>
      <c r="HN139" s="4">
        <v>-15.902566988288109</v>
      </c>
      <c r="HO139" s="4">
        <v>-15.87381991744191</v>
      </c>
      <c r="HP139" s="4">
        <v>-15.845091412500389</v>
      </c>
      <c r="HQ139" s="4">
        <v>-15.81637824740428</v>
      </c>
      <c r="HR139" s="4">
        <v>-15.78767717123173</v>
      </c>
      <c r="HS139" s="4">
        <v>-15.758984913236141</v>
      </c>
      <c r="HT139" s="4">
        <v>-15.730298188013281</v>
      </c>
      <c r="HU139" s="4">
        <v>-15.70161370077361</v>
      </c>
      <c r="HV139" s="4">
        <v>-15.6729281526967</v>
      </c>
      <c r="HW139" s="4">
        <v>-15.644238246342489</v>
      </c>
      <c r="HX139" s="4">
        <v>-15.61554069109647</v>
      </c>
      <c r="HY139" s="4">
        <v>-15.58683220862345</v>
      </c>
      <c r="HZ139" s="4">
        <v>-15.558109538306431</v>
      </c>
      <c r="IA139" s="4">
        <v>-15.529369442646971</v>
      </c>
      <c r="IB139" s="4">
        <v>-15.50060871260332</v>
      </c>
      <c r="IC139" s="4">
        <v>-15.471824172844739</v>
      </c>
      <c r="ID139" s="4">
        <v>-15.443012686899481</v>
      </c>
      <c r="IE139" s="4">
        <v>-15.4141711621763</v>
      </c>
      <c r="IF139" s="4">
        <v>-15.38529655483927</v>
      </c>
      <c r="IG139" s="4">
        <v>-15.35638587451778</v>
      </c>
      <c r="IH139" s="4">
        <v>-15.327436188833911</v>
      </c>
      <c r="II139" s="4">
        <v>-15.298444627731691</v>
      </c>
      <c r="IJ139" s="4">
        <v>-15.269408387593311</v>
      </c>
      <c r="IK139" s="4">
        <v>-15.240324735128899</v>
      </c>
      <c r="IL139" s="4">
        <v>-15.211191011029371</v>
      </c>
      <c r="IM139" s="4">
        <v>-15.18200463337009</v>
      </c>
    </row>
    <row r="140" spans="2:247" x14ac:dyDescent="0.35">
      <c r="B140" s="58">
        <v>1.24</v>
      </c>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v>-19.237588079307059</v>
      </c>
      <c r="DW140" s="4">
        <v>-19.199747986607001</v>
      </c>
      <c r="DX140" s="4">
        <v>-19.16201709594618</v>
      </c>
      <c r="DY140" s="4">
        <v>-19.124396387837191</v>
      </c>
      <c r="DZ140" s="4">
        <v>-19.086886796283231</v>
      </c>
      <c r="EA140" s="4">
        <v>-19.049489207653931</v>
      </c>
      <c r="EB140" s="4">
        <v>-19.01220445966403</v>
      </c>
      <c r="EC140" s="4">
        <v>-18.97503334046047</v>
      </c>
      <c r="ED140" s="4">
        <v>-18.937976587823709</v>
      </c>
      <c r="EE140" s="4">
        <v>-18.90103488848634</v>
      </c>
      <c r="EF140" s="4">
        <v>-18.864208877575521</v>
      </c>
      <c r="EG140" s="4">
        <v>-18.827499138179821</v>
      </c>
      <c r="EH140" s="4">
        <v>-18.79090620104671</v>
      </c>
      <c r="EI140" s="4">
        <v>-18.75443054440969</v>
      </c>
      <c r="EJ140" s="4">
        <v>-18.71807259394911</v>
      </c>
      <c r="EK140" s="4">
        <v>-18.681832722886121</v>
      </c>
      <c r="EL140" s="4">
        <v>-18.64571125220963</v>
      </c>
      <c r="EM140" s="4">
        <v>-18.609708451036369</v>
      </c>
      <c r="EN140" s="4">
        <v>-18.57382453710111</v>
      </c>
      <c r="EO140" s="4">
        <v>-18.538059677374971</v>
      </c>
      <c r="EP140" s="4">
        <v>-18.502413988808481</v>
      </c>
      <c r="EQ140" s="4">
        <v>-18.46688753919398</v>
      </c>
      <c r="ER140" s="4">
        <v>-18.43148034814276</v>
      </c>
      <c r="ES140" s="4">
        <v>-18.39619238817011</v>
      </c>
      <c r="ET140" s="4">
        <v>-18.361023585881259</v>
      </c>
      <c r="EU140" s="4">
        <v>-18.325973823249829</v>
      </c>
      <c r="EV140" s="4">
        <v>-18.291042938979579</v>
      </c>
      <c r="EW140" s="4">
        <v>-18.256230729940189</v>
      </c>
      <c r="EX140" s="4">
        <v>-18.221536952665641</v>
      </c>
      <c r="EY140" s="4">
        <v>-18.18696132490448</v>
      </c>
      <c r="EZ140" s="4">
        <v>-18.152503527209269</v>
      </c>
      <c r="FA140" s="4">
        <v>-18.118163204553461</v>
      </c>
      <c r="FB140" s="4">
        <v>-18.083939967961498</v>
      </c>
      <c r="FC140" s="4">
        <v>-18.049833396139469</v>
      </c>
      <c r="FD140" s="4">
        <v>-18.015843037091791</v>
      </c>
      <c r="FE140" s="4">
        <v>-17.981968409710429</v>
      </c>
      <c r="FF140" s="4">
        <v>-17.94820900532158</v>
      </c>
      <c r="FG140" s="4">
        <v>-17.914564289176571</v>
      </c>
      <c r="FH140" s="4">
        <v>-17.881033701871921</v>
      </c>
      <c r="FI140" s="4">
        <v>-17.847616660685581</v>
      </c>
      <c r="FJ140" s="4">
        <v>-17.81431256081488</v>
      </c>
      <c r="FK140" s="4">
        <v>-17.781120776504341</v>
      </c>
      <c r="FL140" s="4">
        <v>-17.748040662049579</v>
      </c>
      <c r="FM140" s="4">
        <v>-17.715071552666899</v>
      </c>
      <c r="FN140" s="4">
        <v>-17.682212765216899</v>
      </c>
      <c r="FO140" s="4">
        <v>-17.649463598772929</v>
      </c>
      <c r="FP140" s="4">
        <v>-17.616823335024929</v>
      </c>
      <c r="FQ140" s="4">
        <v>-17.58429123851192</v>
      </c>
      <c r="FR140" s="4">
        <v>-17.551866556676341</v>
      </c>
      <c r="FS140" s="4">
        <v>-17.519548519735629</v>
      </c>
      <c r="FT140" s="4">
        <v>-17.487336340367719</v>
      </c>
      <c r="FU140" s="4">
        <v>-17.455229213208629</v>
      </c>
      <c r="FV140" s="4">
        <v>-17.423226314161461</v>
      </c>
      <c r="FW140" s="4">
        <v>-17.391326799519309</v>
      </c>
      <c r="FX140" s="4">
        <v>-17.35952980490395</v>
      </c>
      <c r="FY140" s="4">
        <v>-17.32783444402574</v>
      </c>
      <c r="FZ140" s="4">
        <v>-17.296239807271199</v>
      </c>
      <c r="GA140" s="4">
        <v>-17.264744960126421</v>
      </c>
      <c r="GB140" s="4">
        <v>-17.233348941445389</v>
      </c>
      <c r="GC140" s="4">
        <v>-17.202050761575769</v>
      </c>
      <c r="GD140" s="4">
        <v>-17.17084940035409</v>
      </c>
      <c r="GE140" s="4">
        <v>-17.139743804985059</v>
      </c>
      <c r="GF140" s="4">
        <v>-17.10873288782086</v>
      </c>
      <c r="GG140" s="4">
        <v>-17.077815524056891</v>
      </c>
      <c r="GH140" s="4">
        <v>-17.04699054936269</v>
      </c>
      <c r="GI140" s="4">
        <v>-17.016256757466621</v>
      </c>
      <c r="GJ140" s="4">
        <v>-16.985612897714539</v>
      </c>
      <c r="GK140" s="4">
        <v>-16.95505767262306</v>
      </c>
      <c r="GL140" s="4">
        <v>-16.92458973544873</v>
      </c>
      <c r="GM140" s="4">
        <v>-16.89420768779426</v>
      </c>
      <c r="GN140" s="4">
        <v>-16.86391007727444</v>
      </c>
      <c r="GO140" s="4">
        <v>-16.83369539526257</v>
      </c>
      <c r="GP140" s="4">
        <v>-16.803562074739808</v>
      </c>
      <c r="GQ140" s="4">
        <v>-16.7735084882686</v>
      </c>
      <c r="GR140" s="4">
        <v>-16.743532946110921</v>
      </c>
      <c r="GS140" s="4">
        <v>-16.713633694511259</v>
      </c>
      <c r="GT140" s="4">
        <v>-16.68380891416458</v>
      </c>
      <c r="GU140" s="4">
        <v>-16.654056718886402</v>
      </c>
      <c r="GV140" s="4">
        <v>-16.62437515450296</v>
      </c>
      <c r="GW140" s="4">
        <v>-16.594762197977222</v>
      </c>
      <c r="GX140" s="4">
        <v>-16.56521575678455</v>
      </c>
      <c r="GY140" s="4">
        <v>-16.535733668552211</v>
      </c>
      <c r="GZ140" s="4">
        <v>-16.506313700972282</v>
      </c>
      <c r="HA140" s="4">
        <v>-16.476953551998861</v>
      </c>
      <c r="HB140" s="4">
        <v>-16.447650850336679</v>
      </c>
      <c r="HC140" s="4">
        <v>-16.4184031562265</v>
      </c>
      <c r="HD140" s="4">
        <v>-16.38920796253176</v>
      </c>
      <c r="HE140" s="4">
        <v>-16.360062696128249</v>
      </c>
      <c r="HF140" s="4">
        <v>-16.330964719596011</v>
      </c>
      <c r="HG140" s="4">
        <v>-16.301911333212541</v>
      </c>
      <c r="HH140" s="4">
        <v>-16.272899777241971</v>
      </c>
      <c r="HI140" s="4">
        <v>-16.24392723451545</v>
      </c>
      <c r="HJ140" s="4">
        <v>-16.214990833293701</v>
      </c>
      <c r="HK140" s="4">
        <v>-16.186087650403291</v>
      </c>
      <c r="HL140" s="4">
        <v>-16.157214714634289</v>
      </c>
      <c r="HM140" s="4">
        <v>-16.128369010386251</v>
      </c>
      <c r="HN140" s="4">
        <v>-16.099547481549319</v>
      </c>
      <c r="HO140" s="4">
        <v>-16.070747035601961</v>
      </c>
      <c r="HP140" s="4">
        <v>-16.04196454791078</v>
      </c>
      <c r="HQ140" s="4">
        <v>-16.013196866211469</v>
      </c>
      <c r="HR140" s="4">
        <v>-15.98444081525321</v>
      </c>
      <c r="HS140" s="4">
        <v>-15.95569320158474</v>
      </c>
      <c r="HT140" s="4">
        <v>-15.92695081846159</v>
      </c>
      <c r="HU140" s="4">
        <v>-15.89821045085284</v>
      </c>
      <c r="HV140" s="4">
        <v>-15.86946888052462</v>
      </c>
      <c r="HW140" s="4">
        <v>-15.840722891177951</v>
      </c>
      <c r="HX140" s="4">
        <v>-15.81196927361907</v>
      </c>
      <c r="HY140" s="4">
        <v>-15.7832048309384</v>
      </c>
      <c r="HZ140" s="4">
        <v>-15.754426383676799</v>
      </c>
      <c r="IA140" s="4">
        <v>-15.72563077495624</v>
      </c>
      <c r="IB140" s="4">
        <v>-15.69681487555393</v>
      </c>
      <c r="IC140" s="4">
        <v>-15.66797558889818</v>
      </c>
      <c r="ID140" s="4">
        <v>-15.63910985596617</v>
      </c>
      <c r="IE140" s="4">
        <v>-15.61021466006399</v>
      </c>
      <c r="IF140" s="4">
        <v>-15.58128703147003</v>
      </c>
      <c r="IG140" s="4">
        <v>-15.552324051925369</v>
      </c>
      <c r="IH140" s="4">
        <v>-15.52332285895311</v>
      </c>
      <c r="II140" s="4">
        <v>-15.49428064999343</v>
      </c>
      <c r="IJ140" s="4">
        <v>-15.46519468633878</v>
      </c>
      <c r="IK140" s="4">
        <v>-15.436062296857971</v>
      </c>
      <c r="IL140" s="4">
        <v>-15.40688088149764</v>
      </c>
      <c r="IM140" s="4">
        <v>-15.377647914551121</v>
      </c>
    </row>
    <row r="141" spans="2:247" x14ac:dyDescent="0.35">
      <c r="B141" s="58">
        <v>1.25</v>
      </c>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v>-19.43435206615387</v>
      </c>
      <c r="DW141" s="4">
        <v>-19.39656448051856</v>
      </c>
      <c r="DX141" s="4">
        <v>-19.358885224360321</v>
      </c>
      <c r="DY141" s="4">
        <v>-19.321315253505691</v>
      </c>
      <c r="DZ141" s="4">
        <v>-19.2838554785417</v>
      </c>
      <c r="EA141" s="4">
        <v>-19.246506763746911</v>
      </c>
      <c r="EB141" s="4">
        <v>-19.209269926120001</v>
      </c>
      <c r="EC141" s="4">
        <v>-19.172145734511279</v>
      </c>
      <c r="ED141" s="4">
        <v>-19.13513490886162</v>
      </c>
      <c r="EE141" s="4">
        <v>-19.098238119553471</v>
      </c>
      <c r="EF141" s="4">
        <v>-19.06145598687695</v>
      </c>
      <c r="EG141" s="4">
        <v>-19.024789080615019</v>
      </c>
      <c r="EH141" s="4">
        <v>-18.988237919749519</v>
      </c>
      <c r="EI141" s="4">
        <v>-18.951802972290331</v>
      </c>
      <c r="EJ141" s="4">
        <v>-18.915484655229339</v>
      </c>
      <c r="EK141" s="4">
        <v>-18.879283334619011</v>
      </c>
      <c r="EL141" s="4">
        <v>-18.843199325775291</v>
      </c>
      <c r="EM141" s="4">
        <v>-18.80723289360505</v>
      </c>
      <c r="EN141" s="4">
        <v>-18.77138425305434</v>
      </c>
      <c r="EO141" s="4">
        <v>-18.735653569676622</v>
      </c>
      <c r="EP141" s="4">
        <v>-18.70004096031635</v>
      </c>
      <c r="EQ141" s="4">
        <v>-18.664546493903352</v>
      </c>
      <c r="ER141" s="4">
        <v>-18.629170192354341</v>
      </c>
      <c r="ES141" s="4">
        <v>-18.593912031573389</v>
      </c>
      <c r="ET141" s="4">
        <v>-18.558771942545881</v>
      </c>
      <c r="EU141" s="4">
        <v>-18.523749812517959</v>
      </c>
      <c r="EV141" s="4">
        <v>-18.488845486252561</v>
      </c>
      <c r="EW141" s="4">
        <v>-18.454058767353018</v>
      </c>
      <c r="EX141" s="4">
        <v>-18.4193894196443</v>
      </c>
      <c r="EY141" s="4">
        <v>-18.38483716860112</v>
      </c>
      <c r="EZ141" s="4">
        <v>-18.35040170281178</v>
      </c>
      <c r="FA141" s="4">
        <v>-18.316082675465921</v>
      </c>
      <c r="FB141" s="4">
        <v>-18.28187970585407</v>
      </c>
      <c r="FC141" s="4">
        <v>-18.247792380866031</v>
      </c>
      <c r="FD141" s="4">
        <v>-18.213820256476001</v>
      </c>
      <c r="FE141" s="4">
        <v>-18.179962859200341</v>
      </c>
      <c r="FF141" s="4">
        <v>-18.146219687516361</v>
      </c>
      <c r="FG141" s="4">
        <v>-18.112590213226571</v>
      </c>
      <c r="FH141" s="4">
        <v>-18.079073882758529</v>
      </c>
      <c r="FI141" s="4">
        <v>-18.045670118385051</v>
      </c>
      <c r="FJ141" s="4">
        <v>-18.012378319353289</v>
      </c>
      <c r="FK141" s="4">
        <v>-17.97919786291105</v>
      </c>
      <c r="FL141" s="4">
        <v>-17.94612810521858</v>
      </c>
      <c r="FM141" s="4">
        <v>-17.91316838213552</v>
      </c>
      <c r="FN141" s="4">
        <v>-17.88031800987266</v>
      </c>
      <c r="FO141" s="4">
        <v>-17.847576285500299</v>
      </c>
      <c r="FP141" s="4">
        <v>-17.81494248730516</v>
      </c>
      <c r="FQ141" s="4">
        <v>-17.782415874988271</v>
      </c>
      <c r="FR141" s="4">
        <v>-17.74999568969994</v>
      </c>
      <c r="FS141" s="4">
        <v>-17.717681153905499</v>
      </c>
      <c r="FT141" s="4">
        <v>-17.685471471081019</v>
      </c>
      <c r="FU141" s="4">
        <v>-17.653365825235731</v>
      </c>
      <c r="FV141" s="4">
        <v>-17.621363380262249</v>
      </c>
      <c r="FW141" s="4">
        <v>-17.589463279116039</v>
      </c>
      <c r="FX141" s="4">
        <v>-17.557664642826321</v>
      </c>
      <c r="FY141" s="4">
        <v>-17.525966569344192</v>
      </c>
      <c r="FZ141" s="4">
        <v>-17.4943681322336</v>
      </c>
      <c r="GA141" s="4">
        <v>-17.46286837921221</v>
      </c>
      <c r="GB141" s="4">
        <v>-17.431466330552642</v>
      </c>
      <c r="GC141" s="4">
        <v>-17.40016097735392</v>
      </c>
      <c r="GD141" s="4">
        <v>-17.368951279695271</v>
      </c>
      <c r="GE141" s="4">
        <v>-17.337836164685449</v>
      </c>
      <c r="GF141" s="4">
        <v>-17.30681452442305</v>
      </c>
      <c r="GG141" s="4">
        <v>-17.275885213883019</v>
      </c>
      <c r="GH141" s="4">
        <v>-17.24504704874526</v>
      </c>
      <c r="GI141" s="4">
        <v>-17.214298803185461</v>
      </c>
      <c r="GJ141" s="4">
        <v>-17.183639207643679</v>
      </c>
      <c r="GK141" s="4">
        <v>-17.15306694659234</v>
      </c>
      <c r="GL141" s="4">
        <v>-17.122580656321791</v>
      </c>
      <c r="GM141" s="4">
        <v>-17.092178922763591</v>
      </c>
      <c r="GN141" s="4">
        <v>-17.061860279372599</v>
      </c>
      <c r="GO141" s="4">
        <v>-17.03162320508644</v>
      </c>
      <c r="GP141" s="4">
        <v>-17.00146612238402</v>
      </c>
      <c r="GQ141" s="4">
        <v>-16.97138739546153</v>
      </c>
      <c r="GR141" s="4">
        <v>-16.941385328545771</v>
      </c>
      <c r="GS141" s="4">
        <v>-16.91145816436363</v>
      </c>
      <c r="GT141" s="4">
        <v>-16.881604082784548</v>
      </c>
      <c r="GU141" s="4">
        <v>-16.851821199654282</v>
      </c>
      <c r="GV141" s="4">
        <v>-16.82210756583434</v>
      </c>
      <c r="GW141" s="4">
        <v>-16.79246116646323</v>
      </c>
      <c r="GX141" s="4">
        <v>-16.762879920451031</v>
      </c>
      <c r="GY141" s="4">
        <v>-16.733361680220831</v>
      </c>
      <c r="GZ141" s="4">
        <v>-16.703904231706691</v>
      </c>
      <c r="HA141" s="4">
        <v>-16.67450529461631</v>
      </c>
      <c r="HB141" s="4">
        <v>-16.645162522966491</v>
      </c>
      <c r="HC141" s="4">
        <v>-16.61587350589598</v>
      </c>
      <c r="HD141" s="4">
        <v>-16.58663576875912</v>
      </c>
      <c r="HE141" s="4">
        <v>-16.557446774502779</v>
      </c>
      <c r="HF141" s="4">
        <v>-16.52830392532541</v>
      </c>
      <c r="HG141" s="4">
        <v>-16.499204564617109</v>
      </c>
      <c r="HH141" s="4">
        <v>-16.470145979175999</v>
      </c>
      <c r="HI141" s="4">
        <v>-16.441125401696709</v>
      </c>
      <c r="HJ141" s="4">
        <v>-16.412140013521991</v>
      </c>
      <c r="HK141" s="4">
        <v>-16.383186947649879</v>
      </c>
      <c r="HL141" s="4">
        <v>-16.354263291985081</v>
      </c>
      <c r="HM141" s="4">
        <v>-16.32536609282241</v>
      </c>
      <c r="HN141" s="4">
        <v>-16.296492358549479</v>
      </c>
      <c r="HO141" s="4">
        <v>-16.26763906355259</v>
      </c>
      <c r="HP141" s="4">
        <v>-16.238803152310641</v>
      </c>
      <c r="HQ141" s="4">
        <v>-16.209981543659911</v>
      </c>
      <c r="HR141" s="4">
        <v>-16.181171135209919</v>
      </c>
      <c r="HS141" s="4">
        <v>-16.152368807894248</v>
      </c>
      <c r="HT141" s="4">
        <v>-16.123571430633699</v>
      </c>
      <c r="HU141" s="4">
        <v>-16.09477586509308</v>
      </c>
      <c r="HV141" s="4">
        <v>-16.06597897051093</v>
      </c>
      <c r="HW141" s="4">
        <v>-16.037177608580119</v>
      </c>
      <c r="HX141" s="4">
        <v>-16.008368648359799</v>
      </c>
      <c r="HY141" s="4">
        <v>-15.97954897119606</v>
      </c>
      <c r="HZ141" s="4">
        <v>-15.950715475631551</v>
      </c>
      <c r="IA141" s="4">
        <v>-15.92186508228253</v>
      </c>
      <c r="IB141" s="4">
        <v>-15.89299473866355</v>
      </c>
      <c r="IC141" s="4">
        <v>-15.864101423940101</v>
      </c>
      <c r="ID141" s="4">
        <v>-15.83518215359001</v>
      </c>
      <c r="IE141" s="4">
        <v>-15.806233983955231</v>
      </c>
      <c r="IF141" s="4">
        <v>-15.777254016666809</v>
      </c>
      <c r="IG141" s="4">
        <v>-15.748239402926441</v>
      </c>
      <c r="IH141" s="4">
        <v>-15.71918734762925</v>
      </c>
      <c r="II141" s="4">
        <v>-15.690095113313459</v>
      </c>
      <c r="IJ141" s="4">
        <v>-15.660960023924449</v>
      </c>
      <c r="IK141" s="4">
        <v>-15.63177946837947</v>
      </c>
      <c r="IL141" s="4">
        <v>-15.6025509039257</v>
      </c>
      <c r="IM141" s="4">
        <v>-15.57327185927832</v>
      </c>
    </row>
    <row r="142" spans="2:247" x14ac:dyDescent="0.35">
      <c r="B142" s="58">
        <v>1.26</v>
      </c>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v>-19.631138789899691</v>
      </c>
      <c r="DW142" s="4">
        <v>-19.593402785666559</v>
      </c>
      <c r="DX142" s="4">
        <v>-19.55577424575818</v>
      </c>
      <c r="DY142" s="4">
        <v>-19.518254101982571</v>
      </c>
      <c r="DZ142" s="4">
        <v>-19.480843242122109</v>
      </c>
      <c r="EA142" s="4">
        <v>-19.443542508915559</v>
      </c>
      <c r="EB142" s="4">
        <v>-19.406352699132459</v>
      </c>
      <c r="EC142" s="4">
        <v>-19.36927456274509</v>
      </c>
      <c r="ED142" s="4">
        <v>-19.332308802202569</v>
      </c>
      <c r="EE142" s="4">
        <v>-19.29545607181025</v>
      </c>
      <c r="EF142" s="4">
        <v>-19.258716977217741</v>
      </c>
      <c r="EG142" s="4">
        <v>-19.222092075019351</v>
      </c>
      <c r="EH142" s="4">
        <v>-19.18558187246801</v>
      </c>
      <c r="EI142" s="4">
        <v>-19.149186827304501</v>
      </c>
      <c r="EJ142" s="4">
        <v>-19.112907347704191</v>
      </c>
      <c r="EK142" s="4">
        <v>-19.076743792340071</v>
      </c>
      <c r="EL142" s="4">
        <v>-19.040696470562288</v>
      </c>
      <c r="EM142" s="4">
        <v>-19.004765642693911</v>
      </c>
      <c r="EN142" s="4">
        <v>-18.968951520439148</v>
      </c>
      <c r="EO142" s="4">
        <v>-18.933254267403871</v>
      </c>
      <c r="EP142" s="4">
        <v>-18.89767399972262</v>
      </c>
      <c r="EQ142" s="4">
        <v>-18.862210786789351</v>
      </c>
      <c r="ER142" s="4">
        <v>-18.826864652086979</v>
      </c>
      <c r="ES142" s="4">
        <v>-18.791635574108831</v>
      </c>
      <c r="ET142" s="4">
        <v>-18.756523487366429</v>
      </c>
      <c r="EU142" s="4">
        <v>-18.721528283476079</v>
      </c>
      <c r="EV142" s="4">
        <v>-18.686649812316261</v>
      </c>
      <c r="EW142" s="4">
        <v>-18.651887883246701</v>
      </c>
      <c r="EX142" s="4">
        <v>-18.61724226638059</v>
      </c>
      <c r="EY142" s="4">
        <v>-18.58271269389909</v>
      </c>
      <c r="EZ142" s="4">
        <v>-18.54829886139861</v>
      </c>
      <c r="FA142" s="4">
        <v>-18.514000429258921</v>
      </c>
      <c r="FB142" s="4">
        <v>-18.47981702402177</v>
      </c>
      <c r="FC142" s="4">
        <v>-18.445748239767301</v>
      </c>
      <c r="FD142" s="4">
        <v>-18.41179363947742</v>
      </c>
      <c r="FE142" s="4">
        <v>-18.37795275637313</v>
      </c>
      <c r="FF142" s="4">
        <v>-18.344225095214188</v>
      </c>
      <c r="FG142" s="4">
        <v>-18.310610133549151</v>
      </c>
      <c r="FH142" s="4">
        <v>-18.277107322903301</v>
      </c>
      <c r="FI142" s="4">
        <v>-18.24371608989339</v>
      </c>
      <c r="FJ142" s="4">
        <v>-18.21043583725729</v>
      </c>
      <c r="FK142" s="4">
        <v>-18.177265944788029</v>
      </c>
      <c r="FL142" s="4">
        <v>-18.144205770161879</v>
      </c>
      <c r="FM142" s="4">
        <v>-18.11125464965043</v>
      </c>
      <c r="FN142" s="4">
        <v>-18.07841189870798</v>
      </c>
      <c r="FO142" s="4">
        <v>-18.04567681242656</v>
      </c>
      <c r="FP142" s="4">
        <v>-18.01304866585064</v>
      </c>
      <c r="FQ142" s="4">
        <v>-17.980526714146141</v>
      </c>
      <c r="FR142" s="4">
        <v>-17.948110192618749</v>
      </c>
      <c r="FS142" s="4">
        <v>-17.915798316577259</v>
      </c>
      <c r="FT142" s="4">
        <v>-17.883590281040249</v>
      </c>
      <c r="FU142" s="4">
        <v>-17.851485260284289</v>
      </c>
      <c r="FV142" s="4">
        <v>-17.819482407234091</v>
      </c>
      <c r="FW142" s="4">
        <v>-17.787580852696429</v>
      </c>
      <c r="FX142" s="4">
        <v>-17.75577970444046</v>
      </c>
      <c r="FY142" s="4">
        <v>-17.724078046128952</v>
      </c>
      <c r="FZ142" s="4">
        <v>-17.692474936106709</v>
      </c>
      <c r="GA142" s="4">
        <v>-17.660969406052761</v>
      </c>
      <c r="GB142" s="4">
        <v>-17.629560459505839</v>
      </c>
      <c r="GC142" s="4">
        <v>-17.59824707027181</v>
      </c>
      <c r="GD142" s="4">
        <v>-17.567028180726268</v>
      </c>
      <c r="GE142" s="4">
        <v>-17.535902700022469</v>
      </c>
      <c r="GF142" s="4">
        <v>-17.504869502220469</v>
      </c>
      <c r="GG142" s="4">
        <v>-17.473927424350371</v>
      </c>
      <c r="GH142" s="4">
        <v>-17.443075264426131</v>
      </c>
      <c r="GI142" s="4">
        <v>-17.412311779426538</v>
      </c>
      <c r="GJ142" s="4">
        <v>-17.381635683259841</v>
      </c>
      <c r="GK142" s="4">
        <v>-17.35104564473016</v>
      </c>
      <c r="GL142" s="4">
        <v>-17.320540285523862</v>
      </c>
      <c r="GM142" s="4">
        <v>-17.290118178234192</v>
      </c>
      <c r="GN142" s="4">
        <v>-17.259777844442869</v>
      </c>
      <c r="GO142" s="4">
        <v>-17.229517752877349</v>
      </c>
      <c r="GP142" s="4">
        <v>-17.199336317662151</v>
      </c>
      <c r="GQ142" s="4">
        <v>-17.169231896682369</v>
      </c>
      <c r="GR142" s="4">
        <v>-17.13920279007715</v>
      </c>
      <c r="GS142" s="4">
        <v>-17.109247238880691</v>
      </c>
      <c r="GT142" s="4">
        <v>-17.079363423826479</v>
      </c>
      <c r="GU142" s="4">
        <v>-17.049549464331211</v>
      </c>
      <c r="GV142" s="4">
        <v>-17.01980341767181</v>
      </c>
      <c r="GW142" s="4">
        <v>-16.990123278370561</v>
      </c>
      <c r="GX142" s="4">
        <v>-16.960506977799302</v>
      </c>
      <c r="GY142" s="4">
        <v>-16.930952384014059</v>
      </c>
      <c r="GZ142" s="4">
        <v>-16.901457301830089</v>
      </c>
      <c r="HA142" s="4">
        <v>-16.872019473144292</v>
      </c>
      <c r="HB142" s="4">
        <v>-16.842636577512849</v>
      </c>
      <c r="HC142" s="4">
        <v>-16.813306232987749</v>
      </c>
      <c r="HD142" s="4">
        <v>-16.78402599721559</v>
      </c>
      <c r="HE142" s="4">
        <v>-16.75479336880133</v>
      </c>
      <c r="HF142" s="4">
        <v>-16.72560578893501</v>
      </c>
      <c r="HG142" s="4">
        <v>-16.69646064328079</v>
      </c>
      <c r="HH142" s="4">
        <v>-16.6673552641249</v>
      </c>
      <c r="HI142" s="4">
        <v>-16.638286932775959</v>
      </c>
      <c r="HJ142" s="4">
        <v>-16.609252882212719</v>
      </c>
      <c r="HK142" s="4">
        <v>-16.580250299969229</v>
      </c>
      <c r="HL142" s="4">
        <v>-16.551276331248729</v>
      </c>
      <c r="HM142" s="4">
        <v>-16.52232808225401</v>
      </c>
      <c r="HN142" s="4">
        <v>-16.493402623722702</v>
      </c>
      <c r="HO142" s="4">
        <v>-16.464496994652631</v>
      </c>
      <c r="HP142" s="4">
        <v>-16.435608206203071</v>
      </c>
      <c r="HQ142" s="4">
        <v>-16.406733245755159</v>
      </c>
      <c r="HR142" s="4">
        <v>-16.377869081115151</v>
      </c>
      <c r="HS142" s="4">
        <v>-16.349012664842679</v>
      </c>
      <c r="HT142" s="4">
        <v>-16.320160938685131</v>
      </c>
      <c r="HU142" s="4">
        <v>-16.291310838100241</v>
      </c>
      <c r="HV142" s="4">
        <v>-16.262459296846419</v>
      </c>
      <c r="HW142" s="4">
        <v>-16.233603251622409</v>
      </c>
      <c r="HX142" s="4">
        <v>-16.204739646735661</v>
      </c>
      <c r="HY142" s="4">
        <v>-16.175865438780558</v>
      </c>
      <c r="HZ142" s="4">
        <v>-16.14697760130554</v>
      </c>
      <c r="IA142" s="4">
        <v>-16.118073129452188</v>
      </c>
      <c r="IB142" s="4">
        <v>-16.089149044544371</v>
      </c>
      <c r="IC142" s="4">
        <v>-16.06020239861148</v>
      </c>
      <c r="ID142" s="4">
        <v>-16.031230278826701</v>
      </c>
      <c r="IE142" s="4">
        <v>-16.002229811843161</v>
      </c>
      <c r="IF142" s="4">
        <v>-15.97319816801174</v>
      </c>
      <c r="IG142" s="4">
        <v>-15.944132565465541</v>
      </c>
      <c r="IH142" s="4">
        <v>-15.91503027405583</v>
      </c>
      <c r="II142" s="4">
        <v>-15.88588861912582</v>
      </c>
      <c r="IJ142" s="4">
        <v>-15.85670498511101</v>
      </c>
      <c r="IK142" s="4">
        <v>-15.82747681895332</v>
      </c>
      <c r="IL142" s="4">
        <v>-15.79820163332028</v>
      </c>
      <c r="IM142" s="4">
        <v>-15.768877009619461</v>
      </c>
    </row>
    <row r="143" spans="2:247" x14ac:dyDescent="0.35">
      <c r="B143" s="58">
        <v>1.27</v>
      </c>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v>-19.827947206415931</v>
      </c>
      <c r="DW143" s="4">
        <v>-19.79026187054264</v>
      </c>
      <c r="DX143" s="4">
        <v>-19.75268314101552</v>
      </c>
      <c r="DY143" s="4">
        <v>-19.715211926257599</v>
      </c>
      <c r="DZ143" s="4">
        <v>-19.677849091826889</v>
      </c>
      <c r="EA143" s="4">
        <v>-19.6405954594447</v>
      </c>
      <c r="EB143" s="4">
        <v>-19.603451806113039</v>
      </c>
      <c r="EC143" s="4">
        <v>-19.566418863323729</v>
      </c>
      <c r="ED143" s="4">
        <v>-19.52949731636421</v>
      </c>
      <c r="EE143" s="4">
        <v>-19.492687803722671</v>
      </c>
      <c r="EF143" s="4">
        <v>-19.45599091659626</v>
      </c>
      <c r="EG143" s="4">
        <v>-19.419407198504381</v>
      </c>
      <c r="EH143" s="4">
        <v>-19.382937145008821</v>
      </c>
      <c r="EI143" s="4">
        <v>-19.34658120354278</v>
      </c>
      <c r="EJ143" s="4">
        <v>-19.310339773349469</v>
      </c>
      <c r="EK143" s="4">
        <v>-19.274213205529659</v>
      </c>
      <c r="EL143" s="4">
        <v>-19.23820180319872</v>
      </c>
      <c r="EM143" s="4">
        <v>-19.202305821751359</v>
      </c>
      <c r="EN143" s="4">
        <v>-19.166525469232599</v>
      </c>
      <c r="EO143" s="4">
        <v>-19.13086090681184</v>
      </c>
      <c r="EP143" s="4">
        <v>-19.09531224935704</v>
      </c>
      <c r="EQ143" s="4">
        <v>-19.059879566105469</v>
      </c>
      <c r="ER143" s="4">
        <v>-19.024562881424998</v>
      </c>
      <c r="ES143" s="4">
        <v>-18.989362175661991</v>
      </c>
      <c r="ET143" s="4">
        <v>-18.954277386067961</v>
      </c>
      <c r="EU143" s="4">
        <v>-18.919308407799861</v>
      </c>
      <c r="EV143" s="4">
        <v>-18.884455094984649</v>
      </c>
      <c r="EW143" s="4">
        <v>-18.849717261841761</v>
      </c>
      <c r="EX143" s="4">
        <v>-18.815094683853228</v>
      </c>
      <c r="EY143" s="4">
        <v>-18.780587098973271</v>
      </c>
      <c r="EZ143" s="4">
        <v>-18.746194208866768</v>
      </c>
      <c r="FA143" s="4">
        <v>-18.71191568016728</v>
      </c>
      <c r="FB143" s="4">
        <v>-18.677751145743169</v>
      </c>
      <c r="FC143" s="4">
        <v>-18.64370020596176</v>
      </c>
      <c r="FD143" s="4">
        <v>-18.60976242994003</v>
      </c>
      <c r="FE143" s="4">
        <v>-18.575937356771291</v>
      </c>
      <c r="FF143" s="4">
        <v>-18.542224496715701</v>
      </c>
      <c r="FG143" s="4">
        <v>-18.5086233323443</v>
      </c>
      <c r="FH143" s="4">
        <v>-18.475133319625449</v>
      </c>
      <c r="FI143" s="4">
        <v>-18.441753888942781</v>
      </c>
      <c r="FJ143" s="4">
        <v>-18.40848444603413</v>
      </c>
      <c r="FK143" s="4">
        <v>-18.375324372841568</v>
      </c>
      <c r="FL143" s="4">
        <v>-18.342273028263449</v>
      </c>
      <c r="FM143" s="4">
        <v>-18.309329748799261</v>
      </c>
      <c r="FN143" s="4">
        <v>-18.27649384907912</v>
      </c>
      <c r="FO143" s="4">
        <v>-18.2437646222707</v>
      </c>
      <c r="FP143" s="4">
        <v>-18.211141340357759</v>
      </c>
      <c r="FQ143" s="4">
        <v>-18.178623254283622</v>
      </c>
      <c r="FR143" s="4">
        <v>-18.14620959395663</v>
      </c>
      <c r="FS143" s="4">
        <v>-18.113899568112839</v>
      </c>
      <c r="FT143" s="4">
        <v>-18.081692364035259</v>
      </c>
      <c r="FU143" s="4">
        <v>-18.049587147127799</v>
      </c>
      <c r="FV143" s="4">
        <v>-18.017583060344389</v>
      </c>
      <c r="FW143" s="4">
        <v>-17.98567922347533</v>
      </c>
      <c r="FX143" s="4">
        <v>-17.953874732293482</v>
      </c>
      <c r="FY143" s="4">
        <v>-17.922168657564828</v>
      </c>
      <c r="FZ143" s="4">
        <v>-17.890560043928339</v>
      </c>
      <c r="GA143" s="4">
        <v>-17.85904790865326</v>
      </c>
      <c r="GB143" s="4">
        <v>-17.827631240280301</v>
      </c>
      <c r="GC143" s="4">
        <v>-17.79630899715783</v>
      </c>
      <c r="GD143" s="4">
        <v>-17.765080105882081</v>
      </c>
      <c r="GE143" s="4">
        <v>-17.733943459654</v>
      </c>
      <c r="GF143" s="4">
        <v>-17.702897916565071</v>
      </c>
      <c r="GG143" s="4">
        <v>-17.671942297825741</v>
      </c>
      <c r="GH143" s="4">
        <v>-17.641075385950931</v>
      </c>
      <c r="GI143" s="4">
        <v>-17.61029592291807</v>
      </c>
      <c r="GJ143" s="4">
        <v>-17.57960260831317</v>
      </c>
      <c r="GK143" s="4">
        <v>-17.548994097481788</v>
      </c>
      <c r="GL143" s="4">
        <v>-17.518468999701401</v>
      </c>
      <c r="GM143" s="4">
        <v>-17.488025876392239</v>
      </c>
      <c r="GN143" s="4">
        <v>-17.45766323938415</v>
      </c>
      <c r="GO143" s="4">
        <v>-17.427379549256109</v>
      </c>
      <c r="GP143" s="4">
        <v>-17.397173213766301</v>
      </c>
      <c r="GQ143" s="4">
        <v>-17.367042586388539</v>
      </c>
      <c r="GR143" s="4">
        <v>-17.336985964972389</v>
      </c>
      <c r="GS143" s="4">
        <v>-17.30700159054209</v>
      </c>
      <c r="GT143" s="4">
        <v>-17.277087646249988</v>
      </c>
      <c r="GU143" s="4">
        <v>-17.24724225649841</v>
      </c>
      <c r="GV143" s="4">
        <v>-17.217463486243791</v>
      </c>
      <c r="GW143" s="4">
        <v>-17.187749340495291</v>
      </c>
      <c r="GX143" s="4">
        <v>-17.158097764019111</v>
      </c>
      <c r="GY143" s="4">
        <v>-17.12850664125887</v>
      </c>
      <c r="GZ143" s="4">
        <v>-17.09897379648033</v>
      </c>
      <c r="HA143" s="4">
        <v>-17.069496994148491</v>
      </c>
      <c r="HB143" s="4">
        <v>-17.04007393954236</v>
      </c>
      <c r="HC143" s="4">
        <v>-17.010702279612179</v>
      </c>
      <c r="HD143" s="4">
        <v>-16.98137960408182</v>
      </c>
      <c r="HE143" s="4">
        <v>-16.952103446798379</v>
      </c>
      <c r="HF143" s="4">
        <v>-16.922871287327268</v>
      </c>
      <c r="HG143" s="4">
        <v>-16.893680552793231</v>
      </c>
      <c r="HH143" s="4">
        <v>-16.864528619961291</v>
      </c>
      <c r="HI143" s="4">
        <v>-16.835412817555699</v>
      </c>
      <c r="HJ143" s="4">
        <v>-16.806330428807829</v>
      </c>
      <c r="HK143" s="4">
        <v>-16.777278694227089</v>
      </c>
      <c r="HL143" s="4">
        <v>-16.74825481458501</v>
      </c>
      <c r="HM143" s="4">
        <v>-16.71925595410184</v>
      </c>
      <c r="HN143" s="4">
        <v>-16.690279243824168</v>
      </c>
      <c r="HO143" s="4">
        <v>-16.66132178518075</v>
      </c>
      <c r="HP143" s="4">
        <v>-16.632380653702398</v>
      </c>
      <c r="HQ143" s="4">
        <v>-16.603452902891021</v>
      </c>
      <c r="HR143" s="4">
        <v>-16.574535568222551</v>
      </c>
      <c r="HS143" s="4">
        <v>-16.545625671266261</v>
      </c>
      <c r="HT143" s="4">
        <v>-16.516720223904549</v>
      </c>
      <c r="HU143" s="4">
        <v>-16.487816232634749</v>
      </c>
      <c r="HV143" s="4">
        <v>-16.45891070293537</v>
      </c>
      <c r="HW143" s="4">
        <v>-16.430000643678031</v>
      </c>
      <c r="HX143" s="4">
        <v>-16.401083071567829</v>
      </c>
      <c r="HY143" s="4">
        <v>-16.372155015592199</v>
      </c>
      <c r="HZ143" s="4">
        <v>-16.34321352146134</v>
      </c>
      <c r="IA143" s="4">
        <v>-16.314255656021079</v>
      </c>
      <c r="IB143" s="4">
        <v>-16.285278511621691</v>
      </c>
      <c r="IC143" s="4">
        <v>-16.256279210423671</v>
      </c>
      <c r="ID143" s="4">
        <v>-16.2272549086255</v>
      </c>
      <c r="IE143" s="4">
        <v>-16.198202800596011</v>
      </c>
      <c r="IF143" s="4">
        <v>-16.169120122896391</v>
      </c>
      <c r="IG143" s="4">
        <v>-16.140004158177561</v>
      </c>
      <c r="IH143" s="4">
        <v>-16.11085223893873</v>
      </c>
      <c r="II143" s="4">
        <v>-16.081661751134821</v>
      </c>
      <c r="IJ143" s="4">
        <v>-16.052430137620181</v>
      </c>
      <c r="IK143" s="4">
        <v>-16.023154901419449</v>
      </c>
      <c r="IL143" s="4">
        <v>-15.993833608814221</v>
      </c>
      <c r="IM143" s="4">
        <v>-15.96446389223831</v>
      </c>
    </row>
    <row r="144" spans="2:247" x14ac:dyDescent="0.35">
      <c r="B144" s="58">
        <v>1.28</v>
      </c>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v>-20.024776300333581</v>
      </c>
      <c r="DW144" s="4">
        <v>-19.987140732220929</v>
      </c>
      <c r="DX144" s="4">
        <v>-19.94961091943021</v>
      </c>
      <c r="DY144" s="4">
        <v>-19.91218774760172</v>
      </c>
      <c r="DZ144" s="4">
        <v>-19.874872060619769</v>
      </c>
      <c r="EA144" s="4">
        <v>-19.837664659685199</v>
      </c>
      <c r="EB144" s="4">
        <v>-19.800566302471221</v>
      </c>
      <c r="EC144" s="4">
        <v>-19.763577702367389</v>
      </c>
      <c r="ED144" s="4">
        <v>-19.72669952781407</v>
      </c>
      <c r="EE144" s="4">
        <v>-19.689932401731301</v>
      </c>
      <c r="EF144" s="4">
        <v>-19.653276901044499</v>
      </c>
      <c r="EG144" s="4">
        <v>-19.616733556309381</v>
      </c>
      <c r="EH144" s="4">
        <v>-19.580302851437171</v>
      </c>
      <c r="EI144" s="4">
        <v>-19.543985223522458</v>
      </c>
      <c r="EJ144" s="4">
        <v>-19.507781062773081</v>
      </c>
      <c r="EK144" s="4">
        <v>-19.471690712542959</v>
      </c>
      <c r="EL144" s="4">
        <v>-19.4357144694666</v>
      </c>
      <c r="EM144" s="4">
        <v>-19.399852583695228</v>
      </c>
      <c r="EN144" s="4">
        <v>-19.364105259230602</v>
      </c>
      <c r="EO144" s="4">
        <v>-19.32847265435651</v>
      </c>
      <c r="EP144" s="4">
        <v>-19.292954882162679</v>
      </c>
      <c r="EQ144" s="4">
        <v>-19.257552011158211</v>
      </c>
      <c r="ER144" s="4">
        <v>-19.22226406597002</v>
      </c>
      <c r="ES144" s="4">
        <v>-19.18709102812052</v>
      </c>
      <c r="ET144" s="4">
        <v>-19.152032836879489</v>
      </c>
      <c r="EU144" s="4">
        <v>-19.117089390182461</v>
      </c>
      <c r="EV144" s="4">
        <v>-19.082260545610211</v>
      </c>
      <c r="EW144" s="4">
        <v>-19.04754612141992</v>
      </c>
      <c r="EX144" s="4">
        <v>-19.01294589762146</v>
      </c>
      <c r="EY144" s="4">
        <v>-18.978459617088522</v>
      </c>
      <c r="EZ144" s="4">
        <v>-18.944086986697179</v>
      </c>
      <c r="FA144" s="4">
        <v>-18.909827678481189</v>
      </c>
      <c r="FB144" s="4">
        <v>-18.875681330794599</v>
      </c>
      <c r="FC144" s="4">
        <v>-18.841647549472061</v>
      </c>
      <c r="FD144" s="4">
        <v>-18.807725908975922</v>
      </c>
      <c r="FE144" s="4">
        <v>-18.77391595352017</v>
      </c>
      <c r="FF144" s="4">
        <v>-18.740217198161499</v>
      </c>
      <c r="FG144" s="4">
        <v>-18.706629129845989</v>
      </c>
      <c r="FH144" s="4">
        <v>-18.67315120840205</v>
      </c>
      <c r="FI144" s="4">
        <v>-18.63978286747037</v>
      </c>
      <c r="FJ144" s="4">
        <v>-18.606523515359729</v>
      </c>
      <c r="FK144" s="4">
        <v>-18.573372535821171</v>
      </c>
      <c r="FL144" s="4">
        <v>-18.54032928873081</v>
      </c>
      <c r="FM144" s="4">
        <v>-18.507393110673949</v>
      </c>
      <c r="FN144" s="4">
        <v>-18.47456331542265</v>
      </c>
      <c r="FO144" s="4">
        <v>-18.441839194300311</v>
      </c>
      <c r="FP144" s="4">
        <v>-18.409220016427881</v>
      </c>
      <c r="FQ144" s="4">
        <v>-18.37670502884604</v>
      </c>
      <c r="FR144" s="4">
        <v>-18.34429345651025</v>
      </c>
      <c r="FS144" s="4">
        <v>-18.311984502155081</v>
      </c>
      <c r="FT144" s="4">
        <v>-18.279777346026819</v>
      </c>
      <c r="FU144" s="4">
        <v>-18.24767114548294</v>
      </c>
      <c r="FV144" s="4">
        <v>-18.215665034459469</v>
      </c>
      <c r="FW144" s="4">
        <v>-18.183758122807468</v>
      </c>
      <c r="FX144" s="4">
        <v>-18.151949495502119</v>
      </c>
      <c r="FY144" s="4">
        <v>-18.120238211728068</v>
      </c>
      <c r="FZ144" s="4">
        <v>-18.088623303846159</v>
      </c>
      <c r="GA144" s="4">
        <v>-18.057103776248571</v>
      </c>
      <c r="GB144" s="4">
        <v>-18.02567860410997</v>
      </c>
      <c r="GC144" s="4">
        <v>-17.994346732042509</v>
      </c>
      <c r="GD144" s="4">
        <v>-17.963107072666091</v>
      </c>
      <c r="GE144" s="4">
        <v>-17.931958505103271</v>
      </c>
      <c r="GF144" s="4">
        <v>-17.900899873411461</v>
      </c>
      <c r="GG144" s="4">
        <v>-17.869929984965079</v>
      </c>
      <c r="GH144" s="4">
        <v>-17.839047608800389</v>
      </c>
      <c r="GI144" s="4">
        <v>-17.80825147393848</v>
      </c>
      <c r="GJ144" s="4">
        <v>-17.77754026769956</v>
      </c>
      <c r="GK144" s="4">
        <v>-17.746912634024909</v>
      </c>
      <c r="GL144" s="4">
        <v>-17.716367171821862</v>
      </c>
      <c r="GM144" s="4">
        <v>-17.685902433346989</v>
      </c>
      <c r="GN144" s="4">
        <v>-17.65551692264448</v>
      </c>
      <c r="GO144" s="4">
        <v>-17.62520909405416</v>
      </c>
      <c r="GP144" s="4">
        <v>-17.594977350806762</v>
      </c>
      <c r="GQ144" s="4">
        <v>-17.564820043720129</v>
      </c>
      <c r="GR144" s="4">
        <v>-17.534735470012858</v>
      </c>
      <c r="GS144" s="4">
        <v>-17.504721872249259</v>
      </c>
      <c r="GT144" s="4">
        <v>-17.474777437429719</v>
      </c>
      <c r="GU144" s="4">
        <v>-17.444900296240199</v>
      </c>
      <c r="GV144" s="4">
        <v>-17.41508852247247</v>
      </c>
      <c r="GW144" s="4">
        <v>-17.385340132627348</v>
      </c>
      <c r="GX144" s="4">
        <v>-17.3556530857105</v>
      </c>
      <c r="GY144" s="4">
        <v>-17.326025283230891</v>
      </c>
      <c r="GZ144" s="4">
        <v>-17.296454569409651</v>
      </c>
      <c r="HA144" s="4">
        <v>-17.266938731605361</v>
      </c>
      <c r="HB144" s="4">
        <v>-17.23747550096283</v>
      </c>
      <c r="HC144" s="4">
        <v>-17.208062553287689</v>
      </c>
      <c r="HD144" s="4">
        <v>-17.178697510150851</v>
      </c>
      <c r="HE144" s="4">
        <v>-17.149377940222951</v>
      </c>
      <c r="HF144" s="4">
        <v>-17.120101360839492</v>
      </c>
      <c r="HG144" s="4">
        <v>-17.09086523979413</v>
      </c>
      <c r="HH144" s="4">
        <v>-17.06166699735779</v>
      </c>
      <c r="HI144" s="4">
        <v>-17.032504008518369</v>
      </c>
      <c r="HJ144" s="4">
        <v>-17.00337360543573</v>
      </c>
      <c r="HK144" s="4">
        <v>-16.974273080103991</v>
      </c>
      <c r="HL144" s="4">
        <v>-16.945199687213449</v>
      </c>
      <c r="HM144" s="4">
        <v>-16.916150647201601</v>
      </c>
      <c r="HN144" s="4">
        <v>-16.887123149482861</v>
      </c>
      <c r="HO144" s="4">
        <v>-16.858114355844329</v>
      </c>
      <c r="HP144" s="4">
        <v>-16.82912140399565</v>
      </c>
      <c r="HQ144" s="4">
        <v>-16.800141411258121</v>
      </c>
      <c r="HR144" s="4">
        <v>-16.77117147837868</v>
      </c>
      <c r="HS144" s="4">
        <v>-16.742208693453851</v>
      </c>
      <c r="HT144" s="4">
        <v>-16.713250135946939</v>
      </c>
      <c r="HU144" s="4">
        <v>-16.684292880782738</v>
      </c>
      <c r="HV144" s="4">
        <v>-16.655334002502631</v>
      </c>
      <c r="HW144" s="4">
        <v>-16.626370579463011</v>
      </c>
      <c r="HX144" s="4">
        <v>-16.597399698059931</v>
      </c>
      <c r="HY144" s="4">
        <v>-16.56841845696345</v>
      </c>
      <c r="HZ144" s="4">
        <v>-16.539423971342909</v>
      </c>
      <c r="IA144" s="4">
        <v>-16.510413377068449</v>
      </c>
      <c r="IB144" s="4">
        <v>-16.481383834869941</v>
      </c>
      <c r="IC144" s="4">
        <v>-16.452332534439329</v>
      </c>
      <c r="ID144" s="4">
        <v>-16.423256698458321</v>
      </c>
      <c r="IE144" s="4">
        <v>-16.39415358653882</v>
      </c>
      <c r="IF144" s="4">
        <v>-16.365020499059099</v>
      </c>
      <c r="IG144" s="4">
        <v>-16.335854780884489</v>
      </c>
      <c r="IH144" s="4">
        <v>-16.306653824956999</v>
      </c>
      <c r="II144" s="4">
        <v>-16.277415075744791</v>
      </c>
      <c r="IJ144" s="4">
        <v>-16.24813603253747</v>
      </c>
      <c r="IK144" s="4">
        <v>-16.21881425257946</v>
      </c>
      <c r="IL144" s="4">
        <v>-16.189447354030449</v>
      </c>
      <c r="IM144" s="4">
        <v>-16.1600330187464</v>
      </c>
    </row>
    <row r="145" spans="2:247" x14ac:dyDescent="0.35">
      <c r="B145" s="58">
        <v>1.29</v>
      </c>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v>-20.221625084360181</v>
      </c>
      <c r="DW145" s="4">
        <v>-20.18403839568764</v>
      </c>
      <c r="DX145" s="4">
        <v>-20.146556618063549</v>
      </c>
      <c r="DY145" s="4">
        <v>-20.109180614918369</v>
      </c>
      <c r="DZ145" s="4">
        <v>-20.07191120898748</v>
      </c>
      <c r="EA145" s="4">
        <v>-20.034749181423969</v>
      </c>
      <c r="EB145" s="4">
        <v>-19.99769527099086</v>
      </c>
      <c r="EC145" s="4">
        <v>-19.96075017333612</v>
      </c>
      <c r="ED145" s="4">
        <v>-19.923914540354179</v>
      </c>
      <c r="EE145" s="4">
        <v>-19.887188979636012</v>
      </c>
      <c r="EF145" s="4">
        <v>-19.850574054010622</v>
      </c>
      <c r="EG145" s="4">
        <v>-19.814070281180001</v>
      </c>
      <c r="EH145" s="4">
        <v>-19.777678133448742</v>
      </c>
      <c r="EI145" s="4">
        <v>-19.741398037549271</v>
      </c>
      <c r="EJ145" s="4">
        <v>-19.705230374564</v>
      </c>
      <c r="EK145" s="4">
        <v>-19.669175479942641</v>
      </c>
      <c r="EL145" s="4">
        <v>-19.633233643616109</v>
      </c>
      <c r="EM145" s="4">
        <v>-19.597405110203631</v>
      </c>
      <c r="EN145" s="4">
        <v>-19.56169007931322</v>
      </c>
      <c r="EO145" s="4">
        <v>-19.52608870593129</v>
      </c>
      <c r="EP145" s="4">
        <v>-19.490601100899841</v>
      </c>
      <c r="EQ145" s="4">
        <v>-19.455227331476049</v>
      </c>
      <c r="ER145" s="4">
        <v>-19.41996742197124</v>
      </c>
      <c r="ES145" s="4">
        <v>-19.384821354463501</v>
      </c>
      <c r="ET145" s="4">
        <v>-19.349789069578542</v>
      </c>
      <c r="EU145" s="4">
        <v>-19.314870467333161</v>
      </c>
      <c r="EV145" s="4">
        <v>-19.280065408033749</v>
      </c>
      <c r="EW145" s="4">
        <v>-19.24537371322398</v>
      </c>
      <c r="EX145" s="4">
        <v>-19.21079516667255</v>
      </c>
      <c r="EY145" s="4">
        <v>-19.176329515394212</v>
      </c>
      <c r="EZ145" s="4">
        <v>-19.1419764706948</v>
      </c>
      <c r="FA145" s="4">
        <v>-19.107735709231939</v>
      </c>
      <c r="FB145" s="4">
        <v>-19.073606874081769</v>
      </c>
      <c r="FC145" s="4">
        <v>-19.039589575803411</v>
      </c>
      <c r="FD145" s="4">
        <v>-19.005683393490472</v>
      </c>
      <c r="FE145" s="4">
        <v>-18.97188787580107</v>
      </c>
      <c r="FF145" s="4">
        <v>-18.938202541956681</v>
      </c>
      <c r="FG145" s="4">
        <v>-18.90462688269983</v>
      </c>
      <c r="FH145" s="4">
        <v>-18.871160361201841</v>
      </c>
      <c r="FI145" s="4">
        <v>-18.837802413911611</v>
      </c>
      <c r="FJ145" s="4">
        <v>-18.804552451336441</v>
      </c>
      <c r="FK145" s="4">
        <v>-18.771409858746541</v>
      </c>
      <c r="FL145" s="4">
        <v>-18.738373996795691</v>
      </c>
      <c r="FM145" s="4">
        <v>-18.70544420205049</v>
      </c>
      <c r="FN145" s="4">
        <v>-18.672619787421059</v>
      </c>
      <c r="FO145" s="4">
        <v>-18.639900042488659</v>
      </c>
      <c r="FP145" s="4">
        <v>-18.607284233723028</v>
      </c>
      <c r="FQ145" s="4">
        <v>-18.57477160458696</v>
      </c>
      <c r="FR145" s="4">
        <v>-18.542361375523271</v>
      </c>
      <c r="FS145" s="4">
        <v>-18.510052743822492</v>
      </c>
      <c r="FT145" s="4">
        <v>-18.477844883369539</v>
      </c>
      <c r="FU145" s="4">
        <v>-18.44573694426861</v>
      </c>
      <c r="FV145" s="4">
        <v>-18.41372805234754</v>
      </c>
      <c r="FW145" s="4">
        <v>-18.381817308542551</v>
      </c>
      <c r="FX145" s="4">
        <v>-18.350003788167129</v>
      </c>
      <c r="FY145" s="4">
        <v>-18.318286540067799</v>
      </c>
      <c r="FZ145" s="4">
        <v>-18.286664585673211</v>
      </c>
      <c r="GA145" s="4">
        <v>-18.25513691794146</v>
      </c>
      <c r="GB145" s="4">
        <v>-18.22370250021325</v>
      </c>
      <c r="GC145" s="4">
        <v>-18.192360264979492</v>
      </c>
      <c r="GD145" s="4">
        <v>-18.161109112571971</v>
      </c>
      <c r="GE145" s="4">
        <v>-18.1299479097875</v>
      </c>
      <c r="GF145" s="4">
        <v>-18.098875488456748</v>
      </c>
      <c r="GG145" s="4">
        <v>-18.067890643968749</v>
      </c>
      <c r="GH145" s="4">
        <v>-18.036992133764709</v>
      </c>
      <c r="GI145" s="4">
        <v>-18.006178675813391</v>
      </c>
      <c r="GJ145" s="4">
        <v>-17.975448947082111</v>
      </c>
      <c r="GK145" s="4">
        <v>-17.944801582017082</v>
      </c>
      <c r="GL145" s="4">
        <v>-17.914235171048261</v>
      </c>
      <c r="GM145" s="4">
        <v>-17.883748259132361</v>
      </c>
      <c r="GN145" s="4">
        <v>-17.853339344349301</v>
      </c>
      <c r="GO145" s="4">
        <v>-17.823006876567071</v>
      </c>
      <c r="GP145" s="4">
        <v>-17.792749256188589</v>
      </c>
      <c r="GQ145" s="4">
        <v>-17.76256483299623</v>
      </c>
      <c r="GR145" s="4">
        <v>-17.732451905106561</v>
      </c>
      <c r="GS145" s="4">
        <v>-17.70240871805019</v>
      </c>
      <c r="GT145" s="4">
        <v>-17.67243346398822</v>
      </c>
      <c r="GU145" s="4">
        <v>-17.642524281078892</v>
      </c>
      <c r="GV145" s="4">
        <v>-17.61267925300465</v>
      </c>
      <c r="GW145" s="4">
        <v>-17.58289640867136</v>
      </c>
      <c r="GX145" s="4">
        <v>-17.553173722087521</v>
      </c>
      <c r="GY145" s="4">
        <v>-17.5235091124345</v>
      </c>
      <c r="GZ145" s="4">
        <v>-17.493900444332439</v>
      </c>
      <c r="HA145" s="4">
        <v>-17.464345528310471</v>
      </c>
      <c r="HB145" s="4">
        <v>-17.434842121484241</v>
      </c>
      <c r="HC145" s="4">
        <v>-17.405387928446299</v>
      </c>
      <c r="HD145" s="4">
        <v>-17.375980602369911</v>
      </c>
      <c r="HE145" s="4">
        <v>-17.34661774632913</v>
      </c>
      <c r="HF145" s="4">
        <v>-17.317296914833431</v>
      </c>
      <c r="HG145" s="4">
        <v>-17.2880156155761</v>
      </c>
      <c r="HH145" s="4">
        <v>-17.258771311393421</v>
      </c>
      <c r="HI145" s="4">
        <v>-17.229561422429871</v>
      </c>
      <c r="HJ145" s="4">
        <v>-17.200383328504699</v>
      </c>
      <c r="HK145" s="4">
        <v>-17.17123437167167</v>
      </c>
      <c r="HL145" s="4">
        <v>-17.142111858965951</v>
      </c>
      <c r="HM145" s="4">
        <v>-17.113013065327038</v>
      </c>
      <c r="HN145" s="4">
        <v>-17.083935236689332</v>
      </c>
      <c r="HO145" s="4">
        <v>-17.054875593227319</v>
      </c>
      <c r="HP145" s="4">
        <v>-17.025831332745511</v>
      </c>
      <c r="HQ145" s="4">
        <v>-16.996799634198059</v>
      </c>
      <c r="HR145" s="4">
        <v>-16.96777766132541</v>
      </c>
      <c r="HS145" s="4">
        <v>-16.938762566394079</v>
      </c>
      <c r="HT145" s="4">
        <v>-16.90975149402372</v>
      </c>
      <c r="HU145" s="4">
        <v>-16.880741585086781</v>
      </c>
      <c r="HV145" s="4">
        <v>-16.85172998066496</v>
      </c>
      <c r="HW145" s="4">
        <v>-16.82271382604667</v>
      </c>
      <c r="HX145" s="4">
        <v>-16.79369027474916</v>
      </c>
      <c r="HY145" s="4">
        <v>-16.764656492549481</v>
      </c>
      <c r="HZ145" s="4">
        <v>-16.735609661508668</v>
      </c>
      <c r="IA145" s="4">
        <v>-16.706546983972419</v>
      </c>
      <c r="IB145" s="4">
        <v>-16.67746568653353</v>
      </c>
      <c r="IC145" s="4">
        <v>-16.64836302394076</v>
      </c>
      <c r="ID145" s="4">
        <v>-16.619236282938719</v>
      </c>
      <c r="IE145" s="4">
        <v>-16.59008278602575</v>
      </c>
      <c r="IF145" s="4">
        <v>-16.560899895114979</v>
      </c>
      <c r="IG145" s="4">
        <v>-16.531685015086818</v>
      </c>
      <c r="IH145" s="4">
        <v>-16.502435597219289</v>
      </c>
      <c r="II145" s="4">
        <v>-16.473149142486339</v>
      </c>
      <c r="IJ145" s="4">
        <v>-16.443823204712452</v>
      </c>
      <c r="IK145" s="4">
        <v>-16.414455393574869</v>
      </c>
      <c r="IL145" s="4">
        <v>-16.385043377443409</v>
      </c>
      <c r="IM145" s="4">
        <v>-16.355584886052149</v>
      </c>
    </row>
    <row r="146" spans="2:247" x14ac:dyDescent="0.35">
      <c r="B146" s="58">
        <v>1.3</v>
      </c>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v>-20.418492598614598</v>
      </c>
      <c r="DW146" s="4">
        <v>-20.380953913186591</v>
      </c>
      <c r="DX146" s="4">
        <v>-20.343519301095611</v>
      </c>
      <c r="DY146" s="4">
        <v>-20.306189604108681</v>
      </c>
      <c r="DZ146" s="4">
        <v>-20.268965624312511</v>
      </c>
      <c r="EA146" s="4">
        <v>-20.231848123263951</v>
      </c>
      <c r="EB146" s="4">
        <v>-20.19483782121522</v>
      </c>
      <c r="EC146" s="4">
        <v>-20.15793539641858</v>
      </c>
      <c r="ED146" s="4">
        <v>-20.121141484511529</v>
      </c>
      <c r="EE146" s="4">
        <v>-20.084456677986619</v>
      </c>
      <c r="EF146" s="4">
        <v>-20.04788152574725</v>
      </c>
      <c r="EG146" s="4">
        <v>-20.01141653275144</v>
      </c>
      <c r="EH146" s="4">
        <v>-19.975062159744581</v>
      </c>
      <c r="EI146" s="4">
        <v>-19.938818823082329</v>
      </c>
      <c r="EJ146" s="4">
        <v>-19.902686894643761</v>
      </c>
      <c r="EK146" s="4">
        <v>-19.866666701834969</v>
      </c>
      <c r="EL146" s="4">
        <v>-19.83075852768156</v>
      </c>
      <c r="EM146" s="4">
        <v>-19.794962611009911</v>
      </c>
      <c r="EN146" s="4">
        <v>-19.75927914671426</v>
      </c>
      <c r="EO146" s="4">
        <v>-19.72370828610822</v>
      </c>
      <c r="EP146" s="4">
        <v>-19.688250137356651</v>
      </c>
      <c r="EQ146" s="4">
        <v>-19.652904765985738</v>
      </c>
      <c r="ER146" s="4">
        <v>-19.617672195465509</v>
      </c>
      <c r="ES146" s="4">
        <v>-19.58255240786173</v>
      </c>
      <c r="ET146" s="4">
        <v>-19.547545344550819</v>
      </c>
      <c r="EU146" s="4">
        <v>-19.512650906992491</v>
      </c>
      <c r="EV146" s="4">
        <v>-19.477868957554101</v>
      </c>
      <c r="EW146" s="4">
        <v>-19.443199320379389</v>
      </c>
      <c r="EX146" s="4">
        <v>-19.408641782295138</v>
      </c>
      <c r="EY146" s="4">
        <v>-19.374196093747749</v>
      </c>
      <c r="EZ146" s="4">
        <v>-19.33986196976219</v>
      </c>
      <c r="FA146" s="4">
        <v>-19.30563909091477</v>
      </c>
      <c r="FB146" s="4">
        <v>-19.27152710431189</v>
      </c>
      <c r="FC146" s="4">
        <v>-19.237525624565119</v>
      </c>
      <c r="FD146" s="4">
        <v>-19.203634234755778</v>
      </c>
      <c r="FE146" s="4">
        <v>-19.169852487377739</v>
      </c>
      <c r="FF146" s="4">
        <v>-19.136179905251751</v>
      </c>
      <c r="FG146" s="4">
        <v>-19.102615982401709</v>
      </c>
      <c r="FH146" s="4">
        <v>-19.069160184884179</v>
      </c>
      <c r="FI146" s="4">
        <v>-19.035811951563481</v>
      </c>
      <c r="FJ146" s="4">
        <v>-19.002570694823639</v>
      </c>
      <c r="FK146" s="4">
        <v>-18.969435801210111</v>
      </c>
      <c r="FL146" s="4">
        <v>-18.936406631993901</v>
      </c>
      <c r="FM146" s="4">
        <v>-18.903482523651231</v>
      </c>
      <c r="FN146" s="4">
        <v>-18.87066278825327</v>
      </c>
      <c r="FO146" s="4">
        <v>-18.837946713759429</v>
      </c>
      <c r="FP146" s="4">
        <v>-18.805333564211221</v>
      </c>
      <c r="FQ146" s="4">
        <v>-18.772822579820762</v>
      </c>
      <c r="FR146" s="4">
        <v>-18.740412976952889</v>
      </c>
      <c r="FS146" s="4">
        <v>-18.708103947996889</v>
      </c>
      <c r="FT146" s="4">
        <v>-18.675894661128009</v>
      </c>
      <c r="FU146" s="4">
        <v>-18.643784259957819</v>
      </c>
      <c r="FV146" s="4">
        <v>-18.611771863073681</v>
      </c>
      <c r="FW146" s="4">
        <v>-18.57985656347066</v>
      </c>
      <c r="FX146" s="4">
        <v>-18.548037427876139</v>
      </c>
      <c r="FY146" s="4">
        <v>-18.516313495973581</v>
      </c>
      <c r="FZ146" s="4">
        <v>-18.484683779527948</v>
      </c>
      <c r="GA146" s="4">
        <v>-18.453147261419961</v>
      </c>
      <c r="GB146" s="4">
        <v>-18.42170289459569</v>
      </c>
      <c r="GC146" s="4">
        <v>-18.3903496009384</v>
      </c>
      <c r="GD146" s="4">
        <v>-18.359086270072549</v>
      </c>
      <c r="GE146" s="4">
        <v>-18.327911758108041</v>
      </c>
      <c r="GF146" s="4">
        <v>-18.2968248863361</v>
      </c>
      <c r="GG146" s="4">
        <v>-18.265824439887069</v>
      </c>
      <c r="GH146" s="4">
        <v>-18.234909166361849</v>
      </c>
      <c r="GI146" s="4">
        <v>-18.204077774449491</v>
      </c>
      <c r="GJ146" s="4">
        <v>-18.17332893254294</v>
      </c>
      <c r="GK146" s="4">
        <v>-18.142661267366972</v>
      </c>
      <c r="GL146" s="4">
        <v>-18.112073362630561</v>
      </c>
      <c r="GM146" s="4">
        <v>-18.081563757718019</v>
      </c>
      <c r="GN146" s="4">
        <v>-18.051130946432171</v>
      </c>
      <c r="GO146" s="4">
        <v>-18.020773375803049</v>
      </c>
      <c r="GP146" s="4">
        <v>-17.99048944497634</v>
      </c>
      <c r="GQ146" s="4">
        <v>-17.960277504193339</v>
      </c>
      <c r="GR146" s="4">
        <v>-17.930135853876809</v>
      </c>
      <c r="GS146" s="4">
        <v>-17.900062743834571</v>
      </c>
      <c r="GT146" s="4">
        <v>-17.870056372592341</v>
      </c>
      <c r="GU146" s="4">
        <v>-17.840114886867841</v>
      </c>
      <c r="GV146" s="4">
        <v>-17.810236381196049</v>
      </c>
      <c r="GW146" s="4">
        <v>-17.78041889771589</v>
      </c>
      <c r="GX146" s="4">
        <v>-17.750660426126672</v>
      </c>
      <c r="GY146" s="4">
        <v>-17.72095890382224</v>
      </c>
      <c r="GZ146" s="4">
        <v>-17.69131221621026</v>
      </c>
      <c r="HA146" s="4">
        <v>-17.66171819722085</v>
      </c>
      <c r="HB146" s="4">
        <v>-17.63217463001132</v>
      </c>
      <c r="HC146" s="4">
        <v>-17.602679247868249</v>
      </c>
      <c r="HD146" s="4">
        <v>-17.573229735310228</v>
      </c>
      <c r="HE146" s="4">
        <v>-17.543823729392571</v>
      </c>
      <c r="HF146" s="4">
        <v>-17.514458821212191</v>
      </c>
      <c r="HG146" s="4">
        <v>-17.485132557613049</v>
      </c>
      <c r="HH146" s="4">
        <v>-17.45584244308743</v>
      </c>
      <c r="HI146" s="4">
        <v>-17.426585941871188</v>
      </c>
      <c r="HJ146" s="4">
        <v>-17.397360480225409</v>
      </c>
      <c r="HK146" s="4">
        <v>-17.36816344890029</v>
      </c>
      <c r="HL146" s="4">
        <v>-17.338992205772509</v>
      </c>
      <c r="HM146" s="4">
        <v>-17.309844078648151</v>
      </c>
      <c r="HN146" s="4">
        <v>-17.280716368221309</v>
      </c>
      <c r="HO146" s="4">
        <v>-17.251606351178498</v>
      </c>
      <c r="HP146" s="4">
        <v>-17.22251128343682</v>
      </c>
      <c r="HQ146" s="4">
        <v>-17.1934284035048</v>
      </c>
      <c r="HR146" s="4">
        <v>-17.16435493595219</v>
      </c>
      <c r="HS146" s="4">
        <v>-17.135288094976438</v>
      </c>
      <c r="HT146" s="4">
        <v>-17.106225088050149</v>
      </c>
      <c r="HU146" s="4">
        <v>-17.0771631196383</v>
      </c>
      <c r="HV146" s="4">
        <v>-17.048099394966911</v>
      </c>
      <c r="HW146" s="4">
        <v>-17.019031123831549</v>
      </c>
      <c r="HX146" s="4">
        <v>-16.989955524428421</v>
      </c>
      <c r="HY146" s="4">
        <v>-16.960869827194578</v>
      </c>
      <c r="HZ146" s="4">
        <v>-16.931771278641421</v>
      </c>
      <c r="IA146" s="4">
        <v>-16.902657145166771</v>
      </c>
      <c r="IB146" s="4">
        <v>-16.873524716831259</v>
      </c>
      <c r="IC146" s="4">
        <v>-16.84437131108513</v>
      </c>
      <c r="ID146" s="4">
        <v>-16.815194276429821</v>
      </c>
      <c r="IE146" s="4">
        <v>-16.78599099600412</v>
      </c>
      <c r="IF146" s="4">
        <v>-16.756758891078739</v>
      </c>
      <c r="IG146" s="4">
        <v>-16.727495424449341</v>
      </c>
      <c r="IH146" s="4">
        <v>-16.698198103716209</v>
      </c>
      <c r="II146" s="4">
        <v>-16.668864484438561</v>
      </c>
      <c r="IJ146" s="4">
        <v>-16.639492173155471</v>
      </c>
      <c r="IK146" s="4">
        <v>-16.610078830262641</v>
      </c>
      <c r="IL146" s="4">
        <v>-16.58062217273757</v>
      </c>
      <c r="IM146" s="4">
        <v>-16.551119976705731</v>
      </c>
    </row>
    <row r="147" spans="2:247" x14ac:dyDescent="0.35">
      <c r="B147" s="58">
        <v>1.31</v>
      </c>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c r="DP147" s="4"/>
      <c r="DQ147" s="4"/>
      <c r="DR147" s="4"/>
      <c r="DS147" s="4"/>
      <c r="DT147" s="4"/>
      <c r="DU147" s="4"/>
      <c r="DV147" s="4">
        <v>-20.61537790997723</v>
      </c>
      <c r="DW147" s="4">
        <v>-20.57788636357936</v>
      </c>
      <c r="DX147" s="4">
        <v>-20.540498059194579</v>
      </c>
      <c r="DY147" s="4">
        <v>-20.503213817448589</v>
      </c>
      <c r="DZ147" s="4">
        <v>-20.4660344202576</v>
      </c>
      <c r="EA147" s="4">
        <v>-20.42896061001381</v>
      </c>
      <c r="EB147" s="4">
        <v>-20.39199308884178</v>
      </c>
      <c r="EC147" s="4">
        <v>-20.35513251792932</v>
      </c>
      <c r="ED147" s="4">
        <v>-20.318379516935771</v>
      </c>
      <c r="EE147" s="4">
        <v>-20.281734663478971</v>
      </c>
      <c r="EF147" s="4">
        <v>-20.245198492704152</v>
      </c>
      <c r="EG147" s="4">
        <v>-20.20877149693537</v>
      </c>
      <c r="EH147" s="4">
        <v>-20.172454125410841</v>
      </c>
      <c r="EI147" s="4">
        <v>-20.136246784102749</v>
      </c>
      <c r="EJ147" s="4">
        <v>-20.100149835622219</v>
      </c>
      <c r="EK147" s="4">
        <v>-20.064163599208609</v>
      </c>
      <c r="EL147" s="4">
        <v>-20.02828835080247</v>
      </c>
      <c r="EM147" s="4">
        <v>-19.992524323201401</v>
      </c>
      <c r="EN147" s="4">
        <v>-19.956871706296159</v>
      </c>
      <c r="EO147" s="4">
        <v>-19.92133064738568</v>
      </c>
      <c r="EP147" s="4">
        <v>-19.88590125156707</v>
      </c>
      <c r="EQ147" s="4">
        <v>-19.850583582198031</v>
      </c>
      <c r="ER147" s="4">
        <v>-19.815377661427888</v>
      </c>
      <c r="ES147" s="4">
        <v>-19.780283470791719</v>
      </c>
      <c r="ET147" s="4">
        <v>-19.74530095186396</v>
      </c>
      <c r="EU147" s="4">
        <v>-19.710430006965399</v>
      </c>
      <c r="EV147" s="4">
        <v>-19.6756704999178</v>
      </c>
      <c r="EW147" s="4">
        <v>-19.641022256840088</v>
      </c>
      <c r="EX147" s="4">
        <v>-19.606485066979001</v>
      </c>
      <c r="EY147" s="4">
        <v>-19.572058683567839</v>
      </c>
      <c r="EZ147" s="4">
        <v>-19.537742824705411</v>
      </c>
      <c r="FA147" s="4">
        <v>-19.50353717424797</v>
      </c>
      <c r="FB147" s="4">
        <v>-19.469441382705821</v>
      </c>
      <c r="FC147" s="4">
        <v>-19.43545506813745</v>
      </c>
      <c r="FD147" s="4">
        <v>-19.401577817032351</v>
      </c>
      <c r="FE147" s="4">
        <v>-19.367809185174611</v>
      </c>
      <c r="FF147" s="4">
        <v>-19.334148698479719</v>
      </c>
      <c r="FG147" s="4">
        <v>-19.300595853795699</v>
      </c>
      <c r="FH147" s="4">
        <v>-19.267150119661391</v>
      </c>
      <c r="FI147" s="4">
        <v>-19.233810937014159</v>
      </c>
      <c r="FJ147" s="4">
        <v>-19.200577719839071</v>
      </c>
      <c r="FK147" s="4">
        <v>-19.167449855754011</v>
      </c>
      <c r="FL147" s="4">
        <v>-19.134426706522021</v>
      </c>
      <c r="FM147" s="4">
        <v>-19.101507608487271</v>
      </c>
      <c r="FN147" s="4">
        <v>-19.068691872926909</v>
      </c>
      <c r="FO147" s="4">
        <v>-19.03597878631556</v>
      </c>
      <c r="FP147" s="4">
        <v>-19.00336761049736</v>
      </c>
      <c r="FQ147" s="4">
        <v>-18.97085758276241</v>
      </c>
      <c r="FR147" s="4">
        <v>-18.938447915824661</v>
      </c>
      <c r="FS147" s="4">
        <v>-18.90613779769981</v>
      </c>
      <c r="FT147" s="4">
        <v>-18.873926391481721</v>
      </c>
      <c r="FU147" s="4">
        <v>-18.841812835017539</v>
      </c>
      <c r="FV147" s="4">
        <v>-18.809796240481958</v>
      </c>
      <c r="FW147" s="4">
        <v>-18.777875693853002</v>
      </c>
      <c r="FX147" s="4">
        <v>-18.746050254290871</v>
      </c>
      <c r="FY147" s="4">
        <v>-18.71431895342484</v>
      </c>
      <c r="FZ147" s="4">
        <v>-18.682680794551459</v>
      </c>
      <c r="GA147" s="4">
        <v>-18.651134751750241</v>
      </c>
      <c r="GB147" s="4">
        <v>-18.619679768923199</v>
      </c>
      <c r="GC147" s="4">
        <v>-18.588314758764799</v>
      </c>
      <c r="GD147" s="4">
        <v>-18.557038601671309</v>
      </c>
      <c r="GE147" s="4">
        <v>-18.525850144597459</v>
      </c>
      <c r="GF147" s="4">
        <v>-18.494748199870461</v>
      </c>
      <c r="GG147" s="4">
        <v>-18.463731543971718</v>
      </c>
      <c r="GH147" s="4">
        <v>-18.432798916296441</v>
      </c>
      <c r="GI147" s="4">
        <v>-18.40194901790294</v>
      </c>
      <c r="GJ147" s="4">
        <v>-18.37118051026329</v>
      </c>
      <c r="GK147" s="4">
        <v>-18.34049201402723</v>
      </c>
      <c r="GL147" s="4">
        <v>-18.309882107811909</v>
      </c>
      <c r="GM147" s="4">
        <v>-18.27934932702972</v>
      </c>
      <c r="GN147" s="4">
        <v>-18.248892162767401</v>
      </c>
      <c r="GO147" s="4">
        <v>-18.218509060727751</v>
      </c>
      <c r="GP147" s="4">
        <v>-18.188198420248209</v>
      </c>
      <c r="GQ147" s="4">
        <v>-18.15795859340658</v>
      </c>
      <c r="GR147" s="4">
        <v>-18.12778788422737</v>
      </c>
      <c r="GS147" s="4">
        <v>-18.097684547999311</v>
      </c>
      <c r="GT147" s="4">
        <v>-18.067646790715159</v>
      </c>
      <c r="GU147" s="4">
        <v>-18.03767276864486</v>
      </c>
      <c r="GV147" s="4">
        <v>-18.007760588050541</v>
      </c>
      <c r="GW147" s="4">
        <v>-17.977908305053528</v>
      </c>
      <c r="GX147" s="4">
        <v>-17.94811392566082</v>
      </c>
      <c r="GY147" s="4">
        <v>-17.918375405957921</v>
      </c>
      <c r="GZ147" s="4">
        <v>-17.888690652475649</v>
      </c>
      <c r="HA147" s="4">
        <v>-17.859057522734101</v>
      </c>
      <c r="HB147" s="4">
        <v>-17.82947382597014</v>
      </c>
      <c r="HC147" s="4">
        <v>-17.79993732404974</v>
      </c>
      <c r="HD147" s="4">
        <v>-17.770445732567961</v>
      </c>
      <c r="HE147" s="4">
        <v>-17.740996722137869</v>
      </c>
      <c r="HF147" s="4">
        <v>-17.711587919866659</v>
      </c>
      <c r="HG147" s="4">
        <v>-17.68221691101882</v>
      </c>
      <c r="HH147" s="4">
        <v>-17.652881240863291</v>
      </c>
      <c r="HI147" s="4">
        <v>-17.623578416700539</v>
      </c>
      <c r="HJ147" s="4">
        <v>-17.594305910065291</v>
      </c>
      <c r="HK147" s="4">
        <v>-17.56506115909848</v>
      </c>
      <c r="HL147" s="4">
        <v>-17.53584157108185</v>
      </c>
      <c r="HM147" s="4">
        <v>-17.506644525126919</v>
      </c>
      <c r="HN147" s="4">
        <v>-17.47746737500999</v>
      </c>
      <c r="HO147" s="4">
        <v>-17.448307452142849</v>
      </c>
      <c r="HP147" s="4">
        <v>-17.419162068669142</v>
      </c>
      <c r="HQ147" s="4">
        <v>-17.39002852067485</v>
      </c>
      <c r="HR147" s="4">
        <v>-17.360904091501251</v>
      </c>
      <c r="HS147" s="4">
        <v>-17.331786055147791</v>
      </c>
      <c r="HT147" s="4">
        <v>-17.302671679751931</v>
      </c>
      <c r="HU147" s="4">
        <v>-17.273558231132281</v>
      </c>
      <c r="HV147" s="4">
        <v>-17.244442976382651</v>
      </c>
      <c r="HW147" s="4">
        <v>-17.215323187500871</v>
      </c>
      <c r="HX147" s="4">
        <v>-17.186196145041102</v>
      </c>
      <c r="HY147" s="4">
        <v>-17.15705914177347</v>
      </c>
      <c r="HZ147" s="4">
        <v>-17.127909486338041</v>
      </c>
      <c r="IA147" s="4">
        <v>-17.098744506878919</v>
      </c>
      <c r="IB147" s="4">
        <v>-17.069561554645251</v>
      </c>
      <c r="IC147" s="4">
        <v>-17.040358007545269</v>
      </c>
      <c r="ID147" s="4">
        <v>-17.011131273640569</v>
      </c>
      <c r="IE147" s="4">
        <v>-16.981878794568441</v>
      </c>
      <c r="IF147" s="4">
        <v>-16.95259804887953</v>
      </c>
      <c r="IG147" s="4">
        <v>-16.923286555279841</v>
      </c>
      <c r="IH147" s="4">
        <v>-16.893941875766721</v>
      </c>
      <c r="II147" s="4">
        <v>-16.864561618647091</v>
      </c>
      <c r="IJ147" s="4">
        <v>-16.83514344143062</v>
      </c>
      <c r="IK147" s="4">
        <v>-16.805685053587041</v>
      </c>
      <c r="IL147" s="4">
        <v>-16.776184219161689</v>
      </c>
      <c r="IM147" s="4">
        <v>-16.746638759240991</v>
      </c>
    </row>
    <row r="148" spans="2:247" x14ac:dyDescent="0.35">
      <c r="B148" s="58">
        <v>1.32</v>
      </c>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c r="DP148" s="4"/>
      <c r="DQ148" s="4"/>
      <c r="DR148" s="4"/>
      <c r="DS148" s="4"/>
      <c r="DT148" s="4"/>
      <c r="DU148" s="4"/>
      <c r="DV148" s="4">
        <v>-20.812280111456829</v>
      </c>
      <c r="DW148" s="4">
        <v>-20.774834851719952</v>
      </c>
      <c r="DX148" s="4">
        <v>-20.73749200889938</v>
      </c>
      <c r="DY148" s="4">
        <v>-20.700252382978441</v>
      </c>
      <c r="DZ148" s="4">
        <v>-20.663116736160891</v>
      </c>
      <c r="EA148" s="4">
        <v>-20.62608579208813</v>
      </c>
      <c r="EB148" s="4">
        <v>-20.589160235124591</v>
      </c>
      <c r="EC148" s="4">
        <v>-20.552340709713061</v>
      </c>
      <c r="ED148" s="4">
        <v>-20.515627819803861</v>
      </c>
      <c r="EE148" s="4">
        <v>-20.47902212835789</v>
      </c>
      <c r="EF148" s="4">
        <v>-20.442524156927139</v>
      </c>
      <c r="EG148" s="4">
        <v>-20.406134385312679</v>
      </c>
      <c r="EH148" s="4">
        <v>-20.36985325130226</v>
      </c>
      <c r="EI148" s="4">
        <v>-20.333681150486779</v>
      </c>
      <c r="EJ148" s="4">
        <v>-20.297618436156981</v>
      </c>
      <c r="EK148" s="4">
        <v>-20.26166541927897</v>
      </c>
      <c r="EL148" s="4">
        <v>-20.22582236854895</v>
      </c>
      <c r="EM148" s="4">
        <v>-20.190089510524309</v>
      </c>
      <c r="EN148" s="4">
        <v>-20.154467029831022</v>
      </c>
      <c r="EO148" s="4">
        <v>-20.118955069443832</v>
      </c>
      <c r="EP148" s="4">
        <v>-20.083553731037249</v>
      </c>
      <c r="EQ148" s="4">
        <v>-20.04826307540349</v>
      </c>
      <c r="ER148" s="4">
        <v>-20.01308312293445</v>
      </c>
      <c r="ES148" s="4">
        <v>-19.9780138541628</v>
      </c>
      <c r="ET148" s="4">
        <v>-19.943055210358079</v>
      </c>
      <c r="EU148" s="4">
        <v>-19.908207094172351</v>
      </c>
      <c r="EV148" s="4">
        <v>-19.873469370330241</v>
      </c>
      <c r="EW148" s="4">
        <v>-19.838841866357509</v>
      </c>
      <c r="EX148" s="4">
        <v>-19.804324373341561</v>
      </c>
      <c r="EY148" s="4">
        <v>-19.769916646717501</v>
      </c>
      <c r="EZ148" s="4">
        <v>-19.735618407073829</v>
      </c>
      <c r="FA148" s="4">
        <v>-19.70142934096852</v>
      </c>
      <c r="FB148" s="4">
        <v>-19.667349101751309</v>
      </c>
      <c r="FC148" s="4">
        <v>-19.633377310381778</v>
      </c>
      <c r="FD148" s="4">
        <v>-19.599513556237781</v>
      </c>
      <c r="FE148" s="4">
        <v>-19.565757397906129</v>
      </c>
      <c r="FF148" s="4">
        <v>-19.532108363947739</v>
      </c>
      <c r="FG148" s="4">
        <v>-19.4985659536306</v>
      </c>
      <c r="FH148" s="4">
        <v>-19.46512963762255</v>
      </c>
      <c r="FI148" s="4">
        <v>-19.431798858637439</v>
      </c>
      <c r="FJ148" s="4">
        <v>-19.398573032027731</v>
      </c>
      <c r="FK148" s="4">
        <v>-19.365451546317281</v>
      </c>
      <c r="FL148" s="4">
        <v>-19.332433763668149</v>
      </c>
      <c r="FM148" s="4">
        <v>-19.29951902027603</v>
      </c>
      <c r="FN148" s="4">
        <v>-19.26670662668948</v>
      </c>
      <c r="FO148" s="4">
        <v>-19.23399586804808</v>
      </c>
      <c r="FP148" s="4">
        <v>-19.20138600423628</v>
      </c>
      <c r="FQ148" s="4">
        <v>-19.168876269949578</v>
      </c>
      <c r="FR148" s="4">
        <v>-19.136465874670389</v>
      </c>
      <c r="FS148" s="4">
        <v>-19.10415400255258</v>
      </c>
      <c r="FT148" s="4">
        <v>-19.071939812213309</v>
      </c>
      <c r="FU148" s="4">
        <v>-19.039822436432289</v>
      </c>
      <c r="FV148" s="4">
        <v>-19.007800981759811</v>
      </c>
      <c r="FW148" s="4">
        <v>-18.975874528034229</v>
      </c>
      <c r="FX148" s="4">
        <v>-18.94404212781248</v>
      </c>
      <c r="FY148" s="4">
        <v>-18.912302805716418</v>
      </c>
      <c r="FZ148" s="4">
        <v>-18.880655557699811</v>
      </c>
      <c r="GA148" s="4">
        <v>-18.84909935024022</v>
      </c>
      <c r="GB148" s="4">
        <v>-18.817633119463039</v>
      </c>
      <c r="GC148" s="4">
        <v>-18.786255770203081</v>
      </c>
      <c r="GD148" s="4">
        <v>-18.75496617501225</v>
      </c>
      <c r="GE148" s="4">
        <v>-18.72376317312122</v>
      </c>
      <c r="GF148" s="4">
        <v>-18.692645569363201</v>
      </c>
      <c r="GG148" s="4">
        <v>-18.66161213307117</v>
      </c>
      <c r="GH148" s="4">
        <v>-18.63066159695639</v>
      </c>
      <c r="GI148" s="4">
        <v>-18.599792655980249</v>
      </c>
      <c r="GJ148" s="4">
        <v>-18.569003966229619</v>
      </c>
      <c r="GK148" s="4">
        <v>-18.538294143807331</v>
      </c>
      <c r="GL148" s="4">
        <v>-18.5076617637488</v>
      </c>
      <c r="GM148" s="4">
        <v>-18.47710535897658</v>
      </c>
      <c r="GN148" s="4">
        <v>-18.446623419304629</v>
      </c>
      <c r="GO148" s="4">
        <v>-18.416214390503679</v>
      </c>
      <c r="GP148" s="4">
        <v>-18.385876673439491</v>
      </c>
      <c r="GQ148" s="4">
        <v>-18.355608623294678</v>
      </c>
      <c r="GR148" s="4">
        <v>-18.325408548885932</v>
      </c>
      <c r="GS148" s="4">
        <v>-18.295274712086549</v>
      </c>
      <c r="GT148" s="4">
        <v>-18.265205327364789</v>
      </c>
      <c r="GU148" s="4">
        <v>-18.235198561447369</v>
      </c>
      <c r="GV148" s="4">
        <v>-18.205252533117228</v>
      </c>
      <c r="GW148" s="4">
        <v>-18.175365313153879</v>
      </c>
      <c r="GX148" s="4">
        <v>-18.14553492442327</v>
      </c>
      <c r="GY148" s="4">
        <v>-18.11575934212464</v>
      </c>
      <c r="GZ148" s="4">
        <v>-18.086036494199401</v>
      </c>
      <c r="HA148" s="4">
        <v>-18.056364261907131</v>
      </c>
      <c r="HB148" s="4">
        <v>-18.026740480572489</v>
      </c>
      <c r="HC148" s="4">
        <v>-17.99716294050576</v>
      </c>
      <c r="HD148" s="4">
        <v>-17.96762938809918</v>
      </c>
      <c r="HE148" s="4">
        <v>-17.938137527099141</v>
      </c>
      <c r="HF148" s="4">
        <v>-17.908685020054371</v>
      </c>
      <c r="HG148" s="4">
        <v>-17.879269489938569</v>
      </c>
      <c r="HH148" s="4">
        <v>-17.849888521945012</v>
      </c>
      <c r="HI148" s="4">
        <v>-17.82053966544979</v>
      </c>
      <c r="HJ148" s="4">
        <v>-17.79122043613831</v>
      </c>
      <c r="HK148" s="4">
        <v>-17.76192831829113</v>
      </c>
      <c r="HL148" s="4">
        <v>-17.7326607672208</v>
      </c>
      <c r="HM148" s="4">
        <v>-17.703415211853692</v>
      </c>
      <c r="HN148" s="4">
        <v>-17.674189057447741</v>
      </c>
      <c r="HO148" s="4">
        <v>-17.64497968843764</v>
      </c>
      <c r="HP148" s="4">
        <v>-17.615784471397092</v>
      </c>
      <c r="HQ148" s="4">
        <v>-17.586600758107931</v>
      </c>
      <c r="HR148" s="4">
        <v>-17.557425888725199</v>
      </c>
      <c r="HS148" s="4">
        <v>-17.528257195026139</v>
      </c>
      <c r="HT148" s="4">
        <v>-17.499092003731239</v>
      </c>
      <c r="HU148" s="4">
        <v>-17.469927639885071</v>
      </c>
      <c r="HV148" s="4">
        <v>-17.4407614302838</v>
      </c>
      <c r="HW148" s="4">
        <v>-17.411590706936622</v>
      </c>
      <c r="HX148" s="4">
        <v>-17.382412810548061</v>
      </c>
      <c r="HY148" s="4">
        <v>-17.353225094008089</v>
      </c>
      <c r="HZ148" s="4">
        <v>-17.32402492587639</v>
      </c>
      <c r="IA148" s="4">
        <v>-17.294809693848961</v>
      </c>
      <c r="IB148" s="4">
        <v>-17.26557680819279</v>
      </c>
      <c r="IC148" s="4">
        <v>-17.236323705137458</v>
      </c>
      <c r="ID148" s="4">
        <v>-17.207047850210309</v>
      </c>
      <c r="IE148" s="4">
        <v>-17.177746741504581</v>
      </c>
      <c r="IF148" s="4">
        <v>-17.148417912867892</v>
      </c>
      <c r="IG148" s="4">
        <v>-17.119058937001579</v>
      </c>
      <c r="IH148" s="4">
        <v>-17.08966742845935</v>
      </c>
      <c r="II148" s="4">
        <v>-17.060241046537449</v>
      </c>
      <c r="IJ148" s="4">
        <v>-17.030777498044689</v>
      </c>
      <c r="IK148" s="4">
        <v>-17.00127453994773</v>
      </c>
      <c r="IL148" s="4">
        <v>-16.971729981880369</v>
      </c>
      <c r="IM148" s="4">
        <v>-16.942141688513139</v>
      </c>
    </row>
    <row r="149" spans="2:247" x14ac:dyDescent="0.35">
      <c r="B149" s="58">
        <v>1.33</v>
      </c>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c r="DF149" s="4"/>
      <c r="DG149" s="4"/>
      <c r="DH149" s="4"/>
      <c r="DI149" s="4"/>
      <c r="DJ149" s="4"/>
      <c r="DK149" s="4"/>
      <c r="DL149" s="4"/>
      <c r="DM149" s="4"/>
      <c r="DN149" s="4"/>
      <c r="DO149" s="4"/>
      <c r="DP149" s="4"/>
      <c r="DQ149" s="4"/>
      <c r="DR149" s="4"/>
      <c r="DS149" s="4"/>
      <c r="DT149" s="4"/>
      <c r="DU149" s="4"/>
      <c r="DV149" s="4">
        <v>-21.009198321570761</v>
      </c>
      <c r="DW149" s="4">
        <v>-20.971798507843179</v>
      </c>
      <c r="DX149" s="4">
        <v>-20.93450029201416</v>
      </c>
      <c r="DY149" s="4">
        <v>-20.89730445390359</v>
      </c>
      <c r="DZ149" s="4">
        <v>-20.860211736441642</v>
      </c>
      <c r="EA149" s="4">
        <v>-20.82322284491654</v>
      </c>
      <c r="EB149" s="4">
        <v>-20.786338446286319</v>
      </c>
      <c r="EC149" s="4">
        <v>-20.749559168557209</v>
      </c>
      <c r="ED149" s="4">
        <v>-20.712885600231651</v>
      </c>
      <c r="EE149" s="4">
        <v>-20.676318289826121</v>
      </c>
      <c r="EF149" s="4">
        <v>-20.639857745462319</v>
      </c>
      <c r="EG149" s="4">
        <v>-20.60350443453116</v>
      </c>
      <c r="EH149" s="4">
        <v>-20.56725878343158</v>
      </c>
      <c r="EI149" s="4">
        <v>-20.531121177383909</v>
      </c>
      <c r="EJ149" s="4">
        <v>-20.495091960318391</v>
      </c>
      <c r="EK149" s="4">
        <v>-20.459171434837639</v>
      </c>
      <c r="EL149" s="4">
        <v>-20.423359862253282</v>
      </c>
      <c r="EM149" s="4">
        <v>-20.387657462694861</v>
      </c>
      <c r="EN149" s="4">
        <v>-20.352064415289099</v>
      </c>
      <c r="EO149" s="4">
        <v>-20.316580858407871</v>
      </c>
      <c r="EP149" s="4">
        <v>-20.281206889982311</v>
      </c>
      <c r="EQ149" s="4">
        <v>-20.245942567879251</v>
      </c>
      <c r="ER149" s="4">
        <v>-20.210787910337569</v>
      </c>
      <c r="ES149" s="4">
        <v>-20.175742896459301</v>
      </c>
      <c r="ET149" s="4">
        <v>-20.140807466752371</v>
      </c>
      <c r="EU149" s="4">
        <v>-20.10598152371945</v>
      </c>
      <c r="EV149" s="4">
        <v>-20.071264932487431</v>
      </c>
      <c r="EW149" s="4">
        <v>-20.036657521473689</v>
      </c>
      <c r="EX149" s="4">
        <v>-20.002159083080979</v>
      </c>
      <c r="EY149" s="4">
        <v>-19.967769374417291</v>
      </c>
      <c r="EZ149" s="4">
        <v>-19.93348811803213</v>
      </c>
      <c r="FA149" s="4">
        <v>-19.899315002664469</v>
      </c>
      <c r="FB149" s="4">
        <v>-19.865249683994691</v>
      </c>
      <c r="FC149" s="4">
        <v>-19.831291785393532</v>
      </c>
      <c r="FD149" s="4">
        <v>-19.79744089866217</v>
      </c>
      <c r="FE149" s="4">
        <v>-19.76369658475528</v>
      </c>
      <c r="FF149" s="4">
        <v>-19.730058374481271</v>
      </c>
      <c r="FG149" s="4">
        <v>-19.696525769172059</v>
      </c>
      <c r="FH149" s="4">
        <v>-19.663098241316391</v>
      </c>
      <c r="FI149" s="4">
        <v>-19.62977523514985</v>
      </c>
      <c r="FJ149" s="4">
        <v>-19.596556167195931</v>
      </c>
      <c r="FK149" s="4">
        <v>-19.563440426751459</v>
      </c>
      <c r="FL149" s="4">
        <v>-19.530427376312311</v>
      </c>
      <c r="FM149" s="4">
        <v>-19.497516351932319</v>
      </c>
      <c r="FN149" s="4">
        <v>-19.46470666351361</v>
      </c>
      <c r="FO149" s="4">
        <v>-19.431997595021461</v>
      </c>
      <c r="FP149" s="4">
        <v>-19.399388404622879</v>
      </c>
      <c r="FQ149" s="4">
        <v>-19.366878324743979</v>
      </c>
      <c r="FR149" s="4">
        <v>-19.334466562045922</v>
      </c>
      <c r="FS149" s="4">
        <v>-19.302152297316301</v>
      </c>
      <c r="FT149" s="4">
        <v>-19.269934685276748</v>
      </c>
      <c r="FU149" s="4">
        <v>-19.23781285430622</v>
      </c>
      <c r="FV149" s="4">
        <v>-19.2057859060806</v>
      </c>
      <c r="FW149" s="4">
        <v>-19.17385291513105</v>
      </c>
      <c r="FX149" s="4">
        <v>-19.142012928322501</v>
      </c>
      <c r="FY149" s="4">
        <v>-19.110264964257301</v>
      </c>
      <c r="FZ149" s="4">
        <v>-19.078608012605599</v>
      </c>
      <c r="GA149" s="4">
        <v>-19.04704103336994</v>
      </c>
      <c r="GB149" s="4">
        <v>-19.01556295608782</v>
      </c>
      <c r="GC149" s="4">
        <v>-18.984172678979078</v>
      </c>
      <c r="GD149" s="4">
        <v>-18.95286906804543</v>
      </c>
      <c r="GE149" s="4">
        <v>-18.921650956129781</v>
      </c>
      <c r="GF149" s="4">
        <v>-18.890517141942802</v>
      </c>
      <c r="GG149" s="4">
        <v>-18.859466389066881</v>
      </c>
      <c r="GH149" s="4">
        <v>-18.82849742494545</v>
      </c>
      <c r="GI149" s="4">
        <v>-18.797608939868589</v>
      </c>
      <c r="GJ149" s="4">
        <v>-18.766799585964218</v>
      </c>
      <c r="GK149" s="4">
        <v>-18.736067976205351</v>
      </c>
      <c r="GL149" s="4">
        <v>-18.70541268344455</v>
      </c>
      <c r="GM149" s="4">
        <v>-18.67483223948566</v>
      </c>
      <c r="GN149" s="4">
        <v>-18.64432513420406</v>
      </c>
      <c r="GO149" s="4">
        <v>-18.613889814725621</v>
      </c>
      <c r="GP149" s="4">
        <v>-18.58352468467578</v>
      </c>
      <c r="GQ149" s="4">
        <v>-18.553228103508509</v>
      </c>
      <c r="GR149" s="4">
        <v>-18.522998385925369</v>
      </c>
      <c r="GS149" s="4">
        <v>-18.49283380139503</v>
      </c>
      <c r="GT149" s="4">
        <v>-18.462732573781501</v>
      </c>
      <c r="GU149" s="4">
        <v>-18.432692881091288</v>
      </c>
      <c r="GV149" s="4">
        <v>-18.402712855346419</v>
      </c>
      <c r="GW149" s="4">
        <v>-18.372790582591762</v>
      </c>
      <c r="GX149" s="4">
        <v>-18.342924103042911</v>
      </c>
      <c r="GY149" s="4">
        <v>-18.31311141138157</v>
      </c>
      <c r="GZ149" s="4">
        <v>-18.28335045720257</v>
      </c>
      <c r="HA149" s="4">
        <v>-18.253639145617932</v>
      </c>
      <c r="HB149" s="4">
        <v>-18.223975338020821</v>
      </c>
      <c r="HC149" s="4">
        <v>-18.194356853012511</v>
      </c>
      <c r="HD149" s="4">
        <v>-18.16478146749294</v>
      </c>
      <c r="HE149" s="4">
        <v>-18.135246917917101</v>
      </c>
      <c r="HF149" s="4">
        <v>-18.105750901715052</v>
      </c>
      <c r="HG149" s="4">
        <v>-18.076291078875631</v>
      </c>
      <c r="HH149" s="4">
        <v>-18.04686507369075</v>
      </c>
      <c r="HI149" s="4">
        <v>-18.017470476657351</v>
      </c>
      <c r="HJ149" s="4">
        <v>-17.98810484653211</v>
      </c>
      <c r="HK149" s="4">
        <v>-17.958765712535001</v>
      </c>
      <c r="HL149" s="4">
        <v>-17.929450576694091</v>
      </c>
      <c r="HM149" s="4">
        <v>-17.900156916325589</v>
      </c>
      <c r="HN149" s="4">
        <v>-17.870882186641499</v>
      </c>
      <c r="HO149" s="4">
        <v>-17.841623823475651</v>
      </c>
      <c r="HP149" s="4">
        <v>-17.812379246119939</v>
      </c>
      <c r="HQ149" s="4">
        <v>-17.78314586026007</v>
      </c>
      <c r="HR149" s="4">
        <v>-17.75392106100109</v>
      </c>
      <c r="HS149" s="4">
        <v>-17.724702235971399</v>
      </c>
      <c r="HT149" s="4">
        <v>-17.695486768494352</v>
      </c>
      <c r="HU149" s="4">
        <v>-17.66627204081572</v>
      </c>
      <c r="HV149" s="4">
        <v>-17.63705543737484</v>
      </c>
      <c r="HW149" s="4">
        <v>-17.60783434810735</v>
      </c>
      <c r="HX149" s="4">
        <v>-17.57860617176809</v>
      </c>
      <c r="HY149" s="4">
        <v>-17.549368319260559</v>
      </c>
      <c r="HZ149" s="4">
        <v>-17.520118216961819</v>
      </c>
      <c r="IA149" s="4">
        <v>-17.49085331002993</v>
      </c>
      <c r="IB149" s="4">
        <v>-17.461571065682499</v>
      </c>
      <c r="IC149" s="4">
        <v>-17.432268976434042</v>
      </c>
      <c r="ID149" s="4">
        <v>-17.402944563280961</v>
      </c>
      <c r="IE149" s="4">
        <v>-17.37359537882379</v>
      </c>
      <c r="IF149" s="4">
        <v>-17.344219010314031</v>
      </c>
      <c r="IG149" s="4">
        <v>-17.314813082618318</v>
      </c>
      <c r="IH149" s="4">
        <v>-17.285375261087339</v>
      </c>
      <c r="II149" s="4">
        <v>-17.255903254322561</v>
      </c>
      <c r="IJ149" s="4">
        <v>-17.226394816831661</v>
      </c>
      <c r="IK149" s="4">
        <v>-17.196847751564039</v>
      </c>
      <c r="IL149" s="4">
        <v>-17.16725991232094</v>
      </c>
      <c r="IM149" s="4">
        <v>-17.137629206032411</v>
      </c>
    </row>
    <row r="150" spans="2:247" x14ac:dyDescent="0.35">
      <c r="B150" s="58">
        <v>1.34</v>
      </c>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v>-21.206131683740189</v>
      </c>
      <c r="DW150" s="4">
        <v>-21.16877648696574</v>
      </c>
      <c r="DX150" s="4">
        <v>-21.131522075016122</v>
      </c>
      <c r="DY150" s="4">
        <v>-21.094369208006711</v>
      </c>
      <c r="DZ150" s="4">
        <v>-21.057318610016299</v>
      </c>
      <c r="EA150" s="4">
        <v>-21.020370968362691</v>
      </c>
      <c r="EB150" s="4">
        <v>-20.98352693293872</v>
      </c>
      <c r="EC150" s="4">
        <v>-20.946787115612619</v>
      </c>
      <c r="ED150" s="4">
        <v>-20.910152089692769</v>
      </c>
      <c r="EE150" s="4">
        <v>-20.87362238945979</v>
      </c>
      <c r="EF150" s="4">
        <v>-20.83719850976691</v>
      </c>
      <c r="EG150" s="4">
        <v>-20.800880905709349</v>
      </c>
      <c r="EH150" s="4">
        <v>-20.764669992364389</v>
      </c>
      <c r="EI150" s="4">
        <v>-20.72856614460099</v>
      </c>
      <c r="EJ150" s="4">
        <v>-20.6925696969606</v>
      </c>
      <c r="EK150" s="4">
        <v>-20.656680943607451</v>
      </c>
      <c r="EL150" s="4">
        <v>-20.620900138347839</v>
      </c>
      <c r="EM150" s="4">
        <v>-20.585227494717561</v>
      </c>
      <c r="EN150" s="4">
        <v>-20.549663186135259</v>
      </c>
      <c r="EO150" s="4">
        <v>-20.514207346120472</v>
      </c>
      <c r="EP150" s="4">
        <v>-20.4788600685722</v>
      </c>
      <c r="EQ150" s="4">
        <v>-20.443621408107528</v>
      </c>
      <c r="ER150" s="4">
        <v>-20.408491380454539</v>
      </c>
      <c r="ES150" s="4">
        <v>-20.373469962897449</v>
      </c>
      <c r="ET150" s="4">
        <v>-20.33855709476947</v>
      </c>
      <c r="EU150" s="4">
        <v>-20.303752677988282</v>
      </c>
      <c r="EV150" s="4">
        <v>-20.26905657763055</v>
      </c>
      <c r="EW150" s="4">
        <v>-20.23446862253881</v>
      </c>
      <c r="EX150" s="4">
        <v>-20.19998860595712</v>
      </c>
      <c r="EY150" s="4">
        <v>-20.165616286187991</v>
      </c>
      <c r="EZ150" s="4">
        <v>-20.13135138726625</v>
      </c>
      <c r="FA150" s="4">
        <v>-20.09719359964269</v>
      </c>
      <c r="FB150" s="4">
        <v>-20.063142580871791</v>
      </c>
      <c r="FC150" s="4">
        <v>-20.029197956296979</v>
      </c>
      <c r="FD150" s="4">
        <v>-19.995359319727719</v>
      </c>
      <c r="FE150" s="4">
        <v>-19.961626234100681</v>
      </c>
      <c r="FF150" s="4">
        <v>-19.927998232119901</v>
      </c>
      <c r="FG150" s="4">
        <v>-19.894474816869408</v>
      </c>
      <c r="FH150" s="4">
        <v>-19.861055462391899</v>
      </c>
      <c r="FI150" s="4">
        <v>-19.82773961422772</v>
      </c>
      <c r="FJ150" s="4">
        <v>-19.794526689908739</v>
      </c>
      <c r="FK150" s="4">
        <v>-19.761416079401659</v>
      </c>
      <c r="FL150" s="4">
        <v>-19.72840714549535</v>
      </c>
      <c r="FM150" s="4">
        <v>-19.695499224128799</v>
      </c>
      <c r="FN150" s="4">
        <v>-19.662691624654041</v>
      </c>
      <c r="FO150" s="4">
        <v>-19.62998363003204</v>
      </c>
      <c r="FP150" s="4">
        <v>-19.597374496956931</v>
      </c>
      <c r="FQ150" s="4">
        <v>-19.564863455907769</v>
      </c>
      <c r="FR150" s="4">
        <v>-19.532449711124379</v>
      </c>
      <c r="FS150" s="4">
        <v>-19.500132440507372</v>
      </c>
      <c r="FT150" s="4">
        <v>-19.46791079544121</v>
      </c>
      <c r="FU150" s="4">
        <v>-19.435783900540361</v>
      </c>
      <c r="FV150" s="4">
        <v>-19.403750853320119</v>
      </c>
      <c r="FW150" s="4">
        <v>-19.371810723793079</v>
      </c>
      <c r="FX150" s="4">
        <v>-19.339962553994251</v>
      </c>
      <c r="FY150" s="4">
        <v>-19.30820535743706</v>
      </c>
      <c r="FZ150" s="4">
        <v>-19.276538118505371</v>
      </c>
      <c r="GA150" s="4">
        <v>-19.244959791784659</v>
      </c>
      <c r="GB150" s="4">
        <v>-19.213469301338929</v>
      </c>
      <c r="GC150" s="4">
        <v>-19.182065539938169</v>
      </c>
      <c r="GD150" s="4">
        <v>-19.150747368243699</v>
      </c>
      <c r="GE150" s="4">
        <v>-19.11951361395824</v>
      </c>
      <c r="GF150" s="4">
        <v>-19.088363070948361</v>
      </c>
      <c r="GG150" s="4">
        <v>-19.057294498347471</v>
      </c>
      <c r="GH150" s="4">
        <v>-19.02630661964854</v>
      </c>
      <c r="GI150" s="4">
        <v>-18.995398121794931</v>
      </c>
      <c r="GJ150" s="4">
        <v>-18.964567654278671</v>
      </c>
      <c r="GK150" s="4">
        <v>-18.933813828256721</v>
      </c>
      <c r="GL150" s="4">
        <v>-18.903135215693911</v>
      </c>
      <c r="GM150" s="4">
        <v>-18.872530348543169</v>
      </c>
      <c r="GN150" s="4">
        <v>-18.841997717972841</v>
      </c>
      <c r="GO150" s="4">
        <v>-18.81153577365092</v>
      </c>
      <c r="GP150" s="4">
        <v>-18.781142923095889</v>
      </c>
      <c r="GQ150" s="4">
        <v>-18.750817531104691</v>
      </c>
      <c r="GR150" s="4">
        <v>-18.72055791926547</v>
      </c>
      <c r="GS150" s="4">
        <v>-18.690362365566049</v>
      </c>
      <c r="GT150" s="4">
        <v>-18.660229104105191</v>
      </c>
      <c r="GU150" s="4">
        <v>-18.630156324915799</v>
      </c>
      <c r="GV150" s="4">
        <v>-18.600142173907191</v>
      </c>
      <c r="GW150" s="4">
        <v>-18.57018475293323</v>
      </c>
      <c r="GX150" s="4">
        <v>-18.54028211999335</v>
      </c>
      <c r="GY150" s="4">
        <v>-18.510432289571192</v>
      </c>
      <c r="GZ150" s="4">
        <v>-18.480633233116219</v>
      </c>
      <c r="HA150" s="4">
        <v>-18.450882879672388</v>
      </c>
      <c r="HB150" s="4">
        <v>-18.421179116656841</v>
      </c>
      <c r="HC150" s="4">
        <v>-18.391519790790831</v>
      </c>
      <c r="HD150" s="4">
        <v>-18.361902709184442</v>
      </c>
      <c r="HE150" s="4">
        <v>-18.33232564057607</v>
      </c>
      <c r="HF150" s="4">
        <v>-18.302786316725101</v>
      </c>
      <c r="HG150" s="4">
        <v>-18.27328243395813</v>
      </c>
      <c r="HH150" s="4">
        <v>-18.243811654864711</v>
      </c>
      <c r="HI150" s="4">
        <v>-18.21437161014083</v>
      </c>
      <c r="HJ150" s="4">
        <v>-18.184959900575741</v>
      </c>
      <c r="HK150" s="4">
        <v>-18.15557409917664</v>
      </c>
      <c r="HL150" s="4">
        <v>-18.126211753427079</v>
      </c>
      <c r="HM150" s="4">
        <v>-18.096870387670279</v>
      </c>
      <c r="HN150" s="4">
        <v>-18.06754750561257</v>
      </c>
      <c r="HO150" s="4">
        <v>-18.038240592937719</v>
      </c>
      <c r="HP150" s="4">
        <v>-18.008947120023279</v>
      </c>
      <c r="HQ150" s="4">
        <v>-17.979664544750889</v>
      </c>
      <c r="HR150" s="4">
        <v>-17.950390315400309</v>
      </c>
      <c r="HS150" s="4">
        <v>-17.921121873616681</v>
      </c>
      <c r="HT150" s="4">
        <v>-17.89185665744111</v>
      </c>
      <c r="HU150" s="4">
        <v>-17.862592104393389</v>
      </c>
      <c r="HV150" s="4">
        <v>-17.833325654595761</v>
      </c>
      <c r="HW150" s="4">
        <v>-17.80405475392643</v>
      </c>
      <c r="HX150" s="4">
        <v>-17.774776857191291</v>
      </c>
      <c r="HY150" s="4">
        <v>-17.745489431302371</v>
      </c>
      <c r="HZ150" s="4">
        <v>-17.716189958451832</v>
      </c>
      <c r="IA150" s="4">
        <v>-17.68687593926969</v>
      </c>
      <c r="IB150" s="4">
        <v>-17.65754489595388</v>
      </c>
      <c r="IC150" s="4">
        <v>-17.628194375362799</v>
      </c>
      <c r="ID150" s="4">
        <v>-17.59882195205768</v>
      </c>
      <c r="IE150" s="4">
        <v>-17.569425231286331</v>
      </c>
      <c r="IF150" s="4">
        <v>-17.54000185189685</v>
      </c>
      <c r="IG150" s="4">
        <v>-17.51054948917217</v>
      </c>
      <c r="IH150" s="4">
        <v>-17.48106585757683</v>
      </c>
      <c r="II150" s="4">
        <v>-17.451548713406179</v>
      </c>
      <c r="IJ150" s="4">
        <v>-17.421995857331989</v>
      </c>
      <c r="IK150" s="4">
        <v>-17.392405136834491</v>
      </c>
      <c r="IL150" s="4">
        <v>-17.362774448516941</v>
      </c>
      <c r="IM150" s="4">
        <v>-17.333101740293891</v>
      </c>
    </row>
    <row r="151" spans="2:247" x14ac:dyDescent="0.35">
      <c r="B151" s="58">
        <v>1.35</v>
      </c>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c r="DP151" s="4"/>
      <c r="DQ151" s="4"/>
      <c r="DR151" s="4"/>
      <c r="DS151" s="4"/>
      <c r="DT151" s="4"/>
      <c r="DU151" s="4"/>
      <c r="DV151" s="4">
        <v>-21.40307936569771</v>
      </c>
      <c r="DW151" s="4">
        <v>-21.365767968300201</v>
      </c>
      <c r="DX151" s="4">
        <v>-21.32855654847344</v>
      </c>
      <c r="DY151" s="4">
        <v>-21.29144584707025</v>
      </c>
      <c r="DZ151" s="4">
        <v>-21.25443656972449</v>
      </c>
      <c r="EA151" s="4">
        <v>-21.217529386152162</v>
      </c>
      <c r="EB151" s="4">
        <v>-21.180724929511339</v>
      </c>
      <c r="EC151" s="4">
        <v>-21.144023795821521</v>
      </c>
      <c r="ED151" s="4">
        <v>-21.107426543444941</v>
      </c>
      <c r="EE151" s="4">
        <v>-21.07093369263124</v>
      </c>
      <c r="EF151" s="4">
        <v>-21.034545725126218</v>
      </c>
      <c r="EG151" s="4">
        <v>-20.99826308384662</v>
      </c>
      <c r="EH151" s="4">
        <v>-20.962086172619959</v>
      </c>
      <c r="EI151" s="4">
        <v>-20.92601535599189</v>
      </c>
      <c r="EJ151" s="4">
        <v>-20.89005095909862</v>
      </c>
      <c r="EK151" s="4">
        <v>-20.854193267605499</v>
      </c>
      <c r="EL151" s="4">
        <v>-20.81844252771053</v>
      </c>
      <c r="EM151" s="4">
        <v>-20.782798946211472</v>
      </c>
      <c r="EN151" s="4">
        <v>-20.74726269063471</v>
      </c>
      <c r="EO151" s="4">
        <v>-20.7118338894246</v>
      </c>
      <c r="EP151" s="4">
        <v>-20.676512632190182</v>
      </c>
      <c r="EQ151" s="4">
        <v>-20.641298970007082</v>
      </c>
      <c r="ER151" s="4">
        <v>-20.606192915770869</v>
      </c>
      <c r="ES151" s="4">
        <v>-20.571194444599101</v>
      </c>
      <c r="ET151" s="4">
        <v>-20.53630349427727</v>
      </c>
      <c r="EU151" s="4">
        <v>-20.501519965745839</v>
      </c>
      <c r="EV151" s="4">
        <v>-20.466843723622159</v>
      </c>
      <c r="EW151" s="4">
        <v>-20.43227459675397</v>
      </c>
      <c r="EX151" s="4">
        <v>-20.397812378798751</v>
      </c>
      <c r="EY151" s="4">
        <v>-20.363456828823679</v>
      </c>
      <c r="EZ151" s="4">
        <v>-20.329207671920951</v>
      </c>
      <c r="FA151" s="4">
        <v>-20.29506459983212</v>
      </c>
      <c r="FB151" s="4">
        <v>-20.261027271577429</v>
      </c>
      <c r="FC151" s="4">
        <v>-20.227095314081851</v>
      </c>
      <c r="FD151" s="4">
        <v>-20.193268322793951</v>
      </c>
      <c r="FE151" s="4">
        <v>-20.15954586229071</v>
      </c>
      <c r="FF151" s="4">
        <v>-20.125927466863029</v>
      </c>
      <c r="FG151" s="4">
        <v>-20.092412641075221</v>
      </c>
      <c r="FH151" s="4">
        <v>-20.059000860294269</v>
      </c>
      <c r="FI151" s="4">
        <v>-20.025691571182321</v>
      </c>
      <c r="FJ151" s="4">
        <v>-19.99248419214765</v>
      </c>
      <c r="FK151" s="4">
        <v>-19.959378113749551</v>
      </c>
      <c r="FL151" s="4">
        <v>-19.92637269905218</v>
      </c>
      <c r="FM151" s="4">
        <v>-19.893467283923091</v>
      </c>
      <c r="FN151" s="4">
        <v>-19.860661177273471</v>
      </c>
      <c r="FO151" s="4">
        <v>-19.827953661236151</v>
      </c>
      <c r="FP151" s="4">
        <v>-19.79534399127899</v>
      </c>
      <c r="FQ151" s="4">
        <v>-19.762831396251201</v>
      </c>
      <c r="FR151" s="4">
        <v>-19.73041507836119</v>
      </c>
      <c r="FS151" s="4">
        <v>-19.69809421308528</v>
      </c>
      <c r="FT151" s="4">
        <v>-19.665867949005861</v>
      </c>
      <c r="FU151" s="4">
        <v>-19.63373540758063</v>
      </c>
      <c r="FV151" s="4">
        <v>-19.601695682842369</v>
      </c>
      <c r="FW151" s="4">
        <v>-19.56974784103279</v>
      </c>
      <c r="FX151" s="4">
        <v>-19.537890920170479</v>
      </c>
      <c r="FY151" s="4">
        <v>-19.50612392955777</v>
      </c>
      <c r="FZ151" s="4">
        <v>-19.474445849229419</v>
      </c>
      <c r="GA151" s="4">
        <v>-19.44285562934731</v>
      </c>
      <c r="GB151" s="4">
        <v>-19.411352189546228</v>
      </c>
      <c r="GC151" s="4">
        <v>-19.379934418236449</v>
      </c>
      <c r="GD151" s="4">
        <v>-19.348601171869159</v>
      </c>
      <c r="GE151" s="4">
        <v>-19.31735127417096</v>
      </c>
      <c r="GF151" s="4">
        <v>-19.2861835153555</v>
      </c>
      <c r="GG151" s="4">
        <v>-19.25509665131915</v>
      </c>
      <c r="GH151" s="4">
        <v>-19.224089402828689</v>
      </c>
      <c r="GI151" s="4">
        <v>-19.193160454710441</v>
      </c>
      <c r="GJ151" s="4">
        <v>-19.16230845504808</v>
      </c>
      <c r="GK151" s="4">
        <v>-19.13153201439917</v>
      </c>
      <c r="GL151" s="4">
        <v>-19.100829705038851</v>
      </c>
      <c r="GM151" s="4">
        <v>-19.070200060240381</v>
      </c>
      <c r="GN151" s="4">
        <v>-19.039641573601401</v>
      </c>
      <c r="GO151" s="4">
        <v>-19.00915269842492</v>
      </c>
      <c r="GP151" s="4">
        <v>-18.978731847164809</v>
      </c>
      <c r="GQ151" s="4">
        <v>-18.948377390943939</v>
      </c>
      <c r="GR151" s="4">
        <v>-18.91808765915399</v>
      </c>
      <c r="GS151" s="4">
        <v>-18.88786093914511</v>
      </c>
      <c r="GT151" s="4">
        <v>-18.857695476013561</v>
      </c>
      <c r="GU151" s="4">
        <v>-18.82758947249464</v>
      </c>
      <c r="GV151" s="4">
        <v>-18.797541088967879</v>
      </c>
      <c r="GW151" s="4">
        <v>-18.767548443580989</v>
      </c>
      <c r="GX151" s="4">
        <v>-18.73760961249857</v>
      </c>
      <c r="GY151" s="4">
        <v>-18.70772263027996</v>
      </c>
      <c r="GZ151" s="4">
        <v>-18.677885490392288</v>
      </c>
      <c r="HA151" s="4">
        <v>-18.648096145860031</v>
      </c>
      <c r="HB151" s="4">
        <v>-18.618352510055839</v>
      </c>
      <c r="HC151" s="4">
        <v>-18.588652457634829</v>
      </c>
      <c r="HD151" s="4">
        <v>-18.558993825611608</v>
      </c>
      <c r="HE151" s="4">
        <v>-18.529374414582879</v>
      </c>
      <c r="HF151" s="4">
        <v>-18.499791990093751</v>
      </c>
      <c r="HG151" s="4">
        <v>-18.470244284146659</v>
      </c>
      <c r="HH151" s="4">
        <v>-18.44072899685148</v>
      </c>
      <c r="HI151" s="4">
        <v>-18.411243798212631</v>
      </c>
      <c r="HJ151" s="4">
        <v>-18.38178633005106</v>
      </c>
      <c r="HK151" s="4">
        <v>-18.35235420805504</v>
      </c>
      <c r="HL151" s="4">
        <v>-18.322945023954961</v>
      </c>
      <c r="HM151" s="4">
        <v>-18.293556347816789</v>
      </c>
      <c r="HN151" s="4">
        <v>-18.264185730446091</v>
      </c>
      <c r="HO151" s="4">
        <v>-18.23483070589646</v>
      </c>
      <c r="HP151" s="4">
        <v>-18.205488794073439</v>
      </c>
      <c r="HQ151" s="4">
        <v>-18.176157503426211</v>
      </c>
      <c r="HR151" s="4">
        <v>-18.14683433371702</v>
      </c>
      <c r="HS151" s="4">
        <v>-18.11751677885983</v>
      </c>
      <c r="HT151" s="4">
        <v>-18.08820232981785</v>
      </c>
      <c r="HU151" s="4">
        <v>-18.058888477549729</v>
      </c>
      <c r="HV151" s="4">
        <v>-18.029572715994121</v>
      </c>
      <c r="HW151" s="4">
        <v>-18.000252545082191</v>
      </c>
      <c r="HX151" s="4">
        <v>-17.970925473767132</v>
      </c>
      <c r="HY151" s="4">
        <v>-17.941589023059819</v>
      </c>
      <c r="HZ151" s="4">
        <v>-17.912240729060169</v>
      </c>
      <c r="IA151" s="4">
        <v>-17.88287814597334</v>
      </c>
      <c r="IB151" s="4">
        <v>-17.853498849100081</v>
      </c>
      <c r="IC151" s="4">
        <v>-17.824100437791301</v>
      </c>
      <c r="ID151" s="4">
        <v>-17.79468053835603</v>
      </c>
      <c r="IE151" s="4">
        <v>-17.765236806914452</v>
      </c>
      <c r="IF151" s="4">
        <v>-17.73576693218418</v>
      </c>
      <c r="IG151" s="4">
        <v>-17.706268638193102</v>
      </c>
      <c r="IH151" s="4">
        <v>-17.676739686909229</v>
      </c>
      <c r="II151" s="4">
        <v>-17.647177880779001</v>
      </c>
      <c r="IJ151" s="4">
        <v>-17.617581065167311</v>
      </c>
      <c r="IK151" s="4">
        <v>-17.587947130692221</v>
      </c>
      <c r="IL151" s="4">
        <v>-17.558274015446649</v>
      </c>
      <c r="IM151" s="4">
        <v>-17.52855970710333</v>
      </c>
    </row>
    <row r="152" spans="2:247" x14ac:dyDescent="0.35">
      <c r="B152" s="58">
        <v>1.36</v>
      </c>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c r="DP152" s="4"/>
      <c r="DQ152" s="4"/>
      <c r="DR152" s="4"/>
      <c r="DS152" s="4"/>
      <c r="DT152" s="4"/>
      <c r="DU152" s="4"/>
      <c r="DV152" s="4">
        <v>-21.600040558908919</v>
      </c>
      <c r="DW152" s="4">
        <v>-21.562772154680729</v>
      </c>
      <c r="DX152" s="4">
        <v>-21.525602926475951</v>
      </c>
      <c r="DY152" s="4">
        <v>-21.488533596310411</v>
      </c>
      <c r="DZ152" s="4">
        <v>-21.45156485176458</v>
      </c>
      <c r="EA152" s="4">
        <v>-21.414697345309701</v>
      </c>
      <c r="EB152" s="4">
        <v>-21.377931693688641</v>
      </c>
      <c r="EC152" s="4">
        <v>-21.341268477353729</v>
      </c>
      <c r="ED152" s="4">
        <v>-21.30470823996361</v>
      </c>
      <c r="EE152" s="4">
        <v>-21.268251487938588</v>
      </c>
      <c r="EF152" s="4">
        <v>-21.231898690078271</v>
      </c>
      <c r="EG152" s="4">
        <v>-21.195650277239899</v>
      </c>
      <c r="EH152" s="4">
        <v>-21.15950664207945</v>
      </c>
      <c r="EI152" s="4">
        <v>-21.123468138854999</v>
      </c>
      <c r="EJ152" s="4">
        <v>-21.08753508329233</v>
      </c>
      <c r="EK152" s="4">
        <v>-21.051707752512041</v>
      </c>
      <c r="EL152" s="4">
        <v>-21.015986385018099</v>
      </c>
      <c r="EM152" s="4">
        <v>-20.980371180745649</v>
      </c>
      <c r="EN152" s="4">
        <v>-20.944862301167529</v>
      </c>
      <c r="EO152" s="4">
        <v>-20.90945986945647</v>
      </c>
      <c r="EP152" s="4">
        <v>-20.874163970701709</v>
      </c>
      <c r="EQ152" s="4">
        <v>-20.838974652177232</v>
      </c>
      <c r="ER152" s="4">
        <v>-20.803891923657769</v>
      </c>
      <c r="ES152" s="4">
        <v>-20.768915757780931</v>
      </c>
      <c r="ET152" s="4">
        <v>-20.734046090449699</v>
      </c>
      <c r="EU152" s="4">
        <v>-20.69928282127427</v>
      </c>
      <c r="EV152" s="4">
        <v>-20.664625814045241</v>
      </c>
      <c r="EW152" s="4">
        <v>-20.630074897237829</v>
      </c>
      <c r="EX152" s="4">
        <v>-20.59562986453891</v>
      </c>
      <c r="EY152" s="4">
        <v>-20.561290475394198</v>
      </c>
      <c r="EZ152" s="4">
        <v>-20.527056455569848</v>
      </c>
      <c r="FA152" s="4">
        <v>-20.492927497722189</v>
      </c>
      <c r="FB152" s="4">
        <v>-20.458903261972669</v>
      </c>
      <c r="FC152" s="4">
        <v>-20.42498337647968</v>
      </c>
      <c r="FD152" s="4">
        <v>-20.391167438004349</v>
      </c>
      <c r="FE152" s="4">
        <v>-20.35745501246349</v>
      </c>
      <c r="FF152" s="4">
        <v>-20.323845635464181</v>
      </c>
      <c r="FG152" s="4">
        <v>-20.29033881281595</v>
      </c>
      <c r="FH152" s="4">
        <v>-20.256934021014441</v>
      </c>
      <c r="FI152" s="4">
        <v>-20.223630707691139</v>
      </c>
      <c r="FJ152" s="4">
        <v>-20.190428292026329</v>
      </c>
      <c r="FK152" s="4">
        <v>-20.157326165118299</v>
      </c>
      <c r="FL152" s="4">
        <v>-20.12432369030763</v>
      </c>
      <c r="FM152" s="4">
        <v>-20.091420203449179</v>
      </c>
      <c r="FN152" s="4">
        <v>-20.058615013132631</v>
      </c>
      <c r="FO152" s="4">
        <v>-20.025907400844488</v>
      </c>
      <c r="FP152" s="4">
        <v>-19.9932966210724</v>
      </c>
      <c r="FQ152" s="4">
        <v>-19.960781901348032</v>
      </c>
      <c r="FR152" s="4">
        <v>-19.928362442227261</v>
      </c>
      <c r="FS152" s="4">
        <v>-19.896037417207872</v>
      </c>
      <c r="FT152" s="4">
        <v>-19.863805972583229</v>
      </c>
      <c r="FU152" s="4">
        <v>-19.831667227233169</v>
      </c>
      <c r="FV152" s="4">
        <v>-19.79962027235258</v>
      </c>
      <c r="FW152" s="4">
        <v>-19.767664171119449</v>
      </c>
      <c r="FX152" s="4">
        <v>-19.735797958304499</v>
      </c>
      <c r="FY152" s="4">
        <v>-19.7040206398257</v>
      </c>
      <c r="FZ152" s="4">
        <v>-19.672331192249679</v>
      </c>
      <c r="GA152" s="4">
        <v>-19.64072856224665</v>
      </c>
      <c r="GB152" s="4">
        <v>-19.609211666000309</v>
      </c>
      <c r="GC152" s="4">
        <v>-19.577779388580801</v>
      </c>
      <c r="GD152" s="4">
        <v>-19.546430583284419</v>
      </c>
      <c r="GE152" s="4">
        <v>-19.515164070947499</v>
      </c>
      <c r="GF152" s="4">
        <v>-19.48397863924032</v>
      </c>
      <c r="GG152" s="4">
        <v>-19.452873041948958</v>
      </c>
      <c r="GH152" s="4">
        <v>-19.421845998252021</v>
      </c>
      <c r="GI152" s="4">
        <v>-19.390896191999861</v>
      </c>
      <c r="GJ152" s="4">
        <v>-19.36002227100515</v>
      </c>
      <c r="GK152" s="4">
        <v>-19.329222846352231</v>
      </c>
      <c r="GL152" s="4">
        <v>-19.298496491734038</v>
      </c>
      <c r="GM152" s="4">
        <v>-19.26784174282534</v>
      </c>
      <c r="GN152" s="4">
        <v>-19.237257096699981</v>
      </c>
      <c r="GO152" s="4">
        <v>-19.206741011301901</v>
      </c>
      <c r="GP152" s="4">
        <v>-19.176291904977148</v>
      </c>
      <c r="GQ152" s="4">
        <v>-19.145908156075311</v>
      </c>
      <c r="GR152" s="4">
        <v>-19.115588102629431</v>
      </c>
      <c r="GS152" s="4">
        <v>-19.085330042120169</v>
      </c>
      <c r="GT152" s="4">
        <v>-19.055132231333321</v>
      </c>
      <c r="GU152" s="4">
        <v>-19.02499288631639</v>
      </c>
      <c r="GV152" s="4">
        <v>-18.99491018244176</v>
      </c>
      <c r="GW152" s="4">
        <v>-18.964882254580768</v>
      </c>
      <c r="GX152" s="4">
        <v>-18.934907197395891</v>
      </c>
      <c r="GY152" s="4">
        <v>-18.904983065754259</v>
      </c>
      <c r="GZ152" s="4">
        <v>-18.875107875267251</v>
      </c>
      <c r="HA152" s="4">
        <v>-18.845279602959678</v>
      </c>
      <c r="HB152" s="4">
        <v>-18.815496188070409</v>
      </c>
      <c r="HC152" s="4">
        <v>-18.785755532987508</v>
      </c>
      <c r="HD152" s="4">
        <v>-18.756055504317761</v>
      </c>
      <c r="HE152" s="4">
        <v>-18.72639393409175</v>
      </c>
      <c r="HF152" s="4">
        <v>-18.696768621104049</v>
      </c>
      <c r="HG152" s="4">
        <v>-18.667177332386711</v>
      </c>
      <c r="HH152" s="4">
        <v>-18.637617804814489</v>
      </c>
      <c r="HI152" s="4">
        <v>-18.608087746839431</v>
      </c>
      <c r="HJ152" s="4">
        <v>-18.578584840349411</v>
      </c>
      <c r="HK152" s="4">
        <v>-18.549106742649819</v>
      </c>
      <c r="HL152" s="4">
        <v>-18.519651088558991</v>
      </c>
      <c r="HM152" s="4">
        <v>-18.49021549261597</v>
      </c>
      <c r="HN152" s="4">
        <v>-18.460797551390609</v>
      </c>
      <c r="HO152" s="4">
        <v>-18.431394845892381</v>
      </c>
      <c r="HP152" s="4">
        <v>-18.402004944067482</v>
      </c>
      <c r="HQ152" s="4">
        <v>-18.37262540337824</v>
      </c>
      <c r="HR152" s="4">
        <v>-18.343253773455832</v>
      </c>
      <c r="HS152" s="4">
        <v>-18.31388759881683</v>
      </c>
      <c r="HT152" s="4">
        <v>-18.28452442163502</v>
      </c>
      <c r="HU152" s="4">
        <v>-18.25516178455916</v>
      </c>
      <c r="HV152" s="4">
        <v>-18.225797233565991</v>
      </c>
      <c r="HW152" s="4">
        <v>-18.196428320839541</v>
      </c>
      <c r="HX152" s="4">
        <v>-18.167052607666442</v>
      </c>
      <c r="HY152" s="4">
        <v>-18.137667667336519</v>
      </c>
      <c r="HZ152" s="4">
        <v>-18.108271088039739</v>
      </c>
      <c r="IA152" s="4">
        <v>-18.078860475748169</v>
      </c>
      <c r="IB152" s="4">
        <v>-18.049433457074802</v>
      </c>
      <c r="IC152" s="4">
        <v>-18.019987682096971</v>
      </c>
      <c r="ID152" s="4">
        <v>-17.990520827137789</v>
      </c>
      <c r="IE152" s="4">
        <v>-17.961030597494101</v>
      </c>
      <c r="IF152" s="4">
        <v>-17.931514730103419</v>
      </c>
      <c r="IG152" s="4">
        <v>-17.901970996140481</v>
      </c>
      <c r="IH152" s="4">
        <v>-17.872397203536039</v>
      </c>
      <c r="II152" s="4">
        <v>-17.842791199409671</v>
      </c>
      <c r="IJ152" s="4">
        <v>-17.81315087240996</v>
      </c>
      <c r="IK152" s="4">
        <v>-17.783474154955091</v>
      </c>
      <c r="IL152" s="4">
        <v>-17.753759025367419</v>
      </c>
      <c r="IM152" s="4">
        <v>-17.724003509897369</v>
      </c>
    </row>
    <row r="153" spans="2:247" x14ac:dyDescent="0.35">
      <c r="B153" s="58">
        <v>1.37</v>
      </c>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c r="DP153" s="4"/>
      <c r="DQ153" s="4"/>
      <c r="DR153" s="4"/>
      <c r="DS153" s="4"/>
      <c r="DT153" s="4"/>
      <c r="DU153" s="4"/>
      <c r="DV153" s="4">
        <v>-21.797014478005082</v>
      </c>
      <c r="DW153" s="4">
        <v>-21.759788272000481</v>
      </c>
      <c r="DX153" s="4">
        <v>-21.72266044607564</v>
      </c>
      <c r="DY153" s="4">
        <v>-21.685631703820039</v>
      </c>
      <c r="DZ153" s="4">
        <v>-21.648702715139439</v>
      </c>
      <c r="EA153" s="4">
        <v>-21.611874115605421</v>
      </c>
      <c r="EB153" s="4">
        <v>-21.575146505856061</v>
      </c>
      <c r="EC153" s="4">
        <v>-21.538520451051419</v>
      </c>
      <c r="ED153" s="4">
        <v>-21.501996480383411</v>
      </c>
      <c r="EE153" s="4">
        <v>-21.46557508664295</v>
      </c>
      <c r="EF153" s="4">
        <v>-21.4292567258444</v>
      </c>
      <c r="EG153" s="4">
        <v>-21.39304181690764</v>
      </c>
      <c r="EH153" s="4">
        <v>-21.356930741400291</v>
      </c>
      <c r="EI153" s="4">
        <v>-21.320923843337049</v>
      </c>
      <c r="EJ153" s="4">
        <v>-21.285021429038711</v>
      </c>
      <c r="EK153" s="4">
        <v>-21.24922376704879</v>
      </c>
      <c r="EL153" s="4">
        <v>-21.21353108810769</v>
      </c>
      <c r="EM153" s="4">
        <v>-21.177943585183041</v>
      </c>
      <c r="EN153" s="4">
        <v>-21.14246141355417</v>
      </c>
      <c r="EO153" s="4">
        <v>-21.107084690949922</v>
      </c>
      <c r="EP153" s="4">
        <v>-21.071813497736979</v>
      </c>
      <c r="EQ153" s="4">
        <v>-21.03664787715638</v>
      </c>
      <c r="ER153" s="4">
        <v>-21.001587835605221</v>
      </c>
      <c r="ES153" s="4">
        <v>-20.966633342961231</v>
      </c>
      <c r="ET153" s="4">
        <v>-20.931784332945661</v>
      </c>
      <c r="EU153" s="4">
        <v>-20.897040703521789</v>
      </c>
      <c r="EV153" s="4">
        <v>-20.86240231732495</v>
      </c>
      <c r="EW153" s="4">
        <v>-20.827869002118991</v>
      </c>
      <c r="EX153" s="4">
        <v>-20.793440551276511</v>
      </c>
      <c r="EY153" s="4">
        <v>-20.759116724277021</v>
      </c>
      <c r="EZ153" s="4">
        <v>-20.724897247217939</v>
      </c>
      <c r="FA153" s="4">
        <v>-20.690781813335398</v>
      </c>
      <c r="FB153" s="4">
        <v>-20.656770083528041</v>
      </c>
      <c r="FC153" s="4">
        <v>-20.622861686879808</v>
      </c>
      <c r="FD153" s="4">
        <v>-20.58905622117647</v>
      </c>
      <c r="FE153" s="4">
        <v>-20.555353253410829</v>
      </c>
      <c r="FF153" s="4">
        <v>-20.52175232027172</v>
      </c>
      <c r="FG153" s="4">
        <v>-20.48825292861186</v>
      </c>
      <c r="FH153" s="4">
        <v>-20.454854555890069</v>
      </c>
      <c r="FI153" s="4">
        <v>-20.421556650582989</v>
      </c>
      <c r="FJ153" s="4">
        <v>-20.38835863256239</v>
      </c>
      <c r="FK153" s="4">
        <v>-20.35525989343348</v>
      </c>
      <c r="FL153" s="4">
        <v>-20.32225979683092</v>
      </c>
      <c r="FM153" s="4">
        <v>-20.289357678669109</v>
      </c>
      <c r="FN153" s="4">
        <v>-20.256552847343421</v>
      </c>
      <c r="FO153" s="4">
        <v>-20.223844583879782</v>
      </c>
      <c r="FP153" s="4">
        <v>-20.191232142030849</v>
      </c>
      <c r="FQ153" s="4">
        <v>-20.15871474831636</v>
      </c>
      <c r="FR153" s="4">
        <v>-20.12629160200731</v>
      </c>
      <c r="FS153" s="4">
        <v>-20.093961875052148</v>
      </c>
      <c r="FT153" s="4">
        <v>-20.061724711946159</v>
      </c>
      <c r="FU153" s="4">
        <v>-20.02957922954322</v>
      </c>
      <c r="FV153" s="4">
        <v>-19.997524516811431</v>
      </c>
      <c r="FW153" s="4">
        <v>-19.96555963453465</v>
      </c>
      <c r="FX153" s="4">
        <v>-19.933683614960941</v>
      </c>
      <c r="FY153" s="4">
        <v>-19.901895461401491</v>
      </c>
      <c r="FZ153" s="4">
        <v>-19.870194147783199</v>
      </c>
      <c r="GA153" s="4">
        <v>-19.838578618158088</v>
      </c>
      <c r="GB153" s="4">
        <v>-19.8070477861746</v>
      </c>
      <c r="GC153" s="4">
        <v>-19.77560053451559</v>
      </c>
      <c r="GD153" s="4">
        <v>-19.74423571430766</v>
      </c>
      <c r="GE153" s="4">
        <v>-19.712952144508559</v>
      </c>
      <c r="GF153" s="4">
        <v>-19.681748611278199</v>
      </c>
      <c r="GG153" s="4">
        <v>-19.65062386734018</v>
      </c>
      <c r="GH153" s="4">
        <v>-19.619576631341001</v>
      </c>
      <c r="GI153" s="4">
        <v>-19.588605587213401</v>
      </c>
      <c r="GJ153" s="4">
        <v>-19.557709383552371</v>
      </c>
      <c r="GK153" s="4">
        <v>-19.526886633010569</v>
      </c>
      <c r="GL153" s="4">
        <v>-19.496135911721471</v>
      </c>
      <c r="GM153" s="4">
        <v>-19.46545575875804</v>
      </c>
      <c r="GN153" s="4">
        <v>-19.434844675634789</v>
      </c>
      <c r="GO153" s="4">
        <v>-19.40430112586056</v>
      </c>
      <c r="GP153" s="4">
        <v>-19.373823534550858</v>
      </c>
      <c r="GQ153" s="4">
        <v>-19.343410288106512</v>
      </c>
      <c r="GR153" s="4">
        <v>-19.313059733965741</v>
      </c>
      <c r="GS153" s="4">
        <v>-19.28277018043795</v>
      </c>
      <c r="GT153" s="4">
        <v>-19.252539896624679</v>
      </c>
      <c r="GU153" s="4">
        <v>-19.222367112434618</v>
      </c>
      <c r="GV153" s="4">
        <v>-19.1922500186989</v>
      </c>
      <c r="GW153" s="4">
        <v>-19.162186767391781</v>
      </c>
      <c r="GX153" s="4">
        <v>-19.13217547196103</v>
      </c>
      <c r="GY153" s="4">
        <v>-19.10221420777372</v>
      </c>
      <c r="GZ153" s="4">
        <v>-19.072301012680121</v>
      </c>
      <c r="HA153" s="4">
        <v>-19.042433887698611</v>
      </c>
      <c r="HB153" s="4">
        <v>-19.012610797824781</v>
      </c>
      <c r="HC153" s="4">
        <v>-18.98282967296619</v>
      </c>
      <c r="HD153" s="4">
        <v>-18.953088409003009</v>
      </c>
      <c r="HE153" s="4">
        <v>-18.92338486897625</v>
      </c>
      <c r="HF153" s="4">
        <v>-18.893716884401389</v>
      </c>
      <c r="HG153" s="4">
        <v>-18.864082256708109</v>
      </c>
      <c r="HH153" s="4">
        <v>-18.834478758802579</v>
      </c>
      <c r="HI153" s="4">
        <v>-18.80490413675027</v>
      </c>
      <c r="HJ153" s="4">
        <v>-18.775356111576539</v>
      </c>
      <c r="HK153" s="4">
        <v>-18.74583238117977</v>
      </c>
      <c r="HL153" s="4">
        <v>-18.716330622353691</v>
      </c>
      <c r="HM153" s="4">
        <v>-18.686848492912262</v>
      </c>
      <c r="HN153" s="4">
        <v>-18.657383633912101</v>
      </c>
      <c r="HO153" s="4">
        <v>-18.627933671966002</v>
      </c>
      <c r="HP153" s="4">
        <v>-18.5984962216395</v>
      </c>
      <c r="HQ153" s="4">
        <v>-18.56906888792458</v>
      </c>
      <c r="HR153" s="4">
        <v>-18.539649268781069</v>
      </c>
      <c r="HS153" s="4">
        <v>-18.510234957738671</v>
      </c>
      <c r="HT153" s="4">
        <v>-18.480823546549988</v>
      </c>
      <c r="HU153" s="4">
        <v>-18.451412627886508</v>
      </c>
      <c r="HV153" s="4">
        <v>-18.42199979806777</v>
      </c>
      <c r="HW153" s="4">
        <v>-18.392582659814838</v>
      </c>
      <c r="HX153" s="4">
        <v>-18.36315882501869</v>
      </c>
      <c r="HY153" s="4">
        <v>-18.333725917513281</v>
      </c>
      <c r="HZ153" s="4">
        <v>-18.304281575845181</v>
      </c>
      <c r="IA153" s="4">
        <v>-18.27482345602947</v>
      </c>
      <c r="IB153" s="4">
        <v>-18.245349234282571</v>
      </c>
      <c r="IC153" s="4">
        <v>-18.215856609723229</v>
      </c>
      <c r="ID153" s="4">
        <v>-18.1863433070328</v>
      </c>
      <c r="IE153" s="4">
        <v>-18.15680707906591</v>
      </c>
      <c r="IF153" s="4">
        <v>-18.127245709402811</v>
      </c>
      <c r="IG153" s="4">
        <v>-18.09765701483672</v>
      </c>
      <c r="IH153" s="4">
        <v>-18.068038847786429</v>
      </c>
      <c r="II153" s="4">
        <v>-18.03838909862931</v>
      </c>
      <c r="IJ153" s="4">
        <v>-18.008705697945889</v>
      </c>
      <c r="IK153" s="4">
        <v>-17.978986618670959</v>
      </c>
      <c r="IL153" s="4">
        <v>-17.949229878145129</v>
      </c>
      <c r="IM153" s="4">
        <v>-17.919433540061089</v>
      </c>
    </row>
    <row r="154" spans="2:247" x14ac:dyDescent="0.35">
      <c r="B154" s="58">
        <v>1.38</v>
      </c>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c r="DP154" s="4"/>
      <c r="DQ154" s="4"/>
      <c r="DR154" s="4"/>
      <c r="DS154" s="4"/>
      <c r="DT154" s="4"/>
      <c r="DU154" s="4"/>
      <c r="DV154" s="4">
        <v>-21.994000360228959</v>
      </c>
      <c r="DW154" s="4">
        <v>-21.956815568660211</v>
      </c>
      <c r="DX154" s="4">
        <v>-21.919728366738479</v>
      </c>
      <c r="DY154" s="4">
        <v>-21.882739440022991</v>
      </c>
      <c r="DZ154" s="4">
        <v>-21.845849441111309</v>
      </c>
      <c r="EA154" s="4">
        <v>-21.809058989010019</v>
      </c>
      <c r="EB154" s="4">
        <v>-21.772368668554702</v>
      </c>
      <c r="EC154" s="4">
        <v>-21.735779029880891</v>
      </c>
      <c r="ED154" s="4">
        <v>-21.699290587947321</v>
      </c>
      <c r="EE154" s="4">
        <v>-21.66290382211298</v>
      </c>
      <c r="EF154" s="4">
        <v>-21.62661917576828</v>
      </c>
      <c r="EG154" s="4">
        <v>-21.59043705602118</v>
      </c>
      <c r="EH154" s="4">
        <v>-21.554357833438971</v>
      </c>
      <c r="EI154" s="4">
        <v>-21.51838184184507</v>
      </c>
      <c r="EJ154" s="4">
        <v>-21.482509378171269</v>
      </c>
      <c r="EK154" s="4">
        <v>-21.446740702364689</v>
      </c>
      <c r="EL154" s="4">
        <v>-21.411076037348359</v>
      </c>
      <c r="EM154" s="4">
        <v>-21.375515569034839</v>
      </c>
      <c r="EN154" s="4">
        <v>-21.340059446390981</v>
      </c>
      <c r="EO154" s="4">
        <v>-21.30470778155226</v>
      </c>
      <c r="EP154" s="4">
        <v>-21.269460649985181</v>
      </c>
      <c r="EQ154" s="4">
        <v>-21.23431809069378</v>
      </c>
      <c r="ER154" s="4">
        <v>-21.19928010647028</v>
      </c>
      <c r="ES154" s="4">
        <v>-21.164346664183661</v>
      </c>
      <c r="ET154" s="4">
        <v>-21.129517695106681</v>
      </c>
      <c r="EU154" s="4">
        <v>-21.094793095274269</v>
      </c>
      <c r="EV154" s="4">
        <v>-21.060172725872331</v>
      </c>
      <c r="EW154" s="4">
        <v>-21.025656413652211</v>
      </c>
      <c r="EX154" s="4">
        <v>-20.99124395136559</v>
      </c>
      <c r="EY154" s="4">
        <v>-20.956935098218139</v>
      </c>
      <c r="EZ154" s="4">
        <v>-20.922729580334639</v>
      </c>
      <c r="FA154" s="4">
        <v>-20.888627091233321</v>
      </c>
      <c r="FB154" s="4">
        <v>-20.8546272923038</v>
      </c>
      <c r="FC154" s="4">
        <v>-20.820729813283879</v>
      </c>
      <c r="FD154" s="4">
        <v>-20.786934252731609</v>
      </c>
      <c r="FE154" s="4">
        <v>-20.75324017848633</v>
      </c>
      <c r="FF154" s="4">
        <v>-20.719647128115881</v>
      </c>
      <c r="FG154" s="4">
        <v>-20.68615460934442</v>
      </c>
      <c r="FH154" s="4">
        <v>-20.652762100456481</v>
      </c>
      <c r="FI154" s="4">
        <v>-20.619469050674461</v>
      </c>
      <c r="FJ154" s="4">
        <v>-20.586274880503058</v>
      </c>
      <c r="FK154" s="4">
        <v>-20.553178982040421</v>
      </c>
      <c r="FL154" s="4">
        <v>-20.52018071924843</v>
      </c>
      <c r="FM154" s="4">
        <v>-20.487279428183601</v>
      </c>
      <c r="FN154" s="4">
        <v>-20.454474417181391</v>
      </c>
      <c r="FO154" s="4">
        <v>-20.421764966995159</v>
      </c>
      <c r="FP154" s="4">
        <v>-20.389150330885499</v>
      </c>
      <c r="FQ154" s="4">
        <v>-20.356629734659609</v>
      </c>
      <c r="FR154" s="4">
        <v>-20.324202376659048</v>
      </c>
      <c r="FS154" s="4">
        <v>-20.291867427695959</v>
      </c>
      <c r="FT154" s="4">
        <v>-20.259624030936561</v>
      </c>
      <c r="FU154" s="4">
        <v>-20.227471301733981</v>
      </c>
      <c r="FV154" s="4">
        <v>-20.195408327409549</v>
      </c>
      <c r="FW154" s="4">
        <v>-20.163434166985759</v>
      </c>
      <c r="FX154" s="4">
        <v>-20.131547850871769</v>
      </c>
      <c r="FY154" s="4">
        <v>-20.099748380504209</v>
      </c>
      <c r="FZ154" s="4">
        <v>-20.068034727947261</v>
      </c>
      <c r="GA154" s="4">
        <v>-20.03640583545377</v>
      </c>
      <c r="GB154" s="4">
        <v>-20.004860614993909</v>
      </c>
      <c r="GC154" s="4">
        <v>-19.973397947753082</v>
      </c>
      <c r="GD154" s="4">
        <v>-19.94201668360742</v>
      </c>
      <c r="GE154" s="4">
        <v>-19.910715640578491</v>
      </c>
      <c r="GF154" s="4">
        <v>-19.879493604276629</v>
      </c>
      <c r="GG154" s="4">
        <v>-19.8483493273365</v>
      </c>
      <c r="GH154" s="4">
        <v>-19.817281528852369</v>
      </c>
      <c r="GI154" s="4">
        <v>-19.786288893819961</v>
      </c>
      <c r="GJ154" s="4">
        <v>-19.755370072591219</v>
      </c>
      <c r="GK154" s="4">
        <v>-19.72452368034957</v>
      </c>
      <c r="GL154" s="4">
        <v>-19.69374829661275</v>
      </c>
      <c r="GM154" s="4">
        <v>-19.663042464770388</v>
      </c>
      <c r="GN154" s="4">
        <v>-19.63240469166383</v>
      </c>
      <c r="GO154" s="4">
        <v>-19.601833447215011</v>
      </c>
      <c r="GP154" s="4">
        <v>-19.571327164112621</v>
      </c>
      <c r="GQ154" s="4">
        <v>-19.540884237560821</v>
      </c>
      <c r="GR154" s="4">
        <v>-19.51050302509903</v>
      </c>
      <c r="GS154" s="4">
        <v>-19.48018184649856</v>
      </c>
      <c r="GT154" s="4">
        <v>-19.449918983741409</v>
      </c>
      <c r="GU154" s="4">
        <v>-19.41971268108945</v>
      </c>
      <c r="GV154" s="4">
        <v>-19.389561145246649</v>
      </c>
      <c r="GW154" s="4">
        <v>-19.359462545621561</v>
      </c>
      <c r="GX154" s="4">
        <v>-19.329415014693179</v>
      </c>
      <c r="GY154" s="4">
        <v>-19.299416648484769</v>
      </c>
      <c r="GZ154" s="4">
        <v>-19.269465507149029</v>
      </c>
      <c r="HA154" s="4">
        <v>-19.23955961566698</v>
      </c>
      <c r="HB154" s="4">
        <v>-19.20969696466355</v>
      </c>
      <c r="HC154" s="4">
        <v>-19.179875511340171</v>
      </c>
      <c r="HD154" s="4">
        <v>-19.15009318052676</v>
      </c>
      <c r="HE154" s="4">
        <v>-19.12034786585183</v>
      </c>
      <c r="HF154" s="4">
        <v>-19.090637431031229</v>
      </c>
      <c r="HG154" s="4">
        <v>-19.060959711274201</v>
      </c>
      <c r="HH154" s="4">
        <v>-19.03131251480448</v>
      </c>
      <c r="HI154" s="4">
        <v>-19.001693624494191</v>
      </c>
      <c r="HJ154" s="4">
        <v>-18.972100799607929</v>
      </c>
      <c r="HK154" s="4">
        <v>-18.94253177765194</v>
      </c>
      <c r="HL154" s="4">
        <v>-18.91298427632578</v>
      </c>
      <c r="HM154" s="4">
        <v>-18.883455995569349</v>
      </c>
      <c r="HN154" s="4">
        <v>-18.85394461970202</v>
      </c>
      <c r="HO154" s="4">
        <v>-18.824447819645471</v>
      </c>
      <c r="HP154" s="4">
        <v>-18.794963255226101</v>
      </c>
      <c r="HQ154" s="4">
        <v>-18.765488577547519</v>
      </c>
      <c r="HR154" s="4">
        <v>-18.736021431427989</v>
      </c>
      <c r="HS154" s="4">
        <v>-18.706559457893079</v>
      </c>
      <c r="HT154" s="4">
        <v>-18.677100296717029</v>
      </c>
      <c r="HU154" s="4">
        <v>-18.647641589003779</v>
      </c>
      <c r="HV154" s="4">
        <v>-18.618180979798829</v>
      </c>
      <c r="HW154" s="4">
        <v>-18.588716120723809</v>
      </c>
      <c r="HX154" s="4">
        <v>-18.559244672624931</v>
      </c>
      <c r="HY154" s="4">
        <v>-18.529764308225609</v>
      </c>
      <c r="HZ154" s="4">
        <v>-18.500272714775932</v>
      </c>
      <c r="IA154" s="4">
        <v>-18.470767596688479</v>
      </c>
      <c r="IB154" s="4">
        <v>-18.441246678152861</v>
      </c>
      <c r="IC154" s="4">
        <v>-18.41170770572036</v>
      </c>
      <c r="ID154" s="4">
        <v>-18.38214845084935</v>
      </c>
      <c r="IE154" s="4">
        <v>-18.35256671240483</v>
      </c>
      <c r="IF154" s="4">
        <v>-18.322960319102421</v>
      </c>
      <c r="IG154" s="4">
        <v>-18.293327131891459</v>
      </c>
      <c r="IH154" s="4">
        <v>-18.263665046267398</v>
      </c>
      <c r="II154" s="4">
        <v>-18.233971994508948</v>
      </c>
      <c r="IJ154" s="4">
        <v>-18.204245947832572</v>
      </c>
      <c r="IK154" s="4">
        <v>-18.174484918457718</v>
      </c>
      <c r="IL154" s="4">
        <v>-18.144686961579051</v>
      </c>
      <c r="IM154" s="4">
        <v>-18.114850177238761</v>
      </c>
    </row>
    <row r="155" spans="2:247" x14ac:dyDescent="0.35">
      <c r="B155" s="58">
        <v>1.39</v>
      </c>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v>-22.190997464891289</v>
      </c>
      <c r="DW155" s="4">
        <v>-22.153853315028471</v>
      </c>
      <c r="DX155" s="4">
        <v>-22.116805969806361</v>
      </c>
      <c r="DY155" s="4">
        <v>-22.079856097137359</v>
      </c>
      <c r="DZ155" s="4">
        <v>-22.043004332665969</v>
      </c>
      <c r="EA155" s="4">
        <v>-22.006251279159059</v>
      </c>
      <c r="EB155" s="4">
        <v>-21.969597505943931</v>
      </c>
      <c r="EC155" s="4">
        <v>-21.933043548393911</v>
      </c>
      <c r="ED155" s="4">
        <v>-21.896589907464069</v>
      </c>
      <c r="EE155" s="4">
        <v>-21.86023704927748</v>
      </c>
      <c r="EF155" s="4">
        <v>-21.823985404762741</v>
      </c>
      <c r="EG155" s="4">
        <v>-21.787835369343611</v>
      </c>
      <c r="EH155" s="4">
        <v>-21.751787302680849</v>
      </c>
      <c r="EI155" s="4">
        <v>-21.71584152846631</v>
      </c>
      <c r="EJ155" s="4">
        <v>-21.679998334268571</v>
      </c>
      <c r="EK155" s="4">
        <v>-21.64425797143123</v>
      </c>
      <c r="EL155" s="4">
        <v>-21.608620655020811</v>
      </c>
      <c r="EM155" s="4">
        <v>-21.573086563824589</v>
      </c>
      <c r="EN155" s="4">
        <v>-21.537655840397019</v>
      </c>
      <c r="EO155" s="4">
        <v>-21.502328591152441</v>
      </c>
      <c r="EP155" s="4">
        <v>-21.467104886502671</v>
      </c>
      <c r="EQ155" s="4">
        <v>-21.431984761036841</v>
      </c>
      <c r="ER155" s="4">
        <v>-21.396968213741509</v>
      </c>
      <c r="ES155" s="4">
        <v>-21.362055208258091</v>
      </c>
      <c r="ET155" s="4">
        <v>-21.327245673174222</v>
      </c>
      <c r="EU155" s="4">
        <v>-21.292539502346699</v>
      </c>
      <c r="EV155" s="4">
        <v>-21.257936555251771</v>
      </c>
      <c r="EW155" s="4">
        <v>-21.223436657359901</v>
      </c>
      <c r="EX155" s="4">
        <v>-21.189039600530268</v>
      </c>
      <c r="EY155" s="4">
        <v>-21.154745143422179</v>
      </c>
      <c r="EZ155" s="4">
        <v>-21.120553011918339</v>
      </c>
      <c r="FA155" s="4">
        <v>-21.086462899556501</v>
      </c>
      <c r="FB155" s="4">
        <v>-21.052474467965052</v>
      </c>
      <c r="FC155" s="4">
        <v>-21.018587347297981</v>
      </c>
      <c r="FD155" s="4">
        <v>-20.984801136665201</v>
      </c>
      <c r="FE155" s="4">
        <v>-20.95111540455439</v>
      </c>
      <c r="FF155" s="4">
        <v>-20.917529689239121</v>
      </c>
      <c r="FG155" s="4">
        <v>-20.884043499170239</v>
      </c>
      <c r="FH155" s="4">
        <v>-20.850656313345951</v>
      </c>
      <c r="FI155" s="4">
        <v>-20.817367581656779</v>
      </c>
      <c r="FJ155" s="4">
        <v>-20.78417672520203</v>
      </c>
      <c r="FK155" s="4">
        <v>-20.75108313657454</v>
      </c>
      <c r="FL155" s="4">
        <v>-20.718086180109911</v>
      </c>
      <c r="FM155" s="4">
        <v>-20.685185192098071</v>
      </c>
      <c r="FN155" s="4">
        <v>-20.652379480954711</v>
      </c>
      <c r="FO155" s="4">
        <v>-20.619668327349711</v>
      </c>
      <c r="FP155" s="4">
        <v>-20.587050984291679</v>
      </c>
      <c r="FQ155" s="4">
        <v>-20.554526677166979</v>
      </c>
      <c r="FR155" s="4">
        <v>-20.522094603731801</v>
      </c>
      <c r="FS155" s="4">
        <v>-20.489753934057919</v>
      </c>
      <c r="FT155" s="4">
        <v>-20.457503810431039</v>
      </c>
      <c r="FU155" s="4">
        <v>-20.425343347202741</v>
      </c>
      <c r="FV155" s="4">
        <v>-20.393271630597219</v>
      </c>
      <c r="FW155" s="4">
        <v>-20.361287718473619</v>
      </c>
      <c r="FX155" s="4">
        <v>-20.329390640046409</v>
      </c>
      <c r="FY155" s="4">
        <v>-20.297579395566249</v>
      </c>
      <c r="FZ155" s="4">
        <v>-20.265852955963659</v>
      </c>
      <c r="GA155" s="4">
        <v>-20.23421026245969</v>
      </c>
      <c r="GB155" s="4">
        <v>-20.202650226146918</v>
      </c>
      <c r="GC155" s="4">
        <v>-20.171171727545079</v>
      </c>
      <c r="GD155" s="4">
        <v>-20.13977361613572</v>
      </c>
      <c r="GE155" s="4">
        <v>-20.10845470988227</v>
      </c>
      <c r="GF155" s="4">
        <v>-20.07721379473848</v>
      </c>
      <c r="GG155" s="4">
        <v>-20.046049624153579</v>
      </c>
      <c r="GH155" s="4">
        <v>-20.01496091857851</v>
      </c>
      <c r="GI155" s="4">
        <v>-19.98394636497957</v>
      </c>
      <c r="GJ155" s="4">
        <v>-19.953004616366851</v>
      </c>
      <c r="GK155" s="4">
        <v>-19.922134291343081</v>
      </c>
      <c r="GL155" s="4">
        <v>-19.891333973679949</v>
      </c>
      <c r="GM155" s="4">
        <v>-19.860602211928722</v>
      </c>
      <c r="GN155" s="4">
        <v>-19.829937519071599</v>
      </c>
      <c r="GO155" s="4">
        <v>-19.79933837222104</v>
      </c>
      <c r="GP155" s="4">
        <v>-19.768803212373129</v>
      </c>
      <c r="GQ155" s="4">
        <v>-19.738330444221479</v>
      </c>
      <c r="GR155" s="4">
        <v>-19.707918436038749</v>
      </c>
      <c r="GS155" s="4">
        <v>-19.677565519630139</v>
      </c>
      <c r="GT155" s="4">
        <v>-19.647269990366809</v>
      </c>
      <c r="GU155" s="4">
        <v>-19.617030107302401</v>
      </c>
      <c r="GV155" s="4">
        <v>-19.586844093379248</v>
      </c>
      <c r="GW155" s="4">
        <v>-19.55671013572822</v>
      </c>
      <c r="GX155" s="4">
        <v>-19.526626386066258</v>
      </c>
      <c r="GY155" s="4">
        <v>-19.496590961195349</v>
      </c>
      <c r="GZ155" s="4">
        <v>-19.466601943606371</v>
      </c>
      <c r="HA155" s="4">
        <v>-19.436657382189811</v>
      </c>
      <c r="HB155" s="4">
        <v>-19.406755293055561</v>
      </c>
      <c r="HC155" s="4">
        <v>-19.376893660463111</v>
      </c>
      <c r="HD155" s="4">
        <v>-19.347070437863351</v>
      </c>
      <c r="HE155" s="4">
        <v>-19.317283549051229</v>
      </c>
      <c r="HF155" s="4">
        <v>-19.287530889429561</v>
      </c>
      <c r="HG155" s="4">
        <v>-19.25781032738244</v>
      </c>
      <c r="HH155" s="4">
        <v>-19.228119705756839</v>
      </c>
      <c r="HI155" s="4">
        <v>-19.198456843449652</v>
      </c>
      <c r="HJ155" s="4">
        <v>-19.168819537097121</v>
      </c>
      <c r="HK155" s="4">
        <v>-19.139205562864241</v>
      </c>
      <c r="HL155" s="4">
        <v>-19.109612678327931</v>
      </c>
      <c r="HM155" s="4">
        <v>-19.080038624451259</v>
      </c>
      <c r="HN155" s="4">
        <v>-19.050481127642559</v>
      </c>
      <c r="HO155" s="4">
        <v>-19.020937901893632</v>
      </c>
      <c r="HP155" s="4">
        <v>-18.991406650991269</v>
      </c>
      <c r="HQ155" s="4">
        <v>-18.961885070795621</v>
      </c>
      <c r="HR155" s="4">
        <v>-18.93237085157806</v>
      </c>
      <c r="HS155" s="4">
        <v>-18.902861680411331</v>
      </c>
      <c r="HT155" s="4">
        <v>-18.873355243604859</v>
      </c>
      <c r="HU155" s="4">
        <v>-18.843849229177071</v>
      </c>
      <c r="HV155" s="4">
        <v>-18.81434132935642</v>
      </c>
      <c r="HW155" s="4">
        <v>-18.784829243103719</v>
      </c>
      <c r="HX155" s="4">
        <v>-18.75531067864685</v>
      </c>
      <c r="HY155" s="4">
        <v>-18.72578335602002</v>
      </c>
      <c r="HZ155" s="4">
        <v>-18.696245009598758</v>
      </c>
      <c r="IA155" s="4">
        <v>-18.666693390622871</v>
      </c>
      <c r="IB155" s="4">
        <v>-18.637126269698701</v>
      </c>
      <c r="IC155" s="4">
        <v>-18.607541439273088</v>
      </c>
      <c r="ID155" s="4">
        <v>-18.577936716071068</v>
      </c>
      <c r="IE155" s="4">
        <v>-18.548309943488881</v>
      </c>
      <c r="IF155" s="4">
        <v>-18.51865899393599</v>
      </c>
      <c r="IG155" s="4">
        <v>-18.488981771118372</v>
      </c>
      <c r="IH155" s="4">
        <v>-18.45927621225653</v>
      </c>
      <c r="II155" s="4">
        <v>-18.42954029023111</v>
      </c>
      <c r="IJ155" s="4">
        <v>-18.3997720156509</v>
      </c>
      <c r="IK155" s="4">
        <v>-18.3699694388377</v>
      </c>
      <c r="IL155" s="4">
        <v>-18.340130651721289</v>
      </c>
      <c r="IM155" s="4">
        <v>-18.31025378964156</v>
      </c>
    </row>
    <row r="156" spans="2:247" x14ac:dyDescent="0.35">
      <c r="B156" s="58">
        <v>1.4</v>
      </c>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c r="DP156" s="4"/>
      <c r="DQ156" s="4"/>
      <c r="DR156" s="4"/>
      <c r="DS156" s="4"/>
      <c r="DT156" s="4"/>
      <c r="DU156" s="4"/>
      <c r="DV156" s="4">
        <v>-22.388005072838421</v>
      </c>
      <c r="DW156" s="4">
        <v>-22.350900802911589</v>
      </c>
      <c r="DX156" s="4">
        <v>-22.313892557969211</v>
      </c>
      <c r="DY156" s="4">
        <v>-22.276980988648919</v>
      </c>
      <c r="DZ156" s="4">
        <v>-22.240166713986461</v>
      </c>
      <c r="EA156" s="4">
        <v>-22.20345032082578</v>
      </c>
      <c r="EB156" s="4">
        <v>-22.166832363272921</v>
      </c>
      <c r="EC156" s="4">
        <v>-22.130313362196141</v>
      </c>
      <c r="ED156" s="4">
        <v>-22.093893804773121</v>
      </c>
      <c r="EE156" s="4">
        <v>-22.057574144085692</v>
      </c>
      <c r="EF156" s="4">
        <v>-22.021354798763461</v>
      </c>
      <c r="EG156" s="4">
        <v>-21.985236152676929</v>
      </c>
      <c r="EH156" s="4">
        <v>-21.949218554679039</v>
      </c>
      <c r="EI156" s="4">
        <v>-21.91330231839666</v>
      </c>
      <c r="EJ156" s="4">
        <v>-21.877487722071049</v>
      </c>
      <c r="EK156" s="4">
        <v>-21.8417750084467</v>
      </c>
      <c r="EL156" s="4">
        <v>-21.806164384708261</v>
      </c>
      <c r="EM156" s="4">
        <v>-21.77065602246353</v>
      </c>
      <c r="EN156" s="4">
        <v>-21.73525005777292</v>
      </c>
      <c r="EO156" s="4">
        <v>-21.699946591221579</v>
      </c>
      <c r="EP156" s="4">
        <v>-21.66474568803476</v>
      </c>
      <c r="EQ156" s="4">
        <v>-21.62964737823204</v>
      </c>
      <c r="ER156" s="4">
        <v>-21.594651656819959</v>
      </c>
      <c r="ES156" s="4">
        <v>-21.55975848401955</v>
      </c>
      <c r="ET156" s="4">
        <v>-21.524967785525892</v>
      </c>
      <c r="EU156" s="4">
        <v>-21.49027945279715</v>
      </c>
      <c r="EV156" s="4">
        <v>-21.45569334337015</v>
      </c>
      <c r="EW156" s="4">
        <v>-21.421209281197939</v>
      </c>
      <c r="EX156" s="4">
        <v>-21.386827057007011</v>
      </c>
      <c r="EY156" s="4">
        <v>-21.352546428670149</v>
      </c>
      <c r="EZ156" s="4">
        <v>-21.318367121590761</v>
      </c>
      <c r="FA156" s="4">
        <v>-21.284288829095711</v>
      </c>
      <c r="FB156" s="4">
        <v>-21.250311212831459</v>
      </c>
      <c r="FC156" s="4">
        <v>-21.216433903160581</v>
      </c>
      <c r="FD156" s="4">
        <v>-21.182656499554909</v>
      </c>
      <c r="FE156" s="4">
        <v>-21.148978570980049</v>
      </c>
      <c r="FF156" s="4">
        <v>-21.115399656268771</v>
      </c>
      <c r="FG156" s="4">
        <v>-21.081919264478969</v>
      </c>
      <c r="FH156" s="4">
        <v>-21.048536875232269</v>
      </c>
      <c r="FI156" s="4">
        <v>-21.01525193903047</v>
      </c>
      <c r="FJ156" s="4">
        <v>-20.982063877545759</v>
      </c>
      <c r="FK156" s="4">
        <v>-20.94897208388257</v>
      </c>
      <c r="FL156" s="4">
        <v>-20.91597592280684</v>
      </c>
      <c r="FM156" s="4">
        <v>-20.883074730941988</v>
      </c>
      <c r="FN156" s="4">
        <v>-20.850267816927339</v>
      </c>
      <c r="FO156" s="4">
        <v>-20.817554461538901</v>
      </c>
      <c r="FP156" s="4">
        <v>-20.78493391776971</v>
      </c>
      <c r="FQ156" s="4">
        <v>-20.752405410868949</v>
      </c>
      <c r="FR156" s="4">
        <v>-20.719968138339659</v>
      </c>
      <c r="FS156" s="4">
        <v>-20.687621269893111</v>
      </c>
      <c r="FT156" s="4">
        <v>-20.65536394736192</v>
      </c>
      <c r="FU156" s="4">
        <v>-20.623195284571079</v>
      </c>
      <c r="FV156" s="4">
        <v>-20.591114367167769</v>
      </c>
      <c r="FW156" s="4">
        <v>-20.559120252412399</v>
      </c>
      <c r="FX156" s="4">
        <v>-20.527211968931798</v>
      </c>
      <c r="FY156" s="4">
        <v>-20.495388516437131</v>
      </c>
      <c r="FZ156" s="4">
        <v>-20.46364886540951</v>
      </c>
      <c r="GA156" s="4">
        <v>-20.43199195675615</v>
      </c>
      <c r="GB156" s="4">
        <v>-20.400416701440889</v>
      </c>
      <c r="GC156" s="4">
        <v>-20.368921980092679</v>
      </c>
      <c r="GD156" s="4">
        <v>-20.33750664259729</v>
      </c>
      <c r="GE156" s="4">
        <v>-20.30616950767552</v>
      </c>
      <c r="GF156" s="4">
        <v>-20.274909362454778</v>
      </c>
      <c r="GG156" s="4">
        <v>-20.243724962037081</v>
      </c>
      <c r="GH156" s="4">
        <v>-20.2126150290715</v>
      </c>
      <c r="GI156" s="4">
        <v>-20.181578253334941</v>
      </c>
      <c r="GJ156" s="4">
        <v>-20.150613291327758</v>
      </c>
      <c r="GK156" s="4">
        <v>-20.119718765891349</v>
      </c>
      <c r="GL156" s="4">
        <v>-20.08889326585226</v>
      </c>
      <c r="GM156" s="4">
        <v>-20.058135345699551</v>
      </c>
      <c r="GN156" s="4">
        <v>-20.027443525303109</v>
      </c>
      <c r="GO156" s="4">
        <v>-19.996816289676971</v>
      </c>
      <c r="GP156" s="4">
        <v>-19.9662520887947</v>
      </c>
      <c r="GQ156" s="4">
        <v>-19.935749337463481</v>
      </c>
      <c r="GR156" s="4">
        <v>-19.9053064152613</v>
      </c>
      <c r="GS156" s="4">
        <v>-19.874921666544029</v>
      </c>
      <c r="GT156" s="4">
        <v>-19.844593400526659</v>
      </c>
      <c r="GU156" s="4">
        <v>-19.81431989144469</v>
      </c>
      <c r="GV156" s="4">
        <v>-19.78409937879908</v>
      </c>
      <c r="GW156" s="4">
        <v>-19.753930067690408</v>
      </c>
      <c r="GX156" s="4">
        <v>-19.72381012924432</v>
      </c>
      <c r="GY156" s="4">
        <v>-19.693737701133269</v>
      </c>
      <c r="GZ156" s="4">
        <v>-19.663710888196089</v>
      </c>
      <c r="HA156" s="4">
        <v>-19.63372776315865</v>
      </c>
      <c r="HB156" s="4">
        <v>-19.603786367456639</v>
      </c>
      <c r="HC156" s="4">
        <v>-19.573884712162069</v>
      </c>
      <c r="HD156" s="4">
        <v>-19.544020779014151</v>
      </c>
      <c r="HE156" s="4">
        <v>-19.514192521554801</v>
      </c>
      <c r="HF156" s="4">
        <v>-19.484397866367651</v>
      </c>
      <c r="HG156" s="4">
        <v>-19.454634714419939</v>
      </c>
      <c r="HH156" s="4">
        <v>-19.424900942506049</v>
      </c>
      <c r="HI156" s="4">
        <v>-19.395194404788999</v>
      </c>
      <c r="HJ156" s="4">
        <v>-19.365512934438989</v>
      </c>
      <c r="HK156" s="4">
        <v>-19.335854345363881</v>
      </c>
      <c r="HL156" s="4">
        <v>-19.306216434029071</v>
      </c>
      <c r="HM156" s="4">
        <v>-19.276596981361099</v>
      </c>
      <c r="HN156" s="4">
        <v>-19.24699375473163</v>
      </c>
      <c r="HO156" s="4">
        <v>-19.217404510014831</v>
      </c>
      <c r="HP156" s="4">
        <v>-19.187826993713699</v>
      </c>
      <c r="HQ156" s="4">
        <v>-19.158258945148091</v>
      </c>
      <c r="HR156" s="4">
        <v>-19.12869809869936</v>
      </c>
      <c r="HS156" s="4">
        <v>-19.09914218610292</v>
      </c>
      <c r="HT156" s="4">
        <v>-19.069588938783401</v>
      </c>
      <c r="HU156" s="4">
        <v>-19.040036090224021</v>
      </c>
      <c r="HV156" s="4">
        <v>-19.01048137836321</v>
      </c>
      <c r="HW156" s="4">
        <v>-18.980922548010241</v>
      </c>
      <c r="HX156" s="4">
        <v>-18.951357353272709</v>
      </c>
      <c r="HY156" s="4">
        <v>-18.921783559988121</v>
      </c>
      <c r="HZ156" s="4">
        <v>-18.892198948151091</v>
      </c>
      <c r="IA156" s="4">
        <v>-18.862601314329069</v>
      </c>
      <c r="IB156" s="4">
        <v>-18.83298847405824</v>
      </c>
      <c r="IC156" s="4">
        <v>-18.80335826421323</v>
      </c>
      <c r="ID156" s="4">
        <v>-18.773708545341389</v>
      </c>
      <c r="IE156" s="4">
        <v>-18.744037203956399</v>
      </c>
      <c r="IF156" s="4">
        <v>-18.71434215478202</v>
      </c>
      <c r="IG156" s="4">
        <v>-18.684621342942052</v>
      </c>
      <c r="IH156" s="4">
        <v>-18.654872746086891</v>
      </c>
      <c r="II156" s="4">
        <v>-18.62509437645344</v>
      </c>
      <c r="IJ156" s="4">
        <v>-18.595284282850791</v>
      </c>
      <c r="IK156" s="4">
        <v>-18.56544055256667</v>
      </c>
      <c r="IL156" s="4">
        <v>-18.535561313190879</v>
      </c>
      <c r="IM156" s="4">
        <v>-18.505644734349112</v>
      </c>
    </row>
  </sheetData>
  <mergeCells count="3">
    <mergeCell ref="B2:R2"/>
    <mergeCell ref="C14:DT14"/>
    <mergeCell ref="DV14:HH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A8DEF-BAC3-4823-98CC-BF4667B526C9}">
  <sheetPr codeName="Sheet4">
    <tabColor rgb="FFFFC000"/>
  </sheetPr>
  <dimension ref="B2:U34"/>
  <sheetViews>
    <sheetView workbookViewId="0">
      <selection activeCell="T18" sqref="T18"/>
    </sheetView>
  </sheetViews>
  <sheetFormatPr defaultRowHeight="14.5" x14ac:dyDescent="0.35"/>
  <cols>
    <col min="1" max="1" width="2.08984375" customWidth="1"/>
    <col min="2" max="2" width="2" bestFit="1" customWidth="1"/>
    <col min="3" max="3" width="47" bestFit="1" customWidth="1"/>
    <col min="4" max="4" width="8.90625" bestFit="1" customWidth="1"/>
    <col min="5" max="5" width="8" bestFit="1" customWidth="1"/>
    <col min="6" max="6" width="19.90625" bestFit="1" customWidth="1"/>
    <col min="7" max="7" width="6.81640625" bestFit="1" customWidth="1"/>
    <col min="8" max="8" width="9.08984375" bestFit="1" customWidth="1"/>
    <col min="10" max="10" width="41.453125" bestFit="1" customWidth="1"/>
    <col min="11" max="11" width="7.81640625" bestFit="1" customWidth="1"/>
    <col min="12" max="12" width="7" bestFit="1" customWidth="1"/>
    <col min="13" max="13" width="9" bestFit="1" customWidth="1"/>
    <col min="14" max="14" width="6.08984375" bestFit="1" customWidth="1"/>
    <col min="17" max="17" width="16.1796875" bestFit="1" customWidth="1"/>
    <col min="19" max="19" width="9" bestFit="1" customWidth="1"/>
  </cols>
  <sheetData>
    <row r="2" spans="3:21" x14ac:dyDescent="0.35">
      <c r="C2" t="s">
        <v>119</v>
      </c>
      <c r="D2" t="s">
        <v>23366</v>
      </c>
      <c r="F2" t="s">
        <v>5</v>
      </c>
      <c r="G2" t="s">
        <v>120</v>
      </c>
      <c r="H2" t="s">
        <v>121</v>
      </c>
      <c r="J2" t="s">
        <v>122</v>
      </c>
      <c r="K2" s="8">
        <v>237.5</v>
      </c>
    </row>
    <row r="3" spans="3:21" x14ac:dyDescent="0.35">
      <c r="C3" t="s">
        <v>123</v>
      </c>
      <c r="D3" t="s">
        <v>23396</v>
      </c>
      <c r="F3" t="s">
        <v>124</v>
      </c>
      <c r="G3" t="s">
        <v>125</v>
      </c>
      <c r="H3" s="5">
        <v>187334</v>
      </c>
      <c r="J3" t="s">
        <v>126</v>
      </c>
      <c r="K3" s="8">
        <v>913.2</v>
      </c>
    </row>
    <row r="4" spans="3:21" x14ac:dyDescent="0.35">
      <c r="C4" t="s">
        <v>127</v>
      </c>
      <c r="D4" s="5">
        <v>187334</v>
      </c>
      <c r="F4" t="s">
        <v>128</v>
      </c>
      <c r="G4" t="s">
        <v>129</v>
      </c>
      <c r="H4" s="5">
        <v>186880</v>
      </c>
    </row>
    <row r="5" spans="3:21" x14ac:dyDescent="0.35">
      <c r="C5" t="s">
        <v>130</v>
      </c>
      <c r="D5">
        <v>972.6</v>
      </c>
      <c r="F5" t="s">
        <v>131</v>
      </c>
      <c r="G5" t="s">
        <v>132</v>
      </c>
      <c r="H5" s="5">
        <v>147871</v>
      </c>
    </row>
    <row r="6" spans="3:21" x14ac:dyDescent="0.35">
      <c r="C6" t="s">
        <v>133</v>
      </c>
      <c r="D6">
        <v>75</v>
      </c>
      <c r="F6" t="s">
        <v>134</v>
      </c>
      <c r="G6" t="s">
        <v>135</v>
      </c>
      <c r="H6" s="5">
        <v>140160</v>
      </c>
    </row>
    <row r="7" spans="3:21" x14ac:dyDescent="0.35">
      <c r="C7" t="s">
        <v>136</v>
      </c>
      <c r="D7" s="5">
        <v>200000</v>
      </c>
      <c r="F7" t="s">
        <v>137</v>
      </c>
      <c r="G7" t="s">
        <v>138</v>
      </c>
      <c r="H7" s="5">
        <v>81193</v>
      </c>
    </row>
    <row r="8" spans="3:21" x14ac:dyDescent="0.35">
      <c r="C8" t="s">
        <v>139</v>
      </c>
      <c r="D8" s="5">
        <v>2</v>
      </c>
    </row>
    <row r="9" spans="3:21" x14ac:dyDescent="0.35">
      <c r="D9" s="5"/>
    </row>
    <row r="11" spans="3:21" x14ac:dyDescent="0.35">
      <c r="C11" t="s">
        <v>140</v>
      </c>
      <c r="D11" t="s">
        <v>112</v>
      </c>
      <c r="E11" t="s">
        <v>141</v>
      </c>
      <c r="F11" t="s">
        <v>142</v>
      </c>
      <c r="G11" t="s">
        <v>115</v>
      </c>
      <c r="H11" t="s">
        <v>143</v>
      </c>
      <c r="J11" t="s">
        <v>144</v>
      </c>
    </row>
    <row r="12" spans="3:21" x14ac:dyDescent="0.35">
      <c r="D12" t="s">
        <v>145</v>
      </c>
      <c r="E12" t="s">
        <v>146</v>
      </c>
      <c r="F12" t="s">
        <v>147</v>
      </c>
      <c r="G12" t="s">
        <v>148</v>
      </c>
      <c r="H12" t="s">
        <v>113</v>
      </c>
      <c r="J12" t="s">
        <v>140</v>
      </c>
      <c r="K12" t="s">
        <v>112</v>
      </c>
      <c r="L12" t="s">
        <v>141</v>
      </c>
      <c r="M12" t="s">
        <v>142</v>
      </c>
      <c r="N12" t="s">
        <v>115</v>
      </c>
      <c r="R12" t="s">
        <v>149</v>
      </c>
      <c r="S12" t="s">
        <v>111</v>
      </c>
    </row>
    <row r="13" spans="3:21" x14ac:dyDescent="0.35">
      <c r="K13" t="s">
        <v>145</v>
      </c>
      <c r="L13" t="s">
        <v>146</v>
      </c>
      <c r="M13" t="s">
        <v>147</v>
      </c>
      <c r="N13" t="s">
        <v>150</v>
      </c>
      <c r="Q13" t="s">
        <v>139</v>
      </c>
      <c r="R13">
        <v>190</v>
      </c>
      <c r="S13" s="34">
        <v>-1.3</v>
      </c>
      <c r="T13">
        <f>$L$14-D5</f>
        <v>-912.5</v>
      </c>
      <c r="U13">
        <v>-912.5</v>
      </c>
    </row>
    <row r="14" spans="3:21" x14ac:dyDescent="0.35">
      <c r="C14" t="s">
        <v>151</v>
      </c>
      <c r="D14" s="8">
        <v>82905</v>
      </c>
      <c r="E14" s="6">
        <v>945.2</v>
      </c>
      <c r="F14" s="5">
        <v>78360609</v>
      </c>
      <c r="G14">
        <v>37.53</v>
      </c>
      <c r="H14">
        <v>13.5</v>
      </c>
      <c r="J14" t="s">
        <v>152</v>
      </c>
      <c r="K14">
        <v>170</v>
      </c>
      <c r="L14">
        <v>60.1</v>
      </c>
      <c r="M14">
        <v>10217</v>
      </c>
      <c r="N14">
        <v>-1.2</v>
      </c>
      <c r="Q14" t="s">
        <v>15</v>
      </c>
      <c r="R14">
        <v>255</v>
      </c>
      <c r="S14" s="34">
        <v>-1.6</v>
      </c>
      <c r="T14">
        <f>$L$19-D5</f>
        <v>-829.6</v>
      </c>
      <c r="U14">
        <v>-829.6</v>
      </c>
    </row>
    <row r="15" spans="3:21" x14ac:dyDescent="0.35">
      <c r="D15" s="8">
        <v>181600</v>
      </c>
      <c r="E15" s="6"/>
      <c r="F15" s="5"/>
      <c r="J15" t="s">
        <v>153</v>
      </c>
      <c r="K15">
        <v>20</v>
      </c>
      <c r="L15">
        <v>60.1</v>
      </c>
      <c r="M15">
        <v>1202</v>
      </c>
      <c r="N15">
        <v>-0.1</v>
      </c>
      <c r="Q15" t="s">
        <v>154</v>
      </c>
      <c r="R15">
        <v>170</v>
      </c>
      <c r="S15" s="34">
        <v>-1.1000000000000001</v>
      </c>
      <c r="T15" s="5">
        <f>$L$17-D5</f>
        <v>-873.6</v>
      </c>
      <c r="U15" s="5">
        <v>-873.6</v>
      </c>
    </row>
    <row r="16" spans="3:21" x14ac:dyDescent="0.35">
      <c r="C16" t="s">
        <v>155</v>
      </c>
      <c r="D16" s="8"/>
      <c r="E16" s="6"/>
      <c r="F16" s="5"/>
      <c r="J16" t="s">
        <v>156</v>
      </c>
      <c r="K16">
        <v>20</v>
      </c>
      <c r="L16">
        <v>1594.7</v>
      </c>
      <c r="M16">
        <v>31894</v>
      </c>
      <c r="N16">
        <v>0.1</v>
      </c>
      <c r="Q16" t="s">
        <v>16</v>
      </c>
      <c r="R16">
        <v>50</v>
      </c>
      <c r="S16" s="34">
        <v>0.2</v>
      </c>
      <c r="T16" s="5">
        <f>$L$16-D5</f>
        <v>622.1</v>
      </c>
      <c r="U16" s="5">
        <v>622.1</v>
      </c>
    </row>
    <row r="17" spans="2:21" x14ac:dyDescent="0.35">
      <c r="C17" t="s">
        <v>157</v>
      </c>
      <c r="D17" s="8">
        <v>5.7</v>
      </c>
      <c r="E17" s="6">
        <v>149</v>
      </c>
      <c r="F17" s="5">
        <v>849</v>
      </c>
      <c r="G17">
        <v>-0.04</v>
      </c>
      <c r="J17" t="s">
        <v>158</v>
      </c>
      <c r="K17">
        <v>85</v>
      </c>
      <c r="L17">
        <v>99</v>
      </c>
      <c r="M17">
        <v>8415</v>
      </c>
      <c r="N17">
        <v>-0.6</v>
      </c>
      <c r="Q17" t="s">
        <v>23249</v>
      </c>
      <c r="R17">
        <v>660</v>
      </c>
      <c r="T17" s="5">
        <f>$L$22-D5</f>
        <v>622.1</v>
      </c>
      <c r="U17" s="5">
        <v>622.1</v>
      </c>
    </row>
    <row r="18" spans="2:21" x14ac:dyDescent="0.35">
      <c r="C18" t="s">
        <v>159</v>
      </c>
      <c r="D18" s="8">
        <v>7.6</v>
      </c>
      <c r="E18" s="6">
        <v>138</v>
      </c>
      <c r="F18" s="5">
        <v>1049</v>
      </c>
      <c r="G18">
        <v>-0.05</v>
      </c>
      <c r="Q18" t="s">
        <v>23421</v>
      </c>
      <c r="R18">
        <v>120</v>
      </c>
      <c r="T18" s="5">
        <f>$E$18-D5</f>
        <v>-834.6</v>
      </c>
      <c r="U18" s="5">
        <v>-834.6</v>
      </c>
    </row>
    <row r="19" spans="2:21" x14ac:dyDescent="0.35">
      <c r="C19" t="s">
        <v>160</v>
      </c>
      <c r="D19" s="8">
        <v>660</v>
      </c>
      <c r="E19" s="6">
        <v>1594.7</v>
      </c>
      <c r="F19" s="5">
        <v>1052502</v>
      </c>
      <c r="G19">
        <v>3.16</v>
      </c>
      <c r="J19" t="s">
        <v>161</v>
      </c>
      <c r="K19">
        <v>85</v>
      </c>
      <c r="L19">
        <v>143</v>
      </c>
      <c r="M19">
        <v>12155</v>
      </c>
      <c r="N19">
        <v>-0.5</v>
      </c>
      <c r="Q19" t="s">
        <v>23422</v>
      </c>
      <c r="R19" s="34">
        <v>10</v>
      </c>
      <c r="T19" s="5">
        <f>$L$25-D5</f>
        <v>-745.6</v>
      </c>
      <c r="U19" s="5">
        <v>-745.6</v>
      </c>
    </row>
    <row r="20" spans="2:21" x14ac:dyDescent="0.35">
      <c r="C20" t="s">
        <v>162</v>
      </c>
      <c r="D20" s="8">
        <v>25</v>
      </c>
      <c r="E20" s="6">
        <v>60.1</v>
      </c>
      <c r="F20" s="5">
        <v>1503</v>
      </c>
      <c r="G20">
        <v>-0.18</v>
      </c>
      <c r="J20" t="s">
        <v>163</v>
      </c>
      <c r="K20">
        <v>85</v>
      </c>
      <c r="L20">
        <v>143</v>
      </c>
      <c r="M20">
        <v>12155</v>
      </c>
      <c r="N20">
        <v>-0.5</v>
      </c>
      <c r="S20">
        <v>937.41312500000004</v>
      </c>
      <c r="T20" s="6">
        <f>$S$20-D5</f>
        <v>-35.186874999999986</v>
      </c>
      <c r="U20" s="6">
        <v>-35.186874999999986</v>
      </c>
    </row>
    <row r="21" spans="2:21" x14ac:dyDescent="0.35">
      <c r="C21" t="s">
        <v>164</v>
      </c>
      <c r="D21" s="8">
        <v>83603.3</v>
      </c>
      <c r="E21" s="6">
        <v>949.92</v>
      </c>
      <c r="F21" s="5">
        <v>79416512</v>
      </c>
      <c r="G21">
        <v>40.409999999999997</v>
      </c>
      <c r="H21">
        <v>15.5</v>
      </c>
      <c r="J21" t="s">
        <v>165</v>
      </c>
      <c r="K21">
        <v>85</v>
      </c>
      <c r="L21">
        <v>143</v>
      </c>
      <c r="M21">
        <v>12155</v>
      </c>
      <c r="N21">
        <v>-0.5</v>
      </c>
    </row>
    <row r="22" spans="2:21" x14ac:dyDescent="0.35">
      <c r="C22" t="s">
        <v>166</v>
      </c>
      <c r="D22" s="8"/>
      <c r="E22" s="6"/>
      <c r="F22" s="5"/>
      <c r="J22" t="s">
        <v>167</v>
      </c>
      <c r="K22">
        <v>660</v>
      </c>
      <c r="L22">
        <v>1594.7</v>
      </c>
      <c r="M22">
        <v>1052502</v>
      </c>
      <c r="N22">
        <v>3.2</v>
      </c>
      <c r="R22" s="2" t="s">
        <v>168</v>
      </c>
    </row>
    <row r="23" spans="2:21" x14ac:dyDescent="0.35">
      <c r="B23">
        <v>1</v>
      </c>
      <c r="C23" t="s">
        <v>169</v>
      </c>
      <c r="D23" s="8">
        <v>83833.3</v>
      </c>
      <c r="E23" s="6">
        <v>948.21</v>
      </c>
      <c r="F23" s="5">
        <v>79491719</v>
      </c>
      <c r="G23">
        <v>39.270000000000003</v>
      </c>
      <c r="H23">
        <v>14.7</v>
      </c>
      <c r="J23" t="s">
        <v>162</v>
      </c>
      <c r="K23">
        <v>25</v>
      </c>
      <c r="L23">
        <v>60.1</v>
      </c>
      <c r="M23">
        <v>1502.5</v>
      </c>
      <c r="N23">
        <v>-0.2</v>
      </c>
    </row>
    <row r="24" spans="2:21" x14ac:dyDescent="0.35">
      <c r="B24">
        <v>2</v>
      </c>
      <c r="C24" t="s">
        <v>170</v>
      </c>
      <c r="D24" s="8">
        <v>83938.3</v>
      </c>
      <c r="E24" s="6">
        <v>947.55</v>
      </c>
      <c r="F24" s="5">
        <v>79535768</v>
      </c>
      <c r="G24">
        <v>38.83</v>
      </c>
      <c r="H24">
        <v>14.5</v>
      </c>
      <c r="J24" t="s">
        <v>171</v>
      </c>
      <c r="K24">
        <v>5.7</v>
      </c>
      <c r="L24">
        <v>149</v>
      </c>
      <c r="M24">
        <v>849.3</v>
      </c>
      <c r="N24">
        <v>0</v>
      </c>
    </row>
    <row r="25" spans="2:21" x14ac:dyDescent="0.35">
      <c r="B25">
        <v>3</v>
      </c>
      <c r="C25" t="s">
        <v>172</v>
      </c>
      <c r="D25" s="8">
        <v>84043.3</v>
      </c>
      <c r="E25" s="6">
        <v>946.89</v>
      </c>
      <c r="F25" s="5">
        <v>79579817</v>
      </c>
      <c r="G25">
        <v>38.380000000000003</v>
      </c>
      <c r="H25">
        <v>14.2</v>
      </c>
      <c r="J25" t="s">
        <v>173</v>
      </c>
      <c r="K25">
        <v>10</v>
      </c>
      <c r="L25">
        <v>227</v>
      </c>
      <c r="M25">
        <v>2270</v>
      </c>
      <c r="N25">
        <v>-0.1</v>
      </c>
    </row>
    <row r="26" spans="2:21" x14ac:dyDescent="0.35">
      <c r="B26">
        <v>4</v>
      </c>
      <c r="C26" t="s">
        <v>174</v>
      </c>
      <c r="D26" s="8">
        <v>84148.3</v>
      </c>
      <c r="E26" s="6">
        <v>946.23</v>
      </c>
      <c r="F26" s="5">
        <v>79623866</v>
      </c>
      <c r="G26">
        <v>37.93</v>
      </c>
      <c r="H26">
        <v>13.9</v>
      </c>
    </row>
    <row r="27" spans="2:21" x14ac:dyDescent="0.35">
      <c r="B27">
        <v>5</v>
      </c>
      <c r="C27" t="s">
        <v>175</v>
      </c>
      <c r="D27" s="8">
        <v>83938.3</v>
      </c>
      <c r="E27" s="6">
        <v>947.51</v>
      </c>
      <c r="F27" s="5">
        <v>79532028</v>
      </c>
      <c r="G27">
        <v>38.799999999999997</v>
      </c>
      <c r="H27">
        <v>14.4</v>
      </c>
    </row>
    <row r="28" spans="2:21" x14ac:dyDescent="0.35">
      <c r="B28">
        <v>6</v>
      </c>
      <c r="C28" t="s">
        <v>176</v>
      </c>
      <c r="D28" s="8">
        <v>84043.3</v>
      </c>
      <c r="E28" s="6">
        <v>946.85</v>
      </c>
      <c r="F28" s="5">
        <v>79576077</v>
      </c>
      <c r="G28">
        <v>38.35</v>
      </c>
      <c r="H28">
        <v>14.2</v>
      </c>
    </row>
    <row r="29" spans="2:21" x14ac:dyDescent="0.35">
      <c r="B29">
        <v>7</v>
      </c>
      <c r="C29" t="s">
        <v>177</v>
      </c>
      <c r="D29" s="8">
        <v>84148.3</v>
      </c>
      <c r="E29" s="6">
        <v>946.19</v>
      </c>
      <c r="F29" s="5">
        <v>79620126</v>
      </c>
      <c r="G29">
        <v>37.9</v>
      </c>
      <c r="H29">
        <v>13.9</v>
      </c>
    </row>
    <row r="30" spans="2:21" x14ac:dyDescent="0.35">
      <c r="B30">
        <v>8</v>
      </c>
      <c r="C30" t="s">
        <v>178</v>
      </c>
      <c r="D30" s="8">
        <v>84253.3</v>
      </c>
      <c r="E30" s="6">
        <v>945.53</v>
      </c>
      <c r="F30" s="5">
        <v>79664175</v>
      </c>
      <c r="G30">
        <v>37.46</v>
      </c>
      <c r="H30">
        <v>13.6</v>
      </c>
    </row>
    <row r="32" spans="2:21" x14ac:dyDescent="0.35">
      <c r="D32" s="8"/>
    </row>
    <row r="34" spans="4:4" x14ac:dyDescent="0.35">
      <c r="D34" s="8"/>
    </row>
  </sheetData>
  <dataValidations count="1">
    <dataValidation type="whole" operator="equal" allowBlank="1" showInputMessage="1" showErrorMessage="1" errorTitle="Crew" error="Always 2" sqref="D8" xr:uid="{8DEBDD01-914A-40EC-9A90-FA5C4BFA35B9}">
      <formula1>2</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05D5B-A55B-48C3-AF73-3D6B2FCD2330}">
  <sheetPr codeName="Sheet7"/>
  <dimension ref="B1:CB442"/>
  <sheetViews>
    <sheetView topLeftCell="A88" zoomScale="79" workbookViewId="0">
      <selection activeCell="B120" sqref="B120"/>
    </sheetView>
  </sheetViews>
  <sheetFormatPr defaultRowHeight="14.5" x14ac:dyDescent="0.35"/>
  <cols>
    <col min="1" max="1" width="11.1796875" bestFit="1" customWidth="1"/>
    <col min="2" max="2" width="12" bestFit="1" customWidth="1"/>
    <col min="3" max="3" width="14.1796875" bestFit="1" customWidth="1"/>
    <col min="4" max="5" width="9" bestFit="1" customWidth="1"/>
    <col min="6" max="6" width="9" customWidth="1"/>
    <col min="7" max="7" width="9" bestFit="1" customWidth="1"/>
    <col min="8" max="8" width="12" bestFit="1" customWidth="1"/>
    <col min="9" max="9" width="9.90625" bestFit="1" customWidth="1"/>
    <col min="10" max="10" width="6.08984375" bestFit="1" customWidth="1"/>
    <col min="11" max="11" width="9.90625" customWidth="1"/>
    <col min="12" max="12" width="15.08984375" bestFit="1" customWidth="1"/>
    <col min="13" max="16" width="9.1796875" bestFit="1" customWidth="1"/>
    <col min="17" max="17" width="9.36328125" customWidth="1"/>
    <col min="18" max="18" width="9.1796875" bestFit="1" customWidth="1"/>
    <col min="19" max="20" width="10.6328125" bestFit="1" customWidth="1"/>
    <col min="21" max="21" width="9" bestFit="1" customWidth="1"/>
    <col min="22" max="24" width="9.1796875" bestFit="1" customWidth="1"/>
    <col min="25" max="25" width="9.90625" bestFit="1" customWidth="1"/>
    <col min="26" max="26" width="7.90625" bestFit="1" customWidth="1"/>
    <col min="27" max="27" width="9.7265625" bestFit="1" customWidth="1"/>
    <col min="28" max="74" width="9.90625" bestFit="1" customWidth="1"/>
  </cols>
  <sheetData>
    <row r="1" spans="2:79" s="2" customFormat="1" x14ac:dyDescent="0.35">
      <c r="D1"/>
      <c r="E1"/>
      <c r="J1" s="823" t="s">
        <v>18</v>
      </c>
      <c r="K1" s="823"/>
      <c r="L1" s="823"/>
      <c r="M1" s="823"/>
      <c r="N1" s="823"/>
      <c r="O1" s="823"/>
      <c r="P1" s="823"/>
      <c r="Q1" s="823"/>
      <c r="R1" s="823"/>
      <c r="S1" s="823"/>
      <c r="T1" s="823"/>
      <c r="U1" s="823"/>
      <c r="V1" s="823"/>
      <c r="W1" s="823"/>
      <c r="X1" s="823"/>
      <c r="Y1" s="823"/>
      <c r="Z1" s="823"/>
      <c r="AA1" s="823"/>
      <c r="AB1" s="823"/>
      <c r="AC1" s="823"/>
      <c r="AD1" s="823"/>
      <c r="AE1" s="823"/>
      <c r="AF1" s="823"/>
      <c r="AG1" s="823"/>
      <c r="AH1" s="823"/>
      <c r="AI1" s="823"/>
      <c r="AJ1" s="823"/>
    </row>
    <row r="2" spans="2:79" x14ac:dyDescent="0.35">
      <c r="J2" s="824" t="s">
        <v>19</v>
      </c>
      <c r="K2" s="824"/>
      <c r="L2" s="824"/>
      <c r="M2" s="824"/>
      <c r="N2" s="824"/>
      <c r="O2" s="824"/>
      <c r="P2" s="824"/>
      <c r="Q2" s="824"/>
      <c r="R2" s="824"/>
      <c r="S2" s="824"/>
      <c r="T2" s="824"/>
      <c r="U2" s="824"/>
      <c r="V2" s="824"/>
      <c r="W2" s="824"/>
      <c r="X2" s="824"/>
      <c r="Y2" s="824"/>
      <c r="Z2" s="824"/>
      <c r="AA2" s="824"/>
      <c r="AB2" s="824"/>
      <c r="AC2" s="824"/>
      <c r="AD2" s="824"/>
      <c r="AE2" s="824"/>
      <c r="AF2" s="824"/>
      <c r="AG2" s="824"/>
      <c r="AH2" s="824"/>
      <c r="AI2" s="824"/>
      <c r="AJ2" s="824"/>
      <c r="AK2" s="824"/>
      <c r="AL2" s="824"/>
      <c r="AM2" s="824"/>
      <c r="AN2" s="824"/>
      <c r="AO2" s="824"/>
      <c r="AP2" s="824"/>
      <c r="AQ2" s="824"/>
      <c r="AR2" s="824"/>
      <c r="AS2" s="824"/>
      <c r="AT2" s="824"/>
      <c r="AU2" s="824"/>
      <c r="AV2" s="824"/>
      <c r="AW2" s="824"/>
      <c r="AX2" s="824"/>
      <c r="AY2" s="824"/>
      <c r="AZ2" s="824"/>
      <c r="BA2" s="824"/>
      <c r="BB2" s="824"/>
      <c r="BC2" s="824"/>
      <c r="BD2" s="824"/>
      <c r="BE2" s="824"/>
      <c r="BF2" s="824"/>
      <c r="BG2" s="824"/>
      <c r="BH2" s="824"/>
      <c r="BI2" s="824"/>
      <c r="BJ2" s="824"/>
    </row>
    <row r="3" spans="2:79" x14ac:dyDescent="0.35">
      <c r="B3" t="s">
        <v>20</v>
      </c>
      <c r="C3" t="s">
        <v>6</v>
      </c>
      <c r="D3" t="s">
        <v>23447</v>
      </c>
      <c r="H3" t="s">
        <v>20</v>
      </c>
      <c r="I3" t="s">
        <v>21</v>
      </c>
      <c r="J3">
        <v>100</v>
      </c>
      <c r="K3">
        <v>200</v>
      </c>
      <c r="L3">
        <v>300</v>
      </c>
      <c r="M3">
        <v>400</v>
      </c>
      <c r="N3">
        <v>500</v>
      </c>
      <c r="O3">
        <v>600</v>
      </c>
      <c r="P3">
        <v>700</v>
      </c>
      <c r="Q3">
        <v>800</v>
      </c>
      <c r="R3">
        <v>900</v>
      </c>
      <c r="S3">
        <v>1000</v>
      </c>
      <c r="T3">
        <v>1100</v>
      </c>
      <c r="U3">
        <v>1200</v>
      </c>
      <c r="V3">
        <v>1300</v>
      </c>
      <c r="W3">
        <v>1400</v>
      </c>
      <c r="X3">
        <v>1500</v>
      </c>
      <c r="Y3">
        <v>1600</v>
      </c>
      <c r="Z3">
        <v>1700</v>
      </c>
      <c r="AA3">
        <v>1800</v>
      </c>
      <c r="AB3">
        <v>1900</v>
      </c>
      <c r="AC3">
        <v>2000</v>
      </c>
      <c r="AD3">
        <v>2100</v>
      </c>
      <c r="AE3">
        <v>2200</v>
      </c>
      <c r="AF3">
        <v>2300</v>
      </c>
      <c r="AG3">
        <v>2400</v>
      </c>
      <c r="AH3">
        <v>2500</v>
      </c>
      <c r="AI3">
        <v>2600</v>
      </c>
      <c r="AJ3">
        <v>2700</v>
      </c>
      <c r="AK3">
        <v>2800</v>
      </c>
      <c r="AL3">
        <v>2900</v>
      </c>
      <c r="AM3">
        <v>3000</v>
      </c>
      <c r="AN3">
        <v>3100</v>
      </c>
      <c r="AO3">
        <v>3200</v>
      </c>
      <c r="AP3">
        <v>3300</v>
      </c>
      <c r="AQ3">
        <v>3400</v>
      </c>
      <c r="AR3">
        <v>3500</v>
      </c>
      <c r="AS3">
        <v>3600</v>
      </c>
      <c r="AT3">
        <v>3700</v>
      </c>
      <c r="AU3">
        <v>3800</v>
      </c>
      <c r="AV3">
        <v>3900</v>
      </c>
      <c r="AW3">
        <v>4000</v>
      </c>
      <c r="AX3">
        <v>4100</v>
      </c>
      <c r="AY3">
        <v>4200</v>
      </c>
      <c r="AZ3">
        <v>4300</v>
      </c>
      <c r="BA3">
        <v>4400</v>
      </c>
      <c r="BB3">
        <v>4500</v>
      </c>
      <c r="BC3">
        <v>4600</v>
      </c>
      <c r="BD3">
        <v>4700</v>
      </c>
      <c r="BE3">
        <v>4800</v>
      </c>
      <c r="BF3">
        <v>4900</v>
      </c>
      <c r="BG3">
        <v>5000</v>
      </c>
      <c r="BH3">
        <v>5100</v>
      </c>
      <c r="BI3">
        <v>5200</v>
      </c>
      <c r="BJ3">
        <v>5300</v>
      </c>
      <c r="BK3">
        <v>5400</v>
      </c>
      <c r="BL3">
        <v>5500</v>
      </c>
      <c r="BM3">
        <v>5600</v>
      </c>
      <c r="BN3">
        <v>5700</v>
      </c>
      <c r="BO3">
        <v>5800</v>
      </c>
      <c r="BP3">
        <v>5900</v>
      </c>
      <c r="BQ3">
        <v>6000</v>
      </c>
      <c r="BR3">
        <v>6100</v>
      </c>
      <c r="BS3">
        <v>6200</v>
      </c>
      <c r="BT3">
        <v>6300</v>
      </c>
      <c r="BU3">
        <v>6400</v>
      </c>
      <c r="BV3">
        <v>6500</v>
      </c>
      <c r="BW3">
        <v>6600</v>
      </c>
      <c r="BX3">
        <v>6700</v>
      </c>
      <c r="BY3">
        <v>6800</v>
      </c>
      <c r="BZ3">
        <v>6900</v>
      </c>
      <c r="CA3">
        <v>7000</v>
      </c>
    </row>
    <row r="4" spans="2:79" x14ac:dyDescent="0.35">
      <c r="B4" t="s">
        <v>22</v>
      </c>
      <c r="C4">
        <v>2268</v>
      </c>
      <c r="D4">
        <v>202.95</v>
      </c>
      <c r="H4" t="s">
        <v>22</v>
      </c>
      <c r="I4" s="3">
        <v>2268</v>
      </c>
      <c r="J4" s="4">
        <v>-0.84852928206032829</v>
      </c>
      <c r="K4" s="4">
        <v>-1.6970585641206566</v>
      </c>
      <c r="L4" s="4">
        <v>-2.5455878461809847</v>
      </c>
      <c r="M4" s="4">
        <v>-3.3941171282413132</v>
      </c>
      <c r="N4" s="4">
        <v>-4.2426464103016412</v>
      </c>
      <c r="O4" s="4">
        <v>-5.0911756923619693</v>
      </c>
      <c r="P4" s="4">
        <v>-5.9397049744222983</v>
      </c>
      <c r="Q4" s="4">
        <v>-6.7882342564826263</v>
      </c>
      <c r="R4" s="4">
        <v>-7.6367635385429544</v>
      </c>
      <c r="S4" s="4">
        <v>-8.4852928206032825</v>
      </c>
      <c r="T4" s="4">
        <v>-9.3338221026636106</v>
      </c>
      <c r="U4" s="4">
        <v>-10.182351384723939</v>
      </c>
      <c r="V4" s="4">
        <v>-11.030880666784267</v>
      </c>
      <c r="W4" s="4">
        <v>-11.879409948844597</v>
      </c>
      <c r="X4" s="4">
        <v>-12.727939230904925</v>
      </c>
      <c r="Y4" s="4">
        <v>-13.576468512965253</v>
      </c>
      <c r="Z4" s="4">
        <v>-14.424997795025581</v>
      </c>
      <c r="AA4" s="4">
        <v>-15.273527077085909</v>
      </c>
      <c r="AB4" s="4">
        <v>-16.122056359146235</v>
      </c>
      <c r="AC4" s="4">
        <v>-16.970585641206565</v>
      </c>
      <c r="AD4" s="4">
        <v>-17.819114923266891</v>
      </c>
      <c r="AE4" s="4">
        <v>-18.667644205327221</v>
      </c>
      <c r="AF4" s="4">
        <v>-19.516173487387547</v>
      </c>
      <c r="AG4" s="4">
        <v>-20.364702769447877</v>
      </c>
      <c r="AH4" s="4">
        <v>-21.213232051508204</v>
      </c>
      <c r="AI4" s="4">
        <v>-22.061761333568533</v>
      </c>
      <c r="AJ4" s="4">
        <v>-22.91029061562886</v>
      </c>
      <c r="AK4" s="4">
        <v>-23.758819897689193</v>
      </c>
      <c r="AL4" s="4">
        <v>-24.607349179749519</v>
      </c>
      <c r="AM4" s="4">
        <v>-25.455878461809849</v>
      </c>
      <c r="AN4" s="4">
        <v>-26.304407743870176</v>
      </c>
      <c r="AO4" s="4">
        <v>-27.152937025930505</v>
      </c>
      <c r="AP4" s="4">
        <v>-28.001466307990832</v>
      </c>
      <c r="AQ4" s="4">
        <v>-28.849995590051162</v>
      </c>
      <c r="AR4" s="4">
        <v>-29.698524872111488</v>
      </c>
      <c r="AS4" s="4">
        <v>-30.547054154171818</v>
      </c>
      <c r="AT4" s="4">
        <v>-31.395583436232144</v>
      </c>
      <c r="AU4" s="4">
        <v>-32.24411271829247</v>
      </c>
      <c r="AV4" s="4">
        <v>-33.092642000352804</v>
      </c>
      <c r="AW4" s="4">
        <v>-33.94117128241313</v>
      </c>
      <c r="AX4" s="4">
        <v>-34.789700564473456</v>
      </c>
      <c r="AY4" s="4">
        <v>-35.638229846533783</v>
      </c>
      <c r="AZ4" s="4">
        <v>-36.486759128594116</v>
      </c>
      <c r="BA4" s="4">
        <v>-37.335288410654442</v>
      </c>
      <c r="BB4" s="4">
        <v>-38.183817692714769</v>
      </c>
      <c r="BC4" s="4">
        <v>-39.032346974775095</v>
      </c>
      <c r="BD4" s="4">
        <v>-39.880876256835428</v>
      </c>
      <c r="BE4" s="4">
        <v>-40.729405538895755</v>
      </c>
      <c r="BF4" s="4">
        <v>-41.577934820956081</v>
      </c>
      <c r="BG4" s="4">
        <v>-42.426464103016407</v>
      </c>
      <c r="BH4" s="4">
        <v>-43.274993385076741</v>
      </c>
      <c r="BI4" s="4">
        <v>-44.123522667137067</v>
      </c>
      <c r="BJ4" s="4">
        <v>-44.972051949197393</v>
      </c>
      <c r="BK4" s="4">
        <v>-45.820581231257719</v>
      </c>
      <c r="BL4" s="4">
        <v>-46.669110513318053</v>
      </c>
      <c r="BM4" s="4">
        <v>-47.517639795378386</v>
      </c>
      <c r="BN4" s="4">
        <v>-48.366169077438713</v>
      </c>
      <c r="BO4" s="4">
        <v>-49.214698359499039</v>
      </c>
      <c r="BP4" s="4">
        <v>-50.063227641559365</v>
      </c>
      <c r="BQ4" s="4">
        <v>-50.911756923619699</v>
      </c>
      <c r="BR4" s="4">
        <v>-51.760286205680025</v>
      </c>
      <c r="BS4" s="4">
        <v>-52.608815487740351</v>
      </c>
      <c r="BT4" s="4">
        <v>-53.457344769800677</v>
      </c>
      <c r="BU4" s="4">
        <v>-54.305874051861011</v>
      </c>
      <c r="BV4" s="4">
        <v>-55.154403333921337</v>
      </c>
      <c r="BW4" s="4">
        <v>-56.002932615981663</v>
      </c>
      <c r="BX4" s="4">
        <v>-56.85146189804199</v>
      </c>
      <c r="BY4" s="4">
        <v>-57.699991180102323</v>
      </c>
      <c r="BZ4" s="4">
        <v>-58.548520462162649</v>
      </c>
      <c r="CA4" s="4">
        <v>-59.397049744222976</v>
      </c>
    </row>
    <row r="5" spans="2:79" x14ac:dyDescent="0.35">
      <c r="B5" t="s">
        <v>23</v>
      </c>
      <c r="C5">
        <v>4853</v>
      </c>
      <c r="D5">
        <v>310.45</v>
      </c>
      <c r="H5" t="s">
        <v>23</v>
      </c>
      <c r="I5" s="3">
        <v>4853</v>
      </c>
      <c r="J5" s="4">
        <v>-0.73001190686188056</v>
      </c>
      <c r="K5" s="4">
        <v>-1.4600238137237611</v>
      </c>
      <c r="L5" s="4">
        <v>-2.1900357205856413</v>
      </c>
      <c r="M5" s="4">
        <v>-2.9200476274475222</v>
      </c>
      <c r="N5" s="4">
        <v>-3.6500595343094027</v>
      </c>
      <c r="O5" s="4">
        <v>-4.3800714411712827</v>
      </c>
      <c r="P5" s="4">
        <v>-5.1100833480331636</v>
      </c>
      <c r="Q5" s="4">
        <v>-5.8400952548950444</v>
      </c>
      <c r="R5" s="4">
        <v>-6.5701071617569253</v>
      </c>
      <c r="S5" s="4">
        <v>-7.3001190686188053</v>
      </c>
      <c r="T5" s="4">
        <v>-8.0301309754806862</v>
      </c>
      <c r="U5" s="4">
        <v>-8.7601428823425653</v>
      </c>
      <c r="V5" s="4">
        <v>-9.4901547892044462</v>
      </c>
      <c r="W5" s="4">
        <v>-10.220166696066327</v>
      </c>
      <c r="X5" s="4">
        <v>-10.950178602928208</v>
      </c>
      <c r="Y5" s="4">
        <v>-11.680190509790089</v>
      </c>
      <c r="Z5" s="4">
        <v>-12.41020241665197</v>
      </c>
      <c r="AA5" s="4">
        <v>-13.140214323513851</v>
      </c>
      <c r="AB5" s="4">
        <v>-13.87022623037573</v>
      </c>
      <c r="AC5" s="4">
        <v>-14.600238137237611</v>
      </c>
      <c r="AD5" s="4">
        <v>-15.330250044099492</v>
      </c>
      <c r="AE5" s="4">
        <v>-16.060261950961372</v>
      </c>
      <c r="AF5" s="4">
        <v>-16.790273857823252</v>
      </c>
      <c r="AG5" s="4">
        <v>-17.520285764685131</v>
      </c>
      <c r="AH5" s="4">
        <v>-18.250297671547013</v>
      </c>
      <c r="AI5" s="4">
        <v>-18.980309578408892</v>
      </c>
      <c r="AJ5" s="4">
        <v>-19.710321485270775</v>
      </c>
      <c r="AK5" s="4">
        <v>-20.440333392132654</v>
      </c>
      <c r="AL5" s="4">
        <v>-21.170345298994533</v>
      </c>
      <c r="AM5" s="4">
        <v>-21.900357205856416</v>
      </c>
      <c r="AN5" s="4">
        <v>-22.630369112718295</v>
      </c>
      <c r="AO5" s="4">
        <v>-23.360381019580178</v>
      </c>
      <c r="AP5" s="4">
        <v>-24.090392926442057</v>
      </c>
      <c r="AQ5" s="4">
        <v>-24.82040483330394</v>
      </c>
      <c r="AR5" s="4">
        <v>-25.550416740165819</v>
      </c>
      <c r="AS5" s="4">
        <v>-26.280428647027701</v>
      </c>
      <c r="AT5" s="4">
        <v>-27.01044055388958</v>
      </c>
      <c r="AU5" s="4">
        <v>-27.74045246075146</v>
      </c>
      <c r="AV5" s="4">
        <v>-28.470464367613342</v>
      </c>
      <c r="AW5" s="4">
        <v>-29.200476274475221</v>
      </c>
      <c r="AX5" s="4">
        <v>-29.9304881813371</v>
      </c>
      <c r="AY5" s="4">
        <v>-30.660500088198983</v>
      </c>
      <c r="AZ5" s="4">
        <v>-31.390511995060862</v>
      </c>
      <c r="BA5" s="4">
        <v>-32.120523901922745</v>
      </c>
      <c r="BB5" s="4">
        <v>-32.85053580878462</v>
      </c>
      <c r="BC5" s="4">
        <v>-33.580547715646503</v>
      </c>
      <c r="BD5" s="4">
        <v>-34.310559622508386</v>
      </c>
      <c r="BE5" s="4">
        <v>-35.040571529370261</v>
      </c>
      <c r="BF5" s="4">
        <v>-35.770583436232144</v>
      </c>
      <c r="BG5" s="4">
        <v>-36.500595343094027</v>
      </c>
      <c r="BH5" s="4">
        <v>-37.230607249955902</v>
      </c>
      <c r="BI5" s="4">
        <v>-37.960619156817785</v>
      </c>
      <c r="BJ5" s="4">
        <v>-38.690631063679668</v>
      </c>
      <c r="BK5" s="4">
        <v>-39.42064297054155</v>
      </c>
      <c r="BL5" s="4">
        <v>-40.150654877403426</v>
      </c>
      <c r="BM5" s="4">
        <v>-40.880666784265308</v>
      </c>
      <c r="BN5" s="4">
        <v>-41.610678691127191</v>
      </c>
      <c r="BO5" s="4">
        <v>-42.340690597989067</v>
      </c>
      <c r="BP5" s="4">
        <v>-43.070702504850949</v>
      </c>
      <c r="BQ5" s="4">
        <v>-43.800714411712832</v>
      </c>
      <c r="BR5" s="4">
        <v>-44.530726318574708</v>
      </c>
      <c r="BS5" s="4">
        <v>-45.26073822543659</v>
      </c>
      <c r="BT5" s="4">
        <v>-45.990750132298473</v>
      </c>
      <c r="BU5" s="4">
        <v>-46.720762039160356</v>
      </c>
      <c r="BV5" s="4">
        <v>-47.450773946022238</v>
      </c>
      <c r="BW5" s="4">
        <v>-48.180785852884114</v>
      </c>
      <c r="BX5" s="4">
        <v>-48.910797759745996</v>
      </c>
      <c r="BY5" s="4">
        <v>-49.640809666607879</v>
      </c>
      <c r="BZ5" s="4">
        <v>-50.370821573469755</v>
      </c>
      <c r="CA5" s="4">
        <v>-51.100833480331637</v>
      </c>
    </row>
    <row r="6" spans="2:79" x14ac:dyDescent="0.35">
      <c r="B6" t="s">
        <v>24</v>
      </c>
      <c r="C6">
        <v>4853</v>
      </c>
      <c r="D6">
        <v>438.45</v>
      </c>
      <c r="H6" t="s">
        <v>24</v>
      </c>
      <c r="I6" s="3">
        <v>4853</v>
      </c>
      <c r="J6" s="4">
        <v>-0.58889354383489156</v>
      </c>
      <c r="K6" s="4">
        <v>-1.1777870876697831</v>
      </c>
      <c r="L6" s="4">
        <v>-1.7666806315046748</v>
      </c>
      <c r="M6" s="4">
        <v>-2.3555741753395663</v>
      </c>
      <c r="N6" s="4">
        <v>-2.9444677191744582</v>
      </c>
      <c r="O6" s="4">
        <v>-3.5333612630093496</v>
      </c>
      <c r="P6" s="4">
        <v>-4.1222548068442411</v>
      </c>
      <c r="Q6" s="4">
        <v>-4.7111483506791325</v>
      </c>
      <c r="R6" s="4">
        <v>-5.300041894514024</v>
      </c>
      <c r="S6" s="4">
        <v>-5.8889354383489163</v>
      </c>
      <c r="T6" s="4">
        <v>-6.4778289821838078</v>
      </c>
      <c r="U6" s="4">
        <v>-7.0667225260186992</v>
      </c>
      <c r="V6" s="4">
        <v>-7.6556160698535907</v>
      </c>
      <c r="W6" s="4">
        <v>-8.2445096136884821</v>
      </c>
      <c r="X6" s="4">
        <v>-8.8334031575233745</v>
      </c>
      <c r="Y6" s="4">
        <v>-9.422296701358265</v>
      </c>
      <c r="Z6" s="4">
        <v>-10.011190245193157</v>
      </c>
      <c r="AA6" s="4">
        <v>-10.600083789028048</v>
      </c>
      <c r="AB6" s="4">
        <v>-11.18897733286294</v>
      </c>
      <c r="AC6" s="4">
        <v>-11.777870876697833</v>
      </c>
      <c r="AD6" s="4">
        <v>-12.366764420532725</v>
      </c>
      <c r="AE6" s="4">
        <v>-12.955657964367616</v>
      </c>
      <c r="AF6" s="4">
        <v>-13.544551508202508</v>
      </c>
      <c r="AG6" s="4">
        <v>-14.133445052037398</v>
      </c>
      <c r="AH6" s="4">
        <v>-14.722338595872291</v>
      </c>
      <c r="AI6" s="4">
        <v>-15.311232139707181</v>
      </c>
      <c r="AJ6" s="4">
        <v>-15.900125683542074</v>
      </c>
      <c r="AK6" s="4">
        <v>-16.489019227376964</v>
      </c>
      <c r="AL6" s="4">
        <v>-17.077912771211857</v>
      </c>
      <c r="AM6" s="4">
        <v>-17.666806315046749</v>
      </c>
      <c r="AN6" s="4">
        <v>-18.255699858881641</v>
      </c>
      <c r="AO6" s="4">
        <v>-18.84459340271653</v>
      </c>
      <c r="AP6" s="4">
        <v>-19.433486946551422</v>
      </c>
      <c r="AQ6" s="4">
        <v>-20.022380490386315</v>
      </c>
      <c r="AR6" s="4">
        <v>-20.611274034221207</v>
      </c>
      <c r="AS6" s="4">
        <v>-21.200167578056096</v>
      </c>
      <c r="AT6" s="4">
        <v>-21.789061121890988</v>
      </c>
      <c r="AU6" s="4">
        <v>-22.377954665725881</v>
      </c>
      <c r="AV6" s="4">
        <v>-22.966848209560773</v>
      </c>
      <c r="AW6" s="4">
        <v>-23.555741753395665</v>
      </c>
      <c r="AX6" s="4">
        <v>-24.144635297230558</v>
      </c>
      <c r="AY6" s="4">
        <v>-24.73352884106545</v>
      </c>
      <c r="AZ6" s="4">
        <v>-25.322422384900339</v>
      </c>
      <c r="BA6" s="4">
        <v>-25.911315928735231</v>
      </c>
      <c r="BB6" s="4">
        <v>-26.500209472570123</v>
      </c>
      <c r="BC6" s="4">
        <v>-27.089103016405016</v>
      </c>
      <c r="BD6" s="4">
        <v>-27.677996560239908</v>
      </c>
      <c r="BE6" s="4">
        <v>-28.266890104074797</v>
      </c>
      <c r="BF6" s="4">
        <v>-28.855783647909689</v>
      </c>
      <c r="BG6" s="4">
        <v>-29.444677191744582</v>
      </c>
      <c r="BH6" s="4">
        <v>-30.033570735579474</v>
      </c>
      <c r="BI6" s="4">
        <v>-30.622464279414363</v>
      </c>
      <c r="BJ6" s="4">
        <v>-31.211357823249255</v>
      </c>
      <c r="BK6" s="4">
        <v>-31.800251367084147</v>
      </c>
      <c r="BL6" s="4">
        <v>-32.389144910919036</v>
      </c>
      <c r="BM6" s="4">
        <v>-32.978038454753928</v>
      </c>
      <c r="BN6" s="4">
        <v>-33.566931998588821</v>
      </c>
      <c r="BO6" s="4">
        <v>-34.155825542423713</v>
      </c>
      <c r="BP6" s="4">
        <v>-34.744719086258606</v>
      </c>
      <c r="BQ6" s="4">
        <v>-35.333612630093498</v>
      </c>
      <c r="BR6" s="4">
        <v>-35.92250617392839</v>
      </c>
      <c r="BS6" s="4">
        <v>-36.511399717763283</v>
      </c>
      <c r="BT6" s="4">
        <v>-37.100293261598168</v>
      </c>
      <c r="BU6" s="4">
        <v>-37.68918680543306</v>
      </c>
      <c r="BV6" s="4">
        <v>-38.278080349267952</v>
      </c>
      <c r="BW6" s="4">
        <v>-38.866973893102845</v>
      </c>
      <c r="BX6" s="4">
        <v>-39.455867436937737</v>
      </c>
      <c r="BY6" s="4">
        <v>-40.044760980772629</v>
      </c>
      <c r="BZ6" s="4">
        <v>-40.633654524607522</v>
      </c>
      <c r="CA6" s="4">
        <v>-41.222548068442414</v>
      </c>
    </row>
    <row r="7" spans="2:79" x14ac:dyDescent="0.35">
      <c r="B7" t="s">
        <v>25</v>
      </c>
      <c r="C7">
        <v>4853</v>
      </c>
      <c r="D7">
        <v>566.45000000000005</v>
      </c>
      <c r="H7" t="s">
        <v>25</v>
      </c>
      <c r="I7" s="3">
        <v>4853</v>
      </c>
      <c r="J7" s="4">
        <v>-0.44777518080790263</v>
      </c>
      <c r="K7" s="4">
        <v>-0.89555036161580526</v>
      </c>
      <c r="L7" s="4">
        <v>-1.3433255424237078</v>
      </c>
      <c r="M7" s="4">
        <v>-1.7911007232316105</v>
      </c>
      <c r="N7" s="4">
        <v>-2.2388759040395132</v>
      </c>
      <c r="O7" s="4">
        <v>-2.6866510848474157</v>
      </c>
      <c r="P7" s="4">
        <v>-3.1344262656553186</v>
      </c>
      <c r="Q7" s="4">
        <v>-3.582201446463221</v>
      </c>
      <c r="R7" s="4">
        <v>-4.0299766272711235</v>
      </c>
      <c r="S7" s="4">
        <v>-4.4777518080790264</v>
      </c>
      <c r="T7" s="4">
        <v>-4.9255269888869293</v>
      </c>
      <c r="U7" s="4">
        <v>-5.3733021696948313</v>
      </c>
      <c r="V7" s="4">
        <v>-5.8210773505027342</v>
      </c>
      <c r="W7" s="4">
        <v>-6.2688525313106371</v>
      </c>
      <c r="X7" s="4">
        <v>-6.7166277121185392</v>
      </c>
      <c r="Y7" s="4">
        <v>-7.1644028929264421</v>
      </c>
      <c r="Z7" s="4">
        <v>-7.612178073734345</v>
      </c>
      <c r="AA7" s="4">
        <v>-8.059953254542247</v>
      </c>
      <c r="AB7" s="4">
        <v>-8.5077284353501508</v>
      </c>
      <c r="AC7" s="4">
        <v>-8.9555036161580528</v>
      </c>
      <c r="AD7" s="4">
        <v>-9.4032787969659548</v>
      </c>
      <c r="AE7" s="4">
        <v>-9.8510539777738586</v>
      </c>
      <c r="AF7" s="4">
        <v>-10.298829158581761</v>
      </c>
      <c r="AG7" s="4">
        <v>-10.746604339389663</v>
      </c>
      <c r="AH7" s="4">
        <v>-11.194379520197566</v>
      </c>
      <c r="AI7" s="4">
        <v>-11.642154701005468</v>
      </c>
      <c r="AJ7" s="4">
        <v>-12.08992988181337</v>
      </c>
      <c r="AK7" s="4">
        <v>-12.537705062621274</v>
      </c>
      <c r="AL7" s="4">
        <v>-12.985480243429176</v>
      </c>
      <c r="AM7" s="4">
        <v>-13.433255424237078</v>
      </c>
      <c r="AN7" s="4">
        <v>-13.881030605044982</v>
      </c>
      <c r="AO7" s="4">
        <v>-14.328805785852884</v>
      </c>
      <c r="AP7" s="4">
        <v>-14.776580966660786</v>
      </c>
      <c r="AQ7" s="4">
        <v>-15.22435614746869</v>
      </c>
      <c r="AR7" s="4">
        <v>-15.672131328276592</v>
      </c>
      <c r="AS7" s="4">
        <v>-16.119906509084494</v>
      </c>
      <c r="AT7" s="4">
        <v>-16.567681689892396</v>
      </c>
      <c r="AU7" s="4">
        <v>-17.015456870700302</v>
      </c>
      <c r="AV7" s="4">
        <v>-17.463232051508204</v>
      </c>
      <c r="AW7" s="4">
        <v>-17.911007232316106</v>
      </c>
      <c r="AX7" s="4">
        <v>-18.358782413124008</v>
      </c>
      <c r="AY7" s="4">
        <v>-18.80655759393191</v>
      </c>
      <c r="AZ7" s="4">
        <v>-19.254332774739812</v>
      </c>
      <c r="BA7" s="4">
        <v>-19.702107955547717</v>
      </c>
      <c r="BB7" s="4">
        <v>-20.149883136355619</v>
      </c>
      <c r="BC7" s="4">
        <v>-20.597658317163521</v>
      </c>
      <c r="BD7" s="4">
        <v>-21.045433497971423</v>
      </c>
      <c r="BE7" s="4">
        <v>-21.493208678779325</v>
      </c>
      <c r="BF7" s="4">
        <v>-21.940983859587227</v>
      </c>
      <c r="BG7" s="4">
        <v>-22.388759040395133</v>
      </c>
      <c r="BH7" s="4">
        <v>-22.836534221203035</v>
      </c>
      <c r="BI7" s="4">
        <v>-23.284309402010937</v>
      </c>
      <c r="BJ7" s="4">
        <v>-23.732084582818839</v>
      </c>
      <c r="BK7" s="4">
        <v>-24.179859763626741</v>
      </c>
      <c r="BL7" s="4">
        <v>-24.627634944434643</v>
      </c>
      <c r="BM7" s="4">
        <v>-25.075410125242549</v>
      </c>
      <c r="BN7" s="4">
        <v>-25.523185306050451</v>
      </c>
      <c r="BO7" s="4">
        <v>-25.970960486858353</v>
      </c>
      <c r="BP7" s="4">
        <v>-26.418735667666255</v>
      </c>
      <c r="BQ7" s="4">
        <v>-26.866510848474157</v>
      </c>
      <c r="BR7" s="4">
        <v>-27.314286029282059</v>
      </c>
      <c r="BS7" s="4">
        <v>-27.762061210089964</v>
      </c>
      <c r="BT7" s="4">
        <v>-28.209836390897866</v>
      </c>
      <c r="BU7" s="4">
        <v>-28.657611571705768</v>
      </c>
      <c r="BV7" s="4">
        <v>-29.10538675251367</v>
      </c>
      <c r="BW7" s="4">
        <v>-29.553161933321572</v>
      </c>
      <c r="BX7" s="4">
        <v>-30.000937114129478</v>
      </c>
      <c r="BY7" s="4">
        <v>-30.44871229493738</v>
      </c>
      <c r="BZ7" s="4">
        <v>-30.896487475745282</v>
      </c>
      <c r="CA7" s="4">
        <v>-31.344262656553184</v>
      </c>
    </row>
    <row r="8" spans="2:79" x14ac:dyDescent="0.35">
      <c r="B8" t="s">
        <v>26</v>
      </c>
      <c r="C8">
        <v>4853</v>
      </c>
      <c r="D8">
        <v>692.45</v>
      </c>
      <c r="H8" t="s">
        <v>26</v>
      </c>
      <c r="I8" s="3">
        <v>4853</v>
      </c>
      <c r="J8" s="4">
        <v>-0.30886179220321042</v>
      </c>
      <c r="K8" s="4">
        <v>-0.61772358440642083</v>
      </c>
      <c r="L8" s="4">
        <v>-0.92658537660963136</v>
      </c>
      <c r="M8" s="4">
        <v>-1.2354471688128417</v>
      </c>
      <c r="N8" s="4">
        <v>-1.5443089610160523</v>
      </c>
      <c r="O8" s="4">
        <v>-1.8531707532192627</v>
      </c>
      <c r="P8" s="4">
        <v>-2.1620325454224729</v>
      </c>
      <c r="Q8" s="4">
        <v>-2.4708943376256833</v>
      </c>
      <c r="R8" s="4">
        <v>-2.7797561298288938</v>
      </c>
      <c r="S8" s="4">
        <v>-3.0886179220321046</v>
      </c>
      <c r="T8" s="4">
        <v>-3.397479714235315</v>
      </c>
      <c r="U8" s="4">
        <v>-3.7063415064385254</v>
      </c>
      <c r="V8" s="4">
        <v>-4.015203298641735</v>
      </c>
      <c r="W8" s="4">
        <v>-4.3240650908449458</v>
      </c>
      <c r="X8" s="4">
        <v>-4.6329268830481558</v>
      </c>
      <c r="Y8" s="4">
        <v>-4.9417886752513667</v>
      </c>
      <c r="Z8" s="4">
        <v>-5.2506504674545766</v>
      </c>
      <c r="AA8" s="4">
        <v>-5.5595122596577875</v>
      </c>
      <c r="AB8" s="4">
        <v>-5.8683740518609984</v>
      </c>
      <c r="AC8" s="4">
        <v>-6.1772358440642092</v>
      </c>
      <c r="AD8" s="4">
        <v>-6.4860976362674192</v>
      </c>
      <c r="AE8" s="4">
        <v>-6.7949594284706301</v>
      </c>
      <c r="AF8" s="4">
        <v>-7.10382122067384</v>
      </c>
      <c r="AG8" s="4">
        <v>-7.4126830128770509</v>
      </c>
      <c r="AH8" s="4">
        <v>-7.7215448050802609</v>
      </c>
      <c r="AI8" s="4">
        <v>-8.0304065972834699</v>
      </c>
      <c r="AJ8" s="4">
        <v>-8.3392683894866799</v>
      </c>
      <c r="AK8" s="4">
        <v>-8.6481301816898917</v>
      </c>
      <c r="AL8" s="4">
        <v>-8.9569919738931016</v>
      </c>
      <c r="AM8" s="4">
        <v>-9.2658537660963116</v>
      </c>
      <c r="AN8" s="4">
        <v>-9.5747155582995216</v>
      </c>
      <c r="AO8" s="4">
        <v>-9.8835773505027333</v>
      </c>
      <c r="AP8" s="4">
        <v>-10.192439142705943</v>
      </c>
      <c r="AQ8" s="4">
        <v>-10.501300934909153</v>
      </c>
      <c r="AR8" s="4">
        <v>-10.810162727112365</v>
      </c>
      <c r="AS8" s="4">
        <v>-11.119024519315575</v>
      </c>
      <c r="AT8" s="4">
        <v>-11.427886311518785</v>
      </c>
      <c r="AU8" s="4">
        <v>-11.736748103721997</v>
      </c>
      <c r="AV8" s="4">
        <v>-12.045609895925207</v>
      </c>
      <c r="AW8" s="4">
        <v>-12.354471688128418</v>
      </c>
      <c r="AX8" s="4">
        <v>-12.663333480331628</v>
      </c>
      <c r="AY8" s="4">
        <v>-12.972195272534838</v>
      </c>
      <c r="AZ8" s="4">
        <v>-13.281057064738048</v>
      </c>
      <c r="BA8" s="4">
        <v>-13.58991885694126</v>
      </c>
      <c r="BB8" s="4">
        <v>-13.89878064914447</v>
      </c>
      <c r="BC8" s="4">
        <v>-14.20764244134768</v>
      </c>
      <c r="BD8" s="4">
        <v>-14.51650423355089</v>
      </c>
      <c r="BE8" s="4">
        <v>-14.825366025754102</v>
      </c>
      <c r="BF8" s="4">
        <v>-15.134227817957312</v>
      </c>
      <c r="BG8" s="4">
        <v>-15.443089610160522</v>
      </c>
      <c r="BH8" s="4">
        <v>-15.751951402363732</v>
      </c>
      <c r="BI8" s="4">
        <v>-16.06081319456694</v>
      </c>
      <c r="BJ8" s="4">
        <v>-16.36967498677015</v>
      </c>
      <c r="BK8" s="4">
        <v>-16.67853677897336</v>
      </c>
      <c r="BL8" s="4">
        <v>-16.987398571176573</v>
      </c>
      <c r="BM8" s="4">
        <v>-17.296260363379783</v>
      </c>
      <c r="BN8" s="4">
        <v>-17.605122155582993</v>
      </c>
      <c r="BO8" s="4">
        <v>-17.913983947786203</v>
      </c>
      <c r="BP8" s="4">
        <v>-18.222845739989413</v>
      </c>
      <c r="BQ8" s="4">
        <v>-18.531707532192623</v>
      </c>
      <c r="BR8" s="4">
        <v>-18.840569324395833</v>
      </c>
      <c r="BS8" s="4">
        <v>-19.149431116599043</v>
      </c>
      <c r="BT8" s="4">
        <v>-19.458292908802257</v>
      </c>
      <c r="BU8" s="4">
        <v>-19.767154701005467</v>
      </c>
      <c r="BV8" s="4">
        <v>-20.076016493208677</v>
      </c>
      <c r="BW8" s="4">
        <v>-20.384878285411887</v>
      </c>
      <c r="BX8" s="4">
        <v>-20.693740077615097</v>
      </c>
      <c r="BY8" s="4">
        <v>-21.002601869818307</v>
      </c>
      <c r="BZ8" s="4">
        <v>-21.311463662021517</v>
      </c>
      <c r="CA8" s="4">
        <v>-21.62032545422473</v>
      </c>
    </row>
    <row r="9" spans="2:79" x14ac:dyDescent="0.35">
      <c r="B9" t="s">
        <v>27</v>
      </c>
      <c r="C9">
        <v>6804</v>
      </c>
      <c r="D9">
        <v>818.45</v>
      </c>
      <c r="H9" t="s">
        <v>27</v>
      </c>
      <c r="I9" s="3">
        <v>6804</v>
      </c>
      <c r="J9" s="4">
        <v>-0.16994840359851823</v>
      </c>
      <c r="K9" s="4">
        <v>-0.33989680719703647</v>
      </c>
      <c r="L9" s="4">
        <v>-0.50984521079555467</v>
      </c>
      <c r="M9" s="4">
        <v>-0.67979361439407293</v>
      </c>
      <c r="N9" s="4">
        <v>-0.84974201799259108</v>
      </c>
      <c r="O9" s="4">
        <v>-1.0196904215911093</v>
      </c>
      <c r="P9" s="4">
        <v>-1.1896388251896277</v>
      </c>
      <c r="Q9" s="4">
        <v>-1.3595872287881459</v>
      </c>
      <c r="R9" s="4">
        <v>-1.529535632386664</v>
      </c>
      <c r="S9" s="4">
        <v>-1.6994840359851822</v>
      </c>
      <c r="T9" s="4">
        <v>-1.8694324395837005</v>
      </c>
      <c r="U9" s="4">
        <v>-2.0393808431822187</v>
      </c>
      <c r="V9" s="4">
        <v>-2.2093292467807371</v>
      </c>
      <c r="W9" s="4">
        <v>-2.3792776503792554</v>
      </c>
      <c r="X9" s="4">
        <v>-2.5492260539777734</v>
      </c>
      <c r="Y9" s="4">
        <v>-2.7191744575762917</v>
      </c>
      <c r="Z9" s="4">
        <v>-2.8891228611748101</v>
      </c>
      <c r="AA9" s="4">
        <v>-3.059071264773328</v>
      </c>
      <c r="AB9" s="4">
        <v>-3.2290196683718464</v>
      </c>
      <c r="AC9" s="4">
        <v>-3.3989680719703643</v>
      </c>
      <c r="AD9" s="4">
        <v>-3.5689164755688827</v>
      </c>
      <c r="AE9" s="4">
        <v>-3.7388648791674011</v>
      </c>
      <c r="AF9" s="4">
        <v>-3.9088132827659194</v>
      </c>
      <c r="AG9" s="4">
        <v>-4.0787616863644374</v>
      </c>
      <c r="AH9" s="4">
        <v>-4.2487100899629562</v>
      </c>
      <c r="AI9" s="4">
        <v>-4.4186584935614741</v>
      </c>
      <c r="AJ9" s="4">
        <v>-4.588606897159992</v>
      </c>
      <c r="AK9" s="4">
        <v>-4.7585553007585109</v>
      </c>
      <c r="AL9" s="4">
        <v>-4.9285037043570288</v>
      </c>
      <c r="AM9" s="4">
        <v>-5.0984521079555467</v>
      </c>
      <c r="AN9" s="4">
        <v>-5.2684005115540655</v>
      </c>
      <c r="AO9" s="4">
        <v>-5.4383489151525835</v>
      </c>
      <c r="AP9" s="4">
        <v>-5.6082973187511023</v>
      </c>
      <c r="AQ9" s="4">
        <v>-5.7782457223496202</v>
      </c>
      <c r="AR9" s="4">
        <v>-5.9481941259481381</v>
      </c>
      <c r="AS9" s="4">
        <v>-6.118142529546656</v>
      </c>
      <c r="AT9" s="4">
        <v>-6.288090933145174</v>
      </c>
      <c r="AU9" s="4">
        <v>-6.4580393367436928</v>
      </c>
      <c r="AV9" s="4">
        <v>-6.6279877403422107</v>
      </c>
      <c r="AW9" s="4">
        <v>-6.7979361439407286</v>
      </c>
      <c r="AX9" s="4">
        <v>-6.9678845475392475</v>
      </c>
      <c r="AY9" s="4">
        <v>-7.1378329511377654</v>
      </c>
      <c r="AZ9" s="4">
        <v>-7.3077813547362842</v>
      </c>
      <c r="BA9" s="4">
        <v>-7.4777297583348021</v>
      </c>
      <c r="BB9" s="4">
        <v>-7.6476781619333201</v>
      </c>
      <c r="BC9" s="4">
        <v>-7.8176265655318389</v>
      </c>
      <c r="BD9" s="4">
        <v>-7.9875749691303568</v>
      </c>
      <c r="BE9" s="4">
        <v>-8.1575233727288747</v>
      </c>
      <c r="BF9" s="4">
        <v>-8.3274717763273927</v>
      </c>
      <c r="BG9" s="4">
        <v>-8.4974201799259124</v>
      </c>
      <c r="BH9" s="4">
        <v>-8.6673685835244303</v>
      </c>
      <c r="BI9" s="4">
        <v>-8.8373169871229482</v>
      </c>
      <c r="BJ9" s="4">
        <v>-9.0072653907214661</v>
      </c>
      <c r="BK9" s="4">
        <v>-9.1772137943199841</v>
      </c>
      <c r="BL9" s="4">
        <v>-9.347162197918502</v>
      </c>
      <c r="BM9" s="4">
        <v>-9.5171106015170217</v>
      </c>
      <c r="BN9" s="4">
        <v>-9.6870590051155396</v>
      </c>
      <c r="BO9" s="4">
        <v>-9.8570074087140576</v>
      </c>
      <c r="BP9" s="4">
        <v>-10.026955812312575</v>
      </c>
      <c r="BQ9" s="4">
        <v>-10.196904215911093</v>
      </c>
      <c r="BR9" s="4">
        <v>-10.366852619509613</v>
      </c>
      <c r="BS9" s="4">
        <v>-10.536801023108131</v>
      </c>
      <c r="BT9" s="4">
        <v>-10.706749426706649</v>
      </c>
      <c r="BU9" s="4">
        <v>-10.876697830305167</v>
      </c>
      <c r="BV9" s="4">
        <v>-11.046646233903685</v>
      </c>
      <c r="BW9" s="4">
        <v>-11.216594637502205</v>
      </c>
      <c r="BX9" s="4">
        <v>-11.386543041100722</v>
      </c>
      <c r="BY9" s="4">
        <v>-11.55649144469924</v>
      </c>
      <c r="BZ9" s="4">
        <v>-11.726439848297757</v>
      </c>
      <c r="CA9" s="4">
        <v>-11.896388251896276</v>
      </c>
    </row>
    <row r="10" spans="2:79" x14ac:dyDescent="0.35">
      <c r="B10" t="s">
        <v>28</v>
      </c>
      <c r="C10">
        <v>6804</v>
      </c>
      <c r="D10">
        <v>944.45</v>
      </c>
      <c r="H10" t="s">
        <v>28</v>
      </c>
      <c r="I10" s="3">
        <v>6804</v>
      </c>
      <c r="J10" s="4">
        <v>-3.1035014993826045E-2</v>
      </c>
      <c r="K10" s="4">
        <v>-6.2070029987652091E-2</v>
      </c>
      <c r="L10" s="4">
        <v>-9.3105044981478133E-2</v>
      </c>
      <c r="M10" s="4">
        <v>-0.12414005997530418</v>
      </c>
      <c r="N10" s="4">
        <v>-0.15517507496913024</v>
      </c>
      <c r="O10" s="4">
        <v>-0.18621008996295627</v>
      </c>
      <c r="P10" s="4">
        <v>-0.21724510495678234</v>
      </c>
      <c r="Q10" s="4">
        <v>-0.24828011995060836</v>
      </c>
      <c r="R10" s="4">
        <v>-0.27931513494443438</v>
      </c>
      <c r="S10" s="4">
        <v>-0.31035014993826049</v>
      </c>
      <c r="T10" s="4">
        <v>-0.34138516493208648</v>
      </c>
      <c r="U10" s="4">
        <v>-0.37242017992591253</v>
      </c>
      <c r="V10" s="4">
        <v>-0.40345519491973864</v>
      </c>
      <c r="W10" s="4">
        <v>-0.43449020991356468</v>
      </c>
      <c r="X10" s="4">
        <v>-0.46552522490739068</v>
      </c>
      <c r="Y10" s="4">
        <v>-0.49656023990121673</v>
      </c>
      <c r="Z10" s="4">
        <v>-0.52759525489504278</v>
      </c>
      <c r="AA10" s="4">
        <v>-0.55863026988886877</v>
      </c>
      <c r="AB10" s="4">
        <v>-0.58966528488269487</v>
      </c>
      <c r="AC10" s="4">
        <v>-0.62070029987652098</v>
      </c>
      <c r="AD10" s="4">
        <v>-0.65173531487034697</v>
      </c>
      <c r="AE10" s="4">
        <v>-0.68277032986417296</v>
      </c>
      <c r="AF10" s="4">
        <v>-0.71380534485799907</v>
      </c>
      <c r="AG10" s="4">
        <v>-0.74484035985182506</v>
      </c>
      <c r="AH10" s="4">
        <v>-0.77587537484565117</v>
      </c>
      <c r="AI10" s="4">
        <v>-0.80691038983947727</v>
      </c>
      <c r="AJ10" s="4">
        <v>-0.83794540483330326</v>
      </c>
      <c r="AK10" s="4">
        <v>-0.86898041982712937</v>
      </c>
      <c r="AL10" s="4">
        <v>-0.90001543482095525</v>
      </c>
      <c r="AM10" s="4">
        <v>-0.93105044981478136</v>
      </c>
      <c r="AN10" s="4">
        <v>-0.96208546480860746</v>
      </c>
      <c r="AO10" s="4">
        <v>-0.99312047980243345</v>
      </c>
      <c r="AP10" s="4">
        <v>-1.0241554947962597</v>
      </c>
      <c r="AQ10" s="4">
        <v>-1.0551905097900856</v>
      </c>
      <c r="AR10" s="4">
        <v>-1.0862255247839117</v>
      </c>
      <c r="AS10" s="4">
        <v>-1.1172605397777375</v>
      </c>
      <c r="AT10" s="4">
        <v>-1.1482955547715636</v>
      </c>
      <c r="AU10" s="4">
        <v>-1.1793305697653897</v>
      </c>
      <c r="AV10" s="4">
        <v>-1.2103655847592159</v>
      </c>
      <c r="AW10" s="4">
        <v>-1.241400599753042</v>
      </c>
      <c r="AX10" s="4">
        <v>-1.2724356147468681</v>
      </c>
      <c r="AY10" s="4">
        <v>-1.3034706297406939</v>
      </c>
      <c r="AZ10" s="4">
        <v>-1.33450564473452</v>
      </c>
      <c r="BA10" s="4">
        <v>-1.3655406597283459</v>
      </c>
      <c r="BB10" s="4">
        <v>-1.396575674722172</v>
      </c>
      <c r="BC10" s="4">
        <v>-1.4276106897159981</v>
      </c>
      <c r="BD10" s="4">
        <v>-1.458645704709824</v>
      </c>
      <c r="BE10" s="4">
        <v>-1.4896807197036501</v>
      </c>
      <c r="BF10" s="4">
        <v>-1.5207157346974762</v>
      </c>
      <c r="BG10" s="4">
        <v>-1.5517507496913023</v>
      </c>
      <c r="BH10" s="4">
        <v>-1.5827857646851284</v>
      </c>
      <c r="BI10" s="4">
        <v>-1.6138207796789545</v>
      </c>
      <c r="BJ10" s="4">
        <v>-1.6448557946727804</v>
      </c>
      <c r="BK10" s="4">
        <v>-1.6758908096666065</v>
      </c>
      <c r="BL10" s="4">
        <v>-1.7069258246604326</v>
      </c>
      <c r="BM10" s="4">
        <v>-1.7379608396542587</v>
      </c>
      <c r="BN10" s="4">
        <v>-1.7689958546480848</v>
      </c>
      <c r="BO10" s="4">
        <v>-1.8000308696419105</v>
      </c>
      <c r="BP10" s="4">
        <v>-1.8310658846357366</v>
      </c>
      <c r="BQ10" s="4">
        <v>-1.8621008996295627</v>
      </c>
      <c r="BR10" s="4">
        <v>-1.8931359146233888</v>
      </c>
      <c r="BS10" s="4">
        <v>-1.9241709296172149</v>
      </c>
      <c r="BT10" s="4">
        <v>-1.9552059446110408</v>
      </c>
      <c r="BU10" s="4">
        <v>-1.9862409596048669</v>
      </c>
      <c r="BV10" s="4">
        <v>-2.017275974598693</v>
      </c>
      <c r="BW10" s="4">
        <v>-2.0483109895925193</v>
      </c>
      <c r="BX10" s="4">
        <v>-2.0793460045863452</v>
      </c>
      <c r="BY10" s="4">
        <v>-2.1103810195801711</v>
      </c>
      <c r="BZ10" s="4">
        <v>-2.1414160345739974</v>
      </c>
      <c r="CA10" s="4">
        <v>-2.1724510495678233</v>
      </c>
    </row>
    <row r="11" spans="2:79" x14ac:dyDescent="0.35">
      <c r="B11" t="s">
        <v>29</v>
      </c>
      <c r="C11">
        <v>4853</v>
      </c>
      <c r="D11">
        <v>1070.45</v>
      </c>
      <c r="H11" t="s">
        <v>29</v>
      </c>
      <c r="I11" s="3">
        <v>4853</v>
      </c>
      <c r="J11" s="4">
        <v>0.10787837361086614</v>
      </c>
      <c r="K11" s="4">
        <v>0.21575674722173227</v>
      </c>
      <c r="L11" s="4">
        <v>0.32363512083259843</v>
      </c>
      <c r="M11" s="4">
        <v>0.43151349444346454</v>
      </c>
      <c r="N11" s="4">
        <v>0.5393918680543307</v>
      </c>
      <c r="O11" s="4">
        <v>0.64727024166519687</v>
      </c>
      <c r="P11" s="4">
        <v>0.75514861527606292</v>
      </c>
      <c r="Q11" s="4">
        <v>0.86302698888692908</v>
      </c>
      <c r="R11" s="4">
        <v>0.97090536249779513</v>
      </c>
      <c r="S11" s="4">
        <v>1.0787837361086614</v>
      </c>
      <c r="T11" s="4">
        <v>1.1866621097195276</v>
      </c>
      <c r="U11" s="4">
        <v>1.2945404833303937</v>
      </c>
      <c r="V11" s="4">
        <v>1.4024188569412599</v>
      </c>
      <c r="W11" s="4">
        <v>1.5102972305521258</v>
      </c>
      <c r="X11" s="4">
        <v>1.618175604162992</v>
      </c>
      <c r="Y11" s="4">
        <v>1.7260539777738582</v>
      </c>
      <c r="Z11" s="4">
        <v>1.8339323513847243</v>
      </c>
      <c r="AA11" s="4">
        <v>1.9418107249955903</v>
      </c>
      <c r="AB11" s="4">
        <v>2.0496890986064566</v>
      </c>
      <c r="AC11" s="4">
        <v>2.1575674722173228</v>
      </c>
      <c r="AD11" s="4">
        <v>2.265445845828189</v>
      </c>
      <c r="AE11" s="4">
        <v>2.3733242194390551</v>
      </c>
      <c r="AF11" s="4">
        <v>2.4812025930499213</v>
      </c>
      <c r="AG11" s="4">
        <v>2.5890809666607875</v>
      </c>
      <c r="AH11" s="4">
        <v>2.6969593402716536</v>
      </c>
      <c r="AI11" s="4">
        <v>2.8048377138825198</v>
      </c>
      <c r="AJ11" s="4">
        <v>2.9127160874933855</v>
      </c>
      <c r="AK11" s="4">
        <v>3.0205944611042517</v>
      </c>
      <c r="AL11" s="4">
        <v>3.1284728347151178</v>
      </c>
      <c r="AM11" s="4">
        <v>3.236351208325984</v>
      </c>
      <c r="AN11" s="4">
        <v>3.3442295819368502</v>
      </c>
      <c r="AO11" s="4">
        <v>3.4521079555477163</v>
      </c>
      <c r="AP11" s="4">
        <v>3.5599863291585825</v>
      </c>
      <c r="AQ11" s="4">
        <v>3.6678647027694486</v>
      </c>
      <c r="AR11" s="4">
        <v>3.7757430763803148</v>
      </c>
      <c r="AS11" s="4">
        <v>3.8836214499911805</v>
      </c>
      <c r="AT11" s="4">
        <v>3.9914998236020467</v>
      </c>
      <c r="AU11" s="4">
        <v>4.0993781972129133</v>
      </c>
      <c r="AV11" s="4">
        <v>4.2072565708237795</v>
      </c>
      <c r="AW11" s="4">
        <v>4.3151349444346456</v>
      </c>
      <c r="AX11" s="4">
        <v>4.4230133180455118</v>
      </c>
      <c r="AY11" s="4">
        <v>4.530891691656378</v>
      </c>
      <c r="AZ11" s="4">
        <v>4.6387700652672441</v>
      </c>
      <c r="BA11" s="4">
        <v>4.7466484388781103</v>
      </c>
      <c r="BB11" s="4">
        <v>4.8545268124889764</v>
      </c>
      <c r="BC11" s="4">
        <v>4.9624051860998426</v>
      </c>
      <c r="BD11" s="4">
        <v>5.0702835597107088</v>
      </c>
      <c r="BE11" s="4">
        <v>5.1781619333215749</v>
      </c>
      <c r="BF11" s="4">
        <v>5.2860403069324411</v>
      </c>
      <c r="BG11" s="4">
        <v>5.3939186805433073</v>
      </c>
      <c r="BH11" s="4">
        <v>5.5017970541541734</v>
      </c>
      <c r="BI11" s="4">
        <v>5.6096754277650396</v>
      </c>
      <c r="BJ11" s="4">
        <v>5.7175538013759057</v>
      </c>
      <c r="BK11" s="4">
        <v>5.825432174986771</v>
      </c>
      <c r="BL11" s="4">
        <v>5.9333105485976372</v>
      </c>
      <c r="BM11" s="4">
        <v>6.0411889222085033</v>
      </c>
      <c r="BN11" s="4">
        <v>6.1490672958193695</v>
      </c>
      <c r="BO11" s="4">
        <v>6.2569456694302357</v>
      </c>
      <c r="BP11" s="4">
        <v>6.3648240430411018</v>
      </c>
      <c r="BQ11" s="4">
        <v>6.472702416651968</v>
      </c>
      <c r="BR11" s="4">
        <v>6.5805807902628342</v>
      </c>
      <c r="BS11" s="4">
        <v>6.6884591638737003</v>
      </c>
      <c r="BT11" s="4">
        <v>6.7963375374845665</v>
      </c>
      <c r="BU11" s="4">
        <v>6.9042159110954326</v>
      </c>
      <c r="BV11" s="4">
        <v>7.0120942847062988</v>
      </c>
      <c r="BW11" s="4">
        <v>7.119972658317165</v>
      </c>
      <c r="BX11" s="4">
        <v>7.2278510319280311</v>
      </c>
      <c r="BY11" s="4">
        <v>7.3357294055388973</v>
      </c>
      <c r="BZ11" s="4">
        <v>7.4436077791497635</v>
      </c>
      <c r="CA11" s="4">
        <v>7.5514861527606296</v>
      </c>
    </row>
    <row r="12" spans="2:79" x14ac:dyDescent="0.35">
      <c r="B12" t="s">
        <v>30</v>
      </c>
      <c r="C12">
        <v>4853</v>
      </c>
      <c r="D12">
        <v>1196.45</v>
      </c>
      <c r="H12" t="s">
        <v>30</v>
      </c>
      <c r="I12" s="3">
        <v>4853</v>
      </c>
      <c r="J12" s="4">
        <v>0.24679176221555835</v>
      </c>
      <c r="K12" s="4">
        <v>0.49358352443111669</v>
      </c>
      <c r="L12" s="4">
        <v>0.74037528664667485</v>
      </c>
      <c r="M12" s="4">
        <v>0.98716704886223339</v>
      </c>
      <c r="N12" s="4">
        <v>1.2339588110777917</v>
      </c>
      <c r="O12" s="4">
        <v>1.4807505732933497</v>
      </c>
      <c r="P12" s="4">
        <v>1.7275423355089083</v>
      </c>
      <c r="Q12" s="4">
        <v>1.9743340977244668</v>
      </c>
      <c r="R12" s="4">
        <v>2.2211258599400252</v>
      </c>
      <c r="S12" s="4">
        <v>2.4679176221555834</v>
      </c>
      <c r="T12" s="4">
        <v>2.7147093843711416</v>
      </c>
      <c r="U12" s="4">
        <v>2.9615011465866994</v>
      </c>
      <c r="V12" s="4">
        <v>3.2082929088022585</v>
      </c>
      <c r="W12" s="4">
        <v>3.4550846710178167</v>
      </c>
      <c r="X12" s="4">
        <v>3.7018764332333753</v>
      </c>
      <c r="Y12" s="4">
        <v>3.9486681954489335</v>
      </c>
      <c r="Z12" s="4">
        <v>4.1954599576644913</v>
      </c>
      <c r="AA12" s="4">
        <v>4.4422517198800504</v>
      </c>
      <c r="AB12" s="4">
        <v>4.6890434820956086</v>
      </c>
      <c r="AC12" s="4">
        <v>4.9358352443111668</v>
      </c>
      <c r="AD12" s="4">
        <v>5.182627006526725</v>
      </c>
      <c r="AE12" s="4">
        <v>5.4294187687422832</v>
      </c>
      <c r="AF12" s="4">
        <v>5.6762105309578414</v>
      </c>
      <c r="AG12" s="4">
        <v>5.9230022931733988</v>
      </c>
      <c r="AH12" s="4">
        <v>6.1697940553889579</v>
      </c>
      <c r="AI12" s="4">
        <v>6.416585817604517</v>
      </c>
      <c r="AJ12" s="4">
        <v>6.6633775798200752</v>
      </c>
      <c r="AK12" s="4">
        <v>6.9101693420356334</v>
      </c>
      <c r="AL12" s="4">
        <v>7.1569611042511916</v>
      </c>
      <c r="AM12" s="4">
        <v>7.4037528664667507</v>
      </c>
      <c r="AN12" s="4">
        <v>7.6505446286823089</v>
      </c>
      <c r="AO12" s="4">
        <v>7.8973363908978671</v>
      </c>
      <c r="AP12" s="4">
        <v>8.1441281531134244</v>
      </c>
      <c r="AQ12" s="4">
        <v>8.3909199153289826</v>
      </c>
      <c r="AR12" s="4">
        <v>8.6377116775445426</v>
      </c>
      <c r="AS12" s="4">
        <v>8.8845034397601008</v>
      </c>
      <c r="AT12" s="4">
        <v>9.131295201975659</v>
      </c>
      <c r="AU12" s="4">
        <v>9.3780869641912172</v>
      </c>
      <c r="AV12" s="4">
        <v>9.6248787264067754</v>
      </c>
      <c r="AW12" s="4">
        <v>9.8716704886223337</v>
      </c>
      <c r="AX12" s="4">
        <v>10.118462250837892</v>
      </c>
      <c r="AY12" s="4">
        <v>10.36525401305345</v>
      </c>
      <c r="AZ12" s="4">
        <v>10.612045775269008</v>
      </c>
      <c r="BA12" s="4">
        <v>10.858837537484566</v>
      </c>
      <c r="BB12" s="4">
        <v>11.105629299700125</v>
      </c>
      <c r="BC12" s="4">
        <v>11.352421061915683</v>
      </c>
      <c r="BD12" s="4">
        <v>11.599212824131239</v>
      </c>
      <c r="BE12" s="4">
        <v>11.846004586346798</v>
      </c>
      <c r="BF12" s="4">
        <v>12.092796348562358</v>
      </c>
      <c r="BG12" s="4">
        <v>12.339588110777916</v>
      </c>
      <c r="BH12" s="4">
        <v>12.586379872993474</v>
      </c>
      <c r="BI12" s="4">
        <v>12.833171635209034</v>
      </c>
      <c r="BJ12" s="4">
        <v>13.079963397424592</v>
      </c>
      <c r="BK12" s="4">
        <v>13.32675515964015</v>
      </c>
      <c r="BL12" s="4">
        <v>13.573546921855709</v>
      </c>
      <c r="BM12" s="4">
        <v>13.820338684071267</v>
      </c>
      <c r="BN12" s="4">
        <v>14.067130446286825</v>
      </c>
      <c r="BO12" s="4">
        <v>14.313922208502383</v>
      </c>
      <c r="BP12" s="4">
        <v>14.560713970717941</v>
      </c>
      <c r="BQ12" s="4">
        <v>14.807505732933501</v>
      </c>
      <c r="BR12" s="4">
        <v>15.05429749514906</v>
      </c>
      <c r="BS12" s="4">
        <v>15.301089257364618</v>
      </c>
      <c r="BT12" s="4">
        <v>15.547881019580176</v>
      </c>
      <c r="BU12" s="4">
        <v>15.794672781795734</v>
      </c>
      <c r="BV12" s="4">
        <v>16.041464544011291</v>
      </c>
      <c r="BW12" s="4">
        <v>16.288256306226849</v>
      </c>
      <c r="BX12" s="4">
        <v>16.535048068442407</v>
      </c>
      <c r="BY12" s="4">
        <v>16.781839830657965</v>
      </c>
      <c r="BZ12" s="4">
        <v>17.028631592873523</v>
      </c>
      <c r="CA12" s="4">
        <v>17.275423355089085</v>
      </c>
    </row>
    <row r="13" spans="2:79" x14ac:dyDescent="0.35">
      <c r="B13" t="s">
        <v>31</v>
      </c>
      <c r="C13">
        <v>4853</v>
      </c>
      <c r="D13">
        <v>1322.45</v>
      </c>
      <c r="H13" t="s">
        <v>31</v>
      </c>
      <c r="I13" s="3">
        <v>4853</v>
      </c>
      <c r="J13" s="4">
        <v>0.38570515082025048</v>
      </c>
      <c r="K13" s="4">
        <v>0.77141030164050095</v>
      </c>
      <c r="L13" s="4">
        <v>1.1571154524607514</v>
      </c>
      <c r="M13" s="4">
        <v>1.5428206032810019</v>
      </c>
      <c r="N13" s="4">
        <v>1.9285257541012524</v>
      </c>
      <c r="O13" s="4">
        <v>2.3142309049215029</v>
      </c>
      <c r="P13" s="4">
        <v>2.6999360557417535</v>
      </c>
      <c r="Q13" s="4">
        <v>3.0856412065620038</v>
      </c>
      <c r="R13" s="4">
        <v>3.4713463573822545</v>
      </c>
      <c r="S13" s="4">
        <v>3.8570515082025048</v>
      </c>
      <c r="T13" s="4">
        <v>4.2427566590227554</v>
      </c>
      <c r="U13" s="4">
        <v>4.6284618098430057</v>
      </c>
      <c r="V13" s="4">
        <v>5.0141669606632568</v>
      </c>
      <c r="W13" s="4">
        <v>5.3998721114835071</v>
      </c>
      <c r="X13" s="4">
        <v>5.7855772623037574</v>
      </c>
      <c r="Y13" s="4">
        <v>6.1712824131240076</v>
      </c>
      <c r="Z13" s="4">
        <v>6.5569875639442579</v>
      </c>
      <c r="AA13" s="4">
        <v>6.942692714764509</v>
      </c>
      <c r="AB13" s="4">
        <v>7.3283978655847593</v>
      </c>
      <c r="AC13" s="4">
        <v>7.7141030164050095</v>
      </c>
      <c r="AD13" s="4">
        <v>8.0998081672252606</v>
      </c>
      <c r="AE13" s="4">
        <v>8.4855133180455109</v>
      </c>
      <c r="AF13" s="4">
        <v>8.8712184688657612</v>
      </c>
      <c r="AG13" s="4">
        <v>9.2569236196860114</v>
      </c>
      <c r="AH13" s="4">
        <v>9.6426287705062617</v>
      </c>
      <c r="AI13" s="4">
        <v>10.028333921326514</v>
      </c>
      <c r="AJ13" s="4">
        <v>10.414039072146764</v>
      </c>
      <c r="AK13" s="4">
        <v>10.799744222967014</v>
      </c>
      <c r="AL13" s="4">
        <v>11.185449373787266</v>
      </c>
      <c r="AM13" s="4">
        <v>11.571154524607515</v>
      </c>
      <c r="AN13" s="4">
        <v>11.956859675427765</v>
      </c>
      <c r="AO13" s="4">
        <v>12.342564826248015</v>
      </c>
      <c r="AP13" s="4">
        <v>12.728269977068265</v>
      </c>
      <c r="AQ13" s="4">
        <v>13.113975127888516</v>
      </c>
      <c r="AR13" s="4">
        <v>13.499680278708768</v>
      </c>
      <c r="AS13" s="4">
        <v>13.885385429529018</v>
      </c>
      <c r="AT13" s="4">
        <v>14.271090580349268</v>
      </c>
      <c r="AU13" s="4">
        <v>14.656795731169519</v>
      </c>
      <c r="AV13" s="4">
        <v>15.042500881989769</v>
      </c>
      <c r="AW13" s="4">
        <v>15.428206032810019</v>
      </c>
      <c r="AX13" s="4">
        <v>15.813911183630269</v>
      </c>
      <c r="AY13" s="4">
        <v>16.199616334450521</v>
      </c>
      <c r="AZ13" s="4">
        <v>16.585321485270772</v>
      </c>
      <c r="BA13" s="4">
        <v>16.971026636091022</v>
      </c>
      <c r="BB13" s="4">
        <v>17.356731786911272</v>
      </c>
      <c r="BC13" s="4">
        <v>17.742436937731522</v>
      </c>
      <c r="BD13" s="4">
        <v>18.128142088551773</v>
      </c>
      <c r="BE13" s="4">
        <v>18.513847239372023</v>
      </c>
      <c r="BF13" s="4">
        <v>18.899552390192273</v>
      </c>
      <c r="BG13" s="4">
        <v>19.285257541012523</v>
      </c>
      <c r="BH13" s="4">
        <v>19.670962691832774</v>
      </c>
      <c r="BI13" s="4">
        <v>20.056667842653027</v>
      </c>
      <c r="BJ13" s="4">
        <v>20.442372993473278</v>
      </c>
      <c r="BK13" s="4">
        <v>20.828078144293528</v>
      </c>
      <c r="BL13" s="4">
        <v>21.213783295113778</v>
      </c>
      <c r="BM13" s="4">
        <v>21.599488445934028</v>
      </c>
      <c r="BN13" s="4">
        <v>21.985193596754279</v>
      </c>
      <c r="BO13" s="4">
        <v>22.370898747574532</v>
      </c>
      <c r="BP13" s="4">
        <v>22.756603898394783</v>
      </c>
      <c r="BQ13" s="4">
        <v>23.142309049215029</v>
      </c>
      <c r="BR13" s="4">
        <v>23.52801420003528</v>
      </c>
      <c r="BS13" s="4">
        <v>23.91371935085553</v>
      </c>
      <c r="BT13" s="4">
        <v>24.29942450167578</v>
      </c>
      <c r="BU13" s="4">
        <v>24.68512965249603</v>
      </c>
      <c r="BV13" s="4">
        <v>25.070834803316281</v>
      </c>
      <c r="BW13" s="4">
        <v>25.456539954136531</v>
      </c>
      <c r="BX13" s="4">
        <v>25.842245104956781</v>
      </c>
      <c r="BY13" s="4">
        <v>26.227950255777031</v>
      </c>
      <c r="BZ13" s="4">
        <v>26.613655406597285</v>
      </c>
      <c r="CA13" s="4">
        <v>26.999360557417535</v>
      </c>
    </row>
    <row r="14" spans="2:79" x14ac:dyDescent="0.35">
      <c r="B14" t="s">
        <v>32</v>
      </c>
      <c r="C14">
        <v>4853</v>
      </c>
      <c r="D14">
        <v>1448.45</v>
      </c>
      <c r="H14" t="s">
        <v>32</v>
      </c>
      <c r="I14" s="3">
        <v>4853</v>
      </c>
      <c r="J14" s="4">
        <v>0.52461853942494263</v>
      </c>
      <c r="K14" s="4">
        <v>1.0492370788498853</v>
      </c>
      <c r="L14" s="4">
        <v>1.573855618274828</v>
      </c>
      <c r="M14" s="4">
        <v>2.0984741576997705</v>
      </c>
      <c r="N14" s="4">
        <v>2.6230926971247133</v>
      </c>
      <c r="O14" s="4">
        <v>3.147711236549656</v>
      </c>
      <c r="P14" s="4">
        <v>3.6723297759745988</v>
      </c>
      <c r="Q14" s="4">
        <v>4.1969483153995411</v>
      </c>
      <c r="R14" s="4">
        <v>4.7215668548244842</v>
      </c>
      <c r="S14" s="4">
        <v>5.2461853942494265</v>
      </c>
      <c r="T14" s="4">
        <v>5.7708039336743697</v>
      </c>
      <c r="U14" s="4">
        <v>6.295422473099312</v>
      </c>
      <c r="V14" s="4">
        <v>6.8200410125242543</v>
      </c>
      <c r="W14" s="4">
        <v>7.3446595519491975</v>
      </c>
      <c r="X14" s="4">
        <v>7.8692780913741398</v>
      </c>
      <c r="Y14" s="4">
        <v>8.3938966307990821</v>
      </c>
      <c r="Z14" s="4">
        <v>8.9185151702240262</v>
      </c>
      <c r="AA14" s="4">
        <v>9.4431337096489685</v>
      </c>
      <c r="AB14" s="4">
        <v>9.9677522490739108</v>
      </c>
      <c r="AC14" s="4">
        <v>10.492370788498853</v>
      </c>
      <c r="AD14" s="4">
        <v>11.016989327923795</v>
      </c>
      <c r="AE14" s="4">
        <v>11.541607867348739</v>
      </c>
      <c r="AF14" s="4">
        <v>12.066226406773682</v>
      </c>
      <c r="AG14" s="4">
        <v>12.590844946198624</v>
      </c>
      <c r="AH14" s="4">
        <v>13.115463485623566</v>
      </c>
      <c r="AI14" s="4">
        <v>13.640082025048509</v>
      </c>
      <c r="AJ14" s="4">
        <v>14.164700564473453</v>
      </c>
      <c r="AK14" s="4">
        <v>14.689319103898395</v>
      </c>
      <c r="AL14" s="4">
        <v>15.213937643323337</v>
      </c>
      <c r="AM14" s="4">
        <v>15.73855618274828</v>
      </c>
      <c r="AN14" s="4">
        <v>16.263174722173222</v>
      </c>
      <c r="AO14" s="4">
        <v>16.787793261598164</v>
      </c>
      <c r="AP14" s="4">
        <v>17.312411801023107</v>
      </c>
      <c r="AQ14" s="4">
        <v>17.837030340448052</v>
      </c>
      <c r="AR14" s="4">
        <v>18.361648879872995</v>
      </c>
      <c r="AS14" s="4">
        <v>18.886267419297937</v>
      </c>
      <c r="AT14" s="4">
        <v>19.410885958722879</v>
      </c>
      <c r="AU14" s="4">
        <v>19.935504498147822</v>
      </c>
      <c r="AV14" s="4">
        <v>20.460123037572764</v>
      </c>
      <c r="AW14" s="4">
        <v>20.984741576997706</v>
      </c>
      <c r="AX14" s="4">
        <v>21.509360116422648</v>
      </c>
      <c r="AY14" s="4">
        <v>22.033978655847591</v>
      </c>
      <c r="AZ14" s="4">
        <v>22.558597195272537</v>
      </c>
      <c r="BA14" s="4">
        <v>23.083215734697479</v>
      </c>
      <c r="BB14" s="4">
        <v>23.607834274122421</v>
      </c>
      <c r="BC14" s="4">
        <v>24.132452813547363</v>
      </c>
      <c r="BD14" s="4">
        <v>24.657071352972306</v>
      </c>
      <c r="BE14" s="4">
        <v>25.181689892397248</v>
      </c>
      <c r="BF14" s="4">
        <v>25.70630843182219</v>
      </c>
      <c r="BG14" s="4">
        <v>26.230926971247133</v>
      </c>
      <c r="BH14" s="4">
        <v>26.755545510672075</v>
      </c>
      <c r="BI14" s="4">
        <v>27.280164050097017</v>
      </c>
      <c r="BJ14" s="4">
        <v>27.804782589521963</v>
      </c>
      <c r="BK14" s="4">
        <v>28.329401128946905</v>
      </c>
      <c r="BL14" s="4">
        <v>28.854019668371848</v>
      </c>
      <c r="BM14" s="4">
        <v>29.37863820779679</v>
      </c>
      <c r="BN14" s="4">
        <v>29.903256747221732</v>
      </c>
      <c r="BO14" s="4">
        <v>30.427875286646675</v>
      </c>
      <c r="BP14" s="4">
        <v>30.952493826071617</v>
      </c>
      <c r="BQ14" s="4">
        <v>31.477112365496559</v>
      </c>
      <c r="BR14" s="4">
        <v>32.001730904921502</v>
      </c>
      <c r="BS14" s="4">
        <v>32.526349444346444</v>
      </c>
      <c r="BT14" s="4">
        <v>33.050967983771386</v>
      </c>
      <c r="BU14" s="4">
        <v>33.575586523196328</v>
      </c>
      <c r="BV14" s="4">
        <v>34.100205062621271</v>
      </c>
      <c r="BW14" s="4">
        <v>34.624823602046213</v>
      </c>
      <c r="BX14" s="4">
        <v>35.149442141471162</v>
      </c>
      <c r="BY14" s="4">
        <v>35.674060680896105</v>
      </c>
      <c r="BZ14" s="4">
        <v>36.198679220321047</v>
      </c>
      <c r="CA14" s="4">
        <v>36.723297759745989</v>
      </c>
    </row>
    <row r="15" spans="2:79" x14ac:dyDescent="0.35">
      <c r="B15" t="s">
        <v>33</v>
      </c>
      <c r="C15">
        <v>4853</v>
      </c>
      <c r="D15">
        <v>1574.45</v>
      </c>
      <c r="H15" t="s">
        <v>33</v>
      </c>
      <c r="I15" s="3">
        <v>4853</v>
      </c>
      <c r="J15" s="4">
        <v>0.6635319280296349</v>
      </c>
      <c r="K15" s="4">
        <v>1.3270638560592698</v>
      </c>
      <c r="L15" s="4">
        <v>1.9905957840889046</v>
      </c>
      <c r="M15" s="4">
        <v>2.6541277121185396</v>
      </c>
      <c r="N15" s="4">
        <v>3.3176596401481744</v>
      </c>
      <c r="O15" s="4">
        <v>3.9811915681778092</v>
      </c>
      <c r="P15" s="4">
        <v>4.644723496207444</v>
      </c>
      <c r="Q15" s="4">
        <v>5.3082554242370792</v>
      </c>
      <c r="R15" s="4">
        <v>5.9717873522667135</v>
      </c>
      <c r="S15" s="4">
        <v>6.6353192802963488</v>
      </c>
      <c r="T15" s="4">
        <v>7.2988512083259831</v>
      </c>
      <c r="U15" s="4">
        <v>7.9623831363556183</v>
      </c>
      <c r="V15" s="4">
        <v>8.6259150643852536</v>
      </c>
      <c r="W15" s="4">
        <v>9.2894469924148879</v>
      </c>
      <c r="X15" s="4">
        <v>9.9529789204445223</v>
      </c>
      <c r="Y15" s="4">
        <v>10.616510848474158</v>
      </c>
      <c r="Z15" s="4">
        <v>11.280042776503793</v>
      </c>
      <c r="AA15" s="4">
        <v>11.943574704533427</v>
      </c>
      <c r="AB15" s="4">
        <v>12.607106632563061</v>
      </c>
      <c r="AC15" s="4">
        <v>13.270638560592698</v>
      </c>
      <c r="AD15" s="4">
        <v>13.934170488622332</v>
      </c>
      <c r="AE15" s="4">
        <v>14.597702416651966</v>
      </c>
      <c r="AF15" s="4">
        <v>15.261234344681602</v>
      </c>
      <c r="AG15" s="4">
        <v>15.924766272711237</v>
      </c>
      <c r="AH15" s="4">
        <v>16.588298200740873</v>
      </c>
      <c r="AI15" s="4">
        <v>17.251830128770507</v>
      </c>
      <c r="AJ15" s="4">
        <v>17.915362056800141</v>
      </c>
      <c r="AK15" s="4">
        <v>18.578893984829776</v>
      </c>
      <c r="AL15" s="4">
        <v>19.24242591285941</v>
      </c>
      <c r="AM15" s="4">
        <v>19.905957840889045</v>
      </c>
      <c r="AN15" s="4">
        <v>20.569489768918679</v>
      </c>
      <c r="AO15" s="4">
        <v>21.233021696948317</v>
      </c>
      <c r="AP15" s="4">
        <v>21.896553624977951</v>
      </c>
      <c r="AQ15" s="4">
        <v>22.560085553007585</v>
      </c>
      <c r="AR15" s="4">
        <v>23.22361748103722</v>
      </c>
      <c r="AS15" s="4">
        <v>23.887149409066854</v>
      </c>
      <c r="AT15" s="4">
        <v>24.550681337096488</v>
      </c>
      <c r="AU15" s="4">
        <v>25.214213265126123</v>
      </c>
      <c r="AV15" s="4">
        <v>25.877745193155761</v>
      </c>
      <c r="AW15" s="4">
        <v>26.541277121185395</v>
      </c>
      <c r="AX15" s="4">
        <v>27.204809049215029</v>
      </c>
      <c r="AY15" s="4">
        <v>27.868340977244664</v>
      </c>
      <c r="AZ15" s="4">
        <v>28.531872905274298</v>
      </c>
      <c r="BA15" s="4">
        <v>29.195404833303932</v>
      </c>
      <c r="BB15" s="4">
        <v>29.858936761333567</v>
      </c>
      <c r="BC15" s="4">
        <v>30.522468689363205</v>
      </c>
      <c r="BD15" s="4">
        <v>31.186000617392839</v>
      </c>
      <c r="BE15" s="4">
        <v>31.849532545422473</v>
      </c>
      <c r="BF15" s="4">
        <v>32.513064473452111</v>
      </c>
      <c r="BG15" s="4">
        <v>33.176596401481746</v>
      </c>
      <c r="BH15" s="4">
        <v>33.84012832951138</v>
      </c>
      <c r="BI15" s="4">
        <v>34.503660257541014</v>
      </c>
      <c r="BJ15" s="4">
        <v>35.167192185570649</v>
      </c>
      <c r="BK15" s="4">
        <v>35.830724113600283</v>
      </c>
      <c r="BL15" s="4">
        <v>36.494256041629917</v>
      </c>
      <c r="BM15" s="4">
        <v>37.157787969659552</v>
      </c>
      <c r="BN15" s="4">
        <v>37.821319897689186</v>
      </c>
      <c r="BO15" s="4">
        <v>38.48485182571882</v>
      </c>
      <c r="BP15" s="4">
        <v>39.148383753748455</v>
      </c>
      <c r="BQ15" s="4">
        <v>39.811915681778089</v>
      </c>
      <c r="BR15" s="4">
        <v>40.475447609807723</v>
      </c>
      <c r="BS15" s="4">
        <v>41.138979537837358</v>
      </c>
      <c r="BT15" s="4">
        <v>41.802511465866999</v>
      </c>
      <c r="BU15" s="4">
        <v>42.466043393896634</v>
      </c>
      <c r="BV15" s="4">
        <v>43.129575321926268</v>
      </c>
      <c r="BW15" s="4">
        <v>43.793107249955902</v>
      </c>
      <c r="BX15" s="4">
        <v>44.456639177985537</v>
      </c>
      <c r="BY15" s="4">
        <v>45.120171106015171</v>
      </c>
      <c r="BZ15" s="4">
        <v>45.783703034044805</v>
      </c>
      <c r="CA15" s="4">
        <v>46.44723496207444</v>
      </c>
    </row>
    <row r="16" spans="2:79" x14ac:dyDescent="0.35">
      <c r="B16" t="s">
        <v>34</v>
      </c>
      <c r="C16">
        <v>2722</v>
      </c>
      <c r="D16">
        <v>1681.95</v>
      </c>
      <c r="H16" t="s">
        <v>34</v>
      </c>
      <c r="I16" s="3">
        <v>2722</v>
      </c>
      <c r="J16" s="4">
        <v>0.78204930322808253</v>
      </c>
      <c r="K16" s="4">
        <v>1.5640986064561651</v>
      </c>
      <c r="L16" s="4">
        <v>2.3461479096842477</v>
      </c>
      <c r="M16" s="4">
        <v>3.1281972129123301</v>
      </c>
      <c r="N16" s="4">
        <v>3.910246516140413</v>
      </c>
      <c r="O16" s="4">
        <v>4.6922958193684954</v>
      </c>
      <c r="P16" s="4">
        <v>5.4743451225965778</v>
      </c>
      <c r="Q16" s="4">
        <v>6.2563944258246602</v>
      </c>
      <c r="R16" s="4">
        <v>7.0384437290527426</v>
      </c>
      <c r="S16" s="4">
        <v>7.8204930322808259</v>
      </c>
      <c r="T16" s="4">
        <v>8.6025423355089075</v>
      </c>
      <c r="U16" s="4">
        <v>9.3845916387369908</v>
      </c>
      <c r="V16" s="4">
        <v>10.166640941965074</v>
      </c>
      <c r="W16" s="4">
        <v>10.948690245193156</v>
      </c>
      <c r="X16" s="4">
        <v>11.730739548421239</v>
      </c>
      <c r="Y16" s="4">
        <v>12.51278885164932</v>
      </c>
      <c r="Z16" s="4">
        <v>13.294838154877404</v>
      </c>
      <c r="AA16" s="4">
        <v>14.076887458105485</v>
      </c>
      <c r="AB16" s="4">
        <v>14.858936761333569</v>
      </c>
      <c r="AC16" s="4">
        <v>15.640986064561652</v>
      </c>
      <c r="AD16" s="4">
        <v>16.423035367789733</v>
      </c>
      <c r="AE16" s="4">
        <v>17.205084671017815</v>
      </c>
      <c r="AF16" s="4">
        <v>17.9871339742459</v>
      </c>
      <c r="AG16" s="4">
        <v>18.769183277473982</v>
      </c>
      <c r="AH16" s="4">
        <v>19.551232580702063</v>
      </c>
      <c r="AI16" s="4">
        <v>20.333281883930148</v>
      </c>
      <c r="AJ16" s="4">
        <v>21.11533118715823</v>
      </c>
      <c r="AK16" s="4">
        <v>21.897380490386311</v>
      </c>
      <c r="AL16" s="4">
        <v>22.679429793614393</v>
      </c>
      <c r="AM16" s="4">
        <v>23.461479096842478</v>
      </c>
      <c r="AN16" s="4">
        <v>24.243528400070559</v>
      </c>
      <c r="AO16" s="4">
        <v>25.025577703298641</v>
      </c>
      <c r="AP16" s="4">
        <v>25.807627006526726</v>
      </c>
      <c r="AQ16" s="4">
        <v>26.589676309754807</v>
      </c>
      <c r="AR16" s="4">
        <v>27.371725612982889</v>
      </c>
      <c r="AS16" s="4">
        <v>28.153774916210971</v>
      </c>
      <c r="AT16" s="4">
        <v>28.935824219439056</v>
      </c>
      <c r="AU16" s="4">
        <v>29.717873522667137</v>
      </c>
      <c r="AV16" s="4">
        <v>30.499922825895219</v>
      </c>
      <c r="AW16" s="4">
        <v>31.281972129123304</v>
      </c>
      <c r="AX16" s="4">
        <v>32.064021432351382</v>
      </c>
      <c r="AY16" s="4">
        <v>32.846070735579467</v>
      </c>
      <c r="AZ16" s="4">
        <v>33.628120038807552</v>
      </c>
      <c r="BA16" s="4">
        <v>34.41016934203563</v>
      </c>
      <c r="BB16" s="4">
        <v>35.192218645263715</v>
      </c>
      <c r="BC16" s="4">
        <v>35.9742679484918</v>
      </c>
      <c r="BD16" s="4">
        <v>36.756317251719878</v>
      </c>
      <c r="BE16" s="4">
        <v>37.538366554947963</v>
      </c>
      <c r="BF16" s="4">
        <v>38.320415858176048</v>
      </c>
      <c r="BG16" s="4">
        <v>39.102465161404126</v>
      </c>
      <c r="BH16" s="4">
        <v>39.884514464632211</v>
      </c>
      <c r="BI16" s="4">
        <v>40.666563767860296</v>
      </c>
      <c r="BJ16" s="4">
        <v>41.448613071088374</v>
      </c>
      <c r="BK16" s="4">
        <v>42.230662374316459</v>
      </c>
      <c r="BL16" s="4">
        <v>43.012711677544537</v>
      </c>
      <c r="BM16" s="4">
        <v>43.794760980772622</v>
      </c>
      <c r="BN16" s="4">
        <v>44.576810284000707</v>
      </c>
      <c r="BO16" s="4">
        <v>45.358859587228785</v>
      </c>
      <c r="BP16" s="4">
        <v>46.14090889045687</v>
      </c>
      <c r="BQ16" s="4">
        <v>46.922958193684956</v>
      </c>
      <c r="BR16" s="4">
        <v>47.705007496913034</v>
      </c>
      <c r="BS16" s="4">
        <v>48.487056800141119</v>
      </c>
      <c r="BT16" s="4">
        <v>49.269106103369204</v>
      </c>
      <c r="BU16" s="4">
        <v>50.051155406597282</v>
      </c>
      <c r="BV16" s="4">
        <v>50.833204709825367</v>
      </c>
      <c r="BW16" s="4">
        <v>51.615254013053452</v>
      </c>
      <c r="BX16" s="4">
        <v>52.39730331628153</v>
      </c>
      <c r="BY16" s="4">
        <v>53.179352619509615</v>
      </c>
      <c r="BZ16" s="4">
        <v>53.961401922737693</v>
      </c>
      <c r="CA16" s="4">
        <v>54.743451225965778</v>
      </c>
    </row>
    <row r="17" spans="2:79" x14ac:dyDescent="0.35">
      <c r="B17" t="s">
        <v>35</v>
      </c>
      <c r="C17">
        <v>2268</v>
      </c>
      <c r="D17">
        <v>202.95</v>
      </c>
      <c r="H17" t="s">
        <v>35</v>
      </c>
      <c r="I17" s="3">
        <v>2268</v>
      </c>
      <c r="J17" s="4">
        <v>-0.84852928206032829</v>
      </c>
      <c r="K17" s="4">
        <v>-1.6970585641206566</v>
      </c>
      <c r="L17" s="4">
        <v>-2.5455878461809847</v>
      </c>
      <c r="M17" s="4">
        <v>-3.3941171282413132</v>
      </c>
      <c r="N17" s="4">
        <v>-4.2426464103016412</v>
      </c>
      <c r="O17" s="4">
        <v>-5.0911756923619693</v>
      </c>
      <c r="P17" s="4">
        <v>-5.9397049744222983</v>
      </c>
      <c r="Q17" s="4">
        <v>-6.7882342564826263</v>
      </c>
      <c r="R17" s="4">
        <v>-7.6367635385429544</v>
      </c>
      <c r="S17" s="4">
        <v>-8.4852928206032825</v>
      </c>
      <c r="T17" s="4">
        <v>-9.3338221026636106</v>
      </c>
      <c r="U17" s="4">
        <v>-10.182351384723939</v>
      </c>
      <c r="V17" s="4">
        <v>-11.030880666784267</v>
      </c>
      <c r="W17" s="4">
        <v>-11.879409948844597</v>
      </c>
      <c r="X17" s="4">
        <v>-12.727939230904925</v>
      </c>
      <c r="Y17" s="4">
        <v>-13.576468512965253</v>
      </c>
      <c r="Z17" s="4">
        <v>-14.424997795025581</v>
      </c>
      <c r="AA17" s="4">
        <v>-15.273527077085909</v>
      </c>
      <c r="AB17" s="4">
        <v>-16.122056359146235</v>
      </c>
      <c r="AC17" s="4">
        <v>-16.970585641206565</v>
      </c>
      <c r="AD17" s="4">
        <v>-17.819114923266891</v>
      </c>
      <c r="AE17" s="4">
        <v>-18.667644205327221</v>
      </c>
      <c r="AF17" s="4">
        <v>-19.516173487387547</v>
      </c>
      <c r="AG17" s="4">
        <v>-20.364702769447877</v>
      </c>
      <c r="AH17" s="4">
        <v>-21.213232051508204</v>
      </c>
      <c r="AI17" s="4">
        <v>-22.061761333568533</v>
      </c>
      <c r="AJ17" s="4">
        <v>-22.91029061562886</v>
      </c>
      <c r="AK17" s="4">
        <v>-23.758819897689193</v>
      </c>
      <c r="AL17" s="4">
        <v>-24.607349179749519</v>
      </c>
      <c r="AM17" s="4">
        <v>-25.455878461809849</v>
      </c>
      <c r="AN17" s="4">
        <v>-26.304407743870176</v>
      </c>
      <c r="AO17" s="4">
        <v>-27.152937025930505</v>
      </c>
      <c r="AP17" s="4">
        <v>-28.001466307990832</v>
      </c>
      <c r="AQ17" s="4">
        <v>-28.849995590051162</v>
      </c>
      <c r="AR17" s="4">
        <v>-29.698524872111488</v>
      </c>
      <c r="AS17" s="4">
        <v>-30.547054154171818</v>
      </c>
      <c r="AT17" s="4">
        <v>-31.395583436232144</v>
      </c>
      <c r="AU17" s="4">
        <v>-32.24411271829247</v>
      </c>
      <c r="AV17" s="4">
        <v>-33.092642000352804</v>
      </c>
      <c r="AW17" s="4">
        <v>-33.94117128241313</v>
      </c>
      <c r="AX17" s="4">
        <v>-34.789700564473456</v>
      </c>
      <c r="AY17" s="4">
        <v>-35.638229846533783</v>
      </c>
      <c r="AZ17" s="4">
        <v>-36.486759128594116</v>
      </c>
      <c r="BA17" s="4">
        <v>-37.335288410654442</v>
      </c>
      <c r="BB17" s="4">
        <v>-38.183817692714769</v>
      </c>
      <c r="BC17" s="4">
        <v>-39.032346974775095</v>
      </c>
      <c r="BD17" s="4">
        <v>-39.880876256835428</v>
      </c>
      <c r="BE17" s="4">
        <v>-40.729405538895755</v>
      </c>
      <c r="BF17" s="4">
        <v>-41.577934820956081</v>
      </c>
      <c r="BG17" s="4">
        <v>-42.426464103016407</v>
      </c>
      <c r="BH17" s="4">
        <v>-43.274993385076741</v>
      </c>
      <c r="BI17" s="4">
        <v>-44.123522667137067</v>
      </c>
      <c r="BJ17" s="4">
        <v>-44.972051949197393</v>
      </c>
      <c r="BK17" s="4">
        <v>-45.820581231257719</v>
      </c>
      <c r="BL17" s="4">
        <v>-46.669110513318053</v>
      </c>
      <c r="BM17" s="4">
        <v>-47.517639795378386</v>
      </c>
      <c r="BN17" s="4">
        <v>-48.366169077438713</v>
      </c>
      <c r="BO17" s="4">
        <v>-49.214698359499039</v>
      </c>
      <c r="BP17" s="4">
        <v>-50.063227641559365</v>
      </c>
      <c r="BQ17" s="4">
        <v>-50.911756923619699</v>
      </c>
      <c r="BR17" s="4">
        <v>-51.760286205680025</v>
      </c>
      <c r="BS17" s="4">
        <v>-52.608815487740351</v>
      </c>
      <c r="BT17" s="4">
        <v>-53.457344769800677</v>
      </c>
      <c r="BU17" s="4">
        <v>-54.305874051861011</v>
      </c>
      <c r="BV17" s="4">
        <v>-55.154403333921337</v>
      </c>
      <c r="BW17" s="4">
        <v>-56.002932615981663</v>
      </c>
      <c r="BX17" s="4">
        <v>-56.85146189804199</v>
      </c>
      <c r="BY17" s="4">
        <v>-57.699991180102323</v>
      </c>
      <c r="BZ17" s="4">
        <v>-58.548520462162649</v>
      </c>
      <c r="CA17" s="4">
        <v>-59.397049744222976</v>
      </c>
    </row>
    <row r="18" spans="2:79" x14ac:dyDescent="0.35">
      <c r="B18" t="s">
        <v>36</v>
      </c>
      <c r="C18">
        <v>4164</v>
      </c>
      <c r="D18">
        <v>301.95</v>
      </c>
      <c r="H18" t="s">
        <v>36</v>
      </c>
      <c r="I18" s="3">
        <v>4164</v>
      </c>
      <c r="J18" s="4">
        <v>-0.73938304815664158</v>
      </c>
      <c r="K18" s="4">
        <v>-1.4787660963132832</v>
      </c>
      <c r="L18" s="4">
        <v>-2.2181491444699244</v>
      </c>
      <c r="M18" s="4">
        <v>-2.9575321926265663</v>
      </c>
      <c r="N18" s="4">
        <v>-3.6969152407832078</v>
      </c>
      <c r="O18" s="4">
        <v>-4.4362982889398488</v>
      </c>
      <c r="P18" s="4">
        <v>-5.1756813370964903</v>
      </c>
      <c r="Q18" s="4">
        <v>-5.9150643852531326</v>
      </c>
      <c r="R18" s="4">
        <v>-6.6544474334097741</v>
      </c>
      <c r="S18" s="4">
        <v>-7.3938304815664155</v>
      </c>
      <c r="T18" s="4">
        <v>-8.1332135297230561</v>
      </c>
      <c r="U18" s="4">
        <v>-8.8725965778796976</v>
      </c>
      <c r="V18" s="4">
        <v>-9.611979626036339</v>
      </c>
      <c r="W18" s="4">
        <v>-10.351362674192981</v>
      </c>
      <c r="X18" s="4">
        <v>-11.090745722349622</v>
      </c>
      <c r="Y18" s="4">
        <v>-11.830128770506265</v>
      </c>
      <c r="Z18" s="4">
        <v>-12.569511818662907</v>
      </c>
      <c r="AA18" s="4">
        <v>-13.308894866819548</v>
      </c>
      <c r="AB18" s="4">
        <v>-14.04827791497619</v>
      </c>
      <c r="AC18" s="4">
        <v>-14.787660963132831</v>
      </c>
      <c r="AD18" s="4">
        <v>-15.527044011289471</v>
      </c>
      <c r="AE18" s="4">
        <v>-16.266427059446112</v>
      </c>
      <c r="AF18" s="4">
        <v>-17.005810107602755</v>
      </c>
      <c r="AG18" s="4">
        <v>-17.745193155759395</v>
      </c>
      <c r="AH18" s="4">
        <v>-18.484576203916038</v>
      </c>
      <c r="AI18" s="4">
        <v>-19.223959252072678</v>
      </c>
      <c r="AJ18" s="4">
        <v>-19.963342300229321</v>
      </c>
      <c r="AK18" s="4">
        <v>-20.702725348385961</v>
      </c>
      <c r="AL18" s="4">
        <v>-21.442108396542604</v>
      </c>
      <c r="AM18" s="4">
        <v>-22.181491444699244</v>
      </c>
      <c r="AN18" s="4">
        <v>-22.920874492855887</v>
      </c>
      <c r="AO18" s="4">
        <v>-23.66025754101253</v>
      </c>
      <c r="AP18" s="4">
        <v>-24.39964058916917</v>
      </c>
      <c r="AQ18" s="4">
        <v>-25.139023637325813</v>
      </c>
      <c r="AR18" s="4">
        <v>-25.878406685482453</v>
      </c>
      <c r="AS18" s="4">
        <v>-26.617789733639096</v>
      </c>
      <c r="AT18" s="4">
        <v>-27.357172781795736</v>
      </c>
      <c r="AU18" s="4">
        <v>-28.096555829952379</v>
      </c>
      <c r="AV18" s="4">
        <v>-28.835938878109019</v>
      </c>
      <c r="AW18" s="4">
        <v>-29.575321926265662</v>
      </c>
      <c r="AX18" s="4">
        <v>-30.314704974422302</v>
      </c>
      <c r="AY18" s="4">
        <v>-31.054088022578942</v>
      </c>
      <c r="AZ18" s="4">
        <v>-31.793471070735585</v>
      </c>
      <c r="BA18" s="4">
        <v>-32.532854118892224</v>
      </c>
      <c r="BB18" s="4">
        <v>-33.272237167048864</v>
      </c>
      <c r="BC18" s="4">
        <v>-34.011620215205511</v>
      </c>
      <c r="BD18" s="4">
        <v>-34.751003263362151</v>
      </c>
      <c r="BE18" s="4">
        <v>-35.49038631151879</v>
      </c>
      <c r="BF18" s="4">
        <v>-36.22976935967543</v>
      </c>
      <c r="BG18" s="4">
        <v>-36.969152407832077</v>
      </c>
      <c r="BH18" s="4">
        <v>-37.708535455988716</v>
      </c>
      <c r="BI18" s="4">
        <v>-38.447918504145356</v>
      </c>
      <c r="BJ18" s="4">
        <v>-39.187301552301996</v>
      </c>
      <c r="BK18" s="4">
        <v>-39.926684600458643</v>
      </c>
      <c r="BL18" s="4">
        <v>-40.666067648615282</v>
      </c>
      <c r="BM18" s="4">
        <v>-41.405450696771922</v>
      </c>
      <c r="BN18" s="4">
        <v>-42.144833744928562</v>
      </c>
      <c r="BO18" s="4">
        <v>-42.884216793085209</v>
      </c>
      <c r="BP18" s="4">
        <v>-43.623599841241848</v>
      </c>
      <c r="BQ18" s="4">
        <v>-44.362982889398488</v>
      </c>
      <c r="BR18" s="4">
        <v>-45.102365937555128</v>
      </c>
      <c r="BS18" s="4">
        <v>-45.841748985711774</v>
      </c>
      <c r="BT18" s="4">
        <v>-46.581132033868414</v>
      </c>
      <c r="BU18" s="4">
        <v>-47.320515082025061</v>
      </c>
      <c r="BV18" s="4">
        <v>-48.059898130181701</v>
      </c>
      <c r="BW18" s="4">
        <v>-48.79928117833834</v>
      </c>
      <c r="BX18" s="4">
        <v>-49.53866422649498</v>
      </c>
      <c r="BY18" s="4">
        <v>-50.278047274651627</v>
      </c>
      <c r="BZ18" s="4">
        <v>-51.017430322808266</v>
      </c>
      <c r="CA18" s="4">
        <v>-51.756813370964906</v>
      </c>
    </row>
    <row r="19" spans="2:79" x14ac:dyDescent="0.35">
      <c r="B19" t="s">
        <v>37</v>
      </c>
      <c r="C19">
        <v>4164</v>
      </c>
      <c r="D19">
        <v>492.95000000000005</v>
      </c>
      <c r="H19" t="s">
        <v>37</v>
      </c>
      <c r="I19" s="3">
        <v>4164</v>
      </c>
      <c r="J19" s="4">
        <v>-0.52880799082730645</v>
      </c>
      <c r="K19" s="4">
        <v>-1.0576159816546129</v>
      </c>
      <c r="L19" s="4">
        <v>-1.5864239724819191</v>
      </c>
      <c r="M19" s="4">
        <v>-2.1152319633092258</v>
      </c>
      <c r="N19" s="4">
        <v>-2.6440399541365318</v>
      </c>
      <c r="O19" s="4">
        <v>-3.1728479449638383</v>
      </c>
      <c r="P19" s="4">
        <v>-3.7016559357911447</v>
      </c>
      <c r="Q19" s="4">
        <v>-4.2304639266184516</v>
      </c>
      <c r="R19" s="4">
        <v>-4.7592719174457576</v>
      </c>
      <c r="S19" s="4">
        <v>-5.2880799082730636</v>
      </c>
      <c r="T19" s="4">
        <v>-5.8168878991003705</v>
      </c>
      <c r="U19" s="4">
        <v>-6.3456958899276765</v>
      </c>
      <c r="V19" s="4">
        <v>-6.8745038807549834</v>
      </c>
      <c r="W19" s="4">
        <v>-7.4033118715822894</v>
      </c>
      <c r="X19" s="4">
        <v>-7.9321198624095963</v>
      </c>
      <c r="Y19" s="4">
        <v>-8.4609278532369032</v>
      </c>
      <c r="Z19" s="4">
        <v>-8.9897358440642083</v>
      </c>
      <c r="AA19" s="4">
        <v>-9.5185438348915152</v>
      </c>
      <c r="AB19" s="4">
        <v>-10.047351825718822</v>
      </c>
      <c r="AC19" s="4">
        <v>-10.576159816546127</v>
      </c>
      <c r="AD19" s="4">
        <v>-11.104967807373434</v>
      </c>
      <c r="AE19" s="4">
        <v>-11.633775798200741</v>
      </c>
      <c r="AF19" s="4">
        <v>-12.162583789028048</v>
      </c>
      <c r="AG19" s="4">
        <v>-12.691391779855353</v>
      </c>
      <c r="AH19" s="4">
        <v>-13.22019977068266</v>
      </c>
      <c r="AI19" s="4">
        <v>-13.749007761509967</v>
      </c>
      <c r="AJ19" s="4">
        <v>-14.277815752337274</v>
      </c>
      <c r="AK19" s="4">
        <v>-14.806623743164579</v>
      </c>
      <c r="AL19" s="4">
        <v>-15.335431733991886</v>
      </c>
      <c r="AM19" s="4">
        <v>-15.864239724819193</v>
      </c>
      <c r="AN19" s="4">
        <v>-16.3930477156465</v>
      </c>
      <c r="AO19" s="4">
        <v>-16.921855706473806</v>
      </c>
      <c r="AP19" s="4">
        <v>-17.45066369730111</v>
      </c>
      <c r="AQ19" s="4">
        <v>-17.979471688128417</v>
      </c>
      <c r="AR19" s="4">
        <v>-18.508279678955724</v>
      </c>
      <c r="AS19" s="4">
        <v>-19.03708766978303</v>
      </c>
      <c r="AT19" s="4">
        <v>-19.565895660610337</v>
      </c>
      <c r="AU19" s="4">
        <v>-20.094703651437644</v>
      </c>
      <c r="AV19" s="4">
        <v>-20.623511642264951</v>
      </c>
      <c r="AW19" s="4">
        <v>-21.152319633092254</v>
      </c>
      <c r="AX19" s="4">
        <v>-21.681127623919561</v>
      </c>
      <c r="AY19" s="4">
        <v>-22.209935614746868</v>
      </c>
      <c r="AZ19" s="4">
        <v>-22.738743605574175</v>
      </c>
      <c r="BA19" s="4">
        <v>-23.267551596401482</v>
      </c>
      <c r="BB19" s="4">
        <v>-23.796359587228789</v>
      </c>
      <c r="BC19" s="4">
        <v>-24.325167578056096</v>
      </c>
      <c r="BD19" s="4">
        <v>-24.853975568883399</v>
      </c>
      <c r="BE19" s="4">
        <v>-25.382783559710706</v>
      </c>
      <c r="BF19" s="4">
        <v>-25.911591550538013</v>
      </c>
      <c r="BG19" s="4">
        <v>-26.44039954136532</v>
      </c>
      <c r="BH19" s="4">
        <v>-26.969207532192627</v>
      </c>
      <c r="BI19" s="4">
        <v>-27.498015523019934</v>
      </c>
      <c r="BJ19" s="4">
        <v>-28.026823513847241</v>
      </c>
      <c r="BK19" s="4">
        <v>-28.555631504674547</v>
      </c>
      <c r="BL19" s="4">
        <v>-29.084439495501851</v>
      </c>
      <c r="BM19" s="4">
        <v>-29.613247486329158</v>
      </c>
      <c r="BN19" s="4">
        <v>-30.142055477156465</v>
      </c>
      <c r="BO19" s="4">
        <v>-30.670863467983771</v>
      </c>
      <c r="BP19" s="4">
        <v>-31.199671458811078</v>
      </c>
      <c r="BQ19" s="4">
        <v>-31.728479449638385</v>
      </c>
      <c r="BR19" s="4">
        <v>-32.257287440465689</v>
      </c>
      <c r="BS19" s="4">
        <v>-32.786095431292999</v>
      </c>
      <c r="BT19" s="4">
        <v>-33.314903422120302</v>
      </c>
      <c r="BU19" s="4">
        <v>-33.843711412947613</v>
      </c>
      <c r="BV19" s="4">
        <v>-34.372519403774916</v>
      </c>
      <c r="BW19" s="4">
        <v>-34.90132739460222</v>
      </c>
      <c r="BX19" s="4">
        <v>-35.43013538542953</v>
      </c>
      <c r="BY19" s="4">
        <v>-35.958943376256833</v>
      </c>
      <c r="BZ19" s="4">
        <v>-36.487751367084144</v>
      </c>
      <c r="CA19" s="4">
        <v>-37.016559357911447</v>
      </c>
    </row>
    <row r="20" spans="2:79" x14ac:dyDescent="0.35">
      <c r="B20" t="s">
        <v>38</v>
      </c>
      <c r="C20">
        <v>4164</v>
      </c>
      <c r="D20">
        <v>601.95000000000005</v>
      </c>
      <c r="H20" t="s">
        <v>38</v>
      </c>
      <c r="I20" s="3">
        <v>4164</v>
      </c>
      <c r="J20" s="4">
        <v>-0.40863688481213617</v>
      </c>
      <c r="K20" s="4">
        <v>-0.81727376962427234</v>
      </c>
      <c r="L20" s="4">
        <v>-1.2259106544364085</v>
      </c>
      <c r="M20" s="4">
        <v>-1.6345475392485447</v>
      </c>
      <c r="N20" s="4">
        <v>-2.0431844240606809</v>
      </c>
      <c r="O20" s="4">
        <v>-2.4518213088728169</v>
      </c>
      <c r="P20" s="4">
        <v>-2.8604581936849529</v>
      </c>
      <c r="Q20" s="4">
        <v>-3.2690950784970894</v>
      </c>
      <c r="R20" s="4">
        <v>-3.6777319633092258</v>
      </c>
      <c r="S20" s="4">
        <v>-4.0863688481213618</v>
      </c>
      <c r="T20" s="4">
        <v>-4.4950057329334978</v>
      </c>
      <c r="U20" s="4">
        <v>-4.9036426177456338</v>
      </c>
      <c r="V20" s="4">
        <v>-5.3122795025577698</v>
      </c>
      <c r="W20" s="4">
        <v>-5.7209163873699058</v>
      </c>
      <c r="X20" s="4">
        <v>-6.1295532721820427</v>
      </c>
      <c r="Y20" s="4">
        <v>-6.5381901569941787</v>
      </c>
      <c r="Z20" s="4">
        <v>-6.9468270418063147</v>
      </c>
      <c r="AA20" s="4">
        <v>-7.3554639266184516</v>
      </c>
      <c r="AB20" s="4">
        <v>-7.7641008114305876</v>
      </c>
      <c r="AC20" s="4">
        <v>-8.1727376962427236</v>
      </c>
      <c r="AD20" s="4">
        <v>-8.5813745810548596</v>
      </c>
      <c r="AE20" s="4">
        <v>-8.9900114658669956</v>
      </c>
      <c r="AF20" s="4">
        <v>-9.3986483506791316</v>
      </c>
      <c r="AG20" s="4">
        <v>-9.8072852354912676</v>
      </c>
      <c r="AH20" s="4">
        <v>-10.215922120303404</v>
      </c>
      <c r="AI20" s="4">
        <v>-10.62455900511554</v>
      </c>
      <c r="AJ20" s="4">
        <v>-11.033195889927676</v>
      </c>
      <c r="AK20" s="4">
        <v>-11.441832774739812</v>
      </c>
      <c r="AL20" s="4">
        <v>-11.850469659551949</v>
      </c>
      <c r="AM20" s="4">
        <v>-12.259106544364085</v>
      </c>
      <c r="AN20" s="4">
        <v>-12.667743429176221</v>
      </c>
      <c r="AO20" s="4">
        <v>-13.076380313988357</v>
      </c>
      <c r="AP20" s="4">
        <v>-13.485017198800493</v>
      </c>
      <c r="AQ20" s="4">
        <v>-13.893654083612629</v>
      </c>
      <c r="AR20" s="4">
        <v>-14.302290968424765</v>
      </c>
      <c r="AS20" s="4">
        <v>-14.710927853236903</v>
      </c>
      <c r="AT20" s="4">
        <v>-15.119564738049039</v>
      </c>
      <c r="AU20" s="4">
        <v>-15.528201622861175</v>
      </c>
      <c r="AV20" s="4">
        <v>-15.936838507673311</v>
      </c>
      <c r="AW20" s="4">
        <v>-16.345475392485447</v>
      </c>
      <c r="AX20" s="4">
        <v>-16.754112277297583</v>
      </c>
      <c r="AY20" s="4">
        <v>-17.162749162109719</v>
      </c>
      <c r="AZ20" s="4">
        <v>-17.571386046921855</v>
      </c>
      <c r="BA20" s="4">
        <v>-17.980022931733991</v>
      </c>
      <c r="BB20" s="4">
        <v>-18.388659816546127</v>
      </c>
      <c r="BC20" s="4">
        <v>-18.797296701358263</v>
      </c>
      <c r="BD20" s="4">
        <v>-19.205933586170399</v>
      </c>
      <c r="BE20" s="4">
        <v>-19.614570470982535</v>
      </c>
      <c r="BF20" s="4">
        <v>-20.023207355794671</v>
      </c>
      <c r="BG20" s="4">
        <v>-20.431844240606807</v>
      </c>
      <c r="BH20" s="4">
        <v>-20.840481125418947</v>
      </c>
      <c r="BI20" s="4">
        <v>-21.249118010231079</v>
      </c>
      <c r="BJ20" s="4">
        <v>-21.657754895043215</v>
      </c>
      <c r="BK20" s="4">
        <v>-22.066391779855351</v>
      </c>
      <c r="BL20" s="4">
        <v>-22.475028664667487</v>
      </c>
      <c r="BM20" s="4">
        <v>-22.883665549479623</v>
      </c>
      <c r="BN20" s="4">
        <v>-23.292302434291763</v>
      </c>
      <c r="BO20" s="4">
        <v>-23.700939319103899</v>
      </c>
      <c r="BP20" s="4">
        <v>-24.109576203916035</v>
      </c>
      <c r="BQ20" s="4">
        <v>-24.518213088728171</v>
      </c>
      <c r="BR20" s="4">
        <v>-24.926849973540307</v>
      </c>
      <c r="BS20" s="4">
        <v>-25.335486858352443</v>
      </c>
      <c r="BT20" s="4">
        <v>-25.744123743164579</v>
      </c>
      <c r="BU20" s="4">
        <v>-26.152760627976715</v>
      </c>
      <c r="BV20" s="4">
        <v>-26.561397512788851</v>
      </c>
      <c r="BW20" s="4">
        <v>-26.970034397600987</v>
      </c>
      <c r="BX20" s="4">
        <v>-27.378671282413123</v>
      </c>
      <c r="BY20" s="4">
        <v>-27.787308167225259</v>
      </c>
      <c r="BZ20" s="4">
        <v>-28.195945052037395</v>
      </c>
      <c r="CA20" s="4">
        <v>-28.604581936849531</v>
      </c>
    </row>
    <row r="21" spans="2:79" x14ac:dyDescent="0.35">
      <c r="B21" t="s">
        <v>39</v>
      </c>
      <c r="C21">
        <v>4164</v>
      </c>
      <c r="D21">
        <v>710.95</v>
      </c>
      <c r="H21" t="s">
        <v>39</v>
      </c>
      <c r="I21" s="3">
        <v>4164</v>
      </c>
      <c r="J21" s="4">
        <v>-0.28846577879696589</v>
      </c>
      <c r="K21" s="4">
        <v>-0.57693155759393178</v>
      </c>
      <c r="L21" s="4">
        <v>-0.86539733639089789</v>
      </c>
      <c r="M21" s="4">
        <v>-1.1538631151878636</v>
      </c>
      <c r="N21" s="4">
        <v>-1.4423288939848296</v>
      </c>
      <c r="O21" s="4">
        <v>-1.7307946727817958</v>
      </c>
      <c r="P21" s="4">
        <v>-2.0192604515787616</v>
      </c>
      <c r="Q21" s="4">
        <v>-2.3077262303757271</v>
      </c>
      <c r="R21" s="4">
        <v>-2.5961920091726931</v>
      </c>
      <c r="S21" s="4">
        <v>-2.8846577879696591</v>
      </c>
      <c r="T21" s="4">
        <v>-3.1731235667666255</v>
      </c>
      <c r="U21" s="4">
        <v>-3.4615893455635915</v>
      </c>
      <c r="V21" s="4">
        <v>-3.7500551243605567</v>
      </c>
      <c r="W21" s="4">
        <v>-4.0385209031575231</v>
      </c>
      <c r="X21" s="4">
        <v>-4.3269866819544891</v>
      </c>
      <c r="Y21" s="4">
        <v>-4.6154524607514542</v>
      </c>
      <c r="Z21" s="4">
        <v>-4.9039182395484202</v>
      </c>
      <c r="AA21" s="4">
        <v>-5.1923840183453862</v>
      </c>
      <c r="AB21" s="4">
        <v>-5.4808497971423522</v>
      </c>
      <c r="AC21" s="4">
        <v>-5.7693155759393182</v>
      </c>
      <c r="AD21" s="4">
        <v>-6.0577813547362851</v>
      </c>
      <c r="AE21" s="4">
        <v>-6.3462471335332511</v>
      </c>
      <c r="AF21" s="4">
        <v>-6.6347129123302171</v>
      </c>
      <c r="AG21" s="4">
        <v>-6.9231786911271831</v>
      </c>
      <c r="AH21" s="4">
        <v>-7.2116444699241491</v>
      </c>
      <c r="AI21" s="4">
        <v>-7.5001102487211133</v>
      </c>
      <c r="AJ21" s="4">
        <v>-7.7885760275180793</v>
      </c>
      <c r="AK21" s="4">
        <v>-8.0770418063150462</v>
      </c>
      <c r="AL21" s="4">
        <v>-8.3655075851120113</v>
      </c>
      <c r="AM21" s="4">
        <v>-8.6539733639089782</v>
      </c>
      <c r="AN21" s="4">
        <v>-8.9424391427059433</v>
      </c>
      <c r="AO21" s="4">
        <v>-9.2309049215029084</v>
      </c>
      <c r="AP21" s="4">
        <v>-9.5193707002998753</v>
      </c>
      <c r="AQ21" s="4">
        <v>-9.8078364790968404</v>
      </c>
      <c r="AR21" s="4">
        <v>-10.096302257893807</v>
      </c>
      <c r="AS21" s="4">
        <v>-10.384768036690772</v>
      </c>
      <c r="AT21" s="4">
        <v>-10.673233815487739</v>
      </c>
      <c r="AU21" s="4">
        <v>-10.961699594284704</v>
      </c>
      <c r="AV21" s="4">
        <v>-11.250165373081671</v>
      </c>
      <c r="AW21" s="4">
        <v>-11.538631151878636</v>
      </c>
      <c r="AX21" s="4">
        <v>-11.827096930675603</v>
      </c>
      <c r="AY21" s="4">
        <v>-12.11556270947257</v>
      </c>
      <c r="AZ21" s="4">
        <v>-12.404028488269535</v>
      </c>
      <c r="BA21" s="4">
        <v>-12.692494267066502</v>
      </c>
      <c r="BB21" s="4">
        <v>-12.980960045863467</v>
      </c>
      <c r="BC21" s="4">
        <v>-13.269425824660434</v>
      </c>
      <c r="BD21" s="4">
        <v>-13.557891603457399</v>
      </c>
      <c r="BE21" s="4">
        <v>-13.846357382254366</v>
      </c>
      <c r="BF21" s="4">
        <v>-14.134823161051331</v>
      </c>
      <c r="BG21" s="4">
        <v>-14.423288939848298</v>
      </c>
      <c r="BH21" s="4">
        <v>-14.711754718645263</v>
      </c>
      <c r="BI21" s="4">
        <v>-15.000220497442227</v>
      </c>
      <c r="BJ21" s="4">
        <v>-15.288686276239194</v>
      </c>
      <c r="BK21" s="4">
        <v>-15.577152055036159</v>
      </c>
      <c r="BL21" s="4">
        <v>-15.865617833833126</v>
      </c>
      <c r="BM21" s="4">
        <v>-16.154083612630092</v>
      </c>
      <c r="BN21" s="4">
        <v>-16.442549391427058</v>
      </c>
      <c r="BO21" s="4">
        <v>-16.731015170224023</v>
      </c>
      <c r="BP21" s="4">
        <v>-17.019480949020988</v>
      </c>
      <c r="BQ21" s="4">
        <v>-17.307946727817956</v>
      </c>
      <c r="BR21" s="4">
        <v>-17.596412506614922</v>
      </c>
      <c r="BS21" s="4">
        <v>-17.884878285411887</v>
      </c>
      <c r="BT21" s="4">
        <v>-18.173344064208852</v>
      </c>
      <c r="BU21" s="4">
        <v>-18.461809843005817</v>
      </c>
      <c r="BV21" s="4">
        <v>-18.750275621802786</v>
      </c>
      <c r="BW21" s="4">
        <v>-19.038741400599751</v>
      </c>
      <c r="BX21" s="4">
        <v>-19.327207179396716</v>
      </c>
      <c r="BY21" s="4">
        <v>-19.615672958193681</v>
      </c>
      <c r="BZ21" s="4">
        <v>-19.90413873699065</v>
      </c>
      <c r="CA21" s="4">
        <v>-20.192604515787615</v>
      </c>
    </row>
    <row r="22" spans="2:79" x14ac:dyDescent="0.35">
      <c r="B22" t="s">
        <v>40</v>
      </c>
      <c r="C22">
        <v>5879</v>
      </c>
      <c r="D22">
        <v>819.95</v>
      </c>
      <c r="H22" t="s">
        <v>40</v>
      </c>
      <c r="I22" s="3">
        <v>5879</v>
      </c>
      <c r="J22" s="4">
        <v>-0.16829467278179572</v>
      </c>
      <c r="K22" s="4">
        <v>-0.33658934556359144</v>
      </c>
      <c r="L22" s="4">
        <v>-0.5048840183453871</v>
      </c>
      <c r="M22" s="4">
        <v>-0.67317869112718287</v>
      </c>
      <c r="N22" s="4">
        <v>-0.84147336390897853</v>
      </c>
      <c r="O22" s="4">
        <v>-1.0097680366907742</v>
      </c>
      <c r="P22" s="4">
        <v>-1.17806270947257</v>
      </c>
      <c r="Q22" s="4">
        <v>-1.3463573822543657</v>
      </c>
      <c r="R22" s="4">
        <v>-1.5146520550361613</v>
      </c>
      <c r="S22" s="4">
        <v>-1.6829467278179571</v>
      </c>
      <c r="T22" s="4">
        <v>-1.8512414005997526</v>
      </c>
      <c r="U22" s="4">
        <v>-2.0195360733815484</v>
      </c>
      <c r="V22" s="4">
        <v>-2.1878307461633444</v>
      </c>
      <c r="W22" s="4">
        <v>-2.3561254189451399</v>
      </c>
      <c r="X22" s="4">
        <v>-2.5244200917269355</v>
      </c>
      <c r="Y22" s="4">
        <v>-2.6927147645087315</v>
      </c>
      <c r="Z22" s="4">
        <v>-2.861009437290527</v>
      </c>
      <c r="AA22" s="4">
        <v>-3.0293041100723226</v>
      </c>
      <c r="AB22" s="4">
        <v>-3.1975987828541181</v>
      </c>
      <c r="AC22" s="4">
        <v>-3.3658934556359141</v>
      </c>
      <c r="AD22" s="4">
        <v>-3.5341881284177097</v>
      </c>
      <c r="AE22" s="4">
        <v>-3.7024828011995052</v>
      </c>
      <c r="AF22" s="4">
        <v>-3.8707774739813012</v>
      </c>
      <c r="AG22" s="4">
        <v>-4.0390721467630968</v>
      </c>
      <c r="AH22" s="4">
        <v>-4.2073668195448928</v>
      </c>
      <c r="AI22" s="4">
        <v>-4.3756614923266888</v>
      </c>
      <c r="AJ22" s="4">
        <v>-4.5439561651084839</v>
      </c>
      <c r="AK22" s="4">
        <v>-4.7122508378902799</v>
      </c>
      <c r="AL22" s="4">
        <v>-4.8805455106720759</v>
      </c>
      <c r="AM22" s="4">
        <v>-5.048840183453871</v>
      </c>
      <c r="AN22" s="4">
        <v>-5.217134856235667</v>
      </c>
      <c r="AO22" s="4">
        <v>-5.385429529017463</v>
      </c>
      <c r="AP22" s="4">
        <v>-5.5537242017992581</v>
      </c>
      <c r="AQ22" s="4">
        <v>-5.7220188745810541</v>
      </c>
      <c r="AR22" s="4">
        <v>-5.8903135473628492</v>
      </c>
      <c r="AS22" s="4">
        <v>-6.0586082201446452</v>
      </c>
      <c r="AT22" s="4">
        <v>-6.2269028929264412</v>
      </c>
      <c r="AU22" s="4">
        <v>-6.3951975657082363</v>
      </c>
      <c r="AV22" s="4">
        <v>-6.5634922384900323</v>
      </c>
      <c r="AW22" s="4">
        <v>-6.7317869112718283</v>
      </c>
      <c r="AX22" s="4">
        <v>-6.9000815840536234</v>
      </c>
      <c r="AY22" s="4">
        <v>-7.0683762568354194</v>
      </c>
      <c r="AZ22" s="4">
        <v>-7.2366709296172154</v>
      </c>
      <c r="BA22" s="4">
        <v>-7.4049656023990105</v>
      </c>
      <c r="BB22" s="4">
        <v>-7.5732602751808065</v>
      </c>
      <c r="BC22" s="4">
        <v>-7.7415549479626025</v>
      </c>
      <c r="BD22" s="4">
        <v>-7.9098496207443985</v>
      </c>
      <c r="BE22" s="4">
        <v>-8.0781442935261936</v>
      </c>
      <c r="BF22" s="4">
        <v>-8.2464389663079896</v>
      </c>
      <c r="BG22" s="4">
        <v>-8.4147336390897856</v>
      </c>
      <c r="BH22" s="4">
        <v>-8.5830283118715816</v>
      </c>
      <c r="BI22" s="4">
        <v>-8.7513229846533775</v>
      </c>
      <c r="BJ22" s="4">
        <v>-8.9196176574351718</v>
      </c>
      <c r="BK22" s="4">
        <v>-9.0879123302169678</v>
      </c>
      <c r="BL22" s="4">
        <v>-9.2562070029987638</v>
      </c>
      <c r="BM22" s="4">
        <v>-9.4245016757805598</v>
      </c>
      <c r="BN22" s="4">
        <v>-9.5927963485623557</v>
      </c>
      <c r="BO22" s="4">
        <v>-9.7610910213441517</v>
      </c>
      <c r="BP22" s="4">
        <v>-9.9293856941259477</v>
      </c>
      <c r="BQ22" s="4">
        <v>-10.097680366907742</v>
      </c>
      <c r="BR22" s="4">
        <v>-10.265975039689538</v>
      </c>
      <c r="BS22" s="4">
        <v>-10.434269712471334</v>
      </c>
      <c r="BT22" s="4">
        <v>-10.60256438525313</v>
      </c>
      <c r="BU22" s="4">
        <v>-10.770859058034926</v>
      </c>
      <c r="BV22" s="4">
        <v>-10.939153730816722</v>
      </c>
      <c r="BW22" s="4">
        <v>-11.107448403598516</v>
      </c>
      <c r="BX22" s="4">
        <v>-11.275743076380312</v>
      </c>
      <c r="BY22" s="4">
        <v>-11.444037749162108</v>
      </c>
      <c r="BZ22" s="4">
        <v>-11.612332421943902</v>
      </c>
      <c r="CA22" s="4">
        <v>-11.780627094725698</v>
      </c>
    </row>
    <row r="23" spans="2:79" x14ac:dyDescent="0.35">
      <c r="B23" t="s">
        <v>41</v>
      </c>
      <c r="C23">
        <v>5879</v>
      </c>
      <c r="D23">
        <v>928.95</v>
      </c>
      <c r="H23" t="s">
        <v>41</v>
      </c>
      <c r="I23" s="3">
        <v>5879</v>
      </c>
      <c r="J23" s="4">
        <v>-4.8123566766625485E-2</v>
      </c>
      <c r="K23" s="4">
        <v>-9.624713353325097E-2</v>
      </c>
      <c r="L23" s="4">
        <v>-0.14437070029987645</v>
      </c>
      <c r="M23" s="4">
        <v>-0.19249426706650194</v>
      </c>
      <c r="N23" s="4">
        <v>-0.2406178338331274</v>
      </c>
      <c r="O23" s="4">
        <v>-0.2887414005997529</v>
      </c>
      <c r="P23" s="4">
        <v>-0.33686496736637839</v>
      </c>
      <c r="Q23" s="4">
        <v>-0.38498853413300388</v>
      </c>
      <c r="R23" s="4">
        <v>-0.43311210089962932</v>
      </c>
      <c r="S23" s="4">
        <v>-0.48123566766625481</v>
      </c>
      <c r="T23" s="4">
        <v>-0.52935923443288035</v>
      </c>
      <c r="U23" s="4">
        <v>-0.57748280119950579</v>
      </c>
      <c r="V23" s="4">
        <v>-0.62560636796613123</v>
      </c>
      <c r="W23" s="4">
        <v>-0.67372993473275677</v>
      </c>
      <c r="X23" s="4">
        <v>-0.72185350149938221</v>
      </c>
      <c r="Y23" s="4">
        <v>-0.76997706826600776</v>
      </c>
      <c r="Z23" s="4">
        <v>-0.81810063503263319</v>
      </c>
      <c r="AA23" s="4">
        <v>-0.86622420179925863</v>
      </c>
      <c r="AB23" s="4">
        <v>-0.91434776856588418</v>
      </c>
      <c r="AC23" s="4">
        <v>-0.96247133533250961</v>
      </c>
      <c r="AD23" s="4">
        <v>-1.0105949020991352</v>
      </c>
      <c r="AE23" s="4">
        <v>-1.0587184688657607</v>
      </c>
      <c r="AF23" s="4">
        <v>-1.106842035632386</v>
      </c>
      <c r="AG23" s="4">
        <v>-1.1549656023990116</v>
      </c>
      <c r="AH23" s="4">
        <v>-1.2030891691656371</v>
      </c>
      <c r="AI23" s="4">
        <v>-1.2512127359322625</v>
      </c>
      <c r="AJ23" s="4">
        <v>-1.299336302698888</v>
      </c>
      <c r="AK23" s="4">
        <v>-1.3474598694655135</v>
      </c>
      <c r="AL23" s="4">
        <v>-1.3955834362321389</v>
      </c>
      <c r="AM23" s="4">
        <v>-1.4437070029987644</v>
      </c>
      <c r="AN23" s="4">
        <v>-1.49183056976539</v>
      </c>
      <c r="AO23" s="4">
        <v>-1.5399541365320155</v>
      </c>
      <c r="AP23" s="4">
        <v>-1.5880777032986408</v>
      </c>
      <c r="AQ23" s="4">
        <v>-1.6362012700652664</v>
      </c>
      <c r="AR23" s="4">
        <v>-1.6843248368318917</v>
      </c>
      <c r="AS23" s="4">
        <v>-1.7324484035985173</v>
      </c>
      <c r="AT23" s="4">
        <v>-1.7805719703651428</v>
      </c>
      <c r="AU23" s="4">
        <v>-1.8286955371317684</v>
      </c>
      <c r="AV23" s="4">
        <v>-1.8768191038983939</v>
      </c>
      <c r="AW23" s="4">
        <v>-1.9249426706650192</v>
      </c>
      <c r="AX23" s="4">
        <v>-1.9730662374316448</v>
      </c>
      <c r="AY23" s="4">
        <v>-2.0211898041982703</v>
      </c>
      <c r="AZ23" s="4">
        <v>-2.0693133709648959</v>
      </c>
      <c r="BA23" s="4">
        <v>-2.1174369377315214</v>
      </c>
      <c r="BB23" s="4">
        <v>-2.1655605044981465</v>
      </c>
      <c r="BC23" s="4">
        <v>-2.2136840712647721</v>
      </c>
      <c r="BD23" s="4">
        <v>-2.2618076380313976</v>
      </c>
      <c r="BE23" s="4">
        <v>-2.3099312047980232</v>
      </c>
      <c r="BF23" s="4">
        <v>-2.3580547715646487</v>
      </c>
      <c r="BG23" s="4">
        <v>-2.4061783383312743</v>
      </c>
      <c r="BH23" s="4">
        <v>-2.4543019050978994</v>
      </c>
      <c r="BI23" s="4">
        <v>-2.5024254718645249</v>
      </c>
      <c r="BJ23" s="4">
        <v>-2.5505490386311505</v>
      </c>
      <c r="BK23" s="4">
        <v>-2.598672605397776</v>
      </c>
      <c r="BL23" s="4">
        <v>-2.6467961721644016</v>
      </c>
      <c r="BM23" s="4">
        <v>-2.6949197389310271</v>
      </c>
      <c r="BN23" s="4">
        <v>-2.7430433056976526</v>
      </c>
      <c r="BO23" s="4">
        <v>-2.7911668724642777</v>
      </c>
      <c r="BP23" s="4">
        <v>-2.8392904392309033</v>
      </c>
      <c r="BQ23" s="4">
        <v>-2.8874140059975288</v>
      </c>
      <c r="BR23" s="4">
        <v>-2.9355375727641548</v>
      </c>
      <c r="BS23" s="4">
        <v>-2.9836611395307799</v>
      </c>
      <c r="BT23" s="4">
        <v>-3.0317847062974055</v>
      </c>
      <c r="BU23" s="4">
        <v>-3.079908273064031</v>
      </c>
      <c r="BV23" s="4">
        <v>-3.1280318398306561</v>
      </c>
      <c r="BW23" s="4">
        <v>-3.1761554065972817</v>
      </c>
      <c r="BX23" s="4">
        <v>-3.2242789733639072</v>
      </c>
      <c r="BY23" s="4">
        <v>-3.2724025401305328</v>
      </c>
      <c r="BZ23" s="4">
        <v>-3.3205261068971579</v>
      </c>
      <c r="CA23" s="4">
        <v>-3.3686496736637834</v>
      </c>
    </row>
    <row r="24" spans="2:79" x14ac:dyDescent="0.35">
      <c r="B24" t="s">
        <v>42</v>
      </c>
      <c r="C24">
        <v>4164</v>
      </c>
      <c r="D24">
        <v>1037.95</v>
      </c>
      <c r="H24" t="s">
        <v>42</v>
      </c>
      <c r="I24" s="3">
        <v>4164</v>
      </c>
      <c r="J24" s="4">
        <v>7.2047539248544734E-2</v>
      </c>
      <c r="K24" s="4">
        <v>0.14409507849708947</v>
      </c>
      <c r="L24" s="4">
        <v>0.21614261774563423</v>
      </c>
      <c r="M24" s="4">
        <v>0.28819015699417894</v>
      </c>
      <c r="N24" s="4">
        <v>0.36023769624272373</v>
      </c>
      <c r="O24" s="4">
        <v>0.43228523549126846</v>
      </c>
      <c r="P24" s="4">
        <v>0.50433277473981319</v>
      </c>
      <c r="Q24" s="4">
        <v>0.57638031398835787</v>
      </c>
      <c r="R24" s="4">
        <v>0.64842785323690266</v>
      </c>
      <c r="S24" s="4">
        <v>0.72047539248544745</v>
      </c>
      <c r="T24" s="4">
        <v>0.79252293173399224</v>
      </c>
      <c r="U24" s="4">
        <v>0.86457047098253692</v>
      </c>
      <c r="V24" s="4">
        <v>0.9366180102310816</v>
      </c>
      <c r="W24" s="4">
        <v>1.0086655494796264</v>
      </c>
      <c r="X24" s="4">
        <v>1.0807130887281711</v>
      </c>
      <c r="Y24" s="4">
        <v>1.1527606279767157</v>
      </c>
      <c r="Z24" s="4">
        <v>1.2248081672252606</v>
      </c>
      <c r="AA24" s="4">
        <v>1.2968557064738053</v>
      </c>
      <c r="AB24" s="4">
        <v>1.36890324572235</v>
      </c>
      <c r="AC24" s="4">
        <v>1.4409507849708949</v>
      </c>
      <c r="AD24" s="4">
        <v>1.5129983242194398</v>
      </c>
      <c r="AE24" s="4">
        <v>1.5850458634679845</v>
      </c>
      <c r="AF24" s="4">
        <v>1.6570934027165292</v>
      </c>
      <c r="AG24" s="4">
        <v>1.7291409419650738</v>
      </c>
      <c r="AH24" s="4">
        <v>1.8011884812136185</v>
      </c>
      <c r="AI24" s="4">
        <v>1.8732360204621632</v>
      </c>
      <c r="AJ24" s="4">
        <v>1.9452835597107081</v>
      </c>
      <c r="AK24" s="4">
        <v>2.0173310989592528</v>
      </c>
      <c r="AL24" s="4">
        <v>2.0893786382077972</v>
      </c>
      <c r="AM24" s="4">
        <v>2.1614261774563421</v>
      </c>
      <c r="AN24" s="4">
        <v>2.233473716704887</v>
      </c>
      <c r="AO24" s="4">
        <v>2.3055212559534315</v>
      </c>
      <c r="AP24" s="4">
        <v>2.3775687952019768</v>
      </c>
      <c r="AQ24" s="4">
        <v>2.4496163344505213</v>
      </c>
      <c r="AR24" s="4">
        <v>2.5216638736990662</v>
      </c>
      <c r="AS24" s="4">
        <v>2.5937114129476107</v>
      </c>
      <c r="AT24" s="4">
        <v>2.6657589521961556</v>
      </c>
      <c r="AU24" s="4">
        <v>2.7378064914447</v>
      </c>
      <c r="AV24" s="4">
        <v>2.8098540306932449</v>
      </c>
      <c r="AW24" s="4">
        <v>2.8819015699417898</v>
      </c>
      <c r="AX24" s="4">
        <v>2.9539491091903347</v>
      </c>
      <c r="AY24" s="4">
        <v>3.0259966484388796</v>
      </c>
      <c r="AZ24" s="4">
        <v>3.0980441876874241</v>
      </c>
      <c r="BA24" s="4">
        <v>3.170091726935969</v>
      </c>
      <c r="BB24" s="4">
        <v>3.2421392661845134</v>
      </c>
      <c r="BC24" s="4">
        <v>3.3141868054330583</v>
      </c>
      <c r="BD24" s="4">
        <v>3.3862343446816028</v>
      </c>
      <c r="BE24" s="4">
        <v>3.4582818839301477</v>
      </c>
      <c r="BF24" s="4">
        <v>3.5303294231786926</v>
      </c>
      <c r="BG24" s="4">
        <v>3.602376962427237</v>
      </c>
      <c r="BH24" s="4">
        <v>3.6744245016757819</v>
      </c>
      <c r="BI24" s="4">
        <v>3.7464720409243264</v>
      </c>
      <c r="BJ24" s="4">
        <v>3.8185195801728713</v>
      </c>
      <c r="BK24" s="4">
        <v>3.8905671194214162</v>
      </c>
      <c r="BL24" s="4">
        <v>3.9626146586699607</v>
      </c>
      <c r="BM24" s="4">
        <v>4.0346621979185056</v>
      </c>
      <c r="BN24" s="4">
        <v>4.1067097371670505</v>
      </c>
      <c r="BO24" s="4">
        <v>4.1787572764155945</v>
      </c>
      <c r="BP24" s="4">
        <v>4.2508048156641394</v>
      </c>
      <c r="BQ24" s="4">
        <v>4.3228523549126843</v>
      </c>
      <c r="BR24" s="4">
        <v>4.3948998941612292</v>
      </c>
      <c r="BS24" s="4">
        <v>4.4669474334097741</v>
      </c>
      <c r="BT24" s="4">
        <v>4.5389949726583181</v>
      </c>
      <c r="BU24" s="4">
        <v>4.611042511906863</v>
      </c>
      <c r="BV24" s="4">
        <v>4.6830900511554088</v>
      </c>
      <c r="BW24" s="4">
        <v>4.7551375904039537</v>
      </c>
      <c r="BX24" s="4">
        <v>4.8271851296524977</v>
      </c>
      <c r="BY24" s="4">
        <v>4.8992326689010426</v>
      </c>
      <c r="BZ24" s="4">
        <v>4.9712802081495875</v>
      </c>
      <c r="CA24" s="4">
        <v>5.0433277473981324</v>
      </c>
    </row>
    <row r="25" spans="2:79" x14ac:dyDescent="0.35">
      <c r="B25" t="s">
        <v>43</v>
      </c>
      <c r="C25">
        <v>4164</v>
      </c>
      <c r="D25">
        <v>1146.95</v>
      </c>
      <c r="H25" t="s">
        <v>43</v>
      </c>
      <c r="I25" s="3">
        <v>4164</v>
      </c>
      <c r="J25" s="4">
        <v>0.19221864526371499</v>
      </c>
      <c r="K25" s="4">
        <v>0.38443729052742998</v>
      </c>
      <c r="L25" s="4">
        <v>0.57665593579114494</v>
      </c>
      <c r="M25" s="4">
        <v>0.76887458105485995</v>
      </c>
      <c r="N25" s="4">
        <v>0.96109322631857486</v>
      </c>
      <c r="O25" s="4">
        <v>1.1533118715822899</v>
      </c>
      <c r="P25" s="4">
        <v>1.3455305168460048</v>
      </c>
      <c r="Q25" s="4">
        <v>1.5377491621097199</v>
      </c>
      <c r="R25" s="4">
        <v>1.7299678073734348</v>
      </c>
      <c r="S25" s="4">
        <v>1.9221864526371497</v>
      </c>
      <c r="T25" s="4">
        <v>2.1144050979008648</v>
      </c>
      <c r="U25" s="4">
        <v>2.3066237431645797</v>
      </c>
      <c r="V25" s="4">
        <v>2.4988423884282946</v>
      </c>
      <c r="W25" s="4">
        <v>2.6910610336920096</v>
      </c>
      <c r="X25" s="4">
        <v>2.8832796789557245</v>
      </c>
      <c r="Y25" s="4">
        <v>3.0754983242194398</v>
      </c>
      <c r="Z25" s="4">
        <v>3.2677169694831547</v>
      </c>
      <c r="AA25" s="4">
        <v>3.4599356147468696</v>
      </c>
      <c r="AB25" s="4">
        <v>3.6521542600105845</v>
      </c>
      <c r="AC25" s="4">
        <v>3.8443729052742994</v>
      </c>
      <c r="AD25" s="4">
        <v>4.0365915505380148</v>
      </c>
      <c r="AE25" s="4">
        <v>4.2288101958017297</v>
      </c>
      <c r="AF25" s="4">
        <v>4.4210288410654446</v>
      </c>
      <c r="AG25" s="4">
        <v>4.6132474863291595</v>
      </c>
      <c r="AH25" s="4">
        <v>4.8054661315928744</v>
      </c>
      <c r="AI25" s="4">
        <v>4.9976847768565893</v>
      </c>
      <c r="AJ25" s="4">
        <v>5.1899034221203042</v>
      </c>
      <c r="AK25" s="4">
        <v>5.3821220673840191</v>
      </c>
      <c r="AL25" s="4">
        <v>5.574340712647734</v>
      </c>
      <c r="AM25" s="4">
        <v>5.7665593579114489</v>
      </c>
      <c r="AN25" s="4">
        <v>5.9587780031751647</v>
      </c>
      <c r="AO25" s="4">
        <v>6.1509966484388796</v>
      </c>
      <c r="AP25" s="4">
        <v>6.3432152937025945</v>
      </c>
      <c r="AQ25" s="4">
        <v>6.5354339389663094</v>
      </c>
      <c r="AR25" s="4">
        <v>6.7276525842300243</v>
      </c>
      <c r="AS25" s="4">
        <v>6.9198712294937392</v>
      </c>
      <c r="AT25" s="4">
        <v>7.1120898747574541</v>
      </c>
      <c r="AU25" s="4">
        <v>7.304308520021169</v>
      </c>
      <c r="AV25" s="4">
        <v>7.4965271652848839</v>
      </c>
      <c r="AW25" s="4">
        <v>7.6887458105485988</v>
      </c>
      <c r="AX25" s="4">
        <v>7.8809644558123138</v>
      </c>
      <c r="AY25" s="4">
        <v>8.0731831010760295</v>
      </c>
      <c r="AZ25" s="4">
        <v>8.2654017463397444</v>
      </c>
      <c r="BA25" s="4">
        <v>8.4576203916034594</v>
      </c>
      <c r="BB25" s="4">
        <v>8.6498390368671743</v>
      </c>
      <c r="BC25" s="4">
        <v>8.8420576821308892</v>
      </c>
      <c r="BD25" s="4">
        <v>9.0342763273946041</v>
      </c>
      <c r="BE25" s="4">
        <v>9.226494972658319</v>
      </c>
      <c r="BF25" s="4">
        <v>9.4187136179220339</v>
      </c>
      <c r="BG25" s="4">
        <v>9.6109322631857488</v>
      </c>
      <c r="BH25" s="4">
        <v>9.8031509084494637</v>
      </c>
      <c r="BI25" s="4">
        <v>9.9953695537131786</v>
      </c>
      <c r="BJ25" s="4">
        <v>10.187588198976893</v>
      </c>
      <c r="BK25" s="4">
        <v>10.379806844240608</v>
      </c>
      <c r="BL25" s="4">
        <v>10.572025489504323</v>
      </c>
      <c r="BM25" s="4">
        <v>10.764244134768038</v>
      </c>
      <c r="BN25" s="4">
        <v>10.956462780031753</v>
      </c>
      <c r="BO25" s="4">
        <v>11.148681425295468</v>
      </c>
      <c r="BP25" s="4">
        <v>11.340900070559183</v>
      </c>
      <c r="BQ25" s="4">
        <v>11.533118715822898</v>
      </c>
      <c r="BR25" s="4">
        <v>11.725337361086615</v>
      </c>
      <c r="BS25" s="4">
        <v>11.917556006350329</v>
      </c>
      <c r="BT25" s="4">
        <v>12.109774651614044</v>
      </c>
      <c r="BU25" s="4">
        <v>12.301993296877759</v>
      </c>
      <c r="BV25" s="4">
        <v>12.494211942141474</v>
      </c>
      <c r="BW25" s="4">
        <v>12.686430587405189</v>
      </c>
      <c r="BX25" s="4">
        <v>12.878649232668904</v>
      </c>
      <c r="BY25" s="4">
        <v>13.070867877932619</v>
      </c>
      <c r="BZ25" s="4">
        <v>13.263086523196334</v>
      </c>
      <c r="CA25" s="4">
        <v>13.455305168460049</v>
      </c>
    </row>
    <row r="26" spans="2:79" x14ac:dyDescent="0.35">
      <c r="B26" t="s">
        <v>44</v>
      </c>
      <c r="C26">
        <v>4164</v>
      </c>
      <c r="D26">
        <v>1255.95</v>
      </c>
      <c r="H26" t="s">
        <v>44</v>
      </c>
      <c r="I26" s="3">
        <v>4164</v>
      </c>
      <c r="J26" s="4">
        <v>0.31238975127888519</v>
      </c>
      <c r="K26" s="4">
        <v>0.62477950255777037</v>
      </c>
      <c r="L26" s="4">
        <v>0.9371692538366555</v>
      </c>
      <c r="M26" s="4">
        <v>1.2495590051155407</v>
      </c>
      <c r="N26" s="4">
        <v>1.5619487563944259</v>
      </c>
      <c r="O26" s="4">
        <v>1.874338507673311</v>
      </c>
      <c r="P26" s="4">
        <v>2.1867282589521966</v>
      </c>
      <c r="Q26" s="4">
        <v>2.4991180102310815</v>
      </c>
      <c r="R26" s="4">
        <v>2.8115077615099668</v>
      </c>
      <c r="S26" s="4">
        <v>3.1238975127888517</v>
      </c>
      <c r="T26" s="4">
        <v>3.4362872640677367</v>
      </c>
      <c r="U26" s="4">
        <v>3.748677015346622</v>
      </c>
      <c r="V26" s="4">
        <v>4.0610667666255074</v>
      </c>
      <c r="W26" s="4">
        <v>4.3734565179043932</v>
      </c>
      <c r="X26" s="4">
        <v>4.6858462691832781</v>
      </c>
      <c r="Y26" s="4">
        <v>4.998236020462163</v>
      </c>
      <c r="Z26" s="4">
        <v>5.3106257717410488</v>
      </c>
      <c r="AA26" s="4">
        <v>5.6230155230199337</v>
      </c>
      <c r="AB26" s="4">
        <v>5.9354052742988177</v>
      </c>
      <c r="AC26" s="4">
        <v>6.2477950255777035</v>
      </c>
      <c r="AD26" s="4">
        <v>6.5601847768565884</v>
      </c>
      <c r="AE26" s="4">
        <v>6.8725745281354733</v>
      </c>
      <c r="AF26" s="4">
        <v>7.1849642794143591</v>
      </c>
      <c r="AG26" s="4">
        <v>7.497354030693244</v>
      </c>
      <c r="AH26" s="4">
        <v>7.8097437819721289</v>
      </c>
      <c r="AI26" s="4">
        <v>8.1221335332510147</v>
      </c>
      <c r="AJ26" s="4">
        <v>8.4345232845299005</v>
      </c>
      <c r="AK26" s="4">
        <v>8.7469130358087863</v>
      </c>
      <c r="AL26" s="4">
        <v>9.0593027870876703</v>
      </c>
      <c r="AM26" s="4">
        <v>9.3716925383665561</v>
      </c>
      <c r="AN26" s="4">
        <v>9.6840822896454419</v>
      </c>
      <c r="AO26" s="4">
        <v>9.996472040924326</v>
      </c>
      <c r="AP26" s="4">
        <v>10.308861792203212</v>
      </c>
      <c r="AQ26" s="4">
        <v>10.621251543482098</v>
      </c>
      <c r="AR26" s="4">
        <v>10.933641294760982</v>
      </c>
      <c r="AS26" s="4">
        <v>11.246031046039867</v>
      </c>
      <c r="AT26" s="4">
        <v>11.558420797318753</v>
      </c>
      <c r="AU26" s="4">
        <v>11.870810548597635</v>
      </c>
      <c r="AV26" s="4">
        <v>12.183200299876521</v>
      </c>
      <c r="AW26" s="4">
        <v>12.495590051155407</v>
      </c>
      <c r="AX26" s="4">
        <v>12.807979802434291</v>
      </c>
      <c r="AY26" s="4">
        <v>13.120369553713177</v>
      </c>
      <c r="AZ26" s="4">
        <v>13.432759304992063</v>
      </c>
      <c r="BA26" s="4">
        <v>13.745149056270947</v>
      </c>
      <c r="BB26" s="4">
        <v>14.057538807549832</v>
      </c>
      <c r="BC26" s="4">
        <v>14.369928558828718</v>
      </c>
      <c r="BD26" s="4">
        <v>14.682318310107602</v>
      </c>
      <c r="BE26" s="4">
        <v>14.994708061386488</v>
      </c>
      <c r="BF26" s="4">
        <v>15.307097812665374</v>
      </c>
      <c r="BG26" s="4">
        <v>15.619487563944258</v>
      </c>
      <c r="BH26" s="4">
        <v>15.931877315223144</v>
      </c>
      <c r="BI26" s="4">
        <v>16.244267066502029</v>
      </c>
      <c r="BJ26" s="4">
        <v>16.556656817780915</v>
      </c>
      <c r="BK26" s="4">
        <v>16.869046569059801</v>
      </c>
      <c r="BL26" s="4">
        <v>17.181436320338687</v>
      </c>
      <c r="BM26" s="4">
        <v>17.493826071617573</v>
      </c>
      <c r="BN26" s="4">
        <v>17.806215822896458</v>
      </c>
      <c r="BO26" s="4">
        <v>18.118605574175341</v>
      </c>
      <c r="BP26" s="4">
        <v>18.430995325454226</v>
      </c>
      <c r="BQ26" s="4">
        <v>18.743385076733112</v>
      </c>
      <c r="BR26" s="4">
        <v>19.055774828011998</v>
      </c>
      <c r="BS26" s="4">
        <v>19.368164579290884</v>
      </c>
      <c r="BT26" s="4">
        <v>19.68055433056977</v>
      </c>
      <c r="BU26" s="4">
        <v>19.992944081848652</v>
      </c>
      <c r="BV26" s="4">
        <v>20.305333833127538</v>
      </c>
      <c r="BW26" s="4">
        <v>20.617723584406423</v>
      </c>
      <c r="BX26" s="4">
        <v>20.930113335685309</v>
      </c>
      <c r="BY26" s="4">
        <v>21.242503086964195</v>
      </c>
      <c r="BZ26" s="4">
        <v>21.554892838243077</v>
      </c>
      <c r="CA26" s="4">
        <v>21.867282589521963</v>
      </c>
    </row>
    <row r="27" spans="2:79" x14ac:dyDescent="0.35">
      <c r="B27" t="s">
        <v>45</v>
      </c>
      <c r="C27">
        <v>4164</v>
      </c>
      <c r="D27">
        <v>1364.95</v>
      </c>
      <c r="H27" t="s">
        <v>45</v>
      </c>
      <c r="I27" s="3">
        <v>4164</v>
      </c>
      <c r="J27" s="4">
        <v>0.43256085729405541</v>
      </c>
      <c r="K27" s="4">
        <v>0.86512171458811082</v>
      </c>
      <c r="L27" s="4">
        <v>1.2976825718821661</v>
      </c>
      <c r="M27" s="4">
        <v>1.7302434291762216</v>
      </c>
      <c r="N27" s="4">
        <v>2.1628042864702768</v>
      </c>
      <c r="O27" s="4">
        <v>2.5953651437643321</v>
      </c>
      <c r="P27" s="4">
        <v>3.0279260010583879</v>
      </c>
      <c r="Q27" s="4">
        <v>3.4604868583524433</v>
      </c>
      <c r="R27" s="4">
        <v>3.8930477156464987</v>
      </c>
      <c r="S27" s="4">
        <v>4.3256085729405536</v>
      </c>
      <c r="T27" s="4">
        <v>4.7581694302346094</v>
      </c>
      <c r="U27" s="4">
        <v>5.1907302875286643</v>
      </c>
      <c r="V27" s="4">
        <v>5.623291144822721</v>
      </c>
      <c r="W27" s="4">
        <v>6.0558520021167759</v>
      </c>
      <c r="X27" s="4">
        <v>6.4884128594108308</v>
      </c>
      <c r="Y27" s="4">
        <v>6.9209737167048866</v>
      </c>
      <c r="Z27" s="4">
        <v>7.3535345739989415</v>
      </c>
      <c r="AA27" s="4">
        <v>7.7860954312929973</v>
      </c>
      <c r="AB27" s="4">
        <v>8.2186562885870522</v>
      </c>
      <c r="AC27" s="4">
        <v>8.6512171458811071</v>
      </c>
      <c r="AD27" s="4">
        <v>9.0837780031751638</v>
      </c>
      <c r="AE27" s="4">
        <v>9.5163388604692187</v>
      </c>
      <c r="AF27" s="4">
        <v>9.9488997177632736</v>
      </c>
      <c r="AG27" s="4">
        <v>10.381460575057329</v>
      </c>
      <c r="AH27" s="4">
        <v>10.814021432351385</v>
      </c>
      <c r="AI27" s="4">
        <v>11.246582289645442</v>
      </c>
      <c r="AJ27" s="4">
        <v>11.679143146939495</v>
      </c>
      <c r="AK27" s="4">
        <v>12.111704004233552</v>
      </c>
      <c r="AL27" s="4">
        <v>12.544264861527607</v>
      </c>
      <c r="AM27" s="4">
        <v>12.976825718821662</v>
      </c>
      <c r="AN27" s="4">
        <v>13.409386576115716</v>
      </c>
      <c r="AO27" s="4">
        <v>13.841947433409773</v>
      </c>
      <c r="AP27" s="4">
        <v>14.274508290703828</v>
      </c>
      <c r="AQ27" s="4">
        <v>14.707069147997883</v>
      </c>
      <c r="AR27" s="4">
        <v>15.139630005291938</v>
      </c>
      <c r="AS27" s="4">
        <v>15.572190862585995</v>
      </c>
      <c r="AT27" s="4">
        <v>16.004751719880048</v>
      </c>
      <c r="AU27" s="4">
        <v>16.437312577174104</v>
      </c>
      <c r="AV27" s="4">
        <v>16.869873434468161</v>
      </c>
      <c r="AW27" s="4">
        <v>17.302434291762214</v>
      </c>
      <c r="AX27" s="4">
        <v>17.734995149056271</v>
      </c>
      <c r="AY27" s="4">
        <v>18.167556006350328</v>
      </c>
      <c r="AZ27" s="4">
        <v>18.600116863644381</v>
      </c>
      <c r="BA27" s="4">
        <v>19.032677720938437</v>
      </c>
      <c r="BB27" s="4">
        <v>19.465238578232494</v>
      </c>
      <c r="BC27" s="4">
        <v>19.897799435526547</v>
      </c>
      <c r="BD27" s="4">
        <v>20.330360292820604</v>
      </c>
      <c r="BE27" s="4">
        <v>20.762921150114657</v>
      </c>
      <c r="BF27" s="4">
        <v>21.195482007408714</v>
      </c>
      <c r="BG27" s="4">
        <v>21.62804286470277</v>
      </c>
      <c r="BH27" s="4">
        <v>22.060603721996824</v>
      </c>
      <c r="BI27" s="4">
        <v>22.493164579290884</v>
      </c>
      <c r="BJ27" s="4">
        <v>22.925725436584937</v>
      </c>
      <c r="BK27" s="4">
        <v>23.35828629387899</v>
      </c>
      <c r="BL27" s="4">
        <v>23.790847151173047</v>
      </c>
      <c r="BM27" s="4">
        <v>24.223408008467104</v>
      </c>
      <c r="BN27" s="4">
        <v>24.655968865761157</v>
      </c>
      <c r="BO27" s="4">
        <v>25.088529723055213</v>
      </c>
      <c r="BP27" s="4">
        <v>25.521090580349266</v>
      </c>
      <c r="BQ27" s="4">
        <v>25.953651437643323</v>
      </c>
      <c r="BR27" s="4">
        <v>26.38621229493738</v>
      </c>
      <c r="BS27" s="4">
        <v>26.818773152231433</v>
      </c>
      <c r="BT27" s="4">
        <v>27.25133400952549</v>
      </c>
      <c r="BU27" s="4">
        <v>27.683894866819546</v>
      </c>
      <c r="BV27" s="4">
        <v>28.1164557241136</v>
      </c>
      <c r="BW27" s="4">
        <v>28.549016581407656</v>
      </c>
      <c r="BX27" s="4">
        <v>28.981577438701709</v>
      </c>
      <c r="BY27" s="4">
        <v>29.414138295995766</v>
      </c>
      <c r="BZ27" s="4">
        <v>29.846699153289823</v>
      </c>
      <c r="CA27" s="4">
        <v>30.279260010583876</v>
      </c>
    </row>
    <row r="28" spans="2:79" x14ac:dyDescent="0.35">
      <c r="B28" t="s">
        <v>46</v>
      </c>
      <c r="C28">
        <v>4164</v>
      </c>
      <c r="D28">
        <v>1473.95</v>
      </c>
      <c r="H28" t="s">
        <v>46</v>
      </c>
      <c r="I28" s="3">
        <v>4164</v>
      </c>
      <c r="J28" s="4">
        <v>0.55273196330922558</v>
      </c>
      <c r="K28" s="4">
        <v>1.1054639266184512</v>
      </c>
      <c r="L28" s="4">
        <v>1.6581958899276767</v>
      </c>
      <c r="M28" s="4">
        <v>2.2109278532369023</v>
      </c>
      <c r="N28" s="4">
        <v>2.7636598165461281</v>
      </c>
      <c r="O28" s="4">
        <v>3.3163917798553535</v>
      </c>
      <c r="P28" s="4">
        <v>3.8691237431645793</v>
      </c>
      <c r="Q28" s="4">
        <v>4.4218557064738047</v>
      </c>
      <c r="R28" s="4">
        <v>4.9745876697830305</v>
      </c>
      <c r="S28" s="4">
        <v>5.5273196330922563</v>
      </c>
      <c r="T28" s="4">
        <v>6.0800515964014821</v>
      </c>
      <c r="U28" s="4">
        <v>6.632783559710707</v>
      </c>
      <c r="V28" s="4">
        <v>7.1855155230199328</v>
      </c>
      <c r="W28" s="4">
        <v>7.7382474863291586</v>
      </c>
      <c r="X28" s="4">
        <v>8.2909794496383835</v>
      </c>
      <c r="Y28" s="4">
        <v>8.8437114129476093</v>
      </c>
      <c r="Z28" s="4">
        <v>9.3964433762568351</v>
      </c>
      <c r="AA28" s="4">
        <v>9.9491753395660609</v>
      </c>
      <c r="AB28" s="4">
        <v>10.501907302875287</v>
      </c>
      <c r="AC28" s="4">
        <v>11.054639266184513</v>
      </c>
      <c r="AD28" s="4">
        <v>11.607371229493738</v>
      </c>
      <c r="AE28" s="4">
        <v>12.160103192802964</v>
      </c>
      <c r="AF28" s="4">
        <v>12.71283515611219</v>
      </c>
      <c r="AG28" s="4">
        <v>13.265567119421414</v>
      </c>
      <c r="AH28" s="4">
        <v>13.81829908273064</v>
      </c>
      <c r="AI28" s="4">
        <v>14.371031046039866</v>
      </c>
      <c r="AJ28" s="4">
        <v>14.923763009349091</v>
      </c>
      <c r="AK28" s="4">
        <v>15.476494972658317</v>
      </c>
      <c r="AL28" s="4">
        <v>16.029226935967543</v>
      </c>
      <c r="AM28" s="4">
        <v>16.581958899276767</v>
      </c>
      <c r="AN28" s="4">
        <v>17.134690862585995</v>
      </c>
      <c r="AO28" s="4">
        <v>17.687422825895219</v>
      </c>
      <c r="AP28" s="4">
        <v>18.240154789204446</v>
      </c>
      <c r="AQ28" s="4">
        <v>18.79288675251367</v>
      </c>
      <c r="AR28" s="4">
        <v>19.345618715822898</v>
      </c>
      <c r="AS28" s="4">
        <v>19.898350679132122</v>
      </c>
      <c r="AT28" s="4">
        <v>20.451082642441349</v>
      </c>
      <c r="AU28" s="4">
        <v>21.003814605750573</v>
      </c>
      <c r="AV28" s="4">
        <v>21.556546569059797</v>
      </c>
      <c r="AW28" s="4">
        <v>22.109278532369025</v>
      </c>
      <c r="AX28" s="4">
        <v>22.662010495678249</v>
      </c>
      <c r="AY28" s="4">
        <v>23.214742458987477</v>
      </c>
      <c r="AZ28" s="4">
        <v>23.767474422296701</v>
      </c>
      <c r="BA28" s="4">
        <v>24.320206385605928</v>
      </c>
      <c r="BB28" s="4">
        <v>24.872938348915152</v>
      </c>
      <c r="BC28" s="4">
        <v>25.42567031222438</v>
      </c>
      <c r="BD28" s="4">
        <v>25.978402275533604</v>
      </c>
      <c r="BE28" s="4">
        <v>26.531134238842828</v>
      </c>
      <c r="BF28" s="4">
        <v>27.083866202152056</v>
      </c>
      <c r="BG28" s="4">
        <v>27.63659816546128</v>
      </c>
      <c r="BH28" s="4">
        <v>28.189330128770507</v>
      </c>
      <c r="BI28" s="4">
        <v>28.742062092079731</v>
      </c>
      <c r="BJ28" s="4">
        <v>29.294794055388959</v>
      </c>
      <c r="BK28" s="4">
        <v>29.847526018698183</v>
      </c>
      <c r="BL28" s="4">
        <v>30.40025798200741</v>
      </c>
      <c r="BM28" s="4">
        <v>30.952989945316634</v>
      </c>
      <c r="BN28" s="4">
        <v>31.505721908625858</v>
      </c>
      <c r="BO28" s="4">
        <v>32.058453871935086</v>
      </c>
      <c r="BP28" s="4">
        <v>32.611185835244314</v>
      </c>
      <c r="BQ28" s="4">
        <v>33.163917798553534</v>
      </c>
      <c r="BR28" s="4">
        <v>33.716649761862762</v>
      </c>
      <c r="BS28" s="4">
        <v>34.269381725171989</v>
      </c>
      <c r="BT28" s="4">
        <v>34.822113688481217</v>
      </c>
      <c r="BU28" s="4">
        <v>35.374845651790437</v>
      </c>
      <c r="BV28" s="4">
        <v>35.927577615099665</v>
      </c>
      <c r="BW28" s="4">
        <v>36.480309578408892</v>
      </c>
      <c r="BX28" s="4">
        <v>37.033041541718113</v>
      </c>
      <c r="BY28" s="4">
        <v>37.58577350502734</v>
      </c>
      <c r="BZ28" s="4">
        <v>38.138505468336568</v>
      </c>
      <c r="CA28" s="4">
        <v>38.691237431645796</v>
      </c>
    </row>
    <row r="29" spans="2:79" x14ac:dyDescent="0.35">
      <c r="B29" t="s">
        <v>47</v>
      </c>
      <c r="C29">
        <v>4164</v>
      </c>
      <c r="D29">
        <v>1582.95</v>
      </c>
      <c r="H29" t="s">
        <v>47</v>
      </c>
      <c r="I29" s="3">
        <v>4164</v>
      </c>
      <c r="J29" s="4">
        <v>0.67290306932439581</v>
      </c>
      <c r="K29" s="4">
        <v>1.3458061386487916</v>
      </c>
      <c r="L29" s="4">
        <v>2.0187092079731874</v>
      </c>
      <c r="M29" s="4">
        <v>2.6916122772975832</v>
      </c>
      <c r="N29" s="4">
        <v>3.364515346621979</v>
      </c>
      <c r="O29" s="4">
        <v>4.0374184159463749</v>
      </c>
      <c r="P29" s="4">
        <v>4.7103214852707707</v>
      </c>
      <c r="Q29" s="4">
        <v>5.3832245545951665</v>
      </c>
      <c r="R29" s="4">
        <v>6.0561276239195623</v>
      </c>
      <c r="S29" s="4">
        <v>6.7290306932439581</v>
      </c>
      <c r="T29" s="4">
        <v>7.4019337625683539</v>
      </c>
      <c r="U29" s="4">
        <v>8.0748368318927497</v>
      </c>
      <c r="V29" s="4">
        <v>8.7477399012171464</v>
      </c>
      <c r="W29" s="4">
        <v>9.4206429705415413</v>
      </c>
      <c r="X29" s="4">
        <v>10.093546039865938</v>
      </c>
      <c r="Y29" s="4">
        <v>10.766449109190333</v>
      </c>
      <c r="Z29" s="4">
        <v>11.43935217851473</v>
      </c>
      <c r="AA29" s="4">
        <v>12.112255247839125</v>
      </c>
      <c r="AB29" s="4">
        <v>12.785158317163521</v>
      </c>
      <c r="AC29" s="4">
        <v>13.458061386487916</v>
      </c>
      <c r="AD29" s="4">
        <v>14.130964455812313</v>
      </c>
      <c r="AE29" s="4">
        <v>14.803867525136708</v>
      </c>
      <c r="AF29" s="4">
        <v>15.476770594461104</v>
      </c>
      <c r="AG29" s="4">
        <v>16.149673663785499</v>
      </c>
      <c r="AH29" s="4">
        <v>16.822576733109894</v>
      </c>
      <c r="AI29" s="4">
        <v>17.495479802434293</v>
      </c>
      <c r="AJ29" s="4">
        <v>18.168382871758688</v>
      </c>
      <c r="AK29" s="4">
        <v>18.841285941083083</v>
      </c>
      <c r="AL29" s="4">
        <v>19.514189010407478</v>
      </c>
      <c r="AM29" s="4">
        <v>20.187092079731876</v>
      </c>
      <c r="AN29" s="4">
        <v>20.859995149056271</v>
      </c>
      <c r="AO29" s="4">
        <v>21.532898218380666</v>
      </c>
      <c r="AP29" s="4">
        <v>22.205801287705064</v>
      </c>
      <c r="AQ29" s="4">
        <v>22.878704357029459</v>
      </c>
      <c r="AR29" s="4">
        <v>23.551607426353854</v>
      </c>
      <c r="AS29" s="4">
        <v>24.224510495678249</v>
      </c>
      <c r="AT29" s="4">
        <v>24.897413565002648</v>
      </c>
      <c r="AU29" s="4">
        <v>25.570316634327042</v>
      </c>
      <c r="AV29" s="4">
        <v>26.243219703651437</v>
      </c>
      <c r="AW29" s="4">
        <v>26.916122772975832</v>
      </c>
      <c r="AX29" s="4">
        <v>27.589025842300231</v>
      </c>
      <c r="AY29" s="4">
        <v>28.261928911624626</v>
      </c>
      <c r="AZ29" s="4">
        <v>28.934831980949021</v>
      </c>
      <c r="BA29" s="4">
        <v>29.607735050273416</v>
      </c>
      <c r="BB29" s="4">
        <v>30.280638119597814</v>
      </c>
      <c r="BC29" s="4">
        <v>30.953541188922209</v>
      </c>
      <c r="BD29" s="4">
        <v>31.626444258246604</v>
      </c>
      <c r="BE29" s="4">
        <v>32.299347327570999</v>
      </c>
      <c r="BF29" s="4">
        <v>32.972250396895397</v>
      </c>
      <c r="BG29" s="4">
        <v>33.645153466219789</v>
      </c>
      <c r="BH29" s="4">
        <v>34.318056535544187</v>
      </c>
      <c r="BI29" s="4">
        <v>34.990959604868586</v>
      </c>
      <c r="BJ29" s="4">
        <v>35.663862674192977</v>
      </c>
      <c r="BK29" s="4">
        <v>36.336765743517375</v>
      </c>
      <c r="BL29" s="4">
        <v>37.009668812841774</v>
      </c>
      <c r="BM29" s="4">
        <v>37.682571882166165</v>
      </c>
      <c r="BN29" s="4">
        <v>38.355474951490564</v>
      </c>
      <c r="BO29" s="4">
        <v>39.028378020814955</v>
      </c>
      <c r="BP29" s="4">
        <v>39.701281090139354</v>
      </c>
      <c r="BQ29" s="4">
        <v>40.374184159463752</v>
      </c>
      <c r="BR29" s="4">
        <v>41.047087228788143</v>
      </c>
      <c r="BS29" s="4">
        <v>41.719990298112542</v>
      </c>
      <c r="BT29" s="4">
        <v>42.39289336743694</v>
      </c>
      <c r="BU29" s="4">
        <v>43.065796436761332</v>
      </c>
      <c r="BV29" s="4">
        <v>43.73869950608573</v>
      </c>
      <c r="BW29" s="4">
        <v>44.411602575410129</v>
      </c>
      <c r="BX29" s="4">
        <v>45.08450564473452</v>
      </c>
      <c r="BY29" s="4">
        <v>45.757408714058919</v>
      </c>
      <c r="BZ29" s="4">
        <v>46.43031178338331</v>
      </c>
      <c r="CA29" s="4">
        <v>47.103214852707708</v>
      </c>
    </row>
    <row r="30" spans="2:79" x14ac:dyDescent="0.35">
      <c r="B30" t="s">
        <v>48</v>
      </c>
      <c r="C30">
        <v>2722</v>
      </c>
      <c r="D30">
        <v>1681.95</v>
      </c>
      <c r="H30" t="s">
        <v>48</v>
      </c>
      <c r="I30" s="3">
        <v>2722</v>
      </c>
      <c r="J30" s="4">
        <v>0.78204930322808253</v>
      </c>
      <c r="K30" s="4">
        <v>1.5640986064561651</v>
      </c>
      <c r="L30" s="4">
        <v>2.3461479096842477</v>
      </c>
      <c r="M30" s="4">
        <v>3.1281972129123301</v>
      </c>
      <c r="N30" s="4">
        <v>3.910246516140413</v>
      </c>
      <c r="O30" s="4">
        <v>4.6922958193684954</v>
      </c>
      <c r="P30" s="4">
        <v>5.4743451225965778</v>
      </c>
      <c r="Q30" s="4">
        <v>6.2563944258246602</v>
      </c>
      <c r="R30" s="4">
        <v>7.0384437290527426</v>
      </c>
      <c r="S30" s="4">
        <v>7.8204930322808259</v>
      </c>
      <c r="T30" s="4">
        <v>8.6025423355089075</v>
      </c>
      <c r="U30" s="4">
        <v>9.3845916387369908</v>
      </c>
      <c r="V30" s="4">
        <v>10.166640941965074</v>
      </c>
      <c r="W30" s="4">
        <v>10.948690245193156</v>
      </c>
      <c r="X30" s="4">
        <v>11.730739548421239</v>
      </c>
      <c r="Y30" s="4">
        <v>12.51278885164932</v>
      </c>
      <c r="Z30" s="4">
        <v>13.294838154877404</v>
      </c>
      <c r="AA30" s="4">
        <v>14.076887458105485</v>
      </c>
      <c r="AB30" s="4">
        <v>14.858936761333569</v>
      </c>
      <c r="AC30" s="4">
        <v>15.640986064561652</v>
      </c>
      <c r="AD30" s="4">
        <v>16.423035367789733</v>
      </c>
      <c r="AE30" s="4">
        <v>17.205084671017815</v>
      </c>
      <c r="AF30" s="4">
        <v>17.9871339742459</v>
      </c>
      <c r="AG30" s="4">
        <v>18.769183277473982</v>
      </c>
      <c r="AH30" s="4">
        <v>19.551232580702063</v>
      </c>
      <c r="AI30" s="4">
        <v>20.333281883930148</v>
      </c>
      <c r="AJ30" s="4">
        <v>21.11533118715823</v>
      </c>
      <c r="AK30" s="4">
        <v>21.897380490386311</v>
      </c>
      <c r="AL30" s="4">
        <v>22.679429793614393</v>
      </c>
      <c r="AM30" s="4">
        <v>23.461479096842478</v>
      </c>
      <c r="AN30" s="4">
        <v>24.243528400070559</v>
      </c>
      <c r="AO30" s="4">
        <v>25.025577703298641</v>
      </c>
      <c r="AP30" s="4">
        <v>25.807627006526726</v>
      </c>
      <c r="AQ30" s="4">
        <v>26.589676309754807</v>
      </c>
      <c r="AR30" s="4">
        <v>27.371725612982889</v>
      </c>
      <c r="AS30" s="4">
        <v>28.153774916210971</v>
      </c>
      <c r="AT30" s="4">
        <v>28.935824219439056</v>
      </c>
      <c r="AU30" s="4">
        <v>29.717873522667137</v>
      </c>
      <c r="AV30" s="4">
        <v>30.499922825895219</v>
      </c>
      <c r="AW30" s="4">
        <v>31.281972129123304</v>
      </c>
      <c r="AX30" s="4">
        <v>32.064021432351382</v>
      </c>
      <c r="AY30" s="4">
        <v>32.846070735579467</v>
      </c>
      <c r="AZ30" s="4">
        <v>33.628120038807552</v>
      </c>
      <c r="BA30" s="4">
        <v>34.41016934203563</v>
      </c>
      <c r="BB30" s="4">
        <v>35.192218645263715</v>
      </c>
      <c r="BC30" s="4">
        <v>35.9742679484918</v>
      </c>
      <c r="BD30" s="4">
        <v>36.756317251719878</v>
      </c>
      <c r="BE30" s="4">
        <v>37.538366554947963</v>
      </c>
      <c r="BF30" s="4">
        <v>38.320415858176048</v>
      </c>
      <c r="BG30" s="4">
        <v>39.102465161404126</v>
      </c>
      <c r="BH30" s="4">
        <v>39.884514464632211</v>
      </c>
      <c r="BI30" s="4">
        <v>40.666563767860296</v>
      </c>
      <c r="BJ30" s="4">
        <v>41.448613071088374</v>
      </c>
      <c r="BK30" s="4">
        <v>42.230662374316459</v>
      </c>
      <c r="BL30" s="4">
        <v>43.012711677544537</v>
      </c>
      <c r="BM30" s="4">
        <v>43.794760980772622</v>
      </c>
      <c r="BN30" s="4">
        <v>44.576810284000707</v>
      </c>
      <c r="BO30" s="4">
        <v>45.358859587228785</v>
      </c>
      <c r="BP30" s="4">
        <v>46.14090889045687</v>
      </c>
      <c r="BQ30" s="4">
        <v>46.922958193684956</v>
      </c>
      <c r="BR30" s="4">
        <v>47.705007496913034</v>
      </c>
      <c r="BS30" s="4">
        <v>48.487056800141119</v>
      </c>
      <c r="BT30" s="4">
        <v>49.269106103369204</v>
      </c>
      <c r="BU30" s="4">
        <v>50.051155406597282</v>
      </c>
      <c r="BV30" s="4">
        <v>50.833204709825367</v>
      </c>
      <c r="BW30" s="4">
        <v>51.615254013053452</v>
      </c>
      <c r="BX30" s="4">
        <v>52.39730331628153</v>
      </c>
      <c r="BY30" s="4">
        <v>53.179352619509615</v>
      </c>
      <c r="BZ30" s="4">
        <v>53.961401922737693</v>
      </c>
      <c r="CA30" s="4">
        <v>54.743451225965778</v>
      </c>
    </row>
    <row r="31" spans="2:79" x14ac:dyDescent="0.35">
      <c r="B31" t="s">
        <v>49</v>
      </c>
      <c r="C31">
        <v>4853</v>
      </c>
      <c r="D31">
        <v>310.45</v>
      </c>
      <c r="H31" t="s">
        <v>49</v>
      </c>
      <c r="I31" s="3">
        <v>4853</v>
      </c>
      <c r="J31" s="4">
        <v>-0.73001190686188056</v>
      </c>
      <c r="K31" s="4">
        <v>-1.4600238137237611</v>
      </c>
      <c r="L31" s="4">
        <v>-2.1900357205856413</v>
      </c>
      <c r="M31" s="4">
        <v>-2.9200476274475222</v>
      </c>
      <c r="N31" s="4">
        <v>-3.6500595343094027</v>
      </c>
      <c r="O31" s="4">
        <v>-4.3800714411712827</v>
      </c>
      <c r="P31" s="4">
        <v>-5.1100833480331636</v>
      </c>
      <c r="Q31" s="4">
        <v>-5.8400952548950444</v>
      </c>
      <c r="R31" s="4">
        <v>-6.5701071617569253</v>
      </c>
      <c r="S31" s="4">
        <v>-7.3001190686188053</v>
      </c>
      <c r="T31" s="4">
        <v>-8.0301309754806862</v>
      </c>
      <c r="U31" s="4">
        <v>-8.7601428823425653</v>
      </c>
      <c r="V31" s="4">
        <v>-9.4901547892044462</v>
      </c>
      <c r="W31" s="4">
        <v>-10.220166696066327</v>
      </c>
      <c r="X31" s="4">
        <v>-10.950178602928208</v>
      </c>
      <c r="Y31" s="4">
        <v>-11.680190509790089</v>
      </c>
      <c r="Z31" s="4">
        <v>-12.41020241665197</v>
      </c>
      <c r="AA31" s="4">
        <v>-13.140214323513851</v>
      </c>
      <c r="AB31" s="4">
        <v>-13.87022623037573</v>
      </c>
      <c r="AC31" s="4">
        <v>-14.600238137237611</v>
      </c>
      <c r="AD31" s="4">
        <v>-15.330250044099492</v>
      </c>
      <c r="AE31" s="4">
        <v>-16.060261950961372</v>
      </c>
      <c r="AF31" s="4">
        <v>-16.790273857823252</v>
      </c>
      <c r="AG31" s="4">
        <v>-17.520285764685131</v>
      </c>
      <c r="AH31" s="4">
        <v>-18.250297671547013</v>
      </c>
      <c r="AI31" s="4">
        <v>-18.980309578408892</v>
      </c>
      <c r="AJ31" s="4">
        <v>-19.710321485270775</v>
      </c>
      <c r="AK31" s="4">
        <v>-20.440333392132654</v>
      </c>
      <c r="AL31" s="4">
        <v>-21.170345298994533</v>
      </c>
      <c r="AM31" s="4">
        <v>-21.900357205856416</v>
      </c>
      <c r="AN31" s="4">
        <v>-22.630369112718295</v>
      </c>
      <c r="AO31" s="4">
        <v>-23.360381019580178</v>
      </c>
      <c r="AP31" s="4">
        <v>-24.090392926442057</v>
      </c>
      <c r="AQ31" s="4">
        <v>-24.82040483330394</v>
      </c>
      <c r="AR31" s="4">
        <v>-25.550416740165819</v>
      </c>
      <c r="AS31" s="4">
        <v>-26.280428647027701</v>
      </c>
      <c r="AT31" s="4">
        <v>-27.01044055388958</v>
      </c>
      <c r="AU31" s="4">
        <v>-27.74045246075146</v>
      </c>
      <c r="AV31" s="4">
        <v>-28.470464367613342</v>
      </c>
      <c r="AW31" s="4">
        <v>-29.200476274475221</v>
      </c>
      <c r="AX31" s="4">
        <v>-29.9304881813371</v>
      </c>
      <c r="AY31" s="4">
        <v>-30.660500088198983</v>
      </c>
      <c r="AZ31" s="4">
        <v>-31.390511995060862</v>
      </c>
      <c r="BA31" s="4">
        <v>-32.120523901922745</v>
      </c>
      <c r="BB31" s="4">
        <v>-32.85053580878462</v>
      </c>
      <c r="BC31" s="4">
        <v>-33.580547715646503</v>
      </c>
      <c r="BD31" s="4">
        <v>-34.310559622508386</v>
      </c>
      <c r="BE31" s="4">
        <v>-35.040571529370261</v>
      </c>
      <c r="BF31" s="4">
        <v>-35.770583436232144</v>
      </c>
      <c r="BG31" s="4">
        <v>-36.500595343094027</v>
      </c>
      <c r="BH31" s="4">
        <v>-37.230607249955902</v>
      </c>
      <c r="BI31" s="4">
        <v>-37.960619156817785</v>
      </c>
      <c r="BJ31" s="4">
        <v>-38.690631063679668</v>
      </c>
      <c r="BK31" s="4">
        <v>-39.42064297054155</v>
      </c>
      <c r="BL31" s="4">
        <v>-40.150654877403426</v>
      </c>
      <c r="BM31" s="4">
        <v>-40.880666784265308</v>
      </c>
      <c r="BN31" s="4">
        <v>-41.610678691127191</v>
      </c>
      <c r="BO31" s="4">
        <v>-42.340690597989067</v>
      </c>
      <c r="BP31" s="4">
        <v>-43.070702504850949</v>
      </c>
      <c r="BQ31" s="4">
        <v>-43.800714411712832</v>
      </c>
      <c r="BR31" s="4">
        <v>-44.530726318574708</v>
      </c>
      <c r="BS31" s="4">
        <v>-45.26073822543659</v>
      </c>
      <c r="BT31" s="4">
        <v>-45.990750132298473</v>
      </c>
      <c r="BU31" s="4">
        <v>-46.720762039160356</v>
      </c>
      <c r="BV31" s="4">
        <v>-47.450773946022238</v>
      </c>
      <c r="BW31" s="4">
        <v>-48.180785852884114</v>
      </c>
      <c r="BX31" s="4">
        <v>-48.910797759745996</v>
      </c>
      <c r="BY31" s="4">
        <v>-49.640809666607879</v>
      </c>
      <c r="BZ31" s="4">
        <v>-50.370821573469755</v>
      </c>
      <c r="CA31" s="4">
        <v>-51.100833480331637</v>
      </c>
    </row>
    <row r="32" spans="2:79" x14ac:dyDescent="0.35">
      <c r="B32" t="s">
        <v>50</v>
      </c>
      <c r="C32">
        <v>4853</v>
      </c>
      <c r="D32">
        <v>438.45</v>
      </c>
      <c r="H32" t="s">
        <v>50</v>
      </c>
      <c r="I32" s="3">
        <v>4853</v>
      </c>
      <c r="J32" s="4">
        <v>-0.58889354383489156</v>
      </c>
      <c r="K32" s="4">
        <v>-1.1777870876697831</v>
      </c>
      <c r="L32" s="4">
        <v>-1.7666806315046748</v>
      </c>
      <c r="M32" s="4">
        <v>-2.3555741753395663</v>
      </c>
      <c r="N32" s="4">
        <v>-2.9444677191744582</v>
      </c>
      <c r="O32" s="4">
        <v>-3.5333612630093496</v>
      </c>
      <c r="P32" s="4">
        <v>-4.1222548068442411</v>
      </c>
      <c r="Q32" s="4">
        <v>-4.7111483506791325</v>
      </c>
      <c r="R32" s="4">
        <v>-5.300041894514024</v>
      </c>
      <c r="S32" s="4">
        <v>-5.8889354383489163</v>
      </c>
      <c r="T32" s="4">
        <v>-6.4778289821838078</v>
      </c>
      <c r="U32" s="4">
        <v>-7.0667225260186992</v>
      </c>
      <c r="V32" s="4">
        <v>-7.6556160698535907</v>
      </c>
      <c r="W32" s="4">
        <v>-8.2445096136884821</v>
      </c>
      <c r="X32" s="4">
        <v>-8.8334031575233745</v>
      </c>
      <c r="Y32" s="4">
        <v>-9.422296701358265</v>
      </c>
      <c r="Z32" s="4">
        <v>-10.011190245193157</v>
      </c>
      <c r="AA32" s="4">
        <v>-10.600083789028048</v>
      </c>
      <c r="AB32" s="4">
        <v>-11.18897733286294</v>
      </c>
      <c r="AC32" s="4">
        <v>-11.777870876697833</v>
      </c>
      <c r="AD32" s="4">
        <v>-12.366764420532725</v>
      </c>
      <c r="AE32" s="4">
        <v>-12.955657964367616</v>
      </c>
      <c r="AF32" s="4">
        <v>-13.544551508202508</v>
      </c>
      <c r="AG32" s="4">
        <v>-14.133445052037398</v>
      </c>
      <c r="AH32" s="4">
        <v>-14.722338595872291</v>
      </c>
      <c r="AI32" s="4">
        <v>-15.311232139707181</v>
      </c>
      <c r="AJ32" s="4">
        <v>-15.900125683542074</v>
      </c>
      <c r="AK32" s="4">
        <v>-16.489019227376964</v>
      </c>
      <c r="AL32" s="4">
        <v>-17.077912771211857</v>
      </c>
      <c r="AM32" s="4">
        <v>-17.666806315046749</v>
      </c>
      <c r="AN32" s="4">
        <v>-18.255699858881641</v>
      </c>
      <c r="AO32" s="4">
        <v>-18.84459340271653</v>
      </c>
      <c r="AP32" s="4">
        <v>-19.433486946551422</v>
      </c>
      <c r="AQ32" s="4">
        <v>-20.022380490386315</v>
      </c>
      <c r="AR32" s="4">
        <v>-20.611274034221207</v>
      </c>
      <c r="AS32" s="4">
        <v>-21.200167578056096</v>
      </c>
      <c r="AT32" s="4">
        <v>-21.789061121890988</v>
      </c>
      <c r="AU32" s="4">
        <v>-22.377954665725881</v>
      </c>
      <c r="AV32" s="4">
        <v>-22.966848209560773</v>
      </c>
      <c r="AW32" s="4">
        <v>-23.555741753395665</v>
      </c>
      <c r="AX32" s="4">
        <v>-24.144635297230558</v>
      </c>
      <c r="AY32" s="4">
        <v>-24.73352884106545</v>
      </c>
      <c r="AZ32" s="4">
        <v>-25.322422384900339</v>
      </c>
      <c r="BA32" s="4">
        <v>-25.911315928735231</v>
      </c>
      <c r="BB32" s="4">
        <v>-26.500209472570123</v>
      </c>
      <c r="BC32" s="4">
        <v>-27.089103016405016</v>
      </c>
      <c r="BD32" s="4">
        <v>-27.677996560239908</v>
      </c>
      <c r="BE32" s="4">
        <v>-28.266890104074797</v>
      </c>
      <c r="BF32" s="4">
        <v>-28.855783647909689</v>
      </c>
      <c r="BG32" s="4">
        <v>-29.444677191744582</v>
      </c>
      <c r="BH32" s="4">
        <v>-30.033570735579474</v>
      </c>
      <c r="BI32" s="4">
        <v>-30.622464279414363</v>
      </c>
      <c r="BJ32" s="4">
        <v>-31.211357823249255</v>
      </c>
      <c r="BK32" s="4">
        <v>-31.800251367084147</v>
      </c>
      <c r="BL32" s="4">
        <v>-32.389144910919036</v>
      </c>
      <c r="BM32" s="4">
        <v>-32.978038454753928</v>
      </c>
      <c r="BN32" s="4">
        <v>-33.566931998588821</v>
      </c>
      <c r="BO32" s="4">
        <v>-34.155825542423713</v>
      </c>
      <c r="BP32" s="4">
        <v>-34.744719086258606</v>
      </c>
      <c r="BQ32" s="4">
        <v>-35.333612630093498</v>
      </c>
      <c r="BR32" s="4">
        <v>-35.92250617392839</v>
      </c>
      <c r="BS32" s="4">
        <v>-36.511399717763283</v>
      </c>
      <c r="BT32" s="4">
        <v>-37.100293261598168</v>
      </c>
      <c r="BU32" s="4">
        <v>-37.68918680543306</v>
      </c>
      <c r="BV32" s="4">
        <v>-38.278080349267952</v>
      </c>
      <c r="BW32" s="4">
        <v>-38.866973893102845</v>
      </c>
      <c r="BX32" s="4">
        <v>-39.455867436937737</v>
      </c>
      <c r="BY32" s="4">
        <v>-40.044760980772629</v>
      </c>
      <c r="BZ32" s="4">
        <v>-40.633654524607522</v>
      </c>
      <c r="CA32" s="4">
        <v>-41.222548068442414</v>
      </c>
    </row>
    <row r="33" spans="2:79" x14ac:dyDescent="0.35">
      <c r="B33" t="s">
        <v>51</v>
      </c>
      <c r="C33">
        <v>4853</v>
      </c>
      <c r="D33">
        <v>566.45000000000005</v>
      </c>
      <c r="H33" t="s">
        <v>51</v>
      </c>
      <c r="I33" s="3">
        <v>4853</v>
      </c>
      <c r="J33" s="4">
        <v>-0.44777518080790263</v>
      </c>
      <c r="K33" s="4">
        <v>-0.89555036161580526</v>
      </c>
      <c r="L33" s="4">
        <v>-1.3433255424237078</v>
      </c>
      <c r="M33" s="4">
        <v>-1.7911007232316105</v>
      </c>
      <c r="N33" s="4">
        <v>-2.2388759040395132</v>
      </c>
      <c r="O33" s="4">
        <v>-2.6866510848474157</v>
      </c>
      <c r="P33" s="4">
        <v>-3.1344262656553186</v>
      </c>
      <c r="Q33" s="4">
        <v>-3.582201446463221</v>
      </c>
      <c r="R33" s="4">
        <v>-4.0299766272711235</v>
      </c>
      <c r="S33" s="4">
        <v>-4.4777518080790264</v>
      </c>
      <c r="T33" s="4">
        <v>-4.9255269888869293</v>
      </c>
      <c r="U33" s="4">
        <v>-5.3733021696948313</v>
      </c>
      <c r="V33" s="4">
        <v>-5.8210773505027342</v>
      </c>
      <c r="W33" s="4">
        <v>-6.2688525313106371</v>
      </c>
      <c r="X33" s="4">
        <v>-6.7166277121185392</v>
      </c>
      <c r="Y33" s="4">
        <v>-7.1644028929264421</v>
      </c>
      <c r="Z33" s="4">
        <v>-7.612178073734345</v>
      </c>
      <c r="AA33" s="4">
        <v>-8.059953254542247</v>
      </c>
      <c r="AB33" s="4">
        <v>-8.5077284353501508</v>
      </c>
      <c r="AC33" s="4">
        <v>-8.9555036161580528</v>
      </c>
      <c r="AD33" s="4">
        <v>-9.4032787969659548</v>
      </c>
      <c r="AE33" s="4">
        <v>-9.8510539777738586</v>
      </c>
      <c r="AF33" s="4">
        <v>-10.298829158581761</v>
      </c>
      <c r="AG33" s="4">
        <v>-10.746604339389663</v>
      </c>
      <c r="AH33" s="4">
        <v>-11.194379520197566</v>
      </c>
      <c r="AI33" s="4">
        <v>-11.642154701005468</v>
      </c>
      <c r="AJ33" s="4">
        <v>-12.08992988181337</v>
      </c>
      <c r="AK33" s="4">
        <v>-12.537705062621274</v>
      </c>
      <c r="AL33" s="4">
        <v>-12.985480243429176</v>
      </c>
      <c r="AM33" s="4">
        <v>-13.433255424237078</v>
      </c>
      <c r="AN33" s="4">
        <v>-13.881030605044982</v>
      </c>
      <c r="AO33" s="4">
        <v>-14.328805785852884</v>
      </c>
      <c r="AP33" s="4">
        <v>-14.776580966660786</v>
      </c>
      <c r="AQ33" s="4">
        <v>-15.22435614746869</v>
      </c>
      <c r="AR33" s="4">
        <v>-15.672131328276592</v>
      </c>
      <c r="AS33" s="4">
        <v>-16.119906509084494</v>
      </c>
      <c r="AT33" s="4">
        <v>-16.567681689892396</v>
      </c>
      <c r="AU33" s="4">
        <v>-17.015456870700302</v>
      </c>
      <c r="AV33" s="4">
        <v>-17.463232051508204</v>
      </c>
      <c r="AW33" s="4">
        <v>-17.911007232316106</v>
      </c>
      <c r="AX33" s="4">
        <v>-18.358782413124008</v>
      </c>
      <c r="AY33" s="4">
        <v>-18.80655759393191</v>
      </c>
      <c r="AZ33" s="4">
        <v>-19.254332774739812</v>
      </c>
      <c r="BA33" s="4">
        <v>-19.702107955547717</v>
      </c>
      <c r="BB33" s="4">
        <v>-20.149883136355619</v>
      </c>
      <c r="BC33" s="4">
        <v>-20.597658317163521</v>
      </c>
      <c r="BD33" s="4">
        <v>-21.045433497971423</v>
      </c>
      <c r="BE33" s="4">
        <v>-21.493208678779325</v>
      </c>
      <c r="BF33" s="4">
        <v>-21.940983859587227</v>
      </c>
      <c r="BG33" s="4">
        <v>-22.388759040395133</v>
      </c>
      <c r="BH33" s="4">
        <v>-22.836534221203035</v>
      </c>
      <c r="BI33" s="4">
        <v>-23.284309402010937</v>
      </c>
      <c r="BJ33" s="4">
        <v>-23.732084582818839</v>
      </c>
      <c r="BK33" s="4">
        <v>-24.179859763626741</v>
      </c>
      <c r="BL33" s="4">
        <v>-24.627634944434643</v>
      </c>
      <c r="BM33" s="4">
        <v>-25.075410125242549</v>
      </c>
      <c r="BN33" s="4">
        <v>-25.523185306050451</v>
      </c>
      <c r="BO33" s="4">
        <v>-25.970960486858353</v>
      </c>
      <c r="BP33" s="4">
        <v>-26.418735667666255</v>
      </c>
      <c r="BQ33" s="4">
        <v>-26.866510848474157</v>
      </c>
      <c r="BR33" s="4">
        <v>-27.314286029282059</v>
      </c>
      <c r="BS33" s="4">
        <v>-27.762061210089964</v>
      </c>
      <c r="BT33" s="4">
        <v>-28.209836390897866</v>
      </c>
      <c r="BU33" s="4">
        <v>-28.657611571705768</v>
      </c>
      <c r="BV33" s="4">
        <v>-29.10538675251367</v>
      </c>
      <c r="BW33" s="4">
        <v>-29.553161933321572</v>
      </c>
      <c r="BX33" s="4">
        <v>-30.000937114129478</v>
      </c>
      <c r="BY33" s="4">
        <v>-30.44871229493738</v>
      </c>
      <c r="BZ33" s="4">
        <v>-30.896487475745282</v>
      </c>
      <c r="CA33" s="4">
        <v>-31.344262656553184</v>
      </c>
    </row>
    <row r="34" spans="2:79" x14ac:dyDescent="0.35">
      <c r="B34" t="s">
        <v>52</v>
      </c>
      <c r="C34">
        <v>4853</v>
      </c>
      <c r="D34">
        <v>692.45</v>
      </c>
      <c r="H34" t="s">
        <v>52</v>
      </c>
      <c r="I34" s="3">
        <v>4853</v>
      </c>
      <c r="J34" s="4">
        <v>-0.30886179220321042</v>
      </c>
      <c r="K34" s="4">
        <v>-0.61772358440642083</v>
      </c>
      <c r="L34" s="4">
        <v>-0.92658537660963136</v>
      </c>
      <c r="M34" s="4">
        <v>-1.2354471688128417</v>
      </c>
      <c r="N34" s="4">
        <v>-1.5443089610160523</v>
      </c>
      <c r="O34" s="4">
        <v>-1.8531707532192627</v>
      </c>
      <c r="P34" s="4">
        <v>-2.1620325454224729</v>
      </c>
      <c r="Q34" s="4">
        <v>-2.4708943376256833</v>
      </c>
      <c r="R34" s="4">
        <v>-2.7797561298288938</v>
      </c>
      <c r="S34" s="4">
        <v>-3.0886179220321046</v>
      </c>
      <c r="T34" s="4">
        <v>-3.397479714235315</v>
      </c>
      <c r="U34" s="4">
        <v>-3.7063415064385254</v>
      </c>
      <c r="V34" s="4">
        <v>-4.015203298641735</v>
      </c>
      <c r="W34" s="4">
        <v>-4.3240650908449458</v>
      </c>
      <c r="X34" s="4">
        <v>-4.6329268830481558</v>
      </c>
      <c r="Y34" s="4">
        <v>-4.9417886752513667</v>
      </c>
      <c r="Z34" s="4">
        <v>-5.2506504674545766</v>
      </c>
      <c r="AA34" s="4">
        <v>-5.5595122596577875</v>
      </c>
      <c r="AB34" s="4">
        <v>-5.8683740518609984</v>
      </c>
      <c r="AC34" s="4">
        <v>-6.1772358440642092</v>
      </c>
      <c r="AD34" s="4">
        <v>-6.4860976362674192</v>
      </c>
      <c r="AE34" s="4">
        <v>-6.7949594284706301</v>
      </c>
      <c r="AF34" s="4">
        <v>-7.10382122067384</v>
      </c>
      <c r="AG34" s="4">
        <v>-7.4126830128770509</v>
      </c>
      <c r="AH34" s="4">
        <v>-7.7215448050802609</v>
      </c>
      <c r="AI34" s="4">
        <v>-8.0304065972834699</v>
      </c>
      <c r="AJ34" s="4">
        <v>-8.3392683894866799</v>
      </c>
      <c r="AK34" s="4">
        <v>-8.6481301816898917</v>
      </c>
      <c r="AL34" s="4">
        <v>-8.9569919738931016</v>
      </c>
      <c r="AM34" s="4">
        <v>-9.2658537660963116</v>
      </c>
      <c r="AN34" s="4">
        <v>-9.5747155582995216</v>
      </c>
      <c r="AO34" s="4">
        <v>-9.8835773505027333</v>
      </c>
      <c r="AP34" s="4">
        <v>-10.192439142705943</v>
      </c>
      <c r="AQ34" s="4">
        <v>-10.501300934909153</v>
      </c>
      <c r="AR34" s="4">
        <v>-10.810162727112365</v>
      </c>
      <c r="AS34" s="4">
        <v>-11.119024519315575</v>
      </c>
      <c r="AT34" s="4">
        <v>-11.427886311518785</v>
      </c>
      <c r="AU34" s="4">
        <v>-11.736748103721997</v>
      </c>
      <c r="AV34" s="4">
        <v>-12.045609895925207</v>
      </c>
      <c r="AW34" s="4">
        <v>-12.354471688128418</v>
      </c>
      <c r="AX34" s="4">
        <v>-12.663333480331628</v>
      </c>
      <c r="AY34" s="4">
        <v>-12.972195272534838</v>
      </c>
      <c r="AZ34" s="4">
        <v>-13.281057064738048</v>
      </c>
      <c r="BA34" s="4">
        <v>-13.58991885694126</v>
      </c>
      <c r="BB34" s="4">
        <v>-13.89878064914447</v>
      </c>
      <c r="BC34" s="4">
        <v>-14.20764244134768</v>
      </c>
      <c r="BD34" s="4">
        <v>-14.51650423355089</v>
      </c>
      <c r="BE34" s="4">
        <v>-14.825366025754102</v>
      </c>
      <c r="BF34" s="4">
        <v>-15.134227817957312</v>
      </c>
      <c r="BG34" s="4">
        <v>-15.443089610160522</v>
      </c>
      <c r="BH34" s="4">
        <v>-15.751951402363732</v>
      </c>
      <c r="BI34" s="4">
        <v>-16.06081319456694</v>
      </c>
      <c r="BJ34" s="4">
        <v>-16.36967498677015</v>
      </c>
      <c r="BK34" s="4">
        <v>-16.67853677897336</v>
      </c>
      <c r="BL34" s="4">
        <v>-16.987398571176573</v>
      </c>
      <c r="BM34" s="4">
        <v>-17.296260363379783</v>
      </c>
      <c r="BN34" s="4">
        <v>-17.605122155582993</v>
      </c>
      <c r="BO34" s="4">
        <v>-17.913983947786203</v>
      </c>
      <c r="BP34" s="4">
        <v>-18.222845739989413</v>
      </c>
      <c r="BQ34" s="4">
        <v>-18.531707532192623</v>
      </c>
      <c r="BR34" s="4">
        <v>-18.840569324395833</v>
      </c>
      <c r="BS34" s="4">
        <v>-19.149431116599043</v>
      </c>
      <c r="BT34" s="4">
        <v>-19.458292908802257</v>
      </c>
      <c r="BU34" s="4">
        <v>-19.767154701005467</v>
      </c>
      <c r="BV34" s="4">
        <v>-20.076016493208677</v>
      </c>
      <c r="BW34" s="4">
        <v>-20.384878285411887</v>
      </c>
      <c r="BX34" s="4">
        <v>-20.693740077615097</v>
      </c>
      <c r="BY34" s="4">
        <v>-21.002601869818307</v>
      </c>
      <c r="BZ34" s="4">
        <v>-21.311463662021517</v>
      </c>
      <c r="CA34" s="4">
        <v>-21.62032545422473</v>
      </c>
    </row>
    <row r="35" spans="2:79" x14ac:dyDescent="0.35">
      <c r="B35" t="s">
        <v>53</v>
      </c>
      <c r="C35">
        <v>6804</v>
      </c>
      <c r="D35">
        <v>818.45</v>
      </c>
      <c r="H35" t="s">
        <v>53</v>
      </c>
      <c r="I35" s="3">
        <v>6804</v>
      </c>
      <c r="J35" s="4">
        <v>-0.16994840359851823</v>
      </c>
      <c r="K35" s="4">
        <v>-0.33989680719703647</v>
      </c>
      <c r="L35" s="4">
        <v>-0.50984521079555467</v>
      </c>
      <c r="M35" s="4">
        <v>-0.67979361439407293</v>
      </c>
      <c r="N35" s="4">
        <v>-0.84974201799259108</v>
      </c>
      <c r="O35" s="4">
        <v>-1.0196904215911093</v>
      </c>
      <c r="P35" s="4">
        <v>-1.1896388251896277</v>
      </c>
      <c r="Q35" s="4">
        <v>-1.3595872287881459</v>
      </c>
      <c r="R35" s="4">
        <v>-1.529535632386664</v>
      </c>
      <c r="S35" s="4">
        <v>-1.6994840359851822</v>
      </c>
      <c r="T35" s="4">
        <v>-1.8694324395837005</v>
      </c>
      <c r="U35" s="4">
        <v>-2.0393808431822187</v>
      </c>
      <c r="V35" s="4">
        <v>-2.2093292467807371</v>
      </c>
      <c r="W35" s="4">
        <v>-2.3792776503792554</v>
      </c>
      <c r="X35" s="4">
        <v>-2.5492260539777734</v>
      </c>
      <c r="Y35" s="4">
        <v>-2.7191744575762917</v>
      </c>
      <c r="Z35" s="4">
        <v>-2.8891228611748101</v>
      </c>
      <c r="AA35" s="4">
        <v>-3.059071264773328</v>
      </c>
      <c r="AB35" s="4">
        <v>-3.2290196683718464</v>
      </c>
      <c r="AC35" s="4">
        <v>-3.3989680719703643</v>
      </c>
      <c r="AD35" s="4">
        <v>-3.5689164755688827</v>
      </c>
      <c r="AE35" s="4">
        <v>-3.7388648791674011</v>
      </c>
      <c r="AF35" s="4">
        <v>-3.9088132827659194</v>
      </c>
      <c r="AG35" s="4">
        <v>-4.0787616863644374</v>
      </c>
      <c r="AH35" s="4">
        <v>-4.2487100899629562</v>
      </c>
      <c r="AI35" s="4">
        <v>-4.4186584935614741</v>
      </c>
      <c r="AJ35" s="4">
        <v>-4.588606897159992</v>
      </c>
      <c r="AK35" s="4">
        <v>-4.7585553007585109</v>
      </c>
      <c r="AL35" s="4">
        <v>-4.9285037043570288</v>
      </c>
      <c r="AM35" s="4">
        <v>-5.0984521079555467</v>
      </c>
      <c r="AN35" s="4">
        <v>-5.2684005115540655</v>
      </c>
      <c r="AO35" s="4">
        <v>-5.4383489151525835</v>
      </c>
      <c r="AP35" s="4">
        <v>-5.6082973187511023</v>
      </c>
      <c r="AQ35" s="4">
        <v>-5.7782457223496202</v>
      </c>
      <c r="AR35" s="4">
        <v>-5.9481941259481381</v>
      </c>
      <c r="AS35" s="4">
        <v>-6.118142529546656</v>
      </c>
      <c r="AT35" s="4">
        <v>-6.288090933145174</v>
      </c>
      <c r="AU35" s="4">
        <v>-6.4580393367436928</v>
      </c>
      <c r="AV35" s="4">
        <v>-6.6279877403422107</v>
      </c>
      <c r="AW35" s="4">
        <v>-6.7979361439407286</v>
      </c>
      <c r="AX35" s="4">
        <v>-6.9678845475392475</v>
      </c>
      <c r="AY35" s="4">
        <v>-7.1378329511377654</v>
      </c>
      <c r="AZ35" s="4">
        <v>-7.3077813547362842</v>
      </c>
      <c r="BA35" s="4">
        <v>-7.4777297583348021</v>
      </c>
      <c r="BB35" s="4">
        <v>-7.6476781619333201</v>
      </c>
      <c r="BC35" s="4">
        <v>-7.8176265655318389</v>
      </c>
      <c r="BD35" s="4">
        <v>-7.9875749691303568</v>
      </c>
      <c r="BE35" s="4">
        <v>-8.1575233727288747</v>
      </c>
      <c r="BF35" s="4">
        <v>-8.3274717763273927</v>
      </c>
      <c r="BG35" s="4">
        <v>-8.4974201799259124</v>
      </c>
      <c r="BH35" s="4">
        <v>-8.6673685835244303</v>
      </c>
      <c r="BI35" s="4">
        <v>-8.8373169871229482</v>
      </c>
      <c r="BJ35" s="4">
        <v>-9.0072653907214661</v>
      </c>
      <c r="BK35" s="4">
        <v>-9.1772137943199841</v>
      </c>
      <c r="BL35" s="4">
        <v>-9.347162197918502</v>
      </c>
      <c r="BM35" s="4">
        <v>-9.5171106015170217</v>
      </c>
      <c r="BN35" s="4">
        <v>-9.6870590051155396</v>
      </c>
      <c r="BO35" s="4">
        <v>-9.8570074087140576</v>
      </c>
      <c r="BP35" s="4">
        <v>-10.026955812312575</v>
      </c>
      <c r="BQ35" s="4">
        <v>-10.196904215911093</v>
      </c>
      <c r="BR35" s="4">
        <v>-10.366852619509613</v>
      </c>
      <c r="BS35" s="4">
        <v>-10.536801023108131</v>
      </c>
      <c r="BT35" s="4">
        <v>-10.706749426706649</v>
      </c>
      <c r="BU35" s="4">
        <v>-10.876697830305167</v>
      </c>
      <c r="BV35" s="4">
        <v>-11.046646233903685</v>
      </c>
      <c r="BW35" s="4">
        <v>-11.216594637502205</v>
      </c>
      <c r="BX35" s="4">
        <v>-11.386543041100722</v>
      </c>
      <c r="BY35" s="4">
        <v>-11.55649144469924</v>
      </c>
      <c r="BZ35" s="4">
        <v>-11.726439848297757</v>
      </c>
      <c r="CA35" s="4">
        <v>-11.896388251896276</v>
      </c>
    </row>
    <row r="36" spans="2:79" x14ac:dyDescent="0.35">
      <c r="B36" t="s">
        <v>54</v>
      </c>
      <c r="C36">
        <v>6804</v>
      </c>
      <c r="D36">
        <v>944.45</v>
      </c>
      <c r="H36" t="s">
        <v>54</v>
      </c>
      <c r="I36" s="3">
        <v>6804</v>
      </c>
      <c r="J36" s="4">
        <v>-3.1035014993826045E-2</v>
      </c>
      <c r="K36" s="4">
        <v>-6.2070029987652091E-2</v>
      </c>
      <c r="L36" s="4">
        <v>-9.3105044981478133E-2</v>
      </c>
      <c r="M36" s="4">
        <v>-0.12414005997530418</v>
      </c>
      <c r="N36" s="4">
        <v>-0.15517507496913024</v>
      </c>
      <c r="O36" s="4">
        <v>-0.18621008996295627</v>
      </c>
      <c r="P36" s="4">
        <v>-0.21724510495678234</v>
      </c>
      <c r="Q36" s="4">
        <v>-0.24828011995060836</v>
      </c>
      <c r="R36" s="4">
        <v>-0.27931513494443438</v>
      </c>
      <c r="S36" s="4">
        <v>-0.31035014993826049</v>
      </c>
      <c r="T36" s="4">
        <v>-0.34138516493208648</v>
      </c>
      <c r="U36" s="4">
        <v>-0.37242017992591253</v>
      </c>
      <c r="V36" s="4">
        <v>-0.40345519491973864</v>
      </c>
      <c r="W36" s="4">
        <v>-0.43449020991356468</v>
      </c>
      <c r="X36" s="4">
        <v>-0.46552522490739068</v>
      </c>
      <c r="Y36" s="4">
        <v>-0.49656023990121673</v>
      </c>
      <c r="Z36" s="4">
        <v>-0.52759525489504278</v>
      </c>
      <c r="AA36" s="4">
        <v>-0.55863026988886877</v>
      </c>
      <c r="AB36" s="4">
        <v>-0.58966528488269487</v>
      </c>
      <c r="AC36" s="4">
        <v>-0.62070029987652098</v>
      </c>
      <c r="AD36" s="4">
        <v>-0.65173531487034697</v>
      </c>
      <c r="AE36" s="4">
        <v>-0.68277032986417296</v>
      </c>
      <c r="AF36" s="4">
        <v>-0.71380534485799907</v>
      </c>
      <c r="AG36" s="4">
        <v>-0.74484035985182506</v>
      </c>
      <c r="AH36" s="4">
        <v>-0.77587537484565117</v>
      </c>
      <c r="AI36" s="4">
        <v>-0.80691038983947727</v>
      </c>
      <c r="AJ36" s="4">
        <v>-0.83794540483330326</v>
      </c>
      <c r="AK36" s="4">
        <v>-0.86898041982712937</v>
      </c>
      <c r="AL36" s="4">
        <v>-0.90001543482095525</v>
      </c>
      <c r="AM36" s="4">
        <v>-0.93105044981478136</v>
      </c>
      <c r="AN36" s="4">
        <v>-0.96208546480860746</v>
      </c>
      <c r="AO36" s="4">
        <v>-0.99312047980243345</v>
      </c>
      <c r="AP36" s="4">
        <v>-1.0241554947962597</v>
      </c>
      <c r="AQ36" s="4">
        <v>-1.0551905097900856</v>
      </c>
      <c r="AR36" s="4">
        <v>-1.0862255247839117</v>
      </c>
      <c r="AS36" s="4">
        <v>-1.1172605397777375</v>
      </c>
      <c r="AT36" s="4">
        <v>-1.1482955547715636</v>
      </c>
      <c r="AU36" s="4">
        <v>-1.1793305697653897</v>
      </c>
      <c r="AV36" s="4">
        <v>-1.2103655847592159</v>
      </c>
      <c r="AW36" s="4">
        <v>-1.241400599753042</v>
      </c>
      <c r="AX36" s="4">
        <v>-1.2724356147468681</v>
      </c>
      <c r="AY36" s="4">
        <v>-1.3034706297406939</v>
      </c>
      <c r="AZ36" s="4">
        <v>-1.33450564473452</v>
      </c>
      <c r="BA36" s="4">
        <v>-1.3655406597283459</v>
      </c>
      <c r="BB36" s="4">
        <v>-1.396575674722172</v>
      </c>
      <c r="BC36" s="4">
        <v>-1.4276106897159981</v>
      </c>
      <c r="BD36" s="4">
        <v>-1.458645704709824</v>
      </c>
      <c r="BE36" s="4">
        <v>-1.4896807197036501</v>
      </c>
      <c r="BF36" s="4">
        <v>-1.5207157346974762</v>
      </c>
      <c r="BG36" s="4">
        <v>-1.5517507496913023</v>
      </c>
      <c r="BH36" s="4">
        <v>-1.5827857646851284</v>
      </c>
      <c r="BI36" s="4">
        <v>-1.6138207796789545</v>
      </c>
      <c r="BJ36" s="4">
        <v>-1.6448557946727804</v>
      </c>
      <c r="BK36" s="4">
        <v>-1.6758908096666065</v>
      </c>
      <c r="BL36" s="4">
        <v>-1.7069258246604326</v>
      </c>
      <c r="BM36" s="4">
        <v>-1.7379608396542587</v>
      </c>
      <c r="BN36" s="4">
        <v>-1.7689958546480848</v>
      </c>
      <c r="BO36" s="4">
        <v>-1.8000308696419105</v>
      </c>
      <c r="BP36" s="4">
        <v>-1.8310658846357366</v>
      </c>
      <c r="BQ36" s="4">
        <v>-1.8621008996295627</v>
      </c>
      <c r="BR36" s="4">
        <v>-1.8931359146233888</v>
      </c>
      <c r="BS36" s="4">
        <v>-1.9241709296172149</v>
      </c>
      <c r="BT36" s="4">
        <v>-1.9552059446110408</v>
      </c>
      <c r="BU36" s="4">
        <v>-1.9862409596048669</v>
      </c>
      <c r="BV36" s="4">
        <v>-2.017275974598693</v>
      </c>
      <c r="BW36" s="4">
        <v>-2.0483109895925193</v>
      </c>
      <c r="BX36" s="4">
        <v>-2.0793460045863452</v>
      </c>
      <c r="BY36" s="4">
        <v>-2.1103810195801711</v>
      </c>
      <c r="BZ36" s="4">
        <v>-2.1414160345739974</v>
      </c>
      <c r="CA36" s="4">
        <v>-2.1724510495678233</v>
      </c>
    </row>
    <row r="37" spans="2:79" x14ac:dyDescent="0.35">
      <c r="B37" t="s">
        <v>55</v>
      </c>
      <c r="C37">
        <v>4853</v>
      </c>
      <c r="D37">
        <v>1070.45</v>
      </c>
      <c r="H37" t="s">
        <v>55</v>
      </c>
      <c r="I37" s="3">
        <v>4853</v>
      </c>
      <c r="J37" s="4">
        <v>0.10787837361086614</v>
      </c>
      <c r="K37" s="4">
        <v>0.21575674722173227</v>
      </c>
      <c r="L37" s="4">
        <v>0.32363512083259843</v>
      </c>
      <c r="M37" s="4">
        <v>0.43151349444346454</v>
      </c>
      <c r="N37" s="4">
        <v>0.5393918680543307</v>
      </c>
      <c r="O37" s="4">
        <v>0.64727024166519687</v>
      </c>
      <c r="P37" s="4">
        <v>0.75514861527606292</v>
      </c>
      <c r="Q37" s="4">
        <v>0.86302698888692908</v>
      </c>
      <c r="R37" s="4">
        <v>0.97090536249779513</v>
      </c>
      <c r="S37" s="4">
        <v>1.0787837361086614</v>
      </c>
      <c r="T37" s="4">
        <v>1.1866621097195276</v>
      </c>
      <c r="U37" s="4">
        <v>1.2945404833303937</v>
      </c>
      <c r="V37" s="4">
        <v>1.4024188569412599</v>
      </c>
      <c r="W37" s="4">
        <v>1.5102972305521258</v>
      </c>
      <c r="X37" s="4">
        <v>1.618175604162992</v>
      </c>
      <c r="Y37" s="4">
        <v>1.7260539777738582</v>
      </c>
      <c r="Z37" s="4">
        <v>1.8339323513847243</v>
      </c>
      <c r="AA37" s="4">
        <v>1.9418107249955903</v>
      </c>
      <c r="AB37" s="4">
        <v>2.0496890986064566</v>
      </c>
      <c r="AC37" s="4">
        <v>2.1575674722173228</v>
      </c>
      <c r="AD37" s="4">
        <v>2.265445845828189</v>
      </c>
      <c r="AE37" s="4">
        <v>2.3733242194390551</v>
      </c>
      <c r="AF37" s="4">
        <v>2.4812025930499213</v>
      </c>
      <c r="AG37" s="4">
        <v>2.5890809666607875</v>
      </c>
      <c r="AH37" s="4">
        <v>2.6969593402716536</v>
      </c>
      <c r="AI37" s="4">
        <v>2.8048377138825198</v>
      </c>
      <c r="AJ37" s="4">
        <v>2.9127160874933855</v>
      </c>
      <c r="AK37" s="4">
        <v>3.0205944611042517</v>
      </c>
      <c r="AL37" s="4">
        <v>3.1284728347151178</v>
      </c>
      <c r="AM37" s="4">
        <v>3.236351208325984</v>
      </c>
      <c r="AN37" s="4">
        <v>3.3442295819368502</v>
      </c>
      <c r="AO37" s="4">
        <v>3.4521079555477163</v>
      </c>
      <c r="AP37" s="4">
        <v>3.5599863291585825</v>
      </c>
      <c r="AQ37" s="4">
        <v>3.6678647027694486</v>
      </c>
      <c r="AR37" s="4">
        <v>3.7757430763803148</v>
      </c>
      <c r="AS37" s="4">
        <v>3.8836214499911805</v>
      </c>
      <c r="AT37" s="4">
        <v>3.9914998236020467</v>
      </c>
      <c r="AU37" s="4">
        <v>4.0993781972129133</v>
      </c>
      <c r="AV37" s="4">
        <v>4.2072565708237795</v>
      </c>
      <c r="AW37" s="4">
        <v>4.3151349444346456</v>
      </c>
      <c r="AX37" s="4">
        <v>4.4230133180455118</v>
      </c>
      <c r="AY37" s="4">
        <v>4.530891691656378</v>
      </c>
      <c r="AZ37" s="4">
        <v>4.6387700652672441</v>
      </c>
      <c r="BA37" s="4">
        <v>4.7466484388781103</v>
      </c>
      <c r="BB37" s="4">
        <v>4.8545268124889764</v>
      </c>
      <c r="BC37" s="4">
        <v>4.9624051860998426</v>
      </c>
      <c r="BD37" s="4">
        <v>5.0702835597107088</v>
      </c>
      <c r="BE37" s="4">
        <v>5.1781619333215749</v>
      </c>
      <c r="BF37" s="4">
        <v>5.2860403069324411</v>
      </c>
      <c r="BG37" s="4">
        <v>5.3939186805433073</v>
      </c>
      <c r="BH37" s="4">
        <v>5.5017970541541734</v>
      </c>
      <c r="BI37" s="4">
        <v>5.6096754277650396</v>
      </c>
      <c r="BJ37" s="4">
        <v>5.7175538013759057</v>
      </c>
      <c r="BK37" s="4">
        <v>5.825432174986771</v>
      </c>
      <c r="BL37" s="4">
        <v>5.9333105485976372</v>
      </c>
      <c r="BM37" s="4">
        <v>6.0411889222085033</v>
      </c>
      <c r="BN37" s="4">
        <v>6.1490672958193695</v>
      </c>
      <c r="BO37" s="4">
        <v>6.2569456694302357</v>
      </c>
      <c r="BP37" s="4">
        <v>6.3648240430411018</v>
      </c>
      <c r="BQ37" s="4">
        <v>6.472702416651968</v>
      </c>
      <c r="BR37" s="4">
        <v>6.5805807902628342</v>
      </c>
      <c r="BS37" s="4">
        <v>6.6884591638737003</v>
      </c>
      <c r="BT37" s="4">
        <v>6.7963375374845665</v>
      </c>
      <c r="BU37" s="4">
        <v>6.9042159110954326</v>
      </c>
      <c r="BV37" s="4">
        <v>7.0120942847062988</v>
      </c>
      <c r="BW37" s="4">
        <v>7.119972658317165</v>
      </c>
      <c r="BX37" s="4">
        <v>7.2278510319280311</v>
      </c>
      <c r="BY37" s="4">
        <v>7.3357294055388973</v>
      </c>
      <c r="BZ37" s="4">
        <v>7.4436077791497635</v>
      </c>
      <c r="CA37" s="4">
        <v>7.5514861527606296</v>
      </c>
    </row>
    <row r="38" spans="2:79" x14ac:dyDescent="0.35">
      <c r="B38" t="s">
        <v>56</v>
      </c>
      <c r="C38">
        <v>4853</v>
      </c>
      <c r="D38">
        <v>1196.45</v>
      </c>
      <c r="H38" t="s">
        <v>56</v>
      </c>
      <c r="I38" s="3">
        <v>4853</v>
      </c>
      <c r="J38" s="4">
        <v>0.24679176221555835</v>
      </c>
      <c r="K38" s="4">
        <v>0.49358352443111669</v>
      </c>
      <c r="L38" s="4">
        <v>0.74037528664667485</v>
      </c>
      <c r="M38" s="4">
        <v>0.98716704886223339</v>
      </c>
      <c r="N38" s="4">
        <v>1.2339588110777917</v>
      </c>
      <c r="O38" s="4">
        <v>1.4807505732933497</v>
      </c>
      <c r="P38" s="4">
        <v>1.7275423355089083</v>
      </c>
      <c r="Q38" s="4">
        <v>1.9743340977244668</v>
      </c>
      <c r="R38" s="4">
        <v>2.2211258599400252</v>
      </c>
      <c r="S38" s="4">
        <v>2.4679176221555834</v>
      </c>
      <c r="T38" s="4">
        <v>2.7147093843711416</v>
      </c>
      <c r="U38" s="4">
        <v>2.9615011465866994</v>
      </c>
      <c r="V38" s="4">
        <v>3.2082929088022585</v>
      </c>
      <c r="W38" s="4">
        <v>3.4550846710178167</v>
      </c>
      <c r="X38" s="4">
        <v>3.7018764332333753</v>
      </c>
      <c r="Y38" s="4">
        <v>3.9486681954489335</v>
      </c>
      <c r="Z38" s="4">
        <v>4.1954599576644913</v>
      </c>
      <c r="AA38" s="4">
        <v>4.4422517198800504</v>
      </c>
      <c r="AB38" s="4">
        <v>4.6890434820956086</v>
      </c>
      <c r="AC38" s="4">
        <v>4.9358352443111668</v>
      </c>
      <c r="AD38" s="4">
        <v>5.182627006526725</v>
      </c>
      <c r="AE38" s="4">
        <v>5.4294187687422832</v>
      </c>
      <c r="AF38" s="4">
        <v>5.6762105309578414</v>
      </c>
      <c r="AG38" s="4">
        <v>5.9230022931733988</v>
      </c>
      <c r="AH38" s="4">
        <v>6.1697940553889579</v>
      </c>
      <c r="AI38" s="4">
        <v>6.416585817604517</v>
      </c>
      <c r="AJ38" s="4">
        <v>6.6633775798200752</v>
      </c>
      <c r="AK38" s="4">
        <v>6.9101693420356334</v>
      </c>
      <c r="AL38" s="4">
        <v>7.1569611042511916</v>
      </c>
      <c r="AM38" s="4">
        <v>7.4037528664667507</v>
      </c>
      <c r="AN38" s="4">
        <v>7.6505446286823089</v>
      </c>
      <c r="AO38" s="4">
        <v>7.8973363908978671</v>
      </c>
      <c r="AP38" s="4">
        <v>8.1441281531134244</v>
      </c>
      <c r="AQ38" s="4">
        <v>8.3909199153289826</v>
      </c>
      <c r="AR38" s="4">
        <v>8.6377116775445426</v>
      </c>
      <c r="AS38" s="4">
        <v>8.8845034397601008</v>
      </c>
      <c r="AT38" s="4">
        <v>9.131295201975659</v>
      </c>
      <c r="AU38" s="4">
        <v>9.3780869641912172</v>
      </c>
      <c r="AV38" s="4">
        <v>9.6248787264067754</v>
      </c>
      <c r="AW38" s="4">
        <v>9.8716704886223337</v>
      </c>
      <c r="AX38" s="4">
        <v>10.118462250837892</v>
      </c>
      <c r="AY38" s="4">
        <v>10.36525401305345</v>
      </c>
      <c r="AZ38" s="4">
        <v>10.612045775269008</v>
      </c>
      <c r="BA38" s="4">
        <v>10.858837537484566</v>
      </c>
      <c r="BB38" s="4">
        <v>11.105629299700125</v>
      </c>
      <c r="BC38" s="4">
        <v>11.352421061915683</v>
      </c>
      <c r="BD38" s="4">
        <v>11.599212824131239</v>
      </c>
      <c r="BE38" s="4">
        <v>11.846004586346798</v>
      </c>
      <c r="BF38" s="4">
        <v>12.092796348562358</v>
      </c>
      <c r="BG38" s="4">
        <v>12.339588110777916</v>
      </c>
      <c r="BH38" s="4">
        <v>12.586379872993474</v>
      </c>
      <c r="BI38" s="4">
        <v>12.833171635209034</v>
      </c>
      <c r="BJ38" s="4">
        <v>13.079963397424592</v>
      </c>
      <c r="BK38" s="4">
        <v>13.32675515964015</v>
      </c>
      <c r="BL38" s="4">
        <v>13.573546921855709</v>
      </c>
      <c r="BM38" s="4">
        <v>13.820338684071267</v>
      </c>
      <c r="BN38" s="4">
        <v>14.067130446286825</v>
      </c>
      <c r="BO38" s="4">
        <v>14.313922208502383</v>
      </c>
      <c r="BP38" s="4">
        <v>14.560713970717941</v>
      </c>
      <c r="BQ38" s="4">
        <v>14.807505732933501</v>
      </c>
      <c r="BR38" s="4">
        <v>15.05429749514906</v>
      </c>
      <c r="BS38" s="4">
        <v>15.301089257364618</v>
      </c>
      <c r="BT38" s="4">
        <v>15.547881019580176</v>
      </c>
      <c r="BU38" s="4">
        <v>15.794672781795734</v>
      </c>
      <c r="BV38" s="4">
        <v>16.041464544011291</v>
      </c>
      <c r="BW38" s="4">
        <v>16.288256306226849</v>
      </c>
      <c r="BX38" s="4">
        <v>16.535048068442407</v>
      </c>
      <c r="BY38" s="4">
        <v>16.781839830657965</v>
      </c>
      <c r="BZ38" s="4">
        <v>17.028631592873523</v>
      </c>
      <c r="CA38" s="4">
        <v>17.275423355089085</v>
      </c>
    </row>
    <row r="39" spans="2:79" x14ac:dyDescent="0.35">
      <c r="B39" t="s">
        <v>57</v>
      </c>
      <c r="C39">
        <v>4853</v>
      </c>
      <c r="D39">
        <v>1322.45</v>
      </c>
      <c r="H39" t="s">
        <v>57</v>
      </c>
      <c r="I39" s="3">
        <v>4853</v>
      </c>
      <c r="J39" s="4">
        <v>0.38570515082025048</v>
      </c>
      <c r="K39" s="4">
        <v>0.77141030164050095</v>
      </c>
      <c r="L39" s="4">
        <v>1.1571154524607514</v>
      </c>
      <c r="M39" s="4">
        <v>1.5428206032810019</v>
      </c>
      <c r="N39" s="4">
        <v>1.9285257541012524</v>
      </c>
      <c r="O39" s="4">
        <v>2.3142309049215029</v>
      </c>
      <c r="P39" s="4">
        <v>2.6999360557417535</v>
      </c>
      <c r="Q39" s="4">
        <v>3.0856412065620038</v>
      </c>
      <c r="R39" s="4">
        <v>3.4713463573822545</v>
      </c>
      <c r="S39" s="4">
        <v>3.8570515082025048</v>
      </c>
      <c r="T39" s="4">
        <v>4.2427566590227554</v>
      </c>
      <c r="U39" s="4">
        <v>4.6284618098430057</v>
      </c>
      <c r="V39" s="4">
        <v>5.0141669606632568</v>
      </c>
      <c r="W39" s="4">
        <v>5.3998721114835071</v>
      </c>
      <c r="X39" s="4">
        <v>5.7855772623037574</v>
      </c>
      <c r="Y39" s="4">
        <v>6.1712824131240076</v>
      </c>
      <c r="Z39" s="4">
        <v>6.5569875639442579</v>
      </c>
      <c r="AA39" s="4">
        <v>6.942692714764509</v>
      </c>
      <c r="AB39" s="4">
        <v>7.3283978655847593</v>
      </c>
      <c r="AC39" s="4">
        <v>7.7141030164050095</v>
      </c>
      <c r="AD39" s="4">
        <v>8.0998081672252606</v>
      </c>
      <c r="AE39" s="4">
        <v>8.4855133180455109</v>
      </c>
      <c r="AF39" s="4">
        <v>8.8712184688657612</v>
      </c>
      <c r="AG39" s="4">
        <v>9.2569236196860114</v>
      </c>
      <c r="AH39" s="4">
        <v>9.6426287705062617</v>
      </c>
      <c r="AI39" s="4">
        <v>10.028333921326514</v>
      </c>
      <c r="AJ39" s="4">
        <v>10.414039072146764</v>
      </c>
      <c r="AK39" s="4">
        <v>10.799744222967014</v>
      </c>
      <c r="AL39" s="4">
        <v>11.185449373787266</v>
      </c>
      <c r="AM39" s="4">
        <v>11.571154524607515</v>
      </c>
      <c r="AN39" s="4">
        <v>11.956859675427765</v>
      </c>
      <c r="AO39" s="4">
        <v>12.342564826248015</v>
      </c>
      <c r="AP39" s="4">
        <v>12.728269977068265</v>
      </c>
      <c r="AQ39" s="4">
        <v>13.113975127888516</v>
      </c>
      <c r="AR39" s="4">
        <v>13.499680278708768</v>
      </c>
      <c r="AS39" s="4">
        <v>13.885385429529018</v>
      </c>
      <c r="AT39" s="4">
        <v>14.271090580349268</v>
      </c>
      <c r="AU39" s="4">
        <v>14.656795731169519</v>
      </c>
      <c r="AV39" s="4">
        <v>15.042500881989769</v>
      </c>
      <c r="AW39" s="4">
        <v>15.428206032810019</v>
      </c>
      <c r="AX39" s="4">
        <v>15.813911183630269</v>
      </c>
      <c r="AY39" s="4">
        <v>16.199616334450521</v>
      </c>
      <c r="AZ39" s="4">
        <v>16.585321485270772</v>
      </c>
      <c r="BA39" s="4">
        <v>16.971026636091022</v>
      </c>
      <c r="BB39" s="4">
        <v>17.356731786911272</v>
      </c>
      <c r="BC39" s="4">
        <v>17.742436937731522</v>
      </c>
      <c r="BD39" s="4">
        <v>18.128142088551773</v>
      </c>
      <c r="BE39" s="4">
        <v>18.513847239372023</v>
      </c>
      <c r="BF39" s="4">
        <v>18.899552390192273</v>
      </c>
      <c r="BG39" s="4">
        <v>19.285257541012523</v>
      </c>
      <c r="BH39" s="4">
        <v>19.670962691832774</v>
      </c>
      <c r="BI39" s="4">
        <v>20.056667842653027</v>
      </c>
      <c r="BJ39" s="4">
        <v>20.442372993473278</v>
      </c>
      <c r="BK39" s="4">
        <v>20.828078144293528</v>
      </c>
      <c r="BL39" s="4">
        <v>21.213783295113778</v>
      </c>
      <c r="BM39" s="4">
        <v>21.599488445934028</v>
      </c>
      <c r="BN39" s="4">
        <v>21.985193596754279</v>
      </c>
      <c r="BO39" s="4">
        <v>22.370898747574532</v>
      </c>
      <c r="BP39" s="4">
        <v>22.756603898394783</v>
      </c>
      <c r="BQ39" s="4">
        <v>23.142309049215029</v>
      </c>
      <c r="BR39" s="4">
        <v>23.52801420003528</v>
      </c>
      <c r="BS39" s="4">
        <v>23.91371935085553</v>
      </c>
      <c r="BT39" s="4">
        <v>24.29942450167578</v>
      </c>
      <c r="BU39" s="4">
        <v>24.68512965249603</v>
      </c>
      <c r="BV39" s="4">
        <v>25.070834803316281</v>
      </c>
      <c r="BW39" s="4">
        <v>25.456539954136531</v>
      </c>
      <c r="BX39" s="4">
        <v>25.842245104956781</v>
      </c>
      <c r="BY39" s="4">
        <v>26.227950255777031</v>
      </c>
      <c r="BZ39" s="4">
        <v>26.613655406597285</v>
      </c>
      <c r="CA39" s="4">
        <v>26.999360557417535</v>
      </c>
    </row>
    <row r="40" spans="2:79" x14ac:dyDescent="0.35">
      <c r="B40" t="s">
        <v>58</v>
      </c>
      <c r="C40">
        <v>4853</v>
      </c>
      <c r="D40">
        <v>1448.45</v>
      </c>
      <c r="H40" t="s">
        <v>58</v>
      </c>
      <c r="I40" s="3">
        <v>4853</v>
      </c>
      <c r="J40" s="4">
        <v>0.52461853942494263</v>
      </c>
      <c r="K40" s="4">
        <v>1.0492370788498853</v>
      </c>
      <c r="L40" s="4">
        <v>1.573855618274828</v>
      </c>
      <c r="M40" s="4">
        <v>2.0984741576997705</v>
      </c>
      <c r="N40" s="4">
        <v>2.6230926971247133</v>
      </c>
      <c r="O40" s="4">
        <v>3.147711236549656</v>
      </c>
      <c r="P40" s="4">
        <v>3.6723297759745988</v>
      </c>
      <c r="Q40" s="4">
        <v>4.1969483153995411</v>
      </c>
      <c r="R40" s="4">
        <v>4.7215668548244842</v>
      </c>
      <c r="S40" s="4">
        <v>5.2461853942494265</v>
      </c>
      <c r="T40" s="4">
        <v>5.7708039336743697</v>
      </c>
      <c r="U40" s="4">
        <v>6.295422473099312</v>
      </c>
      <c r="V40" s="4">
        <v>6.8200410125242543</v>
      </c>
      <c r="W40" s="4">
        <v>7.3446595519491975</v>
      </c>
      <c r="X40" s="4">
        <v>7.8692780913741398</v>
      </c>
      <c r="Y40" s="4">
        <v>8.3938966307990821</v>
      </c>
      <c r="Z40" s="4">
        <v>8.9185151702240262</v>
      </c>
      <c r="AA40" s="4">
        <v>9.4431337096489685</v>
      </c>
      <c r="AB40" s="4">
        <v>9.9677522490739108</v>
      </c>
      <c r="AC40" s="4">
        <v>10.492370788498853</v>
      </c>
      <c r="AD40" s="4">
        <v>11.016989327923795</v>
      </c>
      <c r="AE40" s="4">
        <v>11.541607867348739</v>
      </c>
      <c r="AF40" s="4">
        <v>12.066226406773682</v>
      </c>
      <c r="AG40" s="4">
        <v>12.590844946198624</v>
      </c>
      <c r="AH40" s="4">
        <v>13.115463485623566</v>
      </c>
      <c r="AI40" s="4">
        <v>13.640082025048509</v>
      </c>
      <c r="AJ40" s="4">
        <v>14.164700564473453</v>
      </c>
      <c r="AK40" s="4">
        <v>14.689319103898395</v>
      </c>
      <c r="AL40" s="4">
        <v>15.213937643323337</v>
      </c>
      <c r="AM40" s="4">
        <v>15.73855618274828</v>
      </c>
      <c r="AN40" s="4">
        <v>16.263174722173222</v>
      </c>
      <c r="AO40" s="4">
        <v>16.787793261598164</v>
      </c>
      <c r="AP40" s="4">
        <v>17.312411801023107</v>
      </c>
      <c r="AQ40" s="4">
        <v>17.837030340448052</v>
      </c>
      <c r="AR40" s="4">
        <v>18.361648879872995</v>
      </c>
      <c r="AS40" s="4">
        <v>18.886267419297937</v>
      </c>
      <c r="AT40" s="4">
        <v>19.410885958722879</v>
      </c>
      <c r="AU40" s="4">
        <v>19.935504498147822</v>
      </c>
      <c r="AV40" s="4">
        <v>20.460123037572764</v>
      </c>
      <c r="AW40" s="4">
        <v>20.984741576997706</v>
      </c>
      <c r="AX40" s="4">
        <v>21.509360116422648</v>
      </c>
      <c r="AY40" s="4">
        <v>22.033978655847591</v>
      </c>
      <c r="AZ40" s="4">
        <v>22.558597195272537</v>
      </c>
      <c r="BA40" s="4">
        <v>23.083215734697479</v>
      </c>
      <c r="BB40" s="4">
        <v>23.607834274122421</v>
      </c>
      <c r="BC40" s="4">
        <v>24.132452813547363</v>
      </c>
      <c r="BD40" s="4">
        <v>24.657071352972306</v>
      </c>
      <c r="BE40" s="4">
        <v>25.181689892397248</v>
      </c>
      <c r="BF40" s="4">
        <v>25.70630843182219</v>
      </c>
      <c r="BG40" s="4">
        <v>26.230926971247133</v>
      </c>
      <c r="BH40" s="4">
        <v>26.755545510672075</v>
      </c>
      <c r="BI40" s="4">
        <v>27.280164050097017</v>
      </c>
      <c r="BJ40" s="4">
        <v>27.804782589521963</v>
      </c>
      <c r="BK40" s="4">
        <v>28.329401128946905</v>
      </c>
      <c r="BL40" s="4">
        <v>28.854019668371848</v>
      </c>
      <c r="BM40" s="4">
        <v>29.37863820779679</v>
      </c>
      <c r="BN40" s="4">
        <v>29.903256747221732</v>
      </c>
      <c r="BO40" s="4">
        <v>30.427875286646675</v>
      </c>
      <c r="BP40" s="4">
        <v>30.952493826071617</v>
      </c>
      <c r="BQ40" s="4">
        <v>31.477112365496559</v>
      </c>
      <c r="BR40" s="4">
        <v>32.001730904921502</v>
      </c>
      <c r="BS40" s="4">
        <v>32.526349444346444</v>
      </c>
      <c r="BT40" s="4">
        <v>33.050967983771386</v>
      </c>
      <c r="BU40" s="4">
        <v>33.575586523196328</v>
      </c>
      <c r="BV40" s="4">
        <v>34.100205062621271</v>
      </c>
      <c r="BW40" s="4">
        <v>34.624823602046213</v>
      </c>
      <c r="BX40" s="4">
        <v>35.149442141471162</v>
      </c>
      <c r="BY40" s="4">
        <v>35.674060680896105</v>
      </c>
      <c r="BZ40" s="4">
        <v>36.198679220321047</v>
      </c>
      <c r="CA40" s="4">
        <v>36.723297759745989</v>
      </c>
    </row>
    <row r="41" spans="2:79" x14ac:dyDescent="0.35">
      <c r="B41" t="s">
        <v>59</v>
      </c>
      <c r="C41">
        <v>4853</v>
      </c>
      <c r="D41">
        <v>1574.45</v>
      </c>
      <c r="H41" t="s">
        <v>59</v>
      </c>
      <c r="I41" s="3">
        <v>4853</v>
      </c>
      <c r="J41" s="4">
        <v>0.6635319280296349</v>
      </c>
      <c r="K41" s="4">
        <v>1.3270638560592698</v>
      </c>
      <c r="L41" s="4">
        <v>1.9905957840889046</v>
      </c>
      <c r="M41" s="4">
        <v>2.6541277121185396</v>
      </c>
      <c r="N41" s="4">
        <v>3.3176596401481744</v>
      </c>
      <c r="O41" s="4">
        <v>3.9811915681778092</v>
      </c>
      <c r="P41" s="4">
        <v>4.644723496207444</v>
      </c>
      <c r="Q41" s="4">
        <v>5.3082554242370792</v>
      </c>
      <c r="R41" s="4">
        <v>5.9717873522667135</v>
      </c>
      <c r="S41" s="4">
        <v>6.6353192802963488</v>
      </c>
      <c r="T41" s="4">
        <v>7.2988512083259831</v>
      </c>
      <c r="U41" s="4">
        <v>7.9623831363556183</v>
      </c>
      <c r="V41" s="4">
        <v>8.6259150643852536</v>
      </c>
      <c r="W41" s="4">
        <v>9.2894469924148879</v>
      </c>
      <c r="X41" s="4">
        <v>9.9529789204445223</v>
      </c>
      <c r="Y41" s="4">
        <v>10.616510848474158</v>
      </c>
      <c r="Z41" s="4">
        <v>11.280042776503793</v>
      </c>
      <c r="AA41" s="4">
        <v>11.943574704533427</v>
      </c>
      <c r="AB41" s="4">
        <v>12.607106632563061</v>
      </c>
      <c r="AC41" s="4">
        <v>13.270638560592698</v>
      </c>
      <c r="AD41" s="4">
        <v>13.934170488622332</v>
      </c>
      <c r="AE41" s="4">
        <v>14.597702416651966</v>
      </c>
      <c r="AF41" s="4">
        <v>15.261234344681602</v>
      </c>
      <c r="AG41" s="4">
        <v>15.924766272711237</v>
      </c>
      <c r="AH41" s="4">
        <v>16.588298200740873</v>
      </c>
      <c r="AI41" s="4">
        <v>17.251830128770507</v>
      </c>
      <c r="AJ41" s="4">
        <v>17.915362056800141</v>
      </c>
      <c r="AK41" s="4">
        <v>18.578893984829776</v>
      </c>
      <c r="AL41" s="4">
        <v>19.24242591285941</v>
      </c>
      <c r="AM41" s="4">
        <v>19.905957840889045</v>
      </c>
      <c r="AN41" s="4">
        <v>20.569489768918679</v>
      </c>
      <c r="AO41" s="4">
        <v>21.233021696948317</v>
      </c>
      <c r="AP41" s="4">
        <v>21.896553624977951</v>
      </c>
      <c r="AQ41" s="4">
        <v>22.560085553007585</v>
      </c>
      <c r="AR41" s="4">
        <v>23.22361748103722</v>
      </c>
      <c r="AS41" s="4">
        <v>23.887149409066854</v>
      </c>
      <c r="AT41" s="4">
        <v>24.550681337096488</v>
      </c>
      <c r="AU41" s="4">
        <v>25.214213265126123</v>
      </c>
      <c r="AV41" s="4">
        <v>25.877745193155761</v>
      </c>
      <c r="AW41" s="4">
        <v>26.541277121185395</v>
      </c>
      <c r="AX41" s="4">
        <v>27.204809049215029</v>
      </c>
      <c r="AY41" s="4">
        <v>27.868340977244664</v>
      </c>
      <c r="AZ41" s="4">
        <v>28.531872905274298</v>
      </c>
      <c r="BA41" s="4">
        <v>29.195404833303932</v>
      </c>
      <c r="BB41" s="4">
        <v>29.858936761333567</v>
      </c>
      <c r="BC41" s="4">
        <v>30.522468689363205</v>
      </c>
      <c r="BD41" s="4">
        <v>31.186000617392839</v>
      </c>
      <c r="BE41" s="4">
        <v>31.849532545422473</v>
      </c>
      <c r="BF41" s="4">
        <v>32.513064473452111</v>
      </c>
      <c r="BG41" s="4">
        <v>33.176596401481746</v>
      </c>
      <c r="BH41" s="4">
        <v>33.84012832951138</v>
      </c>
      <c r="BI41" s="4">
        <v>34.503660257541014</v>
      </c>
      <c r="BJ41" s="4">
        <v>35.167192185570649</v>
      </c>
      <c r="BK41" s="4">
        <v>35.830724113600283</v>
      </c>
      <c r="BL41" s="4">
        <v>36.494256041629917</v>
      </c>
      <c r="BM41" s="4">
        <v>37.157787969659552</v>
      </c>
      <c r="BN41" s="4">
        <v>37.821319897689186</v>
      </c>
      <c r="BO41" s="4">
        <v>38.48485182571882</v>
      </c>
      <c r="BP41" s="4">
        <v>39.148383753748455</v>
      </c>
      <c r="BQ41" s="4">
        <v>39.811915681778089</v>
      </c>
      <c r="BR41" s="4">
        <v>40.475447609807723</v>
      </c>
      <c r="BS41" s="4">
        <v>41.138979537837358</v>
      </c>
      <c r="BT41" s="4">
        <v>41.802511465866999</v>
      </c>
      <c r="BU41" s="4">
        <v>42.466043393896634</v>
      </c>
      <c r="BV41" s="4">
        <v>43.129575321926268</v>
      </c>
      <c r="BW41" s="4">
        <v>43.793107249955902</v>
      </c>
      <c r="BX41" s="4">
        <v>44.456639177985537</v>
      </c>
      <c r="BY41" s="4">
        <v>45.120171106015171</v>
      </c>
      <c r="BZ41" s="4">
        <v>45.783703034044805</v>
      </c>
      <c r="CA41" s="4">
        <v>46.44723496207444</v>
      </c>
    </row>
    <row r="42" spans="2:79" x14ac:dyDescent="0.35">
      <c r="B42" t="s">
        <v>60</v>
      </c>
      <c r="C42">
        <v>3431</v>
      </c>
      <c r="D42">
        <v>291.95</v>
      </c>
      <c r="H42" t="s">
        <v>60</v>
      </c>
      <c r="I42" s="3">
        <v>3431</v>
      </c>
      <c r="J42" s="4">
        <v>-0.75040792026812508</v>
      </c>
      <c r="K42" s="4">
        <v>-1.5008158405362502</v>
      </c>
      <c r="L42" s="4">
        <v>-2.251223760804375</v>
      </c>
      <c r="M42" s="4">
        <v>-3.0016316810725003</v>
      </c>
      <c r="N42" s="4">
        <v>-3.7520396013406252</v>
      </c>
      <c r="O42" s="4">
        <v>-4.5024475216087501</v>
      </c>
      <c r="P42" s="4">
        <v>-5.2528554418768749</v>
      </c>
      <c r="Q42" s="4">
        <v>-6.0032633621450007</v>
      </c>
      <c r="R42" s="4">
        <v>-6.7536712824131255</v>
      </c>
      <c r="S42" s="4">
        <v>-7.5040792026812504</v>
      </c>
      <c r="T42" s="4">
        <v>-8.2544871229493744</v>
      </c>
      <c r="U42" s="4">
        <v>-9.0048950432175001</v>
      </c>
      <c r="V42" s="4">
        <v>-9.7553029634856241</v>
      </c>
      <c r="W42" s="4">
        <v>-10.50571088375375</v>
      </c>
      <c r="X42" s="4">
        <v>-11.256118804021874</v>
      </c>
      <c r="Y42" s="4">
        <v>-12.006526724290001</v>
      </c>
      <c r="Z42" s="4">
        <v>-12.756934644558125</v>
      </c>
      <c r="AA42" s="4">
        <v>-13.507342564826251</v>
      </c>
      <c r="AB42" s="4">
        <v>-14.257750485094375</v>
      </c>
      <c r="AC42" s="4">
        <v>-15.008158405362501</v>
      </c>
      <c r="AD42" s="4">
        <v>-15.758566325630625</v>
      </c>
      <c r="AE42" s="4">
        <v>-16.508974245898749</v>
      </c>
      <c r="AF42" s="4">
        <v>-17.259382166166876</v>
      </c>
      <c r="AG42" s="4">
        <v>-18.009790086435</v>
      </c>
      <c r="AH42" s="4">
        <v>-18.760198006703124</v>
      </c>
      <c r="AI42" s="4">
        <v>-19.510605926971248</v>
      </c>
      <c r="AJ42" s="4">
        <v>-20.261013847239376</v>
      </c>
      <c r="AK42" s="4">
        <v>-21.0114217675075</v>
      </c>
      <c r="AL42" s="4">
        <v>-21.761829687775624</v>
      </c>
      <c r="AM42" s="4">
        <v>-22.512237608043748</v>
      </c>
      <c r="AN42" s="4">
        <v>-23.262645528311875</v>
      </c>
      <c r="AO42" s="4">
        <v>-24.013053448580003</v>
      </c>
      <c r="AP42" s="4">
        <v>-24.763461368848127</v>
      </c>
      <c r="AQ42" s="4">
        <v>-25.513869289116251</v>
      </c>
      <c r="AR42" s="4">
        <v>-26.264277209384375</v>
      </c>
      <c r="AS42" s="4">
        <v>-27.014685129652502</v>
      </c>
      <c r="AT42" s="4">
        <v>-27.765093049920626</v>
      </c>
      <c r="AU42" s="4">
        <v>-28.51550097018875</v>
      </c>
      <c r="AV42" s="4">
        <v>-29.265908890456878</v>
      </c>
      <c r="AW42" s="4">
        <v>-30.016316810725002</v>
      </c>
      <c r="AX42" s="4">
        <v>-30.766724730993126</v>
      </c>
      <c r="AY42" s="4">
        <v>-31.51713265126125</v>
      </c>
      <c r="AZ42" s="4">
        <v>-32.267540571529373</v>
      </c>
      <c r="BA42" s="4">
        <v>-33.017948491797497</v>
      </c>
      <c r="BB42" s="4">
        <v>-33.768356412065629</v>
      </c>
      <c r="BC42" s="4">
        <v>-34.518764332333753</v>
      </c>
      <c r="BD42" s="4">
        <v>-35.269172252601876</v>
      </c>
      <c r="BE42" s="4">
        <v>-36.01958017287</v>
      </c>
      <c r="BF42" s="4">
        <v>-36.769988093138124</v>
      </c>
      <c r="BG42" s="4">
        <v>-37.520396013406248</v>
      </c>
      <c r="BH42" s="4">
        <v>-38.270803933674372</v>
      </c>
      <c r="BI42" s="4">
        <v>-39.021211853942496</v>
      </c>
      <c r="BJ42" s="4">
        <v>-39.771619774210627</v>
      </c>
      <c r="BK42" s="4">
        <v>-40.522027694478751</v>
      </c>
      <c r="BL42" s="4">
        <v>-41.272435614746875</v>
      </c>
      <c r="BM42" s="4">
        <v>-42.022843535014999</v>
      </c>
      <c r="BN42" s="4">
        <v>-42.773251455283123</v>
      </c>
      <c r="BO42" s="4">
        <v>-43.523659375551247</v>
      </c>
      <c r="BP42" s="4">
        <v>-44.274067295819371</v>
      </c>
      <c r="BQ42" s="4">
        <v>-45.024475216087495</v>
      </c>
      <c r="BR42" s="4">
        <v>-45.774883136355626</v>
      </c>
      <c r="BS42" s="4">
        <v>-46.52529105662375</v>
      </c>
      <c r="BT42" s="4">
        <v>-47.275698976891881</v>
      </c>
      <c r="BU42" s="4">
        <v>-48.026106897160005</v>
      </c>
      <c r="BV42" s="4">
        <v>-48.776514817428129</v>
      </c>
      <c r="BW42" s="4">
        <v>-49.526922737696253</v>
      </c>
      <c r="BX42" s="4">
        <v>-50.277330657964377</v>
      </c>
      <c r="BY42" s="4">
        <v>-51.027738578232501</v>
      </c>
      <c r="BZ42" s="4">
        <v>-51.778146498500625</v>
      </c>
      <c r="CA42" s="4">
        <v>-52.528554418768749</v>
      </c>
    </row>
    <row r="43" spans="2:79" x14ac:dyDescent="0.35">
      <c r="B43" t="s">
        <v>61</v>
      </c>
      <c r="C43">
        <v>3431</v>
      </c>
      <c r="D43">
        <v>419.95</v>
      </c>
      <c r="H43" t="s">
        <v>61</v>
      </c>
      <c r="I43" s="3">
        <v>3431</v>
      </c>
      <c r="J43" s="4">
        <v>-0.60928955724113609</v>
      </c>
      <c r="K43" s="4">
        <v>-1.2185791144822722</v>
      </c>
      <c r="L43" s="4">
        <v>-1.8278686717234083</v>
      </c>
      <c r="M43" s="4">
        <v>-2.4371582289645444</v>
      </c>
      <c r="N43" s="4">
        <v>-3.0464477862056807</v>
      </c>
      <c r="O43" s="4">
        <v>-3.6557373434468166</v>
      </c>
      <c r="P43" s="4">
        <v>-4.2650269006879524</v>
      </c>
      <c r="Q43" s="4">
        <v>-4.8743164579290887</v>
      </c>
      <c r="R43" s="4">
        <v>-5.4836060151702251</v>
      </c>
      <c r="S43" s="4">
        <v>-6.0928955724113614</v>
      </c>
      <c r="T43" s="4">
        <v>-6.7021851296524977</v>
      </c>
      <c r="U43" s="4">
        <v>-7.3114746868936331</v>
      </c>
      <c r="V43" s="4">
        <v>-7.9207642441347694</v>
      </c>
      <c r="W43" s="4">
        <v>-8.5300538013759049</v>
      </c>
      <c r="X43" s="4">
        <v>-9.1393433586170421</v>
      </c>
      <c r="Y43" s="4">
        <v>-9.7486329158581775</v>
      </c>
      <c r="Z43" s="4">
        <v>-10.357922473099313</v>
      </c>
      <c r="AA43" s="4">
        <v>-10.96721203034045</v>
      </c>
      <c r="AB43" s="4">
        <v>-11.576501587581587</v>
      </c>
      <c r="AC43" s="4">
        <v>-12.185791144822723</v>
      </c>
      <c r="AD43" s="4">
        <v>-12.795080702063858</v>
      </c>
      <c r="AE43" s="4">
        <v>-13.404370259304995</v>
      </c>
      <c r="AF43" s="4">
        <v>-14.013659816546131</v>
      </c>
      <c r="AG43" s="4">
        <v>-14.622949373787266</v>
      </c>
      <c r="AH43" s="4">
        <v>-15.232238931028403</v>
      </c>
      <c r="AI43" s="4">
        <v>-15.841528488269539</v>
      </c>
      <c r="AJ43" s="4">
        <v>-16.450818045510676</v>
      </c>
      <c r="AK43" s="4">
        <v>-17.06010760275181</v>
      </c>
      <c r="AL43" s="4">
        <v>-17.669397159992947</v>
      </c>
      <c r="AM43" s="4">
        <v>-18.278686717234084</v>
      </c>
      <c r="AN43" s="4">
        <v>-18.887976274475218</v>
      </c>
      <c r="AO43" s="4">
        <v>-19.497265831716355</v>
      </c>
      <c r="AP43" s="4">
        <v>-20.106555388957492</v>
      </c>
      <c r="AQ43" s="4">
        <v>-20.715844946198626</v>
      </c>
      <c r="AR43" s="4">
        <v>-21.325134503439763</v>
      </c>
      <c r="AS43" s="4">
        <v>-21.9344240606809</v>
      </c>
      <c r="AT43" s="4">
        <v>-22.543713617922034</v>
      </c>
      <c r="AU43" s="4">
        <v>-23.153003175163175</v>
      </c>
      <c r="AV43" s="4">
        <v>-23.762292732404308</v>
      </c>
      <c r="AW43" s="4">
        <v>-24.371582289645445</v>
      </c>
      <c r="AX43" s="4">
        <v>-24.980871846886583</v>
      </c>
      <c r="AY43" s="4">
        <v>-25.590161404127716</v>
      </c>
      <c r="AZ43" s="4">
        <v>-26.199450961368854</v>
      </c>
      <c r="BA43" s="4">
        <v>-26.808740518609991</v>
      </c>
      <c r="BB43" s="4">
        <v>-27.418030075851124</v>
      </c>
      <c r="BC43" s="4">
        <v>-28.027319633092262</v>
      </c>
      <c r="BD43" s="4">
        <v>-28.636609190333399</v>
      </c>
      <c r="BE43" s="4">
        <v>-29.245898747574532</v>
      </c>
      <c r="BF43" s="4">
        <v>-29.85518830481567</v>
      </c>
      <c r="BG43" s="4">
        <v>-30.464477862056807</v>
      </c>
      <c r="BH43" s="4">
        <v>-31.073767419297941</v>
      </c>
      <c r="BI43" s="4">
        <v>-31.683056976539078</v>
      </c>
      <c r="BJ43" s="4">
        <v>-32.292346533780211</v>
      </c>
      <c r="BK43" s="4">
        <v>-32.901636091021352</v>
      </c>
      <c r="BL43" s="4">
        <v>-33.510925648262486</v>
      </c>
      <c r="BM43" s="4">
        <v>-34.120215205503619</v>
      </c>
      <c r="BN43" s="4">
        <v>-34.72950476274476</v>
      </c>
      <c r="BO43" s="4">
        <v>-35.338794319985894</v>
      </c>
      <c r="BP43" s="4">
        <v>-35.948083877227027</v>
      </c>
      <c r="BQ43" s="4">
        <v>-36.557373434468168</v>
      </c>
      <c r="BR43" s="4">
        <v>-37.166662991709302</v>
      </c>
      <c r="BS43" s="4">
        <v>-37.775952548950436</v>
      </c>
      <c r="BT43" s="4">
        <v>-38.385242106191576</v>
      </c>
      <c r="BU43" s="4">
        <v>-38.99453166343271</v>
      </c>
      <c r="BV43" s="4">
        <v>-39.603821220673844</v>
      </c>
      <c r="BW43" s="4">
        <v>-40.213110777914984</v>
      </c>
      <c r="BX43" s="4">
        <v>-40.822400335156118</v>
      </c>
      <c r="BY43" s="4">
        <v>-41.431689892397252</v>
      </c>
      <c r="BZ43" s="4">
        <v>-42.040979449638392</v>
      </c>
      <c r="CA43" s="4">
        <v>-42.650269006879526</v>
      </c>
    </row>
    <row r="44" spans="2:79" x14ac:dyDescent="0.35">
      <c r="B44" t="s">
        <v>62</v>
      </c>
      <c r="C44">
        <v>3431</v>
      </c>
      <c r="D44">
        <v>524.95000000000005</v>
      </c>
      <c r="H44" t="s">
        <v>62</v>
      </c>
      <c r="I44" s="3">
        <v>3431</v>
      </c>
      <c r="J44" s="4">
        <v>-0.4935284000705592</v>
      </c>
      <c r="K44" s="4">
        <v>-0.98705680014111841</v>
      </c>
      <c r="L44" s="4">
        <v>-1.4805852002116775</v>
      </c>
      <c r="M44" s="4">
        <v>-1.9741136002822368</v>
      </c>
      <c r="N44" s="4">
        <v>-2.4676420003527961</v>
      </c>
      <c r="O44" s="4">
        <v>-2.961170400423355</v>
      </c>
      <c r="P44" s="4">
        <v>-3.4546988004939143</v>
      </c>
      <c r="Q44" s="4">
        <v>-3.9482272005644736</v>
      </c>
      <c r="R44" s="4">
        <v>-4.4417556006350329</v>
      </c>
      <c r="S44" s="4">
        <v>-4.9352840007055923</v>
      </c>
      <c r="T44" s="4">
        <v>-5.4288124007761507</v>
      </c>
      <c r="U44" s="4">
        <v>-5.92234080084671</v>
      </c>
      <c r="V44" s="4">
        <v>-6.4158692009172693</v>
      </c>
      <c r="W44" s="4">
        <v>-6.9093976009878286</v>
      </c>
      <c r="X44" s="4">
        <v>-7.4029260010583879</v>
      </c>
      <c r="Y44" s="4">
        <v>-7.8964544011289473</v>
      </c>
      <c r="Z44" s="4">
        <v>-8.3899828011995066</v>
      </c>
      <c r="AA44" s="4">
        <v>-8.8835112012700659</v>
      </c>
      <c r="AB44" s="4">
        <v>-9.3770396013406252</v>
      </c>
      <c r="AC44" s="4">
        <v>-9.8705680014111845</v>
      </c>
      <c r="AD44" s="4">
        <v>-10.364096401481742</v>
      </c>
      <c r="AE44" s="4">
        <v>-10.857624801552301</v>
      </c>
      <c r="AF44" s="4">
        <v>-11.351153201622861</v>
      </c>
      <c r="AG44" s="4">
        <v>-11.84468160169342</v>
      </c>
      <c r="AH44" s="4">
        <v>-12.338210001763979</v>
      </c>
      <c r="AI44" s="4">
        <v>-12.831738401834539</v>
      </c>
      <c r="AJ44" s="4">
        <v>-13.325266801905098</v>
      </c>
      <c r="AK44" s="4">
        <v>-13.818795201975657</v>
      </c>
      <c r="AL44" s="4">
        <v>-14.312323602046217</v>
      </c>
      <c r="AM44" s="4">
        <v>-14.805852002116776</v>
      </c>
      <c r="AN44" s="4">
        <v>-15.299380402187335</v>
      </c>
      <c r="AO44" s="4">
        <v>-15.792908802257895</v>
      </c>
      <c r="AP44" s="4">
        <v>-16.286437202328454</v>
      </c>
      <c r="AQ44" s="4">
        <v>-16.779965602399013</v>
      </c>
      <c r="AR44" s="4">
        <v>-17.273494002469572</v>
      </c>
      <c r="AS44" s="4">
        <v>-17.767022402540132</v>
      </c>
      <c r="AT44" s="4">
        <v>-18.260550802610691</v>
      </c>
      <c r="AU44" s="4">
        <v>-18.75407920268125</v>
      </c>
      <c r="AV44" s="4">
        <v>-19.24760760275181</v>
      </c>
      <c r="AW44" s="4">
        <v>-19.741136002822369</v>
      </c>
      <c r="AX44" s="4">
        <v>-20.234664402892925</v>
      </c>
      <c r="AY44" s="4">
        <v>-20.728192802963484</v>
      </c>
      <c r="AZ44" s="4">
        <v>-21.221721203034043</v>
      </c>
      <c r="BA44" s="4">
        <v>-21.715249603104603</v>
      </c>
      <c r="BB44" s="4">
        <v>-22.208778003175162</v>
      </c>
      <c r="BC44" s="4">
        <v>-22.702306403245721</v>
      </c>
      <c r="BD44" s="4">
        <v>-23.195834803316281</v>
      </c>
      <c r="BE44" s="4">
        <v>-23.68936320338684</v>
      </c>
      <c r="BF44" s="4">
        <v>-24.182891603457399</v>
      </c>
      <c r="BG44" s="4">
        <v>-24.676420003527959</v>
      </c>
      <c r="BH44" s="4">
        <v>-25.169948403598518</v>
      </c>
      <c r="BI44" s="4">
        <v>-25.663476803669077</v>
      </c>
      <c r="BJ44" s="4">
        <v>-26.157005203739637</v>
      </c>
      <c r="BK44" s="4">
        <v>-26.650533603810196</v>
      </c>
      <c r="BL44" s="4">
        <v>-27.144062003880755</v>
      </c>
      <c r="BM44" s="4">
        <v>-27.637590403951314</v>
      </c>
      <c r="BN44" s="4">
        <v>-28.131118804021874</v>
      </c>
      <c r="BO44" s="4">
        <v>-28.624647204092433</v>
      </c>
      <c r="BP44" s="4">
        <v>-29.118175604162992</v>
      </c>
      <c r="BQ44" s="4">
        <v>-29.611704004233552</v>
      </c>
      <c r="BR44" s="4">
        <v>-30.105232404304111</v>
      </c>
      <c r="BS44" s="4">
        <v>-30.59876080437467</v>
      </c>
      <c r="BT44" s="4">
        <v>-31.09228920444523</v>
      </c>
      <c r="BU44" s="4">
        <v>-31.585817604515789</v>
      </c>
      <c r="BV44" s="4">
        <v>-32.079346004586348</v>
      </c>
      <c r="BW44" s="4">
        <v>-32.572874404656908</v>
      </c>
      <c r="BX44" s="4">
        <v>-33.066402804727467</v>
      </c>
      <c r="BY44" s="4">
        <v>-33.559931204798026</v>
      </c>
      <c r="BZ44" s="4">
        <v>-34.053459604868586</v>
      </c>
      <c r="CA44" s="4">
        <v>-34.546988004939145</v>
      </c>
    </row>
    <row r="45" spans="2:79" x14ac:dyDescent="0.35">
      <c r="B45" t="s">
        <v>63</v>
      </c>
      <c r="C45">
        <v>3431</v>
      </c>
      <c r="D45">
        <v>613.95000000000005</v>
      </c>
      <c r="H45" t="s">
        <v>63</v>
      </c>
      <c r="I45" s="3">
        <v>3431</v>
      </c>
      <c r="J45" s="4">
        <v>-0.39540703827835599</v>
      </c>
      <c r="K45" s="4">
        <v>-0.79081407655671199</v>
      </c>
      <c r="L45" s="4">
        <v>-1.1862211148350679</v>
      </c>
      <c r="M45" s="4">
        <v>-1.581628153113424</v>
      </c>
      <c r="N45" s="4">
        <v>-1.9770351913917799</v>
      </c>
      <c r="O45" s="4">
        <v>-2.3724422296701357</v>
      </c>
      <c r="P45" s="4">
        <v>-2.7678492679484914</v>
      </c>
      <c r="Q45" s="4">
        <v>-3.1632563062268479</v>
      </c>
      <c r="R45" s="4">
        <v>-3.5586633445052036</v>
      </c>
      <c r="S45" s="4">
        <v>-3.9540703827835597</v>
      </c>
      <c r="T45" s="4">
        <v>-4.3494774210619154</v>
      </c>
      <c r="U45" s="4">
        <v>-4.7448844593402715</v>
      </c>
      <c r="V45" s="4">
        <v>-5.1402914976186267</v>
      </c>
      <c r="W45" s="4">
        <v>-5.5356985358969828</v>
      </c>
      <c r="X45" s="4">
        <v>-5.9311055741753398</v>
      </c>
      <c r="Y45" s="4">
        <v>-6.3265126124536959</v>
      </c>
      <c r="Z45" s="4">
        <v>-6.7219196507320511</v>
      </c>
      <c r="AA45" s="4">
        <v>-7.1173266890104072</v>
      </c>
      <c r="AB45" s="4">
        <v>-7.5127337272887633</v>
      </c>
      <c r="AC45" s="4">
        <v>-7.9081407655671194</v>
      </c>
      <c r="AD45" s="4">
        <v>-8.3035478038454755</v>
      </c>
      <c r="AE45" s="4">
        <v>-8.6989548421238307</v>
      </c>
      <c r="AF45" s="4">
        <v>-9.0943618804021877</v>
      </c>
      <c r="AG45" s="4">
        <v>-9.489768918680543</v>
      </c>
      <c r="AH45" s="4">
        <v>-9.8851759569588999</v>
      </c>
      <c r="AI45" s="4">
        <v>-10.280582995237253</v>
      </c>
      <c r="AJ45" s="4">
        <v>-10.67599003351561</v>
      </c>
      <c r="AK45" s="4">
        <v>-11.071397071793966</v>
      </c>
      <c r="AL45" s="4">
        <v>-11.466804110072323</v>
      </c>
      <c r="AM45" s="4">
        <v>-11.86221114835068</v>
      </c>
      <c r="AN45" s="4">
        <v>-12.257618186629035</v>
      </c>
      <c r="AO45" s="4">
        <v>-12.653025224907392</v>
      </c>
      <c r="AP45" s="4">
        <v>-13.048432263185747</v>
      </c>
      <c r="AQ45" s="4">
        <v>-13.443839301464102</v>
      </c>
      <c r="AR45" s="4">
        <v>-13.839246339742459</v>
      </c>
      <c r="AS45" s="4">
        <v>-14.234653378020814</v>
      </c>
      <c r="AT45" s="4">
        <v>-14.630060416299171</v>
      </c>
      <c r="AU45" s="4">
        <v>-15.025467454577527</v>
      </c>
      <c r="AV45" s="4">
        <v>-15.420874492855884</v>
      </c>
      <c r="AW45" s="4">
        <v>-15.816281531134239</v>
      </c>
      <c r="AX45" s="4">
        <v>-16.211688569412594</v>
      </c>
      <c r="AY45" s="4">
        <v>-16.607095607690951</v>
      </c>
      <c r="AZ45" s="4">
        <v>-17.002502645969308</v>
      </c>
      <c r="BA45" s="4">
        <v>-17.397909684247661</v>
      </c>
      <c r="BB45" s="4">
        <v>-17.793316722526018</v>
      </c>
      <c r="BC45" s="4">
        <v>-18.188723760804375</v>
      </c>
      <c r="BD45" s="4">
        <v>-18.584130799082729</v>
      </c>
      <c r="BE45" s="4">
        <v>-18.979537837361086</v>
      </c>
      <c r="BF45" s="4">
        <v>-19.374944875639443</v>
      </c>
      <c r="BG45" s="4">
        <v>-19.7703519139178</v>
      </c>
      <c r="BH45" s="4">
        <v>-20.165758952196153</v>
      </c>
      <c r="BI45" s="4">
        <v>-20.561165990474507</v>
      </c>
      <c r="BJ45" s="4">
        <v>-20.956573028752864</v>
      </c>
      <c r="BK45" s="4">
        <v>-21.351980067031221</v>
      </c>
      <c r="BL45" s="4">
        <v>-21.747387105309574</v>
      </c>
      <c r="BM45" s="4">
        <v>-22.142794143587931</v>
      </c>
      <c r="BN45" s="4">
        <v>-22.538201181866288</v>
      </c>
      <c r="BO45" s="4">
        <v>-22.933608220144645</v>
      </c>
      <c r="BP45" s="4">
        <v>-23.329015258423002</v>
      </c>
      <c r="BQ45" s="4">
        <v>-23.724422296701359</v>
      </c>
      <c r="BR45" s="4">
        <v>-24.119829334979713</v>
      </c>
      <c r="BS45" s="4">
        <v>-24.51523637325807</v>
      </c>
      <c r="BT45" s="4">
        <v>-24.910643411536427</v>
      </c>
      <c r="BU45" s="4">
        <v>-25.306050449814784</v>
      </c>
      <c r="BV45" s="4">
        <v>-25.701457488093137</v>
      </c>
      <c r="BW45" s="4">
        <v>-26.096864526371494</v>
      </c>
      <c r="BX45" s="4">
        <v>-26.492271564649851</v>
      </c>
      <c r="BY45" s="4">
        <v>-26.887678602928204</v>
      </c>
      <c r="BZ45" s="4">
        <v>-27.283085641206561</v>
      </c>
      <c r="CA45" s="4">
        <v>-27.678492679484918</v>
      </c>
    </row>
    <row r="46" spans="2:79" x14ac:dyDescent="0.35">
      <c r="B46" t="s">
        <v>64</v>
      </c>
      <c r="C46">
        <v>3431</v>
      </c>
      <c r="D46">
        <v>702.95</v>
      </c>
      <c r="H46" t="s">
        <v>64</v>
      </c>
      <c r="I46" s="3">
        <v>3431</v>
      </c>
      <c r="J46" s="4">
        <v>-0.29728567648615273</v>
      </c>
      <c r="K46" s="4">
        <v>-0.59457135297230546</v>
      </c>
      <c r="L46" s="4">
        <v>-0.89185702945845824</v>
      </c>
      <c r="M46" s="4">
        <v>-1.1891427059446109</v>
      </c>
      <c r="N46" s="4">
        <v>-1.4864283824307638</v>
      </c>
      <c r="O46" s="4">
        <v>-1.7837140589169165</v>
      </c>
      <c r="P46" s="4">
        <v>-2.0809997354030689</v>
      </c>
      <c r="Q46" s="4">
        <v>-2.3782854118892218</v>
      </c>
      <c r="R46" s="4">
        <v>-2.6755710883753747</v>
      </c>
      <c r="S46" s="4">
        <v>-2.9728567648615276</v>
      </c>
      <c r="T46" s="4">
        <v>-3.2701424413476805</v>
      </c>
      <c r="U46" s="4">
        <v>-3.567428117833833</v>
      </c>
      <c r="V46" s="4">
        <v>-3.8647137943199854</v>
      </c>
      <c r="W46" s="4">
        <v>-4.1619994708061379</v>
      </c>
      <c r="X46" s="4">
        <v>-4.4592851472922908</v>
      </c>
      <c r="Y46" s="4">
        <v>-4.7565708237784436</v>
      </c>
      <c r="Z46" s="4">
        <v>-5.0538565002645965</v>
      </c>
      <c r="AA46" s="4">
        <v>-5.3511421767507494</v>
      </c>
      <c r="AB46" s="4">
        <v>-5.6484278532369014</v>
      </c>
      <c r="AC46" s="4">
        <v>-5.9457135297230552</v>
      </c>
      <c r="AD46" s="4">
        <v>-6.2429992062092081</v>
      </c>
      <c r="AE46" s="4">
        <v>-6.540284882695361</v>
      </c>
      <c r="AF46" s="4">
        <v>-6.8375705591815139</v>
      </c>
      <c r="AG46" s="4">
        <v>-7.1348562356676659</v>
      </c>
      <c r="AH46" s="4">
        <v>-7.4321419121538188</v>
      </c>
      <c r="AI46" s="4">
        <v>-7.7294275886399708</v>
      </c>
      <c r="AJ46" s="4">
        <v>-8.0267132651261228</v>
      </c>
      <c r="AK46" s="4">
        <v>-8.3239989416122757</v>
      </c>
      <c r="AL46" s="4">
        <v>-8.6212846180984286</v>
      </c>
      <c r="AM46" s="4">
        <v>-8.9185702945845815</v>
      </c>
      <c r="AN46" s="4">
        <v>-9.2158559710707344</v>
      </c>
      <c r="AO46" s="4">
        <v>-9.5131416475568873</v>
      </c>
      <c r="AP46" s="4">
        <v>-9.8104273240430402</v>
      </c>
      <c r="AQ46" s="4">
        <v>-10.107713000529193</v>
      </c>
      <c r="AR46" s="4">
        <v>-10.404998677015346</v>
      </c>
      <c r="AS46" s="4">
        <v>-10.702284353501499</v>
      </c>
      <c r="AT46" s="4">
        <v>-10.99957002998765</v>
      </c>
      <c r="AU46" s="4">
        <v>-11.296855706473803</v>
      </c>
      <c r="AV46" s="4">
        <v>-11.594141382959958</v>
      </c>
      <c r="AW46" s="4">
        <v>-11.89142705944611</v>
      </c>
      <c r="AX46" s="4">
        <v>-12.188712735932263</v>
      </c>
      <c r="AY46" s="4">
        <v>-12.485998412418416</v>
      </c>
      <c r="AZ46" s="4">
        <v>-12.783284088904569</v>
      </c>
      <c r="BA46" s="4">
        <v>-13.080569765390722</v>
      </c>
      <c r="BB46" s="4">
        <v>-13.377855441876875</v>
      </c>
      <c r="BC46" s="4">
        <v>-13.675141118363028</v>
      </c>
      <c r="BD46" s="4">
        <v>-13.972426794849179</v>
      </c>
      <c r="BE46" s="4">
        <v>-14.269712471335332</v>
      </c>
      <c r="BF46" s="4">
        <v>-14.566998147821485</v>
      </c>
      <c r="BG46" s="4">
        <v>-14.864283824307638</v>
      </c>
      <c r="BH46" s="4">
        <v>-15.161569500793791</v>
      </c>
      <c r="BI46" s="4">
        <v>-15.458855177279942</v>
      </c>
      <c r="BJ46" s="4">
        <v>-15.756140853766095</v>
      </c>
      <c r="BK46" s="4">
        <v>-16.053426530252246</v>
      </c>
      <c r="BL46" s="4">
        <v>-16.3507122067384</v>
      </c>
      <c r="BM46" s="4">
        <v>-16.647997883224551</v>
      </c>
      <c r="BN46" s="4">
        <v>-16.945283559710706</v>
      </c>
      <c r="BO46" s="4">
        <v>-17.242569236196857</v>
      </c>
      <c r="BP46" s="4">
        <v>-17.539854912683012</v>
      </c>
      <c r="BQ46" s="4">
        <v>-17.837140589169163</v>
      </c>
      <c r="BR46" s="4">
        <v>-18.134426265655314</v>
      </c>
      <c r="BS46" s="4">
        <v>-18.431711942141469</v>
      </c>
      <c r="BT46" s="4">
        <v>-18.72899761862762</v>
      </c>
      <c r="BU46" s="4">
        <v>-19.026283295113775</v>
      </c>
      <c r="BV46" s="4">
        <v>-19.323568971599926</v>
      </c>
      <c r="BW46" s="4">
        <v>-19.62085464808608</v>
      </c>
      <c r="BX46" s="4">
        <v>-19.918140324572231</v>
      </c>
      <c r="BY46" s="4">
        <v>-20.215426001058386</v>
      </c>
      <c r="BZ46" s="4">
        <v>-20.512711677544537</v>
      </c>
      <c r="CA46" s="4">
        <v>-20.809997354030692</v>
      </c>
    </row>
    <row r="47" spans="2:79" x14ac:dyDescent="0.35">
      <c r="B47" t="s">
        <v>65</v>
      </c>
      <c r="C47">
        <v>4844</v>
      </c>
      <c r="D47">
        <v>791.95</v>
      </c>
      <c r="H47" t="s">
        <v>65</v>
      </c>
      <c r="I47" s="3">
        <v>4844</v>
      </c>
      <c r="J47" s="4">
        <v>-0.19916431469394952</v>
      </c>
      <c r="K47" s="4">
        <v>-0.39832862938789904</v>
      </c>
      <c r="L47" s="4">
        <v>-0.59749294408184861</v>
      </c>
      <c r="M47" s="4">
        <v>-0.79665725877579807</v>
      </c>
      <c r="N47" s="4">
        <v>-0.99582157346974765</v>
      </c>
      <c r="O47" s="4">
        <v>-1.1949858881636972</v>
      </c>
      <c r="P47" s="4">
        <v>-1.3941502028576467</v>
      </c>
      <c r="Q47" s="4">
        <v>-1.5933145175515961</v>
      </c>
      <c r="R47" s="4">
        <v>-1.7924788322455456</v>
      </c>
      <c r="S47" s="4">
        <v>-1.9916431469394953</v>
      </c>
      <c r="T47" s="4">
        <v>-2.1908074616334448</v>
      </c>
      <c r="U47" s="4">
        <v>-2.3899717763273944</v>
      </c>
      <c r="V47" s="4">
        <v>-2.5891360910213437</v>
      </c>
      <c r="W47" s="4">
        <v>-2.7883004057152934</v>
      </c>
      <c r="X47" s="4">
        <v>-2.9874647204092426</v>
      </c>
      <c r="Y47" s="4">
        <v>-3.1866290351031923</v>
      </c>
      <c r="Z47" s="4">
        <v>-3.3857933497971415</v>
      </c>
      <c r="AA47" s="4">
        <v>-3.5849576644910912</v>
      </c>
      <c r="AB47" s="4">
        <v>-3.7841219791850409</v>
      </c>
      <c r="AC47" s="4">
        <v>-3.9832862938789906</v>
      </c>
      <c r="AD47" s="4">
        <v>-4.1824506085729398</v>
      </c>
      <c r="AE47" s="4">
        <v>-4.3816149232668895</v>
      </c>
      <c r="AF47" s="4">
        <v>-4.5807792379608392</v>
      </c>
      <c r="AG47" s="4">
        <v>-4.7799435526547889</v>
      </c>
      <c r="AH47" s="4">
        <v>-4.9791078673487377</v>
      </c>
      <c r="AI47" s="4">
        <v>-5.1782721820426874</v>
      </c>
      <c r="AJ47" s="4">
        <v>-5.377436496736637</v>
      </c>
      <c r="AK47" s="4">
        <v>-5.5766008114305867</v>
      </c>
      <c r="AL47" s="4">
        <v>-5.7757651261245364</v>
      </c>
      <c r="AM47" s="4">
        <v>-5.9749294408184852</v>
      </c>
      <c r="AN47" s="4">
        <v>-6.1740937555124349</v>
      </c>
      <c r="AO47" s="4">
        <v>-6.3732580702063846</v>
      </c>
      <c r="AP47" s="4">
        <v>-6.5724223849003343</v>
      </c>
      <c r="AQ47" s="4">
        <v>-6.7715866995942831</v>
      </c>
      <c r="AR47" s="4">
        <v>-6.9707510142882327</v>
      </c>
      <c r="AS47" s="4">
        <v>-7.1699153289821824</v>
      </c>
      <c r="AT47" s="4">
        <v>-7.3690796436761321</v>
      </c>
      <c r="AU47" s="4">
        <v>-7.5682439583700818</v>
      </c>
      <c r="AV47" s="4">
        <v>-7.7674082730640315</v>
      </c>
      <c r="AW47" s="4">
        <v>-7.9665725877579812</v>
      </c>
      <c r="AX47" s="4">
        <v>-8.1657369024519308</v>
      </c>
      <c r="AY47" s="4">
        <v>-8.3649012171458796</v>
      </c>
      <c r="AZ47" s="4">
        <v>-8.5640655318398302</v>
      </c>
      <c r="BA47" s="4">
        <v>-8.763229846533779</v>
      </c>
      <c r="BB47" s="4">
        <v>-8.9623941612277278</v>
      </c>
      <c r="BC47" s="4">
        <v>-9.1615584759216784</v>
      </c>
      <c r="BD47" s="4">
        <v>-9.3607227906156272</v>
      </c>
      <c r="BE47" s="4">
        <v>-9.5598871053095777</v>
      </c>
      <c r="BF47" s="4">
        <v>-9.7590514200035265</v>
      </c>
      <c r="BG47" s="4">
        <v>-9.9582157346974753</v>
      </c>
      <c r="BH47" s="4">
        <v>-10.157380049391426</v>
      </c>
      <c r="BI47" s="4">
        <v>-10.356544364085375</v>
      </c>
      <c r="BJ47" s="4">
        <v>-10.555708678779325</v>
      </c>
      <c r="BK47" s="4">
        <v>-10.754872993473274</v>
      </c>
      <c r="BL47" s="4">
        <v>-10.954037308167225</v>
      </c>
      <c r="BM47" s="4">
        <v>-11.153201622861173</v>
      </c>
      <c r="BN47" s="4">
        <v>-11.352365937555122</v>
      </c>
      <c r="BO47" s="4">
        <v>-11.551530252249073</v>
      </c>
      <c r="BP47" s="4">
        <v>-11.750694566943022</v>
      </c>
      <c r="BQ47" s="4">
        <v>-11.94985888163697</v>
      </c>
      <c r="BR47" s="4">
        <v>-12.149023196330919</v>
      </c>
      <c r="BS47" s="4">
        <v>-12.34818751102487</v>
      </c>
      <c r="BT47" s="4">
        <v>-12.547351825718819</v>
      </c>
      <c r="BU47" s="4">
        <v>-12.746516140412769</v>
      </c>
      <c r="BV47" s="4">
        <v>-12.945680455106718</v>
      </c>
      <c r="BW47" s="4">
        <v>-13.144844769800669</v>
      </c>
      <c r="BX47" s="4">
        <v>-13.344009084494617</v>
      </c>
      <c r="BY47" s="4">
        <v>-13.543173399188566</v>
      </c>
      <c r="BZ47" s="4">
        <v>-13.742337713882517</v>
      </c>
      <c r="CA47" s="4">
        <v>-13.941502028576465</v>
      </c>
    </row>
    <row r="48" spans="2:79" x14ac:dyDescent="0.35">
      <c r="B48" t="s">
        <v>66</v>
      </c>
      <c r="C48">
        <v>4844</v>
      </c>
      <c r="D48">
        <v>880.95</v>
      </c>
      <c r="H48" t="s">
        <v>66</v>
      </c>
      <c r="I48" s="3">
        <v>4844</v>
      </c>
      <c r="J48" s="4">
        <v>-0.10104295290174632</v>
      </c>
      <c r="K48" s="4">
        <v>-0.20208590580349264</v>
      </c>
      <c r="L48" s="4">
        <v>-0.30312885870523892</v>
      </c>
      <c r="M48" s="4">
        <v>-0.40417181160698529</v>
      </c>
      <c r="N48" s="4">
        <v>-0.50521476450873148</v>
      </c>
      <c r="O48" s="4">
        <v>-0.60625771741047785</v>
      </c>
      <c r="P48" s="4">
        <v>-0.70730067031222421</v>
      </c>
      <c r="Q48" s="4">
        <v>-0.80834362321397057</v>
      </c>
      <c r="R48" s="4">
        <v>-0.90938657611571694</v>
      </c>
      <c r="S48" s="4">
        <v>-1.010429529017463</v>
      </c>
      <c r="T48" s="4">
        <v>-1.1114724819192094</v>
      </c>
      <c r="U48" s="4">
        <v>-1.2125154348209557</v>
      </c>
      <c r="V48" s="4">
        <v>-1.3135583877227022</v>
      </c>
      <c r="W48" s="4">
        <v>-1.4146013406244484</v>
      </c>
      <c r="X48" s="4">
        <v>-1.5156442935261947</v>
      </c>
      <c r="Y48" s="4">
        <v>-1.6166872464279411</v>
      </c>
      <c r="Z48" s="4">
        <v>-1.7177301993296874</v>
      </c>
      <c r="AA48" s="4">
        <v>-1.8187731522314339</v>
      </c>
      <c r="AB48" s="4">
        <v>-1.9198161051331801</v>
      </c>
      <c r="AC48" s="4">
        <v>-2.0208590580349259</v>
      </c>
      <c r="AD48" s="4">
        <v>-2.1219020109366724</v>
      </c>
      <c r="AE48" s="4">
        <v>-2.2229449638384189</v>
      </c>
      <c r="AF48" s="4">
        <v>-2.3239879167401654</v>
      </c>
      <c r="AG48" s="4">
        <v>-2.4250308696419114</v>
      </c>
      <c r="AH48" s="4">
        <v>-2.5260738225436579</v>
      </c>
      <c r="AI48" s="4">
        <v>-2.6271167754454043</v>
      </c>
      <c r="AJ48" s="4">
        <v>-2.7281597283471504</v>
      </c>
      <c r="AK48" s="4">
        <v>-2.8292026812488968</v>
      </c>
      <c r="AL48" s="4">
        <v>-2.9302456341506433</v>
      </c>
      <c r="AM48" s="4">
        <v>-3.0312885870523893</v>
      </c>
      <c r="AN48" s="4">
        <v>-3.1323315399541358</v>
      </c>
      <c r="AO48" s="4">
        <v>-3.2333744928558823</v>
      </c>
      <c r="AP48" s="4">
        <v>-3.3344174457576288</v>
      </c>
      <c r="AQ48" s="4">
        <v>-3.4354603986593748</v>
      </c>
      <c r="AR48" s="4">
        <v>-3.5365033515611213</v>
      </c>
      <c r="AS48" s="4">
        <v>-3.6375463044628678</v>
      </c>
      <c r="AT48" s="4">
        <v>-3.7385892573646138</v>
      </c>
      <c r="AU48" s="4">
        <v>-3.8396322102663603</v>
      </c>
      <c r="AV48" s="4">
        <v>-3.9406751631681058</v>
      </c>
      <c r="AW48" s="4">
        <v>-4.0417181160698519</v>
      </c>
      <c r="AX48" s="4">
        <v>-4.1427610689715983</v>
      </c>
      <c r="AY48" s="4">
        <v>-4.2438040218733448</v>
      </c>
      <c r="AZ48" s="4">
        <v>-4.3448469747750913</v>
      </c>
      <c r="BA48" s="4">
        <v>-4.4458899276768378</v>
      </c>
      <c r="BB48" s="4">
        <v>-4.5469328805785842</v>
      </c>
      <c r="BC48" s="4">
        <v>-4.6479758334803307</v>
      </c>
      <c r="BD48" s="4">
        <v>-4.7490187863820763</v>
      </c>
      <c r="BE48" s="4">
        <v>-4.8500617392838228</v>
      </c>
      <c r="BF48" s="4">
        <v>-4.9511046921855693</v>
      </c>
      <c r="BG48" s="4">
        <v>-5.0521476450873157</v>
      </c>
      <c r="BH48" s="4">
        <v>-5.1531905979890622</v>
      </c>
      <c r="BI48" s="4">
        <v>-5.2542335508908087</v>
      </c>
      <c r="BJ48" s="4">
        <v>-5.3552765037925552</v>
      </c>
      <c r="BK48" s="4">
        <v>-5.4563194566943007</v>
      </c>
      <c r="BL48" s="4">
        <v>-5.5573624095960472</v>
      </c>
      <c r="BM48" s="4">
        <v>-5.6584053624977937</v>
      </c>
      <c r="BN48" s="4">
        <v>-5.7594483153995402</v>
      </c>
      <c r="BO48" s="4">
        <v>-5.8604912683012866</v>
      </c>
      <c r="BP48" s="4">
        <v>-5.9615342212030331</v>
      </c>
      <c r="BQ48" s="4">
        <v>-6.0625771741047787</v>
      </c>
      <c r="BR48" s="4">
        <v>-6.1636201270065252</v>
      </c>
      <c r="BS48" s="4">
        <v>-6.2646630799082716</v>
      </c>
      <c r="BT48" s="4">
        <v>-6.3657060328100181</v>
      </c>
      <c r="BU48" s="4">
        <v>-6.4667489857117646</v>
      </c>
      <c r="BV48" s="4">
        <v>-6.5677919386135111</v>
      </c>
      <c r="BW48" s="4">
        <v>-6.6688348915152575</v>
      </c>
      <c r="BX48" s="4">
        <v>-6.7698778444170031</v>
      </c>
      <c r="BY48" s="4">
        <v>-6.8709207973187496</v>
      </c>
      <c r="BZ48" s="4">
        <v>-6.9719637502204961</v>
      </c>
      <c r="CA48" s="4">
        <v>-7.0730067031222426</v>
      </c>
    </row>
    <row r="49" spans="2:79" x14ac:dyDescent="0.35">
      <c r="B49" t="s">
        <v>67</v>
      </c>
      <c r="C49">
        <v>3431</v>
      </c>
      <c r="D49">
        <v>969.95</v>
      </c>
      <c r="H49" t="s">
        <v>67</v>
      </c>
      <c r="I49" s="3">
        <v>3431</v>
      </c>
      <c r="J49" s="4">
        <v>-2.921591109543104E-3</v>
      </c>
      <c r="K49" s="4">
        <v>-5.8431822190862081E-3</v>
      </c>
      <c r="L49" s="4">
        <v>-8.764773328629313E-3</v>
      </c>
      <c r="M49" s="4">
        <v>-1.1686364438172416E-2</v>
      </c>
      <c r="N49" s="4">
        <v>-1.4607955547715521E-2</v>
      </c>
      <c r="O49" s="4">
        <v>-1.7529546657258626E-2</v>
      </c>
      <c r="P49" s="4">
        <v>-2.0451137766801731E-2</v>
      </c>
      <c r="Q49" s="4">
        <v>-2.3372728876344832E-2</v>
      </c>
      <c r="R49" s="4">
        <v>-2.6294319985887937E-2</v>
      </c>
      <c r="S49" s="4">
        <v>-2.9215911095431042E-2</v>
      </c>
      <c r="T49" s="4">
        <v>-3.2137502204974147E-2</v>
      </c>
      <c r="U49" s="4">
        <v>-3.5059093314517252E-2</v>
      </c>
      <c r="V49" s="4">
        <v>-3.7980684424060357E-2</v>
      </c>
      <c r="W49" s="4">
        <v>-4.0902275533603462E-2</v>
      </c>
      <c r="X49" s="4">
        <v>-4.3823866643146567E-2</v>
      </c>
      <c r="Y49" s="4">
        <v>-4.6745457752689665E-2</v>
      </c>
      <c r="Z49" s="4">
        <v>-4.9667048862232777E-2</v>
      </c>
      <c r="AA49" s="4">
        <v>-5.2588639971775875E-2</v>
      </c>
      <c r="AB49" s="4">
        <v>-5.5510231081318973E-2</v>
      </c>
      <c r="AC49" s="4">
        <v>-5.8431822190862084E-2</v>
      </c>
      <c r="AD49" s="4">
        <v>-6.1353413300405196E-2</v>
      </c>
      <c r="AE49" s="4">
        <v>-6.4275004409948294E-2</v>
      </c>
      <c r="AF49" s="4">
        <v>-6.7196595519491392E-2</v>
      </c>
      <c r="AG49" s="4">
        <v>-7.0118186629034504E-2</v>
      </c>
      <c r="AH49" s="4">
        <v>-7.3039777738577616E-2</v>
      </c>
      <c r="AI49" s="4">
        <v>-7.5961368848120714E-2</v>
      </c>
      <c r="AJ49" s="4">
        <v>-7.8882959957663812E-2</v>
      </c>
      <c r="AK49" s="4">
        <v>-8.1804551067206924E-2</v>
      </c>
      <c r="AL49" s="4">
        <v>-8.4726142176750022E-2</v>
      </c>
      <c r="AM49" s="4">
        <v>-8.7647733286293134E-2</v>
      </c>
      <c r="AN49" s="4">
        <v>-9.0569324395836232E-2</v>
      </c>
      <c r="AO49" s="4">
        <v>-9.3490915505379329E-2</v>
      </c>
      <c r="AP49" s="4">
        <v>-9.6412506614922441E-2</v>
      </c>
      <c r="AQ49" s="4">
        <v>-9.9334097724465553E-2</v>
      </c>
      <c r="AR49" s="4">
        <v>-0.10225568883400864</v>
      </c>
      <c r="AS49" s="4">
        <v>-0.10517727994355175</v>
      </c>
      <c r="AT49" s="4">
        <v>-0.10809887105309486</v>
      </c>
      <c r="AU49" s="4">
        <v>-0.11102046216263795</v>
      </c>
      <c r="AV49" s="4">
        <v>-0.11394205327218106</v>
      </c>
      <c r="AW49" s="4">
        <v>-0.11686364438172417</v>
      </c>
      <c r="AX49" s="4">
        <v>-0.11978523549126728</v>
      </c>
      <c r="AY49" s="4">
        <v>-0.12270682660081039</v>
      </c>
      <c r="AZ49" s="4">
        <v>-0.12562841771035349</v>
      </c>
      <c r="BA49" s="4">
        <v>-0.12855000881989659</v>
      </c>
      <c r="BB49" s="4">
        <v>-0.13147159992943969</v>
      </c>
      <c r="BC49" s="4">
        <v>-0.13439319103898278</v>
      </c>
      <c r="BD49" s="4">
        <v>-0.13731478214852588</v>
      </c>
      <c r="BE49" s="4">
        <v>-0.14023637325806901</v>
      </c>
      <c r="BF49" s="4">
        <v>-0.14315796436761211</v>
      </c>
      <c r="BG49" s="4">
        <v>-0.14607955547715523</v>
      </c>
      <c r="BH49" s="4">
        <v>-0.1490011465866983</v>
      </c>
      <c r="BI49" s="4">
        <v>-0.15192273769624143</v>
      </c>
      <c r="BJ49" s="4">
        <v>-0.15484432880578453</v>
      </c>
      <c r="BK49" s="4">
        <v>-0.15776591991532762</v>
      </c>
      <c r="BL49" s="4">
        <v>-0.16068751102487072</v>
      </c>
      <c r="BM49" s="4">
        <v>-0.16360910213441385</v>
      </c>
      <c r="BN49" s="4">
        <v>-0.16653069324395695</v>
      </c>
      <c r="BO49" s="4">
        <v>-0.16945228435350004</v>
      </c>
      <c r="BP49" s="4">
        <v>-0.17237387546304314</v>
      </c>
      <c r="BQ49" s="4">
        <v>-0.17529546657258627</v>
      </c>
      <c r="BR49" s="4">
        <v>-0.17821705768212937</v>
      </c>
      <c r="BS49" s="4">
        <v>-0.18113864879167246</v>
      </c>
      <c r="BT49" s="4">
        <v>-0.18406023990121559</v>
      </c>
      <c r="BU49" s="4">
        <v>-0.18698183101075866</v>
      </c>
      <c r="BV49" s="4">
        <v>-0.18990342212030176</v>
      </c>
      <c r="BW49" s="4">
        <v>-0.19282501322984488</v>
      </c>
      <c r="BX49" s="4">
        <v>-0.19574660433938798</v>
      </c>
      <c r="BY49" s="4">
        <v>-0.19866819544893111</v>
      </c>
      <c r="BZ49" s="4">
        <v>-0.2015897865584742</v>
      </c>
      <c r="CA49" s="4">
        <v>-0.20451137766801727</v>
      </c>
    </row>
    <row r="50" spans="2:79" x14ac:dyDescent="0.35">
      <c r="B50" t="s">
        <v>68</v>
      </c>
      <c r="C50">
        <v>3431</v>
      </c>
      <c r="D50">
        <v>1058.95</v>
      </c>
      <c r="H50" t="s">
        <v>68</v>
      </c>
      <c r="I50" s="3">
        <v>3431</v>
      </c>
      <c r="J50" s="4">
        <v>9.5199770682660098E-2</v>
      </c>
      <c r="K50" s="4">
        <v>0.1903995413653202</v>
      </c>
      <c r="L50" s="4">
        <v>0.28559931204798034</v>
      </c>
      <c r="M50" s="4">
        <v>0.38079908273064039</v>
      </c>
      <c r="N50" s="4">
        <v>0.47599885341330056</v>
      </c>
      <c r="O50" s="4">
        <v>0.57119862409596067</v>
      </c>
      <c r="P50" s="4">
        <v>0.66639839477862073</v>
      </c>
      <c r="Q50" s="4">
        <v>0.76159816546128078</v>
      </c>
      <c r="R50" s="4">
        <v>0.85679793614394084</v>
      </c>
      <c r="S50" s="4">
        <v>0.95199770682660112</v>
      </c>
      <c r="T50" s="4">
        <v>1.0471974775092612</v>
      </c>
      <c r="U50" s="4">
        <v>1.1423972481919213</v>
      </c>
      <c r="V50" s="4">
        <v>1.2375970188745813</v>
      </c>
      <c r="W50" s="4">
        <v>1.3327967895572415</v>
      </c>
      <c r="X50" s="4">
        <v>1.4279965602399016</v>
      </c>
      <c r="Y50" s="4">
        <v>1.5231963309225616</v>
      </c>
      <c r="Z50" s="4">
        <v>1.6183961016052217</v>
      </c>
      <c r="AA50" s="4">
        <v>1.7135958722878817</v>
      </c>
      <c r="AB50" s="4">
        <v>1.8087956429705419</v>
      </c>
      <c r="AC50" s="4">
        <v>1.9039954136532022</v>
      </c>
      <c r="AD50" s="4">
        <v>1.9991951843358624</v>
      </c>
      <c r="AE50" s="4">
        <v>2.0943949550185224</v>
      </c>
      <c r="AF50" s="4">
        <v>2.1895947257011823</v>
      </c>
      <c r="AG50" s="4">
        <v>2.2847944963838427</v>
      </c>
      <c r="AH50" s="4">
        <v>2.3799942670665026</v>
      </c>
      <c r="AI50" s="4">
        <v>2.4751940377491626</v>
      </c>
      <c r="AJ50" s="4">
        <v>2.570393808431823</v>
      </c>
      <c r="AK50" s="4">
        <v>2.6655935791144829</v>
      </c>
      <c r="AL50" s="4">
        <v>2.7607933497971429</v>
      </c>
      <c r="AM50" s="4">
        <v>2.8559931204798032</v>
      </c>
      <c r="AN50" s="4">
        <v>2.9511928911624632</v>
      </c>
      <c r="AO50" s="4">
        <v>3.0463926618451231</v>
      </c>
      <c r="AP50" s="4">
        <v>3.1415924325277835</v>
      </c>
      <c r="AQ50" s="4">
        <v>3.2367922032104435</v>
      </c>
      <c r="AR50" s="4">
        <v>3.3319919738931034</v>
      </c>
      <c r="AS50" s="4">
        <v>3.4271917445757634</v>
      </c>
      <c r="AT50" s="4">
        <v>3.5223915152584238</v>
      </c>
      <c r="AU50" s="4">
        <v>3.6175912859410837</v>
      </c>
      <c r="AV50" s="4">
        <v>3.7127910566237445</v>
      </c>
      <c r="AW50" s="4">
        <v>3.8079908273064045</v>
      </c>
      <c r="AX50" s="4">
        <v>3.9031905979890644</v>
      </c>
      <c r="AY50" s="4">
        <v>3.9983903686717248</v>
      </c>
      <c r="AZ50" s="4">
        <v>4.0935901393543848</v>
      </c>
      <c r="BA50" s="4">
        <v>4.1887899100370447</v>
      </c>
      <c r="BB50" s="4">
        <v>4.2839896807197047</v>
      </c>
      <c r="BC50" s="4">
        <v>4.3791894514023646</v>
      </c>
      <c r="BD50" s="4">
        <v>4.4743892220850254</v>
      </c>
      <c r="BE50" s="4">
        <v>4.5695889927676854</v>
      </c>
      <c r="BF50" s="4">
        <v>4.6647887634503453</v>
      </c>
      <c r="BG50" s="4">
        <v>4.7599885341330053</v>
      </c>
      <c r="BH50" s="4">
        <v>4.8551883048156652</v>
      </c>
      <c r="BI50" s="4">
        <v>4.9503880754983252</v>
      </c>
      <c r="BJ50" s="4">
        <v>5.045587846180986</v>
      </c>
      <c r="BK50" s="4">
        <v>5.1407876168636459</v>
      </c>
      <c r="BL50" s="4">
        <v>5.2359873875463059</v>
      </c>
      <c r="BM50" s="4">
        <v>5.3311871582289658</v>
      </c>
      <c r="BN50" s="4">
        <v>5.4263869289116258</v>
      </c>
      <c r="BO50" s="4">
        <v>5.5215866995942857</v>
      </c>
      <c r="BP50" s="4">
        <v>5.6167864702769457</v>
      </c>
      <c r="BQ50" s="4">
        <v>5.7119862409596065</v>
      </c>
      <c r="BR50" s="4">
        <v>5.8071860116422664</v>
      </c>
      <c r="BS50" s="4">
        <v>5.9023857823249264</v>
      </c>
      <c r="BT50" s="4">
        <v>5.9975855530075863</v>
      </c>
      <c r="BU50" s="4">
        <v>6.0927853236902463</v>
      </c>
      <c r="BV50" s="4">
        <v>6.1879850943729062</v>
      </c>
      <c r="BW50" s="4">
        <v>6.2831848650555671</v>
      </c>
      <c r="BX50" s="4">
        <v>6.378384635738227</v>
      </c>
      <c r="BY50" s="4">
        <v>6.4735844064208869</v>
      </c>
      <c r="BZ50" s="4">
        <v>6.5687841771035469</v>
      </c>
      <c r="CA50" s="4">
        <v>6.6639839477862068</v>
      </c>
    </row>
    <row r="51" spans="2:79" x14ac:dyDescent="0.35">
      <c r="B51" t="s">
        <v>69</v>
      </c>
      <c r="C51">
        <v>3431</v>
      </c>
      <c r="D51">
        <v>1147.95</v>
      </c>
      <c r="H51" t="s">
        <v>69</v>
      </c>
      <c r="I51" s="3">
        <v>3431</v>
      </c>
      <c r="J51" s="4">
        <v>0.19332113247486332</v>
      </c>
      <c r="K51" s="4">
        <v>0.38664226494972664</v>
      </c>
      <c r="L51" s="4">
        <v>0.57996339742458991</v>
      </c>
      <c r="M51" s="4">
        <v>0.77328452989945329</v>
      </c>
      <c r="N51" s="4">
        <v>0.96660566237431667</v>
      </c>
      <c r="O51" s="4">
        <v>1.1599267948491798</v>
      </c>
      <c r="P51" s="4">
        <v>1.3532479273240432</v>
      </c>
      <c r="Q51" s="4">
        <v>1.5465690597989066</v>
      </c>
      <c r="R51" s="4">
        <v>1.73989019227377</v>
      </c>
      <c r="S51" s="4">
        <v>1.9332113247486333</v>
      </c>
      <c r="T51" s="4">
        <v>2.1265324572234965</v>
      </c>
      <c r="U51" s="4">
        <v>2.3198535896983596</v>
      </c>
      <c r="V51" s="4">
        <v>2.5131747221732232</v>
      </c>
      <c r="W51" s="4">
        <v>2.7064958546480864</v>
      </c>
      <c r="X51" s="4">
        <v>2.89981698712295</v>
      </c>
      <c r="Y51" s="4">
        <v>3.0931381195978132</v>
      </c>
      <c r="Z51" s="4">
        <v>3.2864592520726768</v>
      </c>
      <c r="AA51" s="4">
        <v>3.4797803845475399</v>
      </c>
      <c r="AB51" s="4">
        <v>3.6731015170224031</v>
      </c>
      <c r="AC51" s="4">
        <v>3.8664226494972667</v>
      </c>
      <c r="AD51" s="4">
        <v>4.0597437819721298</v>
      </c>
      <c r="AE51" s="4">
        <v>4.253064914446993</v>
      </c>
      <c r="AF51" s="4">
        <v>4.4463860469218561</v>
      </c>
      <c r="AG51" s="4">
        <v>4.6397071793967193</v>
      </c>
      <c r="AH51" s="4">
        <v>4.8330283118715833</v>
      </c>
      <c r="AI51" s="4">
        <v>5.0263494443464465</v>
      </c>
      <c r="AJ51" s="4">
        <v>5.2196705768213096</v>
      </c>
      <c r="AK51" s="4">
        <v>5.4129917092961728</v>
      </c>
      <c r="AL51" s="4">
        <v>5.6063128417710359</v>
      </c>
      <c r="AM51" s="4">
        <v>5.7996339742459</v>
      </c>
      <c r="AN51" s="4">
        <v>5.9929551067207631</v>
      </c>
      <c r="AO51" s="4">
        <v>6.1862762391956263</v>
      </c>
      <c r="AP51" s="4">
        <v>6.3795973716704903</v>
      </c>
      <c r="AQ51" s="4">
        <v>6.5729185041453535</v>
      </c>
      <c r="AR51" s="4">
        <v>6.7662396366202167</v>
      </c>
      <c r="AS51" s="4">
        <v>6.9595607690950798</v>
      </c>
      <c r="AT51" s="4">
        <v>7.152881901569943</v>
      </c>
      <c r="AU51" s="4">
        <v>7.3462030340448061</v>
      </c>
      <c r="AV51" s="4">
        <v>7.5395241665196693</v>
      </c>
      <c r="AW51" s="4">
        <v>7.7328452989945333</v>
      </c>
      <c r="AX51" s="4">
        <v>7.9261664314693965</v>
      </c>
      <c r="AY51" s="4">
        <v>8.1194875639442596</v>
      </c>
      <c r="AZ51" s="4">
        <v>8.3128086964191237</v>
      </c>
      <c r="BA51" s="4">
        <v>8.5061298288939859</v>
      </c>
      <c r="BB51" s="4">
        <v>8.69945096136885</v>
      </c>
      <c r="BC51" s="4">
        <v>8.8927720938437123</v>
      </c>
      <c r="BD51" s="4">
        <v>9.0860932263185763</v>
      </c>
      <c r="BE51" s="4">
        <v>9.2794143587934386</v>
      </c>
      <c r="BF51" s="4">
        <v>9.4727354912683026</v>
      </c>
      <c r="BG51" s="4">
        <v>9.6660566237431667</v>
      </c>
      <c r="BH51" s="4">
        <v>9.8593777562180289</v>
      </c>
      <c r="BI51" s="4">
        <v>10.052698888692893</v>
      </c>
      <c r="BJ51" s="4">
        <v>10.246020021167755</v>
      </c>
      <c r="BK51" s="4">
        <v>10.439341153642619</v>
      </c>
      <c r="BL51" s="4">
        <v>10.632662286117482</v>
      </c>
      <c r="BM51" s="4">
        <v>10.825983418592346</v>
      </c>
      <c r="BN51" s="4">
        <v>11.01930455106721</v>
      </c>
      <c r="BO51" s="4">
        <v>11.212625683542072</v>
      </c>
      <c r="BP51" s="4">
        <v>11.405946816016936</v>
      </c>
      <c r="BQ51" s="4">
        <v>11.5992679484918</v>
      </c>
      <c r="BR51" s="4">
        <v>11.792589080966664</v>
      </c>
      <c r="BS51" s="4">
        <v>11.985910213441526</v>
      </c>
      <c r="BT51" s="4">
        <v>12.17923134591639</v>
      </c>
      <c r="BU51" s="4">
        <v>12.372552478391253</v>
      </c>
      <c r="BV51" s="4">
        <v>12.565873610866117</v>
      </c>
      <c r="BW51" s="4">
        <v>12.759194743340981</v>
      </c>
      <c r="BX51" s="4">
        <v>12.952515875815843</v>
      </c>
      <c r="BY51" s="4">
        <v>13.145837008290707</v>
      </c>
      <c r="BZ51" s="4">
        <v>13.339158140765569</v>
      </c>
      <c r="CA51" s="4">
        <v>13.532479273240433</v>
      </c>
    </row>
    <row r="52" spans="2:79" x14ac:dyDescent="0.35">
      <c r="B52" t="s">
        <v>70</v>
      </c>
      <c r="C52">
        <v>3431</v>
      </c>
      <c r="D52">
        <v>1236.95</v>
      </c>
      <c r="H52" t="s">
        <v>70</v>
      </c>
      <c r="I52" s="3">
        <v>3431</v>
      </c>
      <c r="J52" s="4">
        <v>0.29144249426706653</v>
      </c>
      <c r="K52" s="4">
        <v>0.58288498853413306</v>
      </c>
      <c r="L52" s="4">
        <v>0.87432748280119954</v>
      </c>
      <c r="M52" s="4">
        <v>1.1657699770682661</v>
      </c>
      <c r="N52" s="4">
        <v>1.4572124713353325</v>
      </c>
      <c r="O52" s="4">
        <v>1.7486549656023991</v>
      </c>
      <c r="P52" s="4">
        <v>2.0400974598694659</v>
      </c>
      <c r="Q52" s="4">
        <v>2.3315399541365323</v>
      </c>
      <c r="R52" s="4">
        <v>2.6229824484035986</v>
      </c>
      <c r="S52" s="4">
        <v>2.914424942670665</v>
      </c>
      <c r="T52" s="4">
        <v>3.2058674369377314</v>
      </c>
      <c r="U52" s="4">
        <v>3.4973099312047982</v>
      </c>
      <c r="V52" s="4">
        <v>3.788752425471865</v>
      </c>
      <c r="W52" s="4">
        <v>4.0801949197389318</v>
      </c>
      <c r="X52" s="4">
        <v>4.3716374140059981</v>
      </c>
      <c r="Y52" s="4">
        <v>4.6630799082730645</v>
      </c>
      <c r="Z52" s="4">
        <v>4.9545224025401309</v>
      </c>
      <c r="AA52" s="4">
        <v>5.2459648968071972</v>
      </c>
      <c r="AB52" s="4">
        <v>5.5374073910742645</v>
      </c>
      <c r="AC52" s="4">
        <v>5.82884988534133</v>
      </c>
      <c r="AD52" s="4">
        <v>6.1202923796083963</v>
      </c>
      <c r="AE52" s="4">
        <v>6.4117348738754627</v>
      </c>
      <c r="AF52" s="4">
        <v>6.70317736814253</v>
      </c>
      <c r="AG52" s="4">
        <v>6.9946198624095963</v>
      </c>
      <c r="AH52" s="4">
        <v>7.2860623566766627</v>
      </c>
      <c r="AI52" s="4">
        <v>7.5775048509437299</v>
      </c>
      <c r="AJ52" s="4">
        <v>7.8689473452107972</v>
      </c>
      <c r="AK52" s="4">
        <v>8.1603898394778636</v>
      </c>
      <c r="AL52" s="4">
        <v>8.4518323337449299</v>
      </c>
      <c r="AM52" s="4">
        <v>8.7432748280119963</v>
      </c>
      <c r="AN52" s="4">
        <v>9.0347173222790627</v>
      </c>
      <c r="AO52" s="4">
        <v>9.326159816546129</v>
      </c>
      <c r="AP52" s="4">
        <v>9.6176023108131954</v>
      </c>
      <c r="AQ52" s="4">
        <v>9.9090448050802618</v>
      </c>
      <c r="AR52" s="4">
        <v>10.200487299347328</v>
      </c>
      <c r="AS52" s="4">
        <v>10.491929793614394</v>
      </c>
      <c r="AT52" s="4">
        <v>10.783372287881463</v>
      </c>
      <c r="AU52" s="4">
        <v>11.074814782148529</v>
      </c>
      <c r="AV52" s="4">
        <v>11.366257276415595</v>
      </c>
      <c r="AW52" s="4">
        <v>11.65769977068266</v>
      </c>
      <c r="AX52" s="4">
        <v>11.949142264949726</v>
      </c>
      <c r="AY52" s="4">
        <v>12.240584759216793</v>
      </c>
      <c r="AZ52" s="4">
        <v>12.532027253483859</v>
      </c>
      <c r="BA52" s="4">
        <v>12.823469747750925</v>
      </c>
      <c r="BB52" s="4">
        <v>13.114912242017992</v>
      </c>
      <c r="BC52" s="4">
        <v>13.40635473628506</v>
      </c>
      <c r="BD52" s="4">
        <v>13.697797230552126</v>
      </c>
      <c r="BE52" s="4">
        <v>13.989239724819193</v>
      </c>
      <c r="BF52" s="4">
        <v>14.280682219086259</v>
      </c>
      <c r="BG52" s="4">
        <v>14.572124713353325</v>
      </c>
      <c r="BH52" s="4">
        <v>14.863567207620392</v>
      </c>
      <c r="BI52" s="4">
        <v>15.15500970188746</v>
      </c>
      <c r="BJ52" s="4">
        <v>15.446452196154528</v>
      </c>
      <c r="BK52" s="4">
        <v>15.737894690421594</v>
      </c>
      <c r="BL52" s="4">
        <v>16.029337184688661</v>
      </c>
      <c r="BM52" s="4">
        <v>16.320779678955727</v>
      </c>
      <c r="BN52" s="4">
        <v>16.612222173222793</v>
      </c>
      <c r="BO52" s="4">
        <v>16.90366466748986</v>
      </c>
      <c r="BP52" s="4">
        <v>17.195107161756926</v>
      </c>
      <c r="BQ52" s="4">
        <v>17.486549656023993</v>
      </c>
      <c r="BR52" s="4">
        <v>17.777992150291059</v>
      </c>
      <c r="BS52" s="4">
        <v>18.069434644558125</v>
      </c>
      <c r="BT52" s="4">
        <v>18.360877138825192</v>
      </c>
      <c r="BU52" s="4">
        <v>18.652319633092258</v>
      </c>
      <c r="BV52" s="4">
        <v>18.943762127359324</v>
      </c>
      <c r="BW52" s="4">
        <v>19.235204621626391</v>
      </c>
      <c r="BX52" s="4">
        <v>19.526647115893457</v>
      </c>
      <c r="BY52" s="4">
        <v>19.818089610160524</v>
      </c>
      <c r="BZ52" s="4">
        <v>20.10953210442759</v>
      </c>
      <c r="CA52" s="4">
        <v>20.400974598694656</v>
      </c>
    </row>
    <row r="53" spans="2:79" x14ac:dyDescent="0.35">
      <c r="B53" t="s">
        <v>71</v>
      </c>
      <c r="C53">
        <v>3431</v>
      </c>
      <c r="D53">
        <v>1325.95</v>
      </c>
      <c r="H53" t="s">
        <v>71</v>
      </c>
      <c r="I53" s="3">
        <v>3431</v>
      </c>
      <c r="J53" s="4">
        <v>0.38956385605926969</v>
      </c>
      <c r="K53" s="4">
        <v>0.77912771211853937</v>
      </c>
      <c r="L53" s="4">
        <v>1.1686915681778092</v>
      </c>
      <c r="M53" s="4">
        <v>1.5582554242370787</v>
      </c>
      <c r="N53" s="4">
        <v>1.9478192802963485</v>
      </c>
      <c r="O53" s="4">
        <v>2.3373831363556183</v>
      </c>
      <c r="P53" s="4">
        <v>2.7269469924148884</v>
      </c>
      <c r="Q53" s="4">
        <v>3.1165108484741575</v>
      </c>
      <c r="R53" s="4">
        <v>3.5060747045334275</v>
      </c>
      <c r="S53" s="4">
        <v>3.8956385605926971</v>
      </c>
      <c r="T53" s="4">
        <v>4.2852024166519671</v>
      </c>
      <c r="U53" s="4">
        <v>4.6747662727112367</v>
      </c>
      <c r="V53" s="4">
        <v>5.0643301287705071</v>
      </c>
      <c r="W53" s="4">
        <v>5.4538939848297767</v>
      </c>
      <c r="X53" s="4">
        <v>5.8434578408890454</v>
      </c>
      <c r="Y53" s="4">
        <v>6.233021696948315</v>
      </c>
      <c r="Z53" s="4">
        <v>6.6225855530075854</v>
      </c>
      <c r="AA53" s="4">
        <v>7.012149409066855</v>
      </c>
      <c r="AB53" s="4">
        <v>7.4017132651261246</v>
      </c>
      <c r="AC53" s="4">
        <v>7.7912771211853942</v>
      </c>
      <c r="AD53" s="4">
        <v>8.1808409772446637</v>
      </c>
      <c r="AE53" s="4">
        <v>8.5704048333039342</v>
      </c>
      <c r="AF53" s="4">
        <v>8.9599686893632029</v>
      </c>
      <c r="AG53" s="4">
        <v>9.3495325454224734</v>
      </c>
      <c r="AH53" s="4">
        <v>9.739096401481742</v>
      </c>
      <c r="AI53" s="4">
        <v>10.128660257541014</v>
      </c>
      <c r="AJ53" s="4">
        <v>10.518224113600283</v>
      </c>
      <c r="AK53" s="4">
        <v>10.907787969659553</v>
      </c>
      <c r="AL53" s="4">
        <v>11.297351825718822</v>
      </c>
      <c r="AM53" s="4">
        <v>11.686915681778091</v>
      </c>
      <c r="AN53" s="4">
        <v>12.076479537837361</v>
      </c>
      <c r="AO53" s="4">
        <v>12.46604339389663</v>
      </c>
      <c r="AP53" s="4">
        <v>12.8556072499559</v>
      </c>
      <c r="AQ53" s="4">
        <v>13.245171106015171</v>
      </c>
      <c r="AR53" s="4">
        <v>13.63473496207444</v>
      </c>
      <c r="AS53" s="4">
        <v>14.02429881813371</v>
      </c>
      <c r="AT53" s="4">
        <v>14.413862674192979</v>
      </c>
      <c r="AU53" s="4">
        <v>14.803426530252249</v>
      </c>
      <c r="AV53" s="4">
        <v>15.19299038631152</v>
      </c>
      <c r="AW53" s="4">
        <v>15.582554242370788</v>
      </c>
      <c r="AX53" s="4">
        <v>15.972118098430059</v>
      </c>
      <c r="AY53" s="4">
        <v>16.361681954489327</v>
      </c>
      <c r="AZ53" s="4">
        <v>16.751245810548596</v>
      </c>
      <c r="BA53" s="4">
        <v>17.140809666607868</v>
      </c>
      <c r="BB53" s="4">
        <v>17.530373522667137</v>
      </c>
      <c r="BC53" s="4">
        <v>17.919937378726406</v>
      </c>
      <c r="BD53" s="4">
        <v>18.309501234785678</v>
      </c>
      <c r="BE53" s="4">
        <v>18.699065090844947</v>
      </c>
      <c r="BF53" s="4">
        <v>19.088628946904215</v>
      </c>
      <c r="BG53" s="4">
        <v>19.478192802963484</v>
      </c>
      <c r="BH53" s="4">
        <v>19.867756659022756</v>
      </c>
      <c r="BI53" s="4">
        <v>20.257320515082029</v>
      </c>
      <c r="BJ53" s="4">
        <v>20.646884371141297</v>
      </c>
      <c r="BK53" s="4">
        <v>21.036448227200566</v>
      </c>
      <c r="BL53" s="4">
        <v>21.426012083259838</v>
      </c>
      <c r="BM53" s="4">
        <v>21.815575939319107</v>
      </c>
      <c r="BN53" s="4">
        <v>22.205139795378376</v>
      </c>
      <c r="BO53" s="4">
        <v>22.594703651437644</v>
      </c>
      <c r="BP53" s="4">
        <v>22.984267507496916</v>
      </c>
      <c r="BQ53" s="4">
        <v>23.373831363556182</v>
      </c>
      <c r="BR53" s="4">
        <v>23.763395219615454</v>
      </c>
      <c r="BS53" s="4">
        <v>24.152959075674723</v>
      </c>
      <c r="BT53" s="4">
        <v>24.542522931733991</v>
      </c>
      <c r="BU53" s="4">
        <v>24.93208678779326</v>
      </c>
      <c r="BV53" s="4">
        <v>25.321650643852532</v>
      </c>
      <c r="BW53" s="4">
        <v>25.711214499911801</v>
      </c>
      <c r="BX53" s="4">
        <v>26.10077835597107</v>
      </c>
      <c r="BY53" s="4">
        <v>26.490342212030342</v>
      </c>
      <c r="BZ53" s="4">
        <v>26.87990606808961</v>
      </c>
      <c r="CA53" s="4">
        <v>27.269469924148879</v>
      </c>
    </row>
    <row r="54" spans="2:79" x14ac:dyDescent="0.35">
      <c r="B54" t="s">
        <v>72</v>
      </c>
      <c r="C54">
        <v>3431</v>
      </c>
      <c r="D54">
        <v>1414.95</v>
      </c>
      <c r="H54" t="s">
        <v>72</v>
      </c>
      <c r="I54" s="3">
        <v>3431</v>
      </c>
      <c r="J54" s="4">
        <v>0.4876852178514729</v>
      </c>
      <c r="K54" s="4">
        <v>0.97537043570294579</v>
      </c>
      <c r="L54" s="4">
        <v>1.4630556535544188</v>
      </c>
      <c r="M54" s="4">
        <v>1.9507408714058916</v>
      </c>
      <c r="N54" s="4">
        <v>2.4384260892573648</v>
      </c>
      <c r="O54" s="4">
        <v>2.9261113071088376</v>
      </c>
      <c r="P54" s="4">
        <v>3.4137965249603104</v>
      </c>
      <c r="Q54" s="4">
        <v>3.9014817428117832</v>
      </c>
      <c r="R54" s="4">
        <v>4.389166960663256</v>
      </c>
      <c r="S54" s="4">
        <v>4.8768521785147296</v>
      </c>
      <c r="T54" s="4">
        <v>5.3645373963662024</v>
      </c>
      <c r="U54" s="4">
        <v>5.8522226142176752</v>
      </c>
      <c r="V54" s="4">
        <v>6.339907832069148</v>
      </c>
      <c r="W54" s="4">
        <v>6.8275930499206208</v>
      </c>
      <c r="X54" s="4">
        <v>7.3152782677720936</v>
      </c>
      <c r="Y54" s="4">
        <v>7.8029634856235663</v>
      </c>
      <c r="Z54" s="4">
        <v>8.2906487034750391</v>
      </c>
      <c r="AA54" s="4">
        <v>8.7783339213265119</v>
      </c>
      <c r="AB54" s="4">
        <v>9.2660191391779847</v>
      </c>
      <c r="AC54" s="4">
        <v>9.7537043570294593</v>
      </c>
      <c r="AD54" s="4">
        <v>10.241389574880932</v>
      </c>
      <c r="AE54" s="4">
        <v>10.729074792732405</v>
      </c>
      <c r="AF54" s="4">
        <v>11.216760010583878</v>
      </c>
      <c r="AG54" s="4">
        <v>11.70444522843535</v>
      </c>
      <c r="AH54" s="4">
        <v>12.192130446286823</v>
      </c>
      <c r="AI54" s="4">
        <v>12.679815664138296</v>
      </c>
      <c r="AJ54" s="4">
        <v>13.167500881989769</v>
      </c>
      <c r="AK54" s="4">
        <v>13.655186099841242</v>
      </c>
      <c r="AL54" s="4">
        <v>14.142871317692714</v>
      </c>
      <c r="AM54" s="4">
        <v>14.630556535544187</v>
      </c>
      <c r="AN54" s="4">
        <v>15.11824175339566</v>
      </c>
      <c r="AO54" s="4">
        <v>15.605926971247133</v>
      </c>
      <c r="AP54" s="4">
        <v>16.093612189098607</v>
      </c>
      <c r="AQ54" s="4">
        <v>16.581297406950078</v>
      </c>
      <c r="AR54" s="4">
        <v>17.068982624801553</v>
      </c>
      <c r="AS54" s="4">
        <v>17.556667842653024</v>
      </c>
      <c r="AT54" s="4">
        <v>18.044353060504498</v>
      </c>
      <c r="AU54" s="4">
        <v>18.532038278355969</v>
      </c>
      <c r="AV54" s="4">
        <v>19.019723496207444</v>
      </c>
      <c r="AW54" s="4">
        <v>19.507408714058919</v>
      </c>
      <c r="AX54" s="4">
        <v>19.99509393191039</v>
      </c>
      <c r="AY54" s="4">
        <v>20.482779149761864</v>
      </c>
      <c r="AZ54" s="4">
        <v>20.970464367613335</v>
      </c>
      <c r="BA54" s="4">
        <v>21.45814958546481</v>
      </c>
      <c r="BB54" s="4">
        <v>21.945834803316281</v>
      </c>
      <c r="BC54" s="4">
        <v>22.433520021167755</v>
      </c>
      <c r="BD54" s="4">
        <v>22.921205239019226</v>
      </c>
      <c r="BE54" s="4">
        <v>23.408890456870701</v>
      </c>
      <c r="BF54" s="4">
        <v>23.896575674722172</v>
      </c>
      <c r="BG54" s="4">
        <v>24.384260892573646</v>
      </c>
      <c r="BH54" s="4">
        <v>24.871946110425117</v>
      </c>
      <c r="BI54" s="4">
        <v>25.359631328276592</v>
      </c>
      <c r="BJ54" s="4">
        <v>25.847316546128067</v>
      </c>
      <c r="BK54" s="4">
        <v>26.335001763979538</v>
      </c>
      <c r="BL54" s="4">
        <v>26.822686981831012</v>
      </c>
      <c r="BM54" s="4">
        <v>27.310372199682483</v>
      </c>
      <c r="BN54" s="4">
        <v>27.798057417533958</v>
      </c>
      <c r="BO54" s="4">
        <v>28.285742635385429</v>
      </c>
      <c r="BP54" s="4">
        <v>28.773427853236903</v>
      </c>
      <c r="BQ54" s="4">
        <v>29.261113071088374</v>
      </c>
      <c r="BR54" s="4">
        <v>29.748798288939849</v>
      </c>
      <c r="BS54" s="4">
        <v>30.23648350679132</v>
      </c>
      <c r="BT54" s="4">
        <v>30.724168724642794</v>
      </c>
      <c r="BU54" s="4">
        <v>31.211853942494265</v>
      </c>
      <c r="BV54" s="4">
        <v>31.69953916034574</v>
      </c>
      <c r="BW54" s="4">
        <v>32.187224378197214</v>
      </c>
      <c r="BX54" s="4">
        <v>32.674909596048686</v>
      </c>
      <c r="BY54" s="4">
        <v>33.162594813900157</v>
      </c>
      <c r="BZ54" s="4">
        <v>33.650280031751635</v>
      </c>
      <c r="CA54" s="4">
        <v>34.137965249603106</v>
      </c>
    </row>
    <row r="55" spans="2:79" x14ac:dyDescent="0.35">
      <c r="B55" t="s">
        <v>73</v>
      </c>
      <c r="C55">
        <v>3431</v>
      </c>
      <c r="D55">
        <v>1503.95</v>
      </c>
      <c r="H55" t="s">
        <v>73</v>
      </c>
      <c r="I55" s="3">
        <v>3431</v>
      </c>
      <c r="J55" s="4">
        <v>0.58580657964367611</v>
      </c>
      <c r="K55" s="4">
        <v>1.1716131592873522</v>
      </c>
      <c r="L55" s="4">
        <v>1.7574197389310284</v>
      </c>
      <c r="M55" s="4">
        <v>2.3432263185747044</v>
      </c>
      <c r="N55" s="4">
        <v>2.9290328982183809</v>
      </c>
      <c r="O55" s="4">
        <v>3.5148394778620569</v>
      </c>
      <c r="P55" s="4">
        <v>4.1006460575057329</v>
      </c>
      <c r="Q55" s="4">
        <v>4.6864526371494089</v>
      </c>
      <c r="R55" s="4">
        <v>5.2722592167930848</v>
      </c>
      <c r="S55" s="4">
        <v>5.8580657964367617</v>
      </c>
      <c r="T55" s="4">
        <v>6.4438723760804377</v>
      </c>
      <c r="U55" s="4">
        <v>7.0296789557241137</v>
      </c>
      <c r="V55" s="4">
        <v>7.6154855353677897</v>
      </c>
      <c r="W55" s="4">
        <v>8.2012921150114657</v>
      </c>
      <c r="X55" s="4">
        <v>8.7870986946551426</v>
      </c>
      <c r="Y55" s="4">
        <v>9.3729052742988177</v>
      </c>
      <c r="Z55" s="4">
        <v>9.9587118539424946</v>
      </c>
      <c r="AA55" s="4">
        <v>10.54451843358617</v>
      </c>
      <c r="AB55" s="4">
        <v>11.130325013229847</v>
      </c>
      <c r="AC55" s="4">
        <v>11.716131592873523</v>
      </c>
      <c r="AD55" s="4">
        <v>12.301938172517199</v>
      </c>
      <c r="AE55" s="4">
        <v>12.887744752160875</v>
      </c>
      <c r="AF55" s="4">
        <v>13.473551331804551</v>
      </c>
      <c r="AG55" s="4">
        <v>14.059357911448227</v>
      </c>
      <c r="AH55" s="4">
        <v>14.645164491091903</v>
      </c>
      <c r="AI55" s="4">
        <v>15.230971070735579</v>
      </c>
      <c r="AJ55" s="4">
        <v>15.816777650379256</v>
      </c>
      <c r="AK55" s="4">
        <v>16.402584230022931</v>
      </c>
      <c r="AL55" s="4">
        <v>16.988390809666608</v>
      </c>
      <c r="AM55" s="4">
        <v>17.574197389310285</v>
      </c>
      <c r="AN55" s="4">
        <v>18.160003968953959</v>
      </c>
      <c r="AO55" s="4">
        <v>18.745810548597635</v>
      </c>
      <c r="AP55" s="4">
        <v>19.331617128241312</v>
      </c>
      <c r="AQ55" s="4">
        <v>19.917423707884989</v>
      </c>
      <c r="AR55" s="4">
        <v>20.503230287528666</v>
      </c>
      <c r="AS55" s="4">
        <v>21.089036867172339</v>
      </c>
      <c r="AT55" s="4">
        <v>21.674843446816016</v>
      </c>
      <c r="AU55" s="4">
        <v>22.260650026459693</v>
      </c>
      <c r="AV55" s="4">
        <v>22.84645660610337</v>
      </c>
      <c r="AW55" s="4">
        <v>23.432263185747047</v>
      </c>
      <c r="AX55" s="4">
        <v>24.01806976539072</v>
      </c>
      <c r="AY55" s="4">
        <v>24.603876345034397</v>
      </c>
      <c r="AZ55" s="4">
        <v>25.189682924678074</v>
      </c>
      <c r="BA55" s="4">
        <v>25.775489504321751</v>
      </c>
      <c r="BB55" s="4">
        <v>26.361296083965424</v>
      </c>
      <c r="BC55" s="4">
        <v>26.947102663609101</v>
      </c>
      <c r="BD55" s="4">
        <v>27.532909243252778</v>
      </c>
      <c r="BE55" s="4">
        <v>28.118715822896455</v>
      </c>
      <c r="BF55" s="4">
        <v>28.704522402540132</v>
      </c>
      <c r="BG55" s="4">
        <v>29.290328982183805</v>
      </c>
      <c r="BH55" s="4">
        <v>29.876135561827482</v>
      </c>
      <c r="BI55" s="4">
        <v>30.461942141471159</v>
      </c>
      <c r="BJ55" s="4">
        <v>31.047748721114836</v>
      </c>
      <c r="BK55" s="4">
        <v>31.633555300758513</v>
      </c>
      <c r="BL55" s="4">
        <v>32.21936188040219</v>
      </c>
      <c r="BM55" s="4">
        <v>32.805168460045863</v>
      </c>
      <c r="BN55" s="4">
        <v>33.390975039689536</v>
      </c>
      <c r="BO55" s="4">
        <v>33.976781619333217</v>
      </c>
      <c r="BP55" s="4">
        <v>34.56258819897689</v>
      </c>
      <c r="BQ55" s="4">
        <v>35.14839477862057</v>
      </c>
      <c r="BR55" s="4">
        <v>35.734201358264244</v>
      </c>
      <c r="BS55" s="4">
        <v>36.320007937907917</v>
      </c>
      <c r="BT55" s="4">
        <v>36.905814517551597</v>
      </c>
      <c r="BU55" s="4">
        <v>37.491621097195271</v>
      </c>
      <c r="BV55" s="4">
        <v>38.077427676838951</v>
      </c>
      <c r="BW55" s="4">
        <v>38.663234256482625</v>
      </c>
      <c r="BX55" s="4">
        <v>39.249040836126298</v>
      </c>
      <c r="BY55" s="4">
        <v>39.834847415769978</v>
      </c>
      <c r="BZ55" s="4">
        <v>40.420653995413652</v>
      </c>
      <c r="CA55" s="4">
        <v>41.006460575057332</v>
      </c>
    </row>
    <row r="56" spans="2:79" x14ac:dyDescent="0.35">
      <c r="B56" t="s">
        <v>74</v>
      </c>
      <c r="C56">
        <v>3431</v>
      </c>
      <c r="D56">
        <v>1592.95</v>
      </c>
      <c r="H56" t="s">
        <v>74</v>
      </c>
      <c r="I56" s="3">
        <v>3431</v>
      </c>
      <c r="J56" s="4">
        <v>0.68392794143587932</v>
      </c>
      <c r="K56" s="4">
        <v>1.3678558828717586</v>
      </c>
      <c r="L56" s="4">
        <v>2.0517838243076381</v>
      </c>
      <c r="M56" s="4">
        <v>2.7357117657435173</v>
      </c>
      <c r="N56" s="4">
        <v>3.4196397071793969</v>
      </c>
      <c r="O56" s="4">
        <v>4.1035676486152761</v>
      </c>
      <c r="P56" s="4">
        <v>4.7874955900511553</v>
      </c>
      <c r="Q56" s="4">
        <v>5.4714235314870345</v>
      </c>
      <c r="R56" s="4">
        <v>6.1553514729229137</v>
      </c>
      <c r="S56" s="4">
        <v>6.8392794143587938</v>
      </c>
      <c r="T56" s="4">
        <v>7.523207355794673</v>
      </c>
      <c r="U56" s="4">
        <v>8.2071352972305522</v>
      </c>
      <c r="V56" s="4">
        <v>8.8910632386664314</v>
      </c>
      <c r="W56" s="4">
        <v>9.5749911801023107</v>
      </c>
      <c r="X56" s="4">
        <v>10.25891912153819</v>
      </c>
      <c r="Y56" s="4">
        <v>10.942847062974069</v>
      </c>
      <c r="Z56" s="4">
        <v>11.626775004409948</v>
      </c>
      <c r="AA56" s="4">
        <v>12.310702945845827</v>
      </c>
      <c r="AB56" s="4">
        <v>12.994630887281707</v>
      </c>
      <c r="AC56" s="4">
        <v>13.678558828717588</v>
      </c>
      <c r="AD56" s="4">
        <v>14.362486770153467</v>
      </c>
      <c r="AE56" s="4">
        <v>15.046414711589346</v>
      </c>
      <c r="AF56" s="4">
        <v>15.730342653025225</v>
      </c>
      <c r="AG56" s="4">
        <v>16.414270594461104</v>
      </c>
      <c r="AH56" s="4">
        <v>17.098198535896984</v>
      </c>
      <c r="AI56" s="4">
        <v>17.782126477332863</v>
      </c>
      <c r="AJ56" s="4">
        <v>18.466054418768742</v>
      </c>
      <c r="AK56" s="4">
        <v>19.149982360204621</v>
      </c>
      <c r="AL56" s="4">
        <v>19.833910301640501</v>
      </c>
      <c r="AM56" s="4">
        <v>20.51783824307638</v>
      </c>
      <c r="AN56" s="4">
        <v>21.201766184512259</v>
      </c>
      <c r="AO56" s="4">
        <v>21.885694125948138</v>
      </c>
      <c r="AP56" s="4">
        <v>22.569622067384017</v>
      </c>
      <c r="AQ56" s="4">
        <v>23.253550008819897</v>
      </c>
      <c r="AR56" s="4">
        <v>23.937477950255776</v>
      </c>
      <c r="AS56" s="4">
        <v>24.621405891691655</v>
      </c>
      <c r="AT56" s="4">
        <v>25.305333833127534</v>
      </c>
      <c r="AU56" s="4">
        <v>25.989261774563413</v>
      </c>
      <c r="AV56" s="4">
        <v>26.673189715999296</v>
      </c>
      <c r="AW56" s="4">
        <v>27.357117657435175</v>
      </c>
      <c r="AX56" s="4">
        <v>28.041045598871055</v>
      </c>
      <c r="AY56" s="4">
        <v>28.724973540306934</v>
      </c>
      <c r="AZ56" s="4">
        <v>29.408901481742813</v>
      </c>
      <c r="BA56" s="4">
        <v>30.092829423178692</v>
      </c>
      <c r="BB56" s="4">
        <v>30.776757364614571</v>
      </c>
      <c r="BC56" s="4">
        <v>31.460685306050451</v>
      </c>
      <c r="BD56" s="4">
        <v>32.144613247486326</v>
      </c>
      <c r="BE56" s="4">
        <v>32.828541188922209</v>
      </c>
      <c r="BF56" s="4">
        <v>33.512469130358085</v>
      </c>
      <c r="BG56" s="4">
        <v>34.196397071793967</v>
      </c>
      <c r="BH56" s="4">
        <v>34.880325013229843</v>
      </c>
      <c r="BI56" s="4">
        <v>35.564252954665726</v>
      </c>
      <c r="BJ56" s="4">
        <v>36.248180896101609</v>
      </c>
      <c r="BK56" s="4">
        <v>36.932108837537484</v>
      </c>
      <c r="BL56" s="4">
        <v>37.616036778973367</v>
      </c>
      <c r="BM56" s="4">
        <v>38.299964720409243</v>
      </c>
      <c r="BN56" s="4">
        <v>38.983892661845125</v>
      </c>
      <c r="BO56" s="4">
        <v>39.667820603281001</v>
      </c>
      <c r="BP56" s="4">
        <v>40.351748544716884</v>
      </c>
      <c r="BQ56" s="4">
        <v>41.035676486152759</v>
      </c>
      <c r="BR56" s="4">
        <v>41.719604427588642</v>
      </c>
      <c r="BS56" s="4">
        <v>42.403532369024518</v>
      </c>
      <c r="BT56" s="4">
        <v>43.087460310460401</v>
      </c>
      <c r="BU56" s="4">
        <v>43.771388251896276</v>
      </c>
      <c r="BV56" s="4">
        <v>44.455316193332159</v>
      </c>
      <c r="BW56" s="4">
        <v>45.139244134768035</v>
      </c>
      <c r="BX56" s="4">
        <v>45.823172076203917</v>
      </c>
      <c r="BY56" s="4">
        <v>46.507100017639793</v>
      </c>
      <c r="BZ56" s="4">
        <v>47.191027959075676</v>
      </c>
      <c r="CA56" s="4">
        <v>47.874955900511551</v>
      </c>
    </row>
    <row r="57" spans="2:79" x14ac:dyDescent="0.35">
      <c r="B57" t="s">
        <v>75</v>
      </c>
      <c r="C57">
        <v>3740</v>
      </c>
      <c r="D57">
        <v>295.95</v>
      </c>
      <c r="H57" t="s">
        <v>75</v>
      </c>
      <c r="I57" s="3">
        <v>3740</v>
      </c>
      <c r="J57" s="4">
        <v>-0.74599797142353164</v>
      </c>
      <c r="K57" s="4">
        <v>-1.4919959428470633</v>
      </c>
      <c r="L57" s="4">
        <v>-2.2379939142705947</v>
      </c>
      <c r="M57" s="4">
        <v>-2.9839918856941265</v>
      </c>
      <c r="N57" s="4">
        <v>-3.729989857117658</v>
      </c>
      <c r="O57" s="4">
        <v>-4.4759878285411894</v>
      </c>
      <c r="P57" s="4">
        <v>-5.2219857999647212</v>
      </c>
      <c r="Q57" s="4">
        <v>-5.9679837713882531</v>
      </c>
      <c r="R57" s="4">
        <v>-6.7139817428117849</v>
      </c>
      <c r="S57" s="4">
        <v>-7.4599797142353159</v>
      </c>
      <c r="T57" s="4">
        <v>-8.2059776856588478</v>
      </c>
      <c r="U57" s="4">
        <v>-8.9519756570823787</v>
      </c>
      <c r="V57" s="4">
        <v>-9.6979736285059115</v>
      </c>
      <c r="W57" s="4">
        <v>-10.443971599929442</v>
      </c>
      <c r="X57" s="4">
        <v>-11.189969571352973</v>
      </c>
      <c r="Y57" s="4">
        <v>-11.935967542776506</v>
      </c>
      <c r="Z57" s="4">
        <v>-12.681965514200037</v>
      </c>
      <c r="AA57" s="4">
        <v>-13.42796348562357</v>
      </c>
      <c r="AB57" s="4">
        <v>-14.173961457047101</v>
      </c>
      <c r="AC57" s="4">
        <v>-14.919959428470632</v>
      </c>
      <c r="AD57" s="4">
        <v>-15.665957399894165</v>
      </c>
      <c r="AE57" s="4">
        <v>-16.411955371317696</v>
      </c>
      <c r="AF57" s="4">
        <v>-17.157953342741227</v>
      </c>
      <c r="AG57" s="4">
        <v>-17.903951314164757</v>
      </c>
      <c r="AH57" s="4">
        <v>-18.649949285588288</v>
      </c>
      <c r="AI57" s="4">
        <v>-19.395947257011823</v>
      </c>
      <c r="AJ57" s="4">
        <v>-20.141945228435354</v>
      </c>
      <c r="AK57" s="4">
        <v>-20.887943199858885</v>
      </c>
      <c r="AL57" s="4">
        <v>-21.633941171282416</v>
      </c>
      <c r="AM57" s="4">
        <v>-22.379939142705947</v>
      </c>
      <c r="AN57" s="4">
        <v>-23.125937114129481</v>
      </c>
      <c r="AO57" s="4">
        <v>-23.871935085553012</v>
      </c>
      <c r="AP57" s="4">
        <v>-24.617933056976543</v>
      </c>
      <c r="AQ57" s="4">
        <v>-25.363931028400074</v>
      </c>
      <c r="AR57" s="4">
        <v>-26.109928999823609</v>
      </c>
      <c r="AS57" s="4">
        <v>-26.85592697124714</v>
      </c>
      <c r="AT57" s="4">
        <v>-27.601924942670671</v>
      </c>
      <c r="AU57" s="4">
        <v>-28.347922914094202</v>
      </c>
      <c r="AV57" s="4">
        <v>-29.093920885517733</v>
      </c>
      <c r="AW57" s="4">
        <v>-29.839918856941264</v>
      </c>
      <c r="AX57" s="4">
        <v>-30.585916828364795</v>
      </c>
      <c r="AY57" s="4">
        <v>-31.331914799788329</v>
      </c>
      <c r="AZ57" s="4">
        <v>-32.077912771211857</v>
      </c>
      <c r="BA57" s="4">
        <v>-32.823910742635391</v>
      </c>
      <c r="BB57" s="4">
        <v>-33.569908714058919</v>
      </c>
      <c r="BC57" s="4">
        <v>-34.315906685482453</v>
      </c>
      <c r="BD57" s="4">
        <v>-35.061904656905988</v>
      </c>
      <c r="BE57" s="4">
        <v>-35.807902628329515</v>
      </c>
      <c r="BF57" s="4">
        <v>-36.55390059975305</v>
      </c>
      <c r="BG57" s="4">
        <v>-37.299898571176577</v>
      </c>
      <c r="BH57" s="4">
        <v>-38.045896542600111</v>
      </c>
      <c r="BI57" s="4">
        <v>-38.791894514023646</v>
      </c>
      <c r="BJ57" s="4">
        <v>-39.537892485447173</v>
      </c>
      <c r="BK57" s="4">
        <v>-40.283890456870708</v>
      </c>
      <c r="BL57" s="4">
        <v>-41.029888428294235</v>
      </c>
      <c r="BM57" s="4">
        <v>-41.77588639971777</v>
      </c>
      <c r="BN57" s="4">
        <v>-42.521884371141297</v>
      </c>
      <c r="BO57" s="4">
        <v>-43.267882342564832</v>
      </c>
      <c r="BP57" s="4">
        <v>-44.013880313988366</v>
      </c>
      <c r="BQ57" s="4">
        <v>-44.759878285411894</v>
      </c>
      <c r="BR57" s="4">
        <v>-45.505876256835428</v>
      </c>
      <c r="BS57" s="4">
        <v>-46.251874228258963</v>
      </c>
      <c r="BT57" s="4">
        <v>-46.997872199682497</v>
      </c>
      <c r="BU57" s="4">
        <v>-47.743870171106025</v>
      </c>
      <c r="BV57" s="4">
        <v>-48.489868142529559</v>
      </c>
      <c r="BW57" s="4">
        <v>-49.235866113953087</v>
      </c>
      <c r="BX57" s="4">
        <v>-49.981864085376621</v>
      </c>
      <c r="BY57" s="4">
        <v>-50.727862056800149</v>
      </c>
      <c r="BZ57" s="4">
        <v>-51.473860028223683</v>
      </c>
      <c r="CA57" s="4">
        <v>-52.219857999647218</v>
      </c>
    </row>
    <row r="58" spans="2:79" x14ac:dyDescent="0.35">
      <c r="B58" t="s">
        <v>76</v>
      </c>
      <c r="C58">
        <v>3740</v>
      </c>
      <c r="D58">
        <v>423.95</v>
      </c>
      <c r="H58" t="s">
        <v>76</v>
      </c>
      <c r="I58" s="3">
        <v>3740</v>
      </c>
      <c r="J58" s="4">
        <v>-0.60487960839654265</v>
      </c>
      <c r="K58" s="4">
        <v>-1.2097592167930853</v>
      </c>
      <c r="L58" s="4">
        <v>-1.8146388251896282</v>
      </c>
      <c r="M58" s="4">
        <v>-2.4195184335861706</v>
      </c>
      <c r="N58" s="4">
        <v>-3.0243980419827134</v>
      </c>
      <c r="O58" s="4">
        <v>-3.6292776503792563</v>
      </c>
      <c r="P58" s="4">
        <v>-4.2341572587757987</v>
      </c>
      <c r="Q58" s="4">
        <v>-4.8390368671723412</v>
      </c>
      <c r="R58" s="4">
        <v>-5.4439164755688845</v>
      </c>
      <c r="S58" s="4">
        <v>-6.0487960839654269</v>
      </c>
      <c r="T58" s="4">
        <v>-6.6536756923619702</v>
      </c>
      <c r="U58" s="4">
        <v>-7.2585553007585126</v>
      </c>
      <c r="V58" s="4">
        <v>-7.8634349091550551</v>
      </c>
      <c r="W58" s="4">
        <v>-8.4683145175515975</v>
      </c>
      <c r="X58" s="4">
        <v>-9.0731941259481399</v>
      </c>
      <c r="Y58" s="4">
        <v>-9.6780737343446823</v>
      </c>
      <c r="Z58" s="4">
        <v>-10.282953342741225</v>
      </c>
      <c r="AA58" s="4">
        <v>-10.887832951137769</v>
      </c>
      <c r="AB58" s="4">
        <v>-11.492712559534311</v>
      </c>
      <c r="AC58" s="4">
        <v>-12.097592167930854</v>
      </c>
      <c r="AD58" s="4">
        <v>-12.702471776327398</v>
      </c>
      <c r="AE58" s="4">
        <v>-13.30735138472394</v>
      </c>
      <c r="AF58" s="4">
        <v>-13.912230993120483</v>
      </c>
      <c r="AG58" s="4">
        <v>-14.517110601517025</v>
      </c>
      <c r="AH58" s="4">
        <v>-15.121990209913568</v>
      </c>
      <c r="AI58" s="4">
        <v>-15.72686981831011</v>
      </c>
      <c r="AJ58" s="4">
        <v>-16.331749426706654</v>
      </c>
      <c r="AK58" s="4">
        <v>-16.936629035103195</v>
      </c>
      <c r="AL58" s="4">
        <v>-17.541508643499739</v>
      </c>
      <c r="AM58" s="4">
        <v>-18.14638825189628</v>
      </c>
      <c r="AN58" s="4">
        <v>-18.751267860292824</v>
      </c>
      <c r="AO58" s="4">
        <v>-19.356147468689365</v>
      </c>
      <c r="AP58" s="4">
        <v>-19.961027077085909</v>
      </c>
      <c r="AQ58" s="4">
        <v>-20.565906685482449</v>
      </c>
      <c r="AR58" s="4">
        <v>-21.170786293878994</v>
      </c>
      <c r="AS58" s="4">
        <v>-21.775665902275538</v>
      </c>
      <c r="AT58" s="4">
        <v>-22.380545510672079</v>
      </c>
      <c r="AU58" s="4">
        <v>-22.985425119068623</v>
      </c>
      <c r="AV58" s="4">
        <v>-23.590304727465167</v>
      </c>
      <c r="AW58" s="4">
        <v>-24.195184335861708</v>
      </c>
      <c r="AX58" s="4">
        <v>-24.800063944258252</v>
      </c>
      <c r="AY58" s="4">
        <v>-25.404943552654796</v>
      </c>
      <c r="AZ58" s="4">
        <v>-26.009823161051337</v>
      </c>
      <c r="BA58" s="4">
        <v>-26.614702769447881</v>
      </c>
      <c r="BB58" s="4">
        <v>-27.219582377844421</v>
      </c>
      <c r="BC58" s="4">
        <v>-27.824461986240966</v>
      </c>
      <c r="BD58" s="4">
        <v>-28.429341594637506</v>
      </c>
      <c r="BE58" s="4">
        <v>-29.034221203034051</v>
      </c>
      <c r="BF58" s="4">
        <v>-29.639100811430591</v>
      </c>
      <c r="BG58" s="4">
        <v>-30.243980419827135</v>
      </c>
      <c r="BH58" s="4">
        <v>-30.848860028223676</v>
      </c>
      <c r="BI58" s="4">
        <v>-31.45373963662022</v>
      </c>
      <c r="BJ58" s="4">
        <v>-32.058619245016764</v>
      </c>
      <c r="BK58" s="4">
        <v>-32.663498853413309</v>
      </c>
      <c r="BL58" s="4">
        <v>-33.268378461809846</v>
      </c>
      <c r="BM58" s="4">
        <v>-33.87325807020639</v>
      </c>
      <c r="BN58" s="4">
        <v>-34.478137678602934</v>
      </c>
      <c r="BO58" s="4">
        <v>-35.083017286999478</v>
      </c>
      <c r="BP58" s="4">
        <v>-35.687896895396015</v>
      </c>
      <c r="BQ58" s="4">
        <v>-36.29277650379256</v>
      </c>
      <c r="BR58" s="4">
        <v>-36.897656112189104</v>
      </c>
      <c r="BS58" s="4">
        <v>-37.502535720585648</v>
      </c>
      <c r="BT58" s="4">
        <v>-38.107415328982192</v>
      </c>
      <c r="BU58" s="4">
        <v>-38.712294937378729</v>
      </c>
      <c r="BV58" s="4">
        <v>-39.317174545775273</v>
      </c>
      <c r="BW58" s="4">
        <v>-39.922054154171818</v>
      </c>
      <c r="BX58" s="4">
        <v>-40.526933762568362</v>
      </c>
      <c r="BY58" s="4">
        <v>-41.131813370964899</v>
      </c>
      <c r="BZ58" s="4">
        <v>-41.736692979361443</v>
      </c>
      <c r="CA58" s="4">
        <v>-42.341572587757987</v>
      </c>
    </row>
    <row r="59" spans="2:79" x14ac:dyDescent="0.35">
      <c r="B59" t="s">
        <v>77</v>
      </c>
      <c r="C59">
        <v>3740</v>
      </c>
      <c r="D59">
        <v>520.95000000000005</v>
      </c>
      <c r="H59" t="s">
        <v>77</v>
      </c>
      <c r="I59" s="3">
        <v>3740</v>
      </c>
      <c r="J59" s="4">
        <v>-0.4979383489151526</v>
      </c>
      <c r="K59" s="4">
        <v>-0.99587669783030519</v>
      </c>
      <c r="L59" s="4">
        <v>-1.4938150467454578</v>
      </c>
      <c r="M59" s="4">
        <v>-1.9917533956606104</v>
      </c>
      <c r="N59" s="4">
        <v>-2.4896917445757629</v>
      </c>
      <c r="O59" s="4">
        <v>-2.9876300934909157</v>
      </c>
      <c r="P59" s="4">
        <v>-3.485568442406068</v>
      </c>
      <c r="Q59" s="4">
        <v>-3.9835067913212208</v>
      </c>
      <c r="R59" s="4">
        <v>-4.4814451402363735</v>
      </c>
      <c r="S59" s="4">
        <v>-4.9793834891515258</v>
      </c>
      <c r="T59" s="4">
        <v>-5.4773218380666782</v>
      </c>
      <c r="U59" s="4">
        <v>-5.9752601869818314</v>
      </c>
      <c r="V59" s="4">
        <v>-6.4731985358969837</v>
      </c>
      <c r="W59" s="4">
        <v>-6.971136884812136</v>
      </c>
      <c r="X59" s="4">
        <v>-7.4690752337272883</v>
      </c>
      <c r="Y59" s="4">
        <v>-7.9670135826424415</v>
      </c>
      <c r="Z59" s="4">
        <v>-8.4649519315575947</v>
      </c>
      <c r="AA59" s="4">
        <v>-8.9628902804727471</v>
      </c>
      <c r="AB59" s="4">
        <v>-9.4608286293878994</v>
      </c>
      <c r="AC59" s="4">
        <v>-9.9587669783030517</v>
      </c>
      <c r="AD59" s="4">
        <v>-10.456705327218204</v>
      </c>
      <c r="AE59" s="4">
        <v>-10.954643676133356</v>
      </c>
      <c r="AF59" s="4">
        <v>-11.452582025048509</v>
      </c>
      <c r="AG59" s="4">
        <v>-11.950520373963663</v>
      </c>
      <c r="AH59" s="4">
        <v>-12.448458722878815</v>
      </c>
      <c r="AI59" s="4">
        <v>-12.946397071793967</v>
      </c>
      <c r="AJ59" s="4">
        <v>-13.44433542070912</v>
      </c>
      <c r="AK59" s="4">
        <v>-13.942273769624272</v>
      </c>
      <c r="AL59" s="4">
        <v>-14.440212118539424</v>
      </c>
      <c r="AM59" s="4">
        <v>-14.938150467454577</v>
      </c>
      <c r="AN59" s="4">
        <v>-15.436088816369731</v>
      </c>
      <c r="AO59" s="4">
        <v>-15.934027165284883</v>
      </c>
      <c r="AP59" s="4">
        <v>-16.431965514200034</v>
      </c>
      <c r="AQ59" s="4">
        <v>-16.929903863115189</v>
      </c>
      <c r="AR59" s="4">
        <v>-17.427842212030342</v>
      </c>
      <c r="AS59" s="4">
        <v>-17.925780560945494</v>
      </c>
      <c r="AT59" s="4">
        <v>-18.423718909860646</v>
      </c>
      <c r="AU59" s="4">
        <v>-18.921657258775799</v>
      </c>
      <c r="AV59" s="4">
        <v>-19.419595607690951</v>
      </c>
      <c r="AW59" s="4">
        <v>-19.917533956606103</v>
      </c>
      <c r="AX59" s="4">
        <v>-20.415472305521256</v>
      </c>
      <c r="AY59" s="4">
        <v>-20.913410654436408</v>
      </c>
      <c r="AZ59" s="4">
        <v>-21.41134900335156</v>
      </c>
      <c r="BA59" s="4">
        <v>-21.909287352266713</v>
      </c>
      <c r="BB59" s="4">
        <v>-22.407225701181865</v>
      </c>
      <c r="BC59" s="4">
        <v>-22.905164050097017</v>
      </c>
      <c r="BD59" s="4">
        <v>-23.403102399012173</v>
      </c>
      <c r="BE59" s="4">
        <v>-23.901040747927325</v>
      </c>
      <c r="BF59" s="4">
        <v>-24.398979096842478</v>
      </c>
      <c r="BG59" s="4">
        <v>-24.89691744575763</v>
      </c>
      <c r="BH59" s="4">
        <v>-25.394855794672782</v>
      </c>
      <c r="BI59" s="4">
        <v>-25.892794143587935</v>
      </c>
      <c r="BJ59" s="4">
        <v>-26.390732492503087</v>
      </c>
      <c r="BK59" s="4">
        <v>-26.888670841418239</v>
      </c>
      <c r="BL59" s="4">
        <v>-27.386609190333392</v>
      </c>
      <c r="BM59" s="4">
        <v>-27.884547539248544</v>
      </c>
      <c r="BN59" s="4">
        <v>-28.382485888163696</v>
      </c>
      <c r="BO59" s="4">
        <v>-28.880424237078849</v>
      </c>
      <c r="BP59" s="4">
        <v>-29.378362585994001</v>
      </c>
      <c r="BQ59" s="4">
        <v>-29.876300934909153</v>
      </c>
      <c r="BR59" s="4">
        <v>-30.374239283824309</v>
      </c>
      <c r="BS59" s="4">
        <v>-30.872177632739461</v>
      </c>
      <c r="BT59" s="4">
        <v>-31.370115981654614</v>
      </c>
      <c r="BU59" s="4">
        <v>-31.868054330569766</v>
      </c>
      <c r="BV59" s="4">
        <v>-32.365992679484918</v>
      </c>
      <c r="BW59" s="4">
        <v>-32.863931028400067</v>
      </c>
      <c r="BX59" s="4">
        <v>-33.361869377315223</v>
      </c>
      <c r="BY59" s="4">
        <v>-33.859807726230379</v>
      </c>
      <c r="BZ59" s="4">
        <v>-34.357746075145528</v>
      </c>
      <c r="CA59" s="4">
        <v>-34.855684424060684</v>
      </c>
    </row>
    <row r="60" spans="2:79" x14ac:dyDescent="0.35">
      <c r="B60" t="s">
        <v>78</v>
      </c>
      <c r="C60">
        <v>3740</v>
      </c>
      <c r="D60">
        <v>617.95000000000005</v>
      </c>
      <c r="H60" t="s">
        <v>78</v>
      </c>
      <c r="I60" s="3">
        <v>3740</v>
      </c>
      <c r="J60" s="4">
        <v>-0.39099708943376255</v>
      </c>
      <c r="K60" s="4">
        <v>-0.78199417886752509</v>
      </c>
      <c r="L60" s="4">
        <v>-1.1729912683012877</v>
      </c>
      <c r="M60" s="4">
        <v>-1.5639883577350502</v>
      </c>
      <c r="N60" s="4">
        <v>-1.9549854471688128</v>
      </c>
      <c r="O60" s="4">
        <v>-2.3459825366025755</v>
      </c>
      <c r="P60" s="4">
        <v>-2.7369796260363377</v>
      </c>
      <c r="Q60" s="4">
        <v>-3.1279767154701004</v>
      </c>
      <c r="R60" s="4">
        <v>-3.518973804903863</v>
      </c>
      <c r="S60" s="4">
        <v>-3.9099708943376257</v>
      </c>
      <c r="T60" s="4">
        <v>-4.3009679837713879</v>
      </c>
      <c r="U60" s="4">
        <v>-4.691965073205151</v>
      </c>
      <c r="V60" s="4">
        <v>-5.0829621626389123</v>
      </c>
      <c r="W60" s="4">
        <v>-5.4739592520726754</v>
      </c>
      <c r="X60" s="4">
        <v>-5.8649563415064385</v>
      </c>
      <c r="Y60" s="4">
        <v>-6.2559534309402007</v>
      </c>
      <c r="Z60" s="4">
        <v>-6.6469505203739638</v>
      </c>
      <c r="AA60" s="4">
        <v>-7.037947609807726</v>
      </c>
      <c r="AB60" s="4">
        <v>-7.4289446992414891</v>
      </c>
      <c r="AC60" s="4">
        <v>-7.8199417886752514</v>
      </c>
      <c r="AD60" s="4">
        <v>-8.2109388781090136</v>
      </c>
      <c r="AE60" s="4">
        <v>-8.6019359675427758</v>
      </c>
      <c r="AF60" s="4">
        <v>-8.9929330569765398</v>
      </c>
      <c r="AG60" s="4">
        <v>-9.383930146410302</v>
      </c>
      <c r="AH60" s="4">
        <v>-9.7749272358440642</v>
      </c>
      <c r="AI60" s="4">
        <v>-10.165924325277825</v>
      </c>
      <c r="AJ60" s="4">
        <v>-10.556921414711589</v>
      </c>
      <c r="AK60" s="4">
        <v>-10.947918504145351</v>
      </c>
      <c r="AL60" s="4">
        <v>-11.338915593579113</v>
      </c>
      <c r="AM60" s="4">
        <v>-11.729912683012877</v>
      </c>
      <c r="AN60" s="4">
        <v>-12.120909772446639</v>
      </c>
      <c r="AO60" s="4">
        <v>-12.511906861880401</v>
      </c>
      <c r="AP60" s="4">
        <v>-12.902903951314165</v>
      </c>
      <c r="AQ60" s="4">
        <v>-13.293901040747928</v>
      </c>
      <c r="AR60" s="4">
        <v>-13.68489813018169</v>
      </c>
      <c r="AS60" s="4">
        <v>-14.075895219615452</v>
      </c>
      <c r="AT60" s="4">
        <v>-14.466892309049214</v>
      </c>
      <c r="AU60" s="4">
        <v>-14.857889398482978</v>
      </c>
      <c r="AV60" s="4">
        <v>-15.248886487916741</v>
      </c>
      <c r="AW60" s="4">
        <v>-15.639883577350503</v>
      </c>
      <c r="AX60" s="4">
        <v>-16.030880666784267</v>
      </c>
      <c r="AY60" s="4">
        <v>-16.421877756218027</v>
      </c>
      <c r="AZ60" s="4">
        <v>-16.812874845651791</v>
      </c>
      <c r="BA60" s="4">
        <v>-17.203871935085552</v>
      </c>
      <c r="BB60" s="4">
        <v>-17.594869024519316</v>
      </c>
      <c r="BC60" s="4">
        <v>-17.98586611395308</v>
      </c>
      <c r="BD60" s="4">
        <v>-18.37686320338684</v>
      </c>
      <c r="BE60" s="4">
        <v>-18.767860292820604</v>
      </c>
      <c r="BF60" s="4">
        <v>-19.158857382254364</v>
      </c>
      <c r="BG60" s="4">
        <v>-19.549854471688128</v>
      </c>
      <c r="BH60" s="4">
        <v>-19.940851561121892</v>
      </c>
      <c r="BI60" s="4">
        <v>-20.331848650555649</v>
      </c>
      <c r="BJ60" s="4">
        <v>-20.722845739989413</v>
      </c>
      <c r="BK60" s="4">
        <v>-21.113842829423177</v>
      </c>
      <c r="BL60" s="4">
        <v>-21.504839918856938</v>
      </c>
      <c r="BM60" s="4">
        <v>-21.895837008290702</v>
      </c>
      <c r="BN60" s="4">
        <v>-22.286834097724462</v>
      </c>
      <c r="BO60" s="4">
        <v>-22.677831187158226</v>
      </c>
      <c r="BP60" s="4">
        <v>-23.06882827659199</v>
      </c>
      <c r="BQ60" s="4">
        <v>-23.459825366025754</v>
      </c>
      <c r="BR60" s="4">
        <v>-23.850822455459518</v>
      </c>
      <c r="BS60" s="4">
        <v>-24.241819544893279</v>
      </c>
      <c r="BT60" s="4">
        <v>-24.632816634327042</v>
      </c>
      <c r="BU60" s="4">
        <v>-25.023813723760803</v>
      </c>
      <c r="BV60" s="4">
        <v>-25.414810813194567</v>
      </c>
      <c r="BW60" s="4">
        <v>-25.805807902628331</v>
      </c>
      <c r="BX60" s="4">
        <v>-26.196804992062091</v>
      </c>
      <c r="BY60" s="4">
        <v>-26.587802081495855</v>
      </c>
      <c r="BZ60" s="4">
        <v>-26.978799170929616</v>
      </c>
      <c r="CA60" s="4">
        <v>-27.36979626036338</v>
      </c>
    </row>
    <row r="61" spans="2:79" x14ac:dyDescent="0.35">
      <c r="B61" t="s">
        <v>79</v>
      </c>
      <c r="C61">
        <v>3740</v>
      </c>
      <c r="D61">
        <v>715.95</v>
      </c>
      <c r="H61" t="s">
        <v>79</v>
      </c>
      <c r="I61" s="3">
        <v>3740</v>
      </c>
      <c r="J61" s="4">
        <v>-0.28295334274122413</v>
      </c>
      <c r="K61" s="4">
        <v>-0.56590668548244827</v>
      </c>
      <c r="L61" s="4">
        <v>-0.84886002822367257</v>
      </c>
      <c r="M61" s="4">
        <v>-1.1318133709648965</v>
      </c>
      <c r="N61" s="4">
        <v>-1.4147667137061208</v>
      </c>
      <c r="O61" s="4">
        <v>-1.6977200564473451</v>
      </c>
      <c r="P61" s="4">
        <v>-1.980673399188569</v>
      </c>
      <c r="Q61" s="4">
        <v>-2.2636267419297931</v>
      </c>
      <c r="R61" s="4">
        <v>-2.5465800846710174</v>
      </c>
      <c r="S61" s="4">
        <v>-2.8295334274122417</v>
      </c>
      <c r="T61" s="4">
        <v>-3.1124867701534664</v>
      </c>
      <c r="U61" s="4">
        <v>-3.3954401128946903</v>
      </c>
      <c r="V61" s="4">
        <v>-3.6783934556359141</v>
      </c>
      <c r="W61" s="4">
        <v>-3.961346798377138</v>
      </c>
      <c r="X61" s="4">
        <v>-4.2443001411183623</v>
      </c>
      <c r="Y61" s="4">
        <v>-4.5272534838595861</v>
      </c>
      <c r="Z61" s="4">
        <v>-4.8102068266008109</v>
      </c>
      <c r="AA61" s="4">
        <v>-5.0931601693420347</v>
      </c>
      <c r="AB61" s="4">
        <v>-5.3761135120832595</v>
      </c>
      <c r="AC61" s="4">
        <v>-5.6590668548244834</v>
      </c>
      <c r="AD61" s="4">
        <v>-5.9420201975657081</v>
      </c>
      <c r="AE61" s="4">
        <v>-6.2249735403069328</v>
      </c>
      <c r="AF61" s="4">
        <v>-6.5079268830481567</v>
      </c>
      <c r="AG61" s="4">
        <v>-6.7908802257893806</v>
      </c>
      <c r="AH61" s="4">
        <v>-7.0738335685306053</v>
      </c>
      <c r="AI61" s="4">
        <v>-7.3567869112718283</v>
      </c>
      <c r="AJ61" s="4">
        <v>-7.6397402540130521</v>
      </c>
      <c r="AK61" s="4">
        <v>-7.922693596754276</v>
      </c>
      <c r="AL61" s="4">
        <v>-8.2056469394954998</v>
      </c>
      <c r="AM61" s="4">
        <v>-8.4886002822367246</v>
      </c>
      <c r="AN61" s="4">
        <v>-8.7715536249779493</v>
      </c>
      <c r="AO61" s="4">
        <v>-9.0545069677191723</v>
      </c>
      <c r="AP61" s="4">
        <v>-9.337460310460397</v>
      </c>
      <c r="AQ61" s="4">
        <v>-9.6204136532016218</v>
      </c>
      <c r="AR61" s="4">
        <v>-9.9033669959428465</v>
      </c>
      <c r="AS61" s="4">
        <v>-10.186320338684069</v>
      </c>
      <c r="AT61" s="4">
        <v>-10.469273681425294</v>
      </c>
      <c r="AU61" s="4">
        <v>-10.752227024166519</v>
      </c>
      <c r="AV61" s="4">
        <v>-11.035180366907742</v>
      </c>
      <c r="AW61" s="4">
        <v>-11.318133709648967</v>
      </c>
      <c r="AX61" s="4">
        <v>-11.601087052390191</v>
      </c>
      <c r="AY61" s="4">
        <v>-11.884040395131416</v>
      </c>
      <c r="AZ61" s="4">
        <v>-12.166993737872641</v>
      </c>
      <c r="BA61" s="4">
        <v>-12.449947080613866</v>
      </c>
      <c r="BB61" s="4">
        <v>-12.732900423355089</v>
      </c>
      <c r="BC61" s="4">
        <v>-13.015853766096313</v>
      </c>
      <c r="BD61" s="4">
        <v>-13.298807108837538</v>
      </c>
      <c r="BE61" s="4">
        <v>-13.581760451578761</v>
      </c>
      <c r="BF61" s="4">
        <v>-13.864713794319986</v>
      </c>
      <c r="BG61" s="4">
        <v>-14.147667137061211</v>
      </c>
      <c r="BH61" s="4">
        <v>-14.430620479802434</v>
      </c>
      <c r="BI61" s="4">
        <v>-14.713573822543657</v>
      </c>
      <c r="BJ61" s="4">
        <v>-14.99652716528488</v>
      </c>
      <c r="BK61" s="4">
        <v>-15.279480508026104</v>
      </c>
      <c r="BL61" s="4">
        <v>-15.562433850767329</v>
      </c>
      <c r="BM61" s="4">
        <v>-15.845387193508552</v>
      </c>
      <c r="BN61" s="4">
        <v>-16.128340536249777</v>
      </c>
      <c r="BO61" s="4">
        <v>-16.411293878991</v>
      </c>
      <c r="BP61" s="4">
        <v>-16.694247221732226</v>
      </c>
      <c r="BQ61" s="4">
        <v>-16.977200564473449</v>
      </c>
      <c r="BR61" s="4">
        <v>-17.260153907214672</v>
      </c>
      <c r="BS61" s="4">
        <v>-17.543107249955899</v>
      </c>
      <c r="BT61" s="4">
        <v>-17.826060592697122</v>
      </c>
      <c r="BU61" s="4">
        <v>-18.109013935438345</v>
      </c>
      <c r="BV61" s="4">
        <v>-18.391967278179571</v>
      </c>
      <c r="BW61" s="4">
        <v>-18.674920620920794</v>
      </c>
      <c r="BX61" s="4">
        <v>-18.957873963662021</v>
      </c>
      <c r="BY61" s="4">
        <v>-19.240827306403244</v>
      </c>
      <c r="BZ61" s="4">
        <v>-19.523780649144467</v>
      </c>
      <c r="CA61" s="4">
        <v>-19.806733991885693</v>
      </c>
    </row>
    <row r="62" spans="2:79" x14ac:dyDescent="0.35">
      <c r="B62" t="s">
        <v>80</v>
      </c>
      <c r="C62">
        <v>5262</v>
      </c>
      <c r="D62">
        <v>812.95</v>
      </c>
      <c r="H62" t="s">
        <v>80</v>
      </c>
      <c r="I62" s="3">
        <v>5262</v>
      </c>
      <c r="J62" s="4">
        <v>-0.17601208325983417</v>
      </c>
      <c r="K62" s="4">
        <v>-0.35202416651966834</v>
      </c>
      <c r="L62" s="4">
        <v>-0.52803624977950248</v>
      </c>
      <c r="M62" s="4">
        <v>-0.70404833303933667</v>
      </c>
      <c r="N62" s="4">
        <v>-0.88006041629917076</v>
      </c>
      <c r="O62" s="4">
        <v>-1.056072499559005</v>
      </c>
      <c r="P62" s="4">
        <v>-1.2320845828188391</v>
      </c>
      <c r="Q62" s="4">
        <v>-1.4080966660786733</v>
      </c>
      <c r="R62" s="4">
        <v>-1.5841087493385073</v>
      </c>
      <c r="S62" s="4">
        <v>-1.7601208325983415</v>
      </c>
      <c r="T62" s="4">
        <v>-1.9361329158581757</v>
      </c>
      <c r="U62" s="4">
        <v>-2.1121449991180099</v>
      </c>
      <c r="V62" s="4">
        <v>-2.2881570823778441</v>
      </c>
      <c r="W62" s="4">
        <v>-2.4641691656376783</v>
      </c>
      <c r="X62" s="4">
        <v>-2.6401812488975125</v>
      </c>
      <c r="Y62" s="4">
        <v>-2.8161933321573467</v>
      </c>
      <c r="Z62" s="4">
        <v>-2.9922054154171804</v>
      </c>
      <c r="AA62" s="4">
        <v>-3.1682174986770146</v>
      </c>
      <c r="AB62" s="4">
        <v>-3.3442295819368488</v>
      </c>
      <c r="AC62" s="4">
        <v>-3.520241665196683</v>
      </c>
      <c r="AD62" s="4">
        <v>-3.6962537484565172</v>
      </c>
      <c r="AE62" s="4">
        <v>-3.8722658317163514</v>
      </c>
      <c r="AF62" s="4">
        <v>-4.0482779149761861</v>
      </c>
      <c r="AG62" s="4">
        <v>-4.2242899982360198</v>
      </c>
      <c r="AH62" s="4">
        <v>-4.4003020814958544</v>
      </c>
      <c r="AI62" s="4">
        <v>-4.5763141647556882</v>
      </c>
      <c r="AJ62" s="4">
        <v>-4.7523262480155219</v>
      </c>
      <c r="AK62" s="4">
        <v>-4.9283383312753566</v>
      </c>
      <c r="AL62" s="4">
        <v>-5.1043504145351903</v>
      </c>
      <c r="AM62" s="4">
        <v>-5.280362497795025</v>
      </c>
      <c r="AN62" s="4">
        <v>-5.4563745810548587</v>
      </c>
      <c r="AO62" s="4">
        <v>-5.6323866643146934</v>
      </c>
      <c r="AP62" s="4">
        <v>-5.8083987475745271</v>
      </c>
      <c r="AQ62" s="4">
        <v>-5.9844108308343609</v>
      </c>
      <c r="AR62" s="4">
        <v>-6.1604229140941955</v>
      </c>
      <c r="AS62" s="4">
        <v>-6.3364349973540293</v>
      </c>
      <c r="AT62" s="4">
        <v>-6.5124470806138639</v>
      </c>
      <c r="AU62" s="4">
        <v>-6.6884591638736977</v>
      </c>
      <c r="AV62" s="4">
        <v>-6.8644712471335323</v>
      </c>
      <c r="AW62" s="4">
        <v>-7.040483330393366</v>
      </c>
      <c r="AX62" s="4">
        <v>-7.2164954136532007</v>
      </c>
      <c r="AY62" s="4">
        <v>-7.3925074969130344</v>
      </c>
      <c r="AZ62" s="4">
        <v>-7.5685195801728691</v>
      </c>
      <c r="BA62" s="4">
        <v>-7.7445316634327028</v>
      </c>
      <c r="BB62" s="4">
        <v>-7.9205437466925375</v>
      </c>
      <c r="BC62" s="4">
        <v>-8.0965558299523721</v>
      </c>
      <c r="BD62" s="4">
        <v>-8.272567913212205</v>
      </c>
      <c r="BE62" s="4">
        <v>-8.4485799964720396</v>
      </c>
      <c r="BF62" s="4">
        <v>-8.6245920797318743</v>
      </c>
      <c r="BG62" s="4">
        <v>-8.8006041629917089</v>
      </c>
      <c r="BH62" s="4">
        <v>-8.9766162462515418</v>
      </c>
      <c r="BI62" s="4">
        <v>-9.1526283295113764</v>
      </c>
      <c r="BJ62" s="4">
        <v>-9.328640412771211</v>
      </c>
      <c r="BK62" s="4">
        <v>-9.5046524960310439</v>
      </c>
      <c r="BL62" s="4">
        <v>-9.6806645792908785</v>
      </c>
      <c r="BM62" s="4">
        <v>-9.8566766625507132</v>
      </c>
      <c r="BN62" s="4">
        <v>-10.032688745810548</v>
      </c>
      <c r="BO62" s="4">
        <v>-10.208700829070381</v>
      </c>
      <c r="BP62" s="4">
        <v>-10.384712912330215</v>
      </c>
      <c r="BQ62" s="4">
        <v>-10.56072499559005</v>
      </c>
      <c r="BR62" s="4">
        <v>-10.736737078849885</v>
      </c>
      <c r="BS62" s="4">
        <v>-10.912749162109717</v>
      </c>
      <c r="BT62" s="4">
        <v>-11.088761245369552</v>
      </c>
      <c r="BU62" s="4">
        <v>-11.264773328629387</v>
      </c>
      <c r="BV62" s="4">
        <v>-11.440785411889221</v>
      </c>
      <c r="BW62" s="4">
        <v>-11.616797495149054</v>
      </c>
      <c r="BX62" s="4">
        <v>-11.792809578408887</v>
      </c>
      <c r="BY62" s="4">
        <v>-11.968821661668722</v>
      </c>
      <c r="BZ62" s="4">
        <v>-12.144833744928556</v>
      </c>
      <c r="CA62" s="4">
        <v>-12.320845828188391</v>
      </c>
    </row>
    <row r="63" spans="2:79" x14ac:dyDescent="0.35">
      <c r="B63" t="s">
        <v>81</v>
      </c>
      <c r="C63">
        <v>5262</v>
      </c>
      <c r="D63">
        <v>909.95</v>
      </c>
      <c r="H63" t="s">
        <v>81</v>
      </c>
      <c r="I63" s="3">
        <v>5262</v>
      </c>
      <c r="J63" s="4">
        <v>-6.9070823778444146E-2</v>
      </c>
      <c r="K63" s="4">
        <v>-0.13814164755688829</v>
      </c>
      <c r="L63" s="4">
        <v>-0.20721247133533244</v>
      </c>
      <c r="M63" s="4">
        <v>-0.27628329511377658</v>
      </c>
      <c r="N63" s="4">
        <v>-0.34535411889222073</v>
      </c>
      <c r="O63" s="4">
        <v>-0.41442494267066488</v>
      </c>
      <c r="P63" s="4">
        <v>-0.48349576644910902</v>
      </c>
      <c r="Q63" s="4">
        <v>-0.55256659022755317</v>
      </c>
      <c r="R63" s="4">
        <v>-0.62163741400599726</v>
      </c>
      <c r="S63" s="4">
        <v>-0.69070823778444146</v>
      </c>
      <c r="T63" s="4">
        <v>-0.75977906156288555</v>
      </c>
      <c r="U63" s="4">
        <v>-0.82884988534132975</v>
      </c>
      <c r="V63" s="4">
        <v>-0.89792070911977384</v>
      </c>
      <c r="W63" s="4">
        <v>-0.96699153289821804</v>
      </c>
      <c r="X63" s="4">
        <v>-1.0360623566766622</v>
      </c>
      <c r="Y63" s="4">
        <v>-1.1051331804551063</v>
      </c>
      <c r="Z63" s="4">
        <v>-1.1742040042335504</v>
      </c>
      <c r="AA63" s="4">
        <v>-1.2432748280119945</v>
      </c>
      <c r="AB63" s="4">
        <v>-1.3123456517904388</v>
      </c>
      <c r="AC63" s="4">
        <v>-1.3814164755688829</v>
      </c>
      <c r="AD63" s="4">
        <v>-1.450487299347327</v>
      </c>
      <c r="AE63" s="4">
        <v>-1.5195581231257711</v>
      </c>
      <c r="AF63" s="4">
        <v>-1.5886289469042152</v>
      </c>
      <c r="AG63" s="4">
        <v>-1.6576997706826595</v>
      </c>
      <c r="AH63" s="4">
        <v>-1.7267705944611036</v>
      </c>
      <c r="AI63" s="4">
        <v>-1.7958414182395477</v>
      </c>
      <c r="AJ63" s="4">
        <v>-1.864912242017992</v>
      </c>
      <c r="AK63" s="4">
        <v>-1.9339830657964361</v>
      </c>
      <c r="AL63" s="4">
        <v>-2.0030538895748804</v>
      </c>
      <c r="AM63" s="4">
        <v>-2.0721247133533245</v>
      </c>
      <c r="AN63" s="4">
        <v>-2.1411955371317686</v>
      </c>
      <c r="AO63" s="4">
        <v>-2.2102663609102127</v>
      </c>
      <c r="AP63" s="4">
        <v>-2.2793371846886568</v>
      </c>
      <c r="AQ63" s="4">
        <v>-2.3484080084671008</v>
      </c>
      <c r="AR63" s="4">
        <v>-2.4174788322455449</v>
      </c>
      <c r="AS63" s="4">
        <v>-2.486549656023989</v>
      </c>
      <c r="AT63" s="4">
        <v>-2.5556204798024331</v>
      </c>
      <c r="AU63" s="4">
        <v>-2.6246913035808777</v>
      </c>
      <c r="AV63" s="4">
        <v>-2.6937621273593217</v>
      </c>
      <c r="AW63" s="4">
        <v>-2.7628329511377658</v>
      </c>
      <c r="AX63" s="4">
        <v>-2.8319037749162099</v>
      </c>
      <c r="AY63" s="4">
        <v>-2.900974598694654</v>
      </c>
      <c r="AZ63" s="4">
        <v>-2.9700454224730981</v>
      </c>
      <c r="BA63" s="4">
        <v>-3.0391162462515422</v>
      </c>
      <c r="BB63" s="4">
        <v>-3.1081870700299863</v>
      </c>
      <c r="BC63" s="4">
        <v>-3.1772578938084304</v>
      </c>
      <c r="BD63" s="4">
        <v>-3.2463287175868749</v>
      </c>
      <c r="BE63" s="4">
        <v>-3.315399541365319</v>
      </c>
      <c r="BF63" s="4">
        <v>-3.3844703651437631</v>
      </c>
      <c r="BG63" s="4">
        <v>-3.4535411889222072</v>
      </c>
      <c r="BH63" s="4">
        <v>-3.5226120127006513</v>
      </c>
      <c r="BI63" s="4">
        <v>-3.5916828364790954</v>
      </c>
      <c r="BJ63" s="4">
        <v>-3.6607536602575399</v>
      </c>
      <c r="BK63" s="4">
        <v>-3.729824484035984</v>
      </c>
      <c r="BL63" s="4">
        <v>-3.7988953078144281</v>
      </c>
      <c r="BM63" s="4">
        <v>-3.8679661315928722</v>
      </c>
      <c r="BN63" s="4">
        <v>-3.9370369553713163</v>
      </c>
      <c r="BO63" s="4">
        <v>-4.0061077791497608</v>
      </c>
      <c r="BP63" s="4">
        <v>-4.0751786029282044</v>
      </c>
      <c r="BQ63" s="4">
        <v>-4.144249426706649</v>
      </c>
      <c r="BR63" s="4">
        <v>-4.2133202504850935</v>
      </c>
      <c r="BS63" s="4">
        <v>-4.2823910742635372</v>
      </c>
      <c r="BT63" s="4">
        <v>-4.3514618980419817</v>
      </c>
      <c r="BU63" s="4">
        <v>-4.4205327218204253</v>
      </c>
      <c r="BV63" s="4">
        <v>-4.489603545598869</v>
      </c>
      <c r="BW63" s="4">
        <v>-4.5586743693773135</v>
      </c>
      <c r="BX63" s="4">
        <v>-4.6277451931557572</v>
      </c>
      <c r="BY63" s="4">
        <v>-4.6968160169342017</v>
      </c>
      <c r="BZ63" s="4">
        <v>-4.7658868407126462</v>
      </c>
      <c r="CA63" s="4">
        <v>-4.8349576644910899</v>
      </c>
    </row>
    <row r="64" spans="2:79" x14ac:dyDescent="0.35">
      <c r="B64" t="s">
        <v>82</v>
      </c>
      <c r="C64">
        <v>3740</v>
      </c>
      <c r="D64">
        <v>1006.95</v>
      </c>
      <c r="H64" t="s">
        <v>82</v>
      </c>
      <c r="I64" s="3">
        <v>3740</v>
      </c>
      <c r="J64" s="4">
        <v>3.7870435702945869E-2</v>
      </c>
      <c r="K64" s="4">
        <v>7.5740871405891738E-2</v>
      </c>
      <c r="L64" s="4">
        <v>0.11361130710883761</v>
      </c>
      <c r="M64" s="4">
        <v>0.15148174281178348</v>
      </c>
      <c r="N64" s="4">
        <v>0.18935217851472935</v>
      </c>
      <c r="O64" s="4">
        <v>0.22722261421767523</v>
      </c>
      <c r="P64" s="4">
        <v>0.2650930499206211</v>
      </c>
      <c r="Q64" s="4">
        <v>0.30296348562356695</v>
      </c>
      <c r="R64" s="4">
        <v>0.34083392132651286</v>
      </c>
      <c r="S64" s="4">
        <v>0.3787043570294587</v>
      </c>
      <c r="T64" s="4">
        <v>0.41657479273240455</v>
      </c>
      <c r="U64" s="4">
        <v>0.45444522843535046</v>
      </c>
      <c r="V64" s="4">
        <v>0.49231566413829631</v>
      </c>
      <c r="W64" s="4">
        <v>0.53018609984124221</v>
      </c>
      <c r="X64" s="4">
        <v>0.56805653554418811</v>
      </c>
      <c r="Y64" s="4">
        <v>0.60592697124713391</v>
      </c>
      <c r="Z64" s="4">
        <v>0.64379740695007981</v>
      </c>
      <c r="AA64" s="4">
        <v>0.68166784265302571</v>
      </c>
      <c r="AB64" s="4">
        <v>0.71953827835597151</v>
      </c>
      <c r="AC64" s="4">
        <v>0.75740871405891741</v>
      </c>
      <c r="AD64" s="4">
        <v>0.7952791497618632</v>
      </c>
      <c r="AE64" s="4">
        <v>0.83314958546480911</v>
      </c>
      <c r="AF64" s="4">
        <v>0.87102002116775512</v>
      </c>
      <c r="AG64" s="4">
        <v>0.90889045687070091</v>
      </c>
      <c r="AH64" s="4">
        <v>0.94676089257364682</v>
      </c>
      <c r="AI64" s="4">
        <v>0.98463132827659261</v>
      </c>
      <c r="AJ64" s="4">
        <v>1.0225017639795384</v>
      </c>
      <c r="AK64" s="4">
        <v>1.0603721996824844</v>
      </c>
      <c r="AL64" s="4">
        <v>1.0982426353854304</v>
      </c>
      <c r="AM64" s="4">
        <v>1.1361130710883762</v>
      </c>
      <c r="AN64" s="4">
        <v>1.173983506791322</v>
      </c>
      <c r="AO64" s="4">
        <v>1.2118539424942678</v>
      </c>
      <c r="AP64" s="4">
        <v>1.2497243781972138</v>
      </c>
      <c r="AQ64" s="4">
        <v>1.2875948139001596</v>
      </c>
      <c r="AR64" s="4">
        <v>1.3254652496031054</v>
      </c>
      <c r="AS64" s="4">
        <v>1.3633356853060514</v>
      </c>
      <c r="AT64" s="4">
        <v>1.4012061210089972</v>
      </c>
      <c r="AU64" s="4">
        <v>1.439076556711943</v>
      </c>
      <c r="AV64" s="4">
        <v>1.476946992414889</v>
      </c>
      <c r="AW64" s="4">
        <v>1.5148174281178348</v>
      </c>
      <c r="AX64" s="4">
        <v>1.5526878638207806</v>
      </c>
      <c r="AY64" s="4">
        <v>1.5905582995237264</v>
      </c>
      <c r="AZ64" s="4">
        <v>1.6284287352266724</v>
      </c>
      <c r="BA64" s="4">
        <v>1.6662991709296182</v>
      </c>
      <c r="BB64" s="4">
        <v>1.7041696066325644</v>
      </c>
      <c r="BC64" s="4">
        <v>1.7420400423355102</v>
      </c>
      <c r="BD64" s="4">
        <v>1.779910478038456</v>
      </c>
      <c r="BE64" s="4">
        <v>1.8177809137414018</v>
      </c>
      <c r="BF64" s="4">
        <v>1.8556513494443476</v>
      </c>
      <c r="BG64" s="4">
        <v>1.8935217851472936</v>
      </c>
      <c r="BH64" s="4">
        <v>1.9313922208502394</v>
      </c>
      <c r="BI64" s="4">
        <v>1.9692626565531852</v>
      </c>
      <c r="BJ64" s="4">
        <v>2.0071330922561312</v>
      </c>
      <c r="BK64" s="4">
        <v>2.0450035279590768</v>
      </c>
      <c r="BL64" s="4">
        <v>2.0828739636620228</v>
      </c>
      <c r="BM64" s="4">
        <v>2.1207443993649688</v>
      </c>
      <c r="BN64" s="4">
        <v>2.1586148350679144</v>
      </c>
      <c r="BO64" s="4">
        <v>2.1964852707708609</v>
      </c>
      <c r="BP64" s="4">
        <v>2.2343557064738064</v>
      </c>
      <c r="BQ64" s="4">
        <v>2.2722261421767525</v>
      </c>
      <c r="BR64" s="4">
        <v>2.310096577879698</v>
      </c>
      <c r="BS64" s="4">
        <v>2.347967013582644</v>
      </c>
      <c r="BT64" s="4">
        <v>2.3858374492855901</v>
      </c>
      <c r="BU64" s="4">
        <v>2.4237078849885356</v>
      </c>
      <c r="BV64" s="4">
        <v>2.4615783206914816</v>
      </c>
      <c r="BW64" s="4">
        <v>2.4994487563944277</v>
      </c>
      <c r="BX64" s="4">
        <v>2.5373191920973732</v>
      </c>
      <c r="BY64" s="4">
        <v>2.5751896278003192</v>
      </c>
      <c r="BZ64" s="4">
        <v>2.6130600635032648</v>
      </c>
      <c r="CA64" s="4">
        <v>2.6509304992062108</v>
      </c>
    </row>
    <row r="65" spans="2:79" x14ac:dyDescent="0.35">
      <c r="B65" t="s">
        <v>83</v>
      </c>
      <c r="C65">
        <v>3740</v>
      </c>
      <c r="D65">
        <v>1103.95</v>
      </c>
      <c r="H65" t="s">
        <v>83</v>
      </c>
      <c r="I65" s="3">
        <v>3740</v>
      </c>
      <c r="J65" s="4">
        <v>0.14481169518433587</v>
      </c>
      <c r="K65" s="4">
        <v>0.28962339036867174</v>
      </c>
      <c r="L65" s="4">
        <v>0.43443508555300764</v>
      </c>
      <c r="M65" s="4">
        <v>0.57924678073734348</v>
      </c>
      <c r="N65" s="4">
        <v>0.72405847592167949</v>
      </c>
      <c r="O65" s="4">
        <v>0.86887017110601528</v>
      </c>
      <c r="P65" s="4">
        <v>1.0136818662903513</v>
      </c>
      <c r="Q65" s="4">
        <v>1.158493561474687</v>
      </c>
      <c r="R65" s="4">
        <v>1.3033052566590229</v>
      </c>
      <c r="S65" s="4">
        <v>1.448116951843359</v>
      </c>
      <c r="T65" s="4">
        <v>1.5929286470276949</v>
      </c>
      <c r="U65" s="4">
        <v>1.7377403422120306</v>
      </c>
      <c r="V65" s="4">
        <v>1.8825520373963665</v>
      </c>
      <c r="W65" s="4">
        <v>2.0273637325807026</v>
      </c>
      <c r="X65" s="4">
        <v>2.1721754277650382</v>
      </c>
      <c r="Y65" s="4">
        <v>2.3169871229493739</v>
      </c>
      <c r="Z65" s="4">
        <v>2.46179881813371</v>
      </c>
      <c r="AA65" s="4">
        <v>2.6066105133180457</v>
      </c>
      <c r="AB65" s="4">
        <v>2.7514222085023818</v>
      </c>
      <c r="AC65" s="4">
        <v>2.896233903686718</v>
      </c>
      <c r="AD65" s="4">
        <v>3.0410455988710536</v>
      </c>
      <c r="AE65" s="4">
        <v>3.1858572940553898</v>
      </c>
      <c r="AF65" s="4">
        <v>3.3306689892397254</v>
      </c>
      <c r="AG65" s="4">
        <v>3.4754806844240611</v>
      </c>
      <c r="AH65" s="4">
        <v>3.6202923796083972</v>
      </c>
      <c r="AI65" s="4">
        <v>3.7651040747927329</v>
      </c>
      <c r="AJ65" s="4">
        <v>3.909915769977069</v>
      </c>
      <c r="AK65" s="4">
        <v>4.0547274651614051</v>
      </c>
      <c r="AL65" s="4">
        <v>4.1995391603457408</v>
      </c>
      <c r="AM65" s="4">
        <v>4.3443508555300765</v>
      </c>
      <c r="AN65" s="4">
        <v>4.4891625507144122</v>
      </c>
      <c r="AO65" s="4">
        <v>4.6339742458987478</v>
      </c>
      <c r="AP65" s="4">
        <v>4.7787859410830844</v>
      </c>
      <c r="AQ65" s="4">
        <v>4.9235976362674201</v>
      </c>
      <c r="AR65" s="4">
        <v>5.0684093314517558</v>
      </c>
      <c r="AS65" s="4">
        <v>5.2132210266360914</v>
      </c>
      <c r="AT65" s="4">
        <v>5.3580327218204271</v>
      </c>
      <c r="AU65" s="4">
        <v>5.5028444170047637</v>
      </c>
      <c r="AV65" s="4">
        <v>5.6476561121891002</v>
      </c>
      <c r="AW65" s="4">
        <v>5.7924678073734359</v>
      </c>
      <c r="AX65" s="4">
        <v>5.9372795025577716</v>
      </c>
      <c r="AY65" s="4">
        <v>6.0820911977421073</v>
      </c>
      <c r="AZ65" s="4">
        <v>6.2269028929264429</v>
      </c>
      <c r="BA65" s="4">
        <v>6.3717145881107795</v>
      </c>
      <c r="BB65" s="4">
        <v>6.5165262832951152</v>
      </c>
      <c r="BC65" s="4">
        <v>6.6613379784794509</v>
      </c>
      <c r="BD65" s="4">
        <v>6.8061496736637865</v>
      </c>
      <c r="BE65" s="4">
        <v>6.9509613688481222</v>
      </c>
      <c r="BF65" s="4">
        <v>7.0957730640324588</v>
      </c>
      <c r="BG65" s="4">
        <v>7.2405847592167945</v>
      </c>
      <c r="BH65" s="4">
        <v>7.3853964544011301</v>
      </c>
      <c r="BI65" s="4">
        <v>7.5302081495854658</v>
      </c>
      <c r="BJ65" s="4">
        <v>7.6750198447698024</v>
      </c>
      <c r="BK65" s="4">
        <v>7.819831539954138</v>
      </c>
      <c r="BL65" s="4">
        <v>7.9646432351384737</v>
      </c>
      <c r="BM65" s="4">
        <v>8.1094549303228103</v>
      </c>
      <c r="BN65" s="4">
        <v>8.254266625507146</v>
      </c>
      <c r="BO65" s="4">
        <v>8.3990783206914816</v>
      </c>
      <c r="BP65" s="4">
        <v>8.5438900158758173</v>
      </c>
      <c r="BQ65" s="4">
        <v>8.688701711060153</v>
      </c>
      <c r="BR65" s="4">
        <v>8.8335134062444887</v>
      </c>
      <c r="BS65" s="4">
        <v>8.9783251014288243</v>
      </c>
      <c r="BT65" s="4">
        <v>9.12313679661316</v>
      </c>
      <c r="BU65" s="4">
        <v>9.2679484917974957</v>
      </c>
      <c r="BV65" s="4">
        <v>9.4127601869818331</v>
      </c>
      <c r="BW65" s="4">
        <v>9.5575718821661688</v>
      </c>
      <c r="BX65" s="4">
        <v>9.7023835773505045</v>
      </c>
      <c r="BY65" s="4">
        <v>9.8471952725348402</v>
      </c>
      <c r="BZ65" s="4">
        <v>9.9920069677191758</v>
      </c>
      <c r="CA65" s="4">
        <v>10.136818662903512</v>
      </c>
    </row>
    <row r="66" spans="2:79" x14ac:dyDescent="0.35">
      <c r="B66" t="s">
        <v>84</v>
      </c>
      <c r="C66">
        <v>3740</v>
      </c>
      <c r="D66">
        <v>1200.95</v>
      </c>
      <c r="H66" t="s">
        <v>84</v>
      </c>
      <c r="I66" s="3">
        <v>3740</v>
      </c>
      <c r="J66" s="4">
        <v>0.25175295466572589</v>
      </c>
      <c r="K66" s="4">
        <v>0.50350590933145178</v>
      </c>
      <c r="L66" s="4">
        <v>0.75525886399717768</v>
      </c>
      <c r="M66" s="4">
        <v>1.0070118186629036</v>
      </c>
      <c r="N66" s="4">
        <v>1.2587647733286296</v>
      </c>
      <c r="O66" s="4">
        <v>1.5105177279943554</v>
      </c>
      <c r="P66" s="4">
        <v>1.7622706826600814</v>
      </c>
      <c r="Q66" s="4">
        <v>2.0140236373258071</v>
      </c>
      <c r="R66" s="4">
        <v>2.2657765919915334</v>
      </c>
      <c r="S66" s="4">
        <v>2.5175295466572591</v>
      </c>
      <c r="T66" s="4">
        <v>2.7692825013229849</v>
      </c>
      <c r="U66" s="4">
        <v>3.0210354559887107</v>
      </c>
      <c r="V66" s="4">
        <v>3.2727884106544369</v>
      </c>
      <c r="W66" s="4">
        <v>3.5245413653201627</v>
      </c>
      <c r="X66" s="4">
        <v>3.7762943199858889</v>
      </c>
      <c r="Y66" s="4">
        <v>4.0280472746516143</v>
      </c>
      <c r="Z66" s="4">
        <v>4.2798002293173409</v>
      </c>
      <c r="AA66" s="4">
        <v>4.5315531839830667</v>
      </c>
      <c r="AB66" s="4">
        <v>4.7833061386487925</v>
      </c>
      <c r="AC66" s="4">
        <v>5.0350590933145183</v>
      </c>
      <c r="AD66" s="4">
        <v>5.2868120479802441</v>
      </c>
      <c r="AE66" s="4">
        <v>5.5385650026459698</v>
      </c>
      <c r="AF66" s="4">
        <v>5.7903179573116947</v>
      </c>
      <c r="AG66" s="4">
        <v>6.0420709119774214</v>
      </c>
      <c r="AH66" s="4">
        <v>6.2938238666431472</v>
      </c>
      <c r="AI66" s="4">
        <v>6.5455768213088739</v>
      </c>
      <c r="AJ66" s="4">
        <v>6.7973297759745996</v>
      </c>
      <c r="AK66" s="4">
        <v>7.0490827306403254</v>
      </c>
      <c r="AL66" s="4">
        <v>7.3008356853060521</v>
      </c>
      <c r="AM66" s="4">
        <v>7.5525886399717779</v>
      </c>
      <c r="AN66" s="4">
        <v>7.8043415946375037</v>
      </c>
      <c r="AO66" s="4">
        <v>8.0560945493032285</v>
      </c>
      <c r="AP66" s="4">
        <v>8.3078475039689561</v>
      </c>
      <c r="AQ66" s="4">
        <v>8.5596004586346819</v>
      </c>
      <c r="AR66" s="4">
        <v>8.8113534133004077</v>
      </c>
      <c r="AS66" s="4">
        <v>9.0631063679661334</v>
      </c>
      <c r="AT66" s="4">
        <v>9.3148593226318592</v>
      </c>
      <c r="AU66" s="4">
        <v>9.566612277297585</v>
      </c>
      <c r="AV66" s="4">
        <v>9.8183652319633108</v>
      </c>
      <c r="AW66" s="4">
        <v>10.070118186629037</v>
      </c>
      <c r="AX66" s="4">
        <v>10.321871141294762</v>
      </c>
      <c r="AY66" s="4">
        <v>10.573624095960488</v>
      </c>
      <c r="AZ66" s="4">
        <v>10.825377050626214</v>
      </c>
      <c r="BA66" s="4">
        <v>11.07713000529194</v>
      </c>
      <c r="BB66" s="4">
        <v>11.328882959957665</v>
      </c>
      <c r="BC66" s="4">
        <v>11.580635914623389</v>
      </c>
      <c r="BD66" s="4">
        <v>11.832388869289117</v>
      </c>
      <c r="BE66" s="4">
        <v>12.084141823954843</v>
      </c>
      <c r="BF66" s="4">
        <v>12.335894778620569</v>
      </c>
      <c r="BG66" s="4">
        <v>12.587647733286294</v>
      </c>
      <c r="BH66" s="4">
        <v>12.83940068795202</v>
      </c>
      <c r="BI66" s="4">
        <v>13.091153642617748</v>
      </c>
      <c r="BJ66" s="4">
        <v>13.342906597283474</v>
      </c>
      <c r="BK66" s="4">
        <v>13.594659551949199</v>
      </c>
      <c r="BL66" s="4">
        <v>13.846412506614925</v>
      </c>
      <c r="BM66" s="4">
        <v>14.098165461280651</v>
      </c>
      <c r="BN66" s="4">
        <v>14.349918415946378</v>
      </c>
      <c r="BO66" s="4">
        <v>14.601671370612104</v>
      </c>
      <c r="BP66" s="4">
        <v>14.85342432527783</v>
      </c>
      <c r="BQ66" s="4">
        <v>15.105177279943556</v>
      </c>
      <c r="BR66" s="4">
        <v>15.356930234609282</v>
      </c>
      <c r="BS66" s="4">
        <v>15.608683189275007</v>
      </c>
      <c r="BT66" s="4">
        <v>15.860436143940733</v>
      </c>
      <c r="BU66" s="4">
        <v>16.112189098606457</v>
      </c>
      <c r="BV66" s="4">
        <v>16.363942053272183</v>
      </c>
      <c r="BW66" s="4">
        <v>16.615695007937912</v>
      </c>
      <c r="BX66" s="4">
        <v>16.867447962603638</v>
      </c>
      <c r="BY66" s="4">
        <v>17.119200917269364</v>
      </c>
      <c r="BZ66" s="4">
        <v>17.37095387193509</v>
      </c>
      <c r="CA66" s="4">
        <v>17.622706826600815</v>
      </c>
    </row>
    <row r="67" spans="2:79" x14ac:dyDescent="0.35">
      <c r="B67" t="s">
        <v>85</v>
      </c>
      <c r="C67">
        <v>3740</v>
      </c>
      <c r="D67">
        <v>1297.95</v>
      </c>
      <c r="H67" t="s">
        <v>85</v>
      </c>
      <c r="I67" s="3">
        <v>3740</v>
      </c>
      <c r="J67" s="4">
        <v>0.35869421414711594</v>
      </c>
      <c r="K67" s="4">
        <v>0.71738842829423188</v>
      </c>
      <c r="L67" s="4">
        <v>1.0760826424413477</v>
      </c>
      <c r="M67" s="4">
        <v>1.4347768565884638</v>
      </c>
      <c r="N67" s="4">
        <v>1.7934710707355794</v>
      </c>
      <c r="O67" s="4">
        <v>2.1521652848826953</v>
      </c>
      <c r="P67" s="4">
        <v>2.5108594990298116</v>
      </c>
      <c r="Q67" s="4">
        <v>2.8695537131769275</v>
      </c>
      <c r="R67" s="4">
        <v>3.228247927324043</v>
      </c>
      <c r="S67" s="4">
        <v>3.5869421414711589</v>
      </c>
      <c r="T67" s="4">
        <v>3.9456363556182747</v>
      </c>
      <c r="U67" s="4">
        <v>4.3043305697653906</v>
      </c>
      <c r="V67" s="4">
        <v>4.6630247839125074</v>
      </c>
      <c r="W67" s="4">
        <v>5.0217189980596233</v>
      </c>
      <c r="X67" s="4">
        <v>5.3804132122067392</v>
      </c>
      <c r="Y67" s="4">
        <v>5.7391074263538551</v>
      </c>
      <c r="Z67" s="4">
        <v>6.0978016405009701</v>
      </c>
      <c r="AA67" s="4">
        <v>6.456495854648086</v>
      </c>
      <c r="AB67" s="4">
        <v>6.8151900687952018</v>
      </c>
      <c r="AC67" s="4">
        <v>7.1738842829423177</v>
      </c>
      <c r="AD67" s="4">
        <v>7.5325784970894336</v>
      </c>
      <c r="AE67" s="4">
        <v>7.8912727112365495</v>
      </c>
      <c r="AF67" s="4">
        <v>8.2499669253836654</v>
      </c>
      <c r="AG67" s="4">
        <v>8.6086611395307813</v>
      </c>
      <c r="AH67" s="4">
        <v>8.9673553536778972</v>
      </c>
      <c r="AI67" s="4">
        <v>9.3260495678250148</v>
      </c>
      <c r="AJ67" s="4">
        <v>9.6847437819721307</v>
      </c>
      <c r="AK67" s="4">
        <v>10.043437996119247</v>
      </c>
      <c r="AL67" s="4">
        <v>10.402132210266362</v>
      </c>
      <c r="AM67" s="4">
        <v>10.760826424413478</v>
      </c>
      <c r="AN67" s="4">
        <v>11.119520638560594</v>
      </c>
      <c r="AO67" s="4">
        <v>11.47821485270771</v>
      </c>
      <c r="AP67" s="4">
        <v>11.836909066854824</v>
      </c>
      <c r="AQ67" s="4">
        <v>12.19560328100194</v>
      </c>
      <c r="AR67" s="4">
        <v>12.554297495149056</v>
      </c>
      <c r="AS67" s="4">
        <v>12.912991709296172</v>
      </c>
      <c r="AT67" s="4">
        <v>13.271685923443288</v>
      </c>
      <c r="AU67" s="4">
        <v>13.630380137590404</v>
      </c>
      <c r="AV67" s="4">
        <v>13.98907435173752</v>
      </c>
      <c r="AW67" s="4">
        <v>14.347768565884635</v>
      </c>
      <c r="AX67" s="4">
        <v>14.706462780031751</v>
      </c>
      <c r="AY67" s="4">
        <v>15.065156994178867</v>
      </c>
      <c r="AZ67" s="4">
        <v>15.423851208325983</v>
      </c>
      <c r="BA67" s="4">
        <v>15.782545422473099</v>
      </c>
      <c r="BB67" s="4">
        <v>16.141239636620217</v>
      </c>
      <c r="BC67" s="4">
        <v>16.499933850767331</v>
      </c>
      <c r="BD67" s="4">
        <v>16.858628064914448</v>
      </c>
      <c r="BE67" s="4">
        <v>17.217322279061563</v>
      </c>
      <c r="BF67" s="4">
        <v>17.57601649320868</v>
      </c>
      <c r="BG67" s="4">
        <v>17.934710707355794</v>
      </c>
      <c r="BH67" s="4">
        <v>18.293404921502912</v>
      </c>
      <c r="BI67" s="4">
        <v>18.65209913565003</v>
      </c>
      <c r="BJ67" s="4">
        <v>19.010793349797144</v>
      </c>
      <c r="BK67" s="4">
        <v>19.369487563944261</v>
      </c>
      <c r="BL67" s="4">
        <v>19.728181778091376</v>
      </c>
      <c r="BM67" s="4">
        <v>20.086875992238493</v>
      </c>
      <c r="BN67" s="4">
        <v>20.445570206385607</v>
      </c>
      <c r="BO67" s="4">
        <v>20.804264420532725</v>
      </c>
      <c r="BP67" s="4">
        <v>21.162958634679839</v>
      </c>
      <c r="BQ67" s="4">
        <v>21.521652848826957</v>
      </c>
      <c r="BR67" s="4">
        <v>21.880347062974071</v>
      </c>
      <c r="BS67" s="4">
        <v>22.239041277121189</v>
      </c>
      <c r="BT67" s="4">
        <v>22.597735491268303</v>
      </c>
      <c r="BU67" s="4">
        <v>22.95642970541542</v>
      </c>
      <c r="BV67" s="4">
        <v>23.315123919562534</v>
      </c>
      <c r="BW67" s="4">
        <v>23.673818133709648</v>
      </c>
      <c r="BX67" s="4">
        <v>24.032512347856766</v>
      </c>
      <c r="BY67" s="4">
        <v>24.39120656200388</v>
      </c>
      <c r="BZ67" s="4">
        <v>24.749900776150998</v>
      </c>
      <c r="CA67" s="4">
        <v>25.108594990298112</v>
      </c>
    </row>
    <row r="68" spans="2:79" x14ac:dyDescent="0.35">
      <c r="B68" t="s">
        <v>86</v>
      </c>
      <c r="C68">
        <v>3740</v>
      </c>
      <c r="D68">
        <v>1394.95</v>
      </c>
      <c r="H68" t="s">
        <v>86</v>
      </c>
      <c r="I68" s="3">
        <v>3740</v>
      </c>
      <c r="J68" s="4">
        <v>0.46563547362850594</v>
      </c>
      <c r="K68" s="4">
        <v>0.93127094725701187</v>
      </c>
      <c r="L68" s="4">
        <v>1.3969064208855178</v>
      </c>
      <c r="M68" s="4">
        <v>1.8625418945140237</v>
      </c>
      <c r="N68" s="4">
        <v>2.3281773681425295</v>
      </c>
      <c r="O68" s="4">
        <v>2.7938128417710355</v>
      </c>
      <c r="P68" s="4">
        <v>3.2594483153995415</v>
      </c>
      <c r="Q68" s="4">
        <v>3.7250837890280475</v>
      </c>
      <c r="R68" s="4">
        <v>4.190719262656553</v>
      </c>
      <c r="S68" s="4">
        <v>4.656354736285059</v>
      </c>
      <c r="T68" s="4">
        <v>5.121990209913565</v>
      </c>
      <c r="U68" s="4">
        <v>5.587625683542071</v>
      </c>
      <c r="V68" s="4">
        <v>6.053261157170577</v>
      </c>
      <c r="W68" s="4">
        <v>6.518896630799083</v>
      </c>
      <c r="X68" s="4">
        <v>6.984532104427589</v>
      </c>
      <c r="Y68" s="4">
        <v>7.450167578056095</v>
      </c>
      <c r="Z68" s="4">
        <v>7.9158030516846001</v>
      </c>
      <c r="AA68" s="4">
        <v>8.3814385253131061</v>
      </c>
      <c r="AB68" s="4">
        <v>8.8470739989416121</v>
      </c>
      <c r="AC68" s="4">
        <v>9.3127094725701181</v>
      </c>
      <c r="AD68" s="4">
        <v>9.778344946198624</v>
      </c>
      <c r="AE68" s="4">
        <v>10.24398041982713</v>
      </c>
      <c r="AF68" s="4">
        <v>10.709615893455636</v>
      </c>
      <c r="AG68" s="4">
        <v>11.175251367084142</v>
      </c>
      <c r="AH68" s="4">
        <v>11.640886840712648</v>
      </c>
      <c r="AI68" s="4">
        <v>12.106522314341154</v>
      </c>
      <c r="AJ68" s="4">
        <v>12.57215778796966</v>
      </c>
      <c r="AK68" s="4">
        <v>13.037793261598166</v>
      </c>
      <c r="AL68" s="4">
        <v>13.503428735226672</v>
      </c>
      <c r="AM68" s="4">
        <v>13.969064208855178</v>
      </c>
      <c r="AN68" s="4">
        <v>14.434699682483684</v>
      </c>
      <c r="AO68" s="4">
        <v>14.90033515611219</v>
      </c>
      <c r="AP68" s="4">
        <v>15.365970629740694</v>
      </c>
      <c r="AQ68" s="4">
        <v>15.8316061033692</v>
      </c>
      <c r="AR68" s="4">
        <v>16.297241576997706</v>
      </c>
      <c r="AS68" s="4">
        <v>16.762877050626212</v>
      </c>
      <c r="AT68" s="4">
        <v>17.228512524254718</v>
      </c>
      <c r="AU68" s="4">
        <v>17.694147997883224</v>
      </c>
      <c r="AV68" s="4">
        <v>18.15978347151173</v>
      </c>
      <c r="AW68" s="4">
        <v>18.625418945140236</v>
      </c>
      <c r="AX68" s="4">
        <v>19.091054418768742</v>
      </c>
      <c r="AY68" s="4">
        <v>19.556689892397248</v>
      </c>
      <c r="AZ68" s="4">
        <v>20.022325366025754</v>
      </c>
      <c r="BA68" s="4">
        <v>20.48796083965426</v>
      </c>
      <c r="BB68" s="4">
        <v>20.953596313282766</v>
      </c>
      <c r="BC68" s="4">
        <v>21.419231786911272</v>
      </c>
      <c r="BD68" s="4">
        <v>21.884867260539778</v>
      </c>
      <c r="BE68" s="4">
        <v>22.350502734168284</v>
      </c>
      <c r="BF68" s="4">
        <v>22.81613820779679</v>
      </c>
      <c r="BG68" s="4">
        <v>23.281773681425296</v>
      </c>
      <c r="BH68" s="4">
        <v>23.747409155053802</v>
      </c>
      <c r="BI68" s="4">
        <v>24.213044628682308</v>
      </c>
      <c r="BJ68" s="4">
        <v>24.678680102310814</v>
      </c>
      <c r="BK68" s="4">
        <v>25.14431557593932</v>
      </c>
      <c r="BL68" s="4">
        <v>25.609951049567826</v>
      </c>
      <c r="BM68" s="4">
        <v>26.075586523196332</v>
      </c>
      <c r="BN68" s="4">
        <v>26.541221996824838</v>
      </c>
      <c r="BO68" s="4">
        <v>27.006857470453344</v>
      </c>
      <c r="BP68" s="4">
        <v>27.47249294408185</v>
      </c>
      <c r="BQ68" s="4">
        <v>27.938128417710356</v>
      </c>
      <c r="BR68" s="4">
        <v>28.403763891338862</v>
      </c>
      <c r="BS68" s="4">
        <v>28.869399364967368</v>
      </c>
      <c r="BT68" s="4">
        <v>29.335034838595874</v>
      </c>
      <c r="BU68" s="4">
        <v>29.80067031222438</v>
      </c>
      <c r="BV68" s="4">
        <v>30.266305785852882</v>
      </c>
      <c r="BW68" s="4">
        <v>30.731941259481388</v>
      </c>
      <c r="BX68" s="4">
        <v>31.197576733109894</v>
      </c>
      <c r="BY68" s="4">
        <v>31.6632122067384</v>
      </c>
      <c r="BZ68" s="4">
        <v>32.12884768036691</v>
      </c>
      <c r="CA68" s="4">
        <v>32.594483153995412</v>
      </c>
    </row>
    <row r="69" spans="2:79" x14ac:dyDescent="0.35">
      <c r="B69" t="s">
        <v>87</v>
      </c>
      <c r="C69">
        <v>3740</v>
      </c>
      <c r="D69">
        <v>1491.95</v>
      </c>
      <c r="H69" t="s">
        <v>87</v>
      </c>
      <c r="I69" s="3">
        <v>3740</v>
      </c>
      <c r="J69" s="4">
        <v>0.57257673310989587</v>
      </c>
      <c r="K69" s="4">
        <v>1.1451534662197917</v>
      </c>
      <c r="L69" s="4">
        <v>1.7177301993296878</v>
      </c>
      <c r="M69" s="4">
        <v>2.2903069324395835</v>
      </c>
      <c r="N69" s="4">
        <v>2.8628836655494796</v>
      </c>
      <c r="O69" s="4">
        <v>3.4354603986593757</v>
      </c>
      <c r="P69" s="4">
        <v>4.0080371317692718</v>
      </c>
      <c r="Q69" s="4">
        <v>4.580613864879167</v>
      </c>
      <c r="R69" s="4">
        <v>5.1531905979890631</v>
      </c>
      <c r="S69" s="4">
        <v>5.7257673310989592</v>
      </c>
      <c r="T69" s="4">
        <v>6.2983440642088553</v>
      </c>
      <c r="U69" s="4">
        <v>6.8709207973187514</v>
      </c>
      <c r="V69" s="4">
        <v>7.4434975304286466</v>
      </c>
      <c r="W69" s="4">
        <v>8.0160742635385436</v>
      </c>
      <c r="X69" s="4">
        <v>8.5886509966484397</v>
      </c>
      <c r="Y69" s="4">
        <v>9.161227729758334</v>
      </c>
      <c r="Z69" s="4">
        <v>9.7338044628682301</v>
      </c>
      <c r="AA69" s="4">
        <v>10.306381195978126</v>
      </c>
      <c r="AB69" s="4">
        <v>10.878957929088022</v>
      </c>
      <c r="AC69" s="4">
        <v>11.451534662197918</v>
      </c>
      <c r="AD69" s="4">
        <v>12.024111395307814</v>
      </c>
      <c r="AE69" s="4">
        <v>12.596688128417711</v>
      </c>
      <c r="AF69" s="4">
        <v>13.169264861527607</v>
      </c>
      <c r="AG69" s="4">
        <v>13.741841594637503</v>
      </c>
      <c r="AH69" s="4">
        <v>14.314418327747399</v>
      </c>
      <c r="AI69" s="4">
        <v>14.886995060857293</v>
      </c>
      <c r="AJ69" s="4">
        <v>15.459571793967189</v>
      </c>
      <c r="AK69" s="4">
        <v>16.032148527077087</v>
      </c>
      <c r="AL69" s="4">
        <v>16.604725260186981</v>
      </c>
      <c r="AM69" s="4">
        <v>17.177301993296879</v>
      </c>
      <c r="AN69" s="4">
        <v>17.749878726406774</v>
      </c>
      <c r="AO69" s="4">
        <v>18.322455459516668</v>
      </c>
      <c r="AP69" s="4">
        <v>18.895032192626566</v>
      </c>
      <c r="AQ69" s="4">
        <v>19.46760892573646</v>
      </c>
      <c r="AR69" s="4">
        <v>20.040185658846358</v>
      </c>
      <c r="AS69" s="4">
        <v>20.612762391956252</v>
      </c>
      <c r="AT69" s="4">
        <v>21.18533912506615</v>
      </c>
      <c r="AU69" s="4">
        <v>21.757915858176045</v>
      </c>
      <c r="AV69" s="4">
        <v>22.330492591285942</v>
      </c>
      <c r="AW69" s="4">
        <v>22.903069324395837</v>
      </c>
      <c r="AX69" s="4">
        <v>23.475646057505735</v>
      </c>
      <c r="AY69" s="4">
        <v>24.048222790615629</v>
      </c>
      <c r="AZ69" s="4">
        <v>24.620799523725523</v>
      </c>
      <c r="BA69" s="4">
        <v>25.193376256835421</v>
      </c>
      <c r="BB69" s="4">
        <v>25.765952989945315</v>
      </c>
      <c r="BC69" s="4">
        <v>26.338529723055213</v>
      </c>
      <c r="BD69" s="4">
        <v>26.911106456165108</v>
      </c>
      <c r="BE69" s="4">
        <v>27.483683189275006</v>
      </c>
      <c r="BF69" s="4">
        <v>28.0562599223849</v>
      </c>
      <c r="BG69" s="4">
        <v>28.628836655494798</v>
      </c>
      <c r="BH69" s="4">
        <v>29.201413388604692</v>
      </c>
      <c r="BI69" s="4">
        <v>29.773990121714586</v>
      </c>
      <c r="BJ69" s="4">
        <v>30.346566854824484</v>
      </c>
      <c r="BK69" s="4">
        <v>30.919143587934379</v>
      </c>
      <c r="BL69" s="4">
        <v>31.491720321044276</v>
      </c>
      <c r="BM69" s="4">
        <v>32.064297054154174</v>
      </c>
      <c r="BN69" s="4">
        <v>32.636873787264065</v>
      </c>
      <c r="BO69" s="4">
        <v>33.209450520373963</v>
      </c>
      <c r="BP69" s="4">
        <v>33.782027253483861</v>
      </c>
      <c r="BQ69" s="4">
        <v>34.354603986593759</v>
      </c>
      <c r="BR69" s="4">
        <v>34.927180719703649</v>
      </c>
      <c r="BS69" s="4">
        <v>35.499757452813547</v>
      </c>
      <c r="BT69" s="4">
        <v>36.072334185923445</v>
      </c>
      <c r="BU69" s="4">
        <v>36.644910919033336</v>
      </c>
      <c r="BV69" s="4">
        <v>37.217487652143234</v>
      </c>
      <c r="BW69" s="4">
        <v>37.790064385253132</v>
      </c>
      <c r="BX69" s="4">
        <v>38.36264111836303</v>
      </c>
      <c r="BY69" s="4">
        <v>38.93521785147292</v>
      </c>
      <c r="BZ69" s="4">
        <v>39.507794584582818</v>
      </c>
      <c r="CA69" s="4">
        <v>40.080371317692716</v>
      </c>
    </row>
    <row r="70" spans="2:79" x14ac:dyDescent="0.35">
      <c r="B70" t="s">
        <v>88</v>
      </c>
      <c r="C70">
        <v>3740</v>
      </c>
      <c r="D70">
        <v>1588.95</v>
      </c>
      <c r="H70" t="s">
        <v>88</v>
      </c>
      <c r="I70" s="3">
        <v>3740</v>
      </c>
      <c r="J70" s="4">
        <v>0.67951799259128598</v>
      </c>
      <c r="K70" s="4">
        <v>1.359035985182572</v>
      </c>
      <c r="L70" s="4">
        <v>2.0385539777738577</v>
      </c>
      <c r="M70" s="4">
        <v>2.7180719703651439</v>
      </c>
      <c r="N70" s="4">
        <v>3.3975899629564297</v>
      </c>
      <c r="O70" s="4">
        <v>4.0771079555477154</v>
      </c>
      <c r="P70" s="4">
        <v>4.7566259481390016</v>
      </c>
      <c r="Q70" s="4">
        <v>5.4361439407302878</v>
      </c>
      <c r="R70" s="4">
        <v>6.1156619333215732</v>
      </c>
      <c r="S70" s="4">
        <v>6.7951799259128594</v>
      </c>
      <c r="T70" s="4">
        <v>7.4746979185041456</v>
      </c>
      <c r="U70" s="4">
        <v>8.1542159110954309</v>
      </c>
      <c r="V70" s="4">
        <v>8.8337339036867171</v>
      </c>
      <c r="W70" s="4">
        <v>9.5132518962780033</v>
      </c>
      <c r="X70" s="4">
        <v>10.192769888869289</v>
      </c>
      <c r="Y70" s="4">
        <v>10.872287881460576</v>
      </c>
      <c r="Z70" s="4">
        <v>11.551805874051862</v>
      </c>
      <c r="AA70" s="4">
        <v>12.231323866643146</v>
      </c>
      <c r="AB70" s="4">
        <v>12.910841859234433</v>
      </c>
      <c r="AC70" s="4">
        <v>13.590359851825719</v>
      </c>
      <c r="AD70" s="4">
        <v>14.269877844417005</v>
      </c>
      <c r="AE70" s="4">
        <v>14.949395837008291</v>
      </c>
      <c r="AF70" s="4">
        <v>15.628913829599577</v>
      </c>
      <c r="AG70" s="4">
        <v>16.308431822190862</v>
      </c>
      <c r="AH70" s="4">
        <v>16.987949814782148</v>
      </c>
      <c r="AI70" s="4">
        <v>17.667467807373434</v>
      </c>
      <c r="AJ70" s="4">
        <v>18.34698579996472</v>
      </c>
      <c r="AK70" s="4">
        <v>19.026503792556007</v>
      </c>
      <c r="AL70" s="4">
        <v>19.706021785147293</v>
      </c>
      <c r="AM70" s="4">
        <v>20.385539777738579</v>
      </c>
      <c r="AN70" s="4">
        <v>21.065057770329865</v>
      </c>
      <c r="AO70" s="4">
        <v>21.744575762921151</v>
      </c>
      <c r="AP70" s="4">
        <v>22.424093755512438</v>
      </c>
      <c r="AQ70" s="4">
        <v>23.103611748103724</v>
      </c>
      <c r="AR70" s="4">
        <v>23.783129740695006</v>
      </c>
      <c r="AS70" s="4">
        <v>24.462647733286293</v>
      </c>
      <c r="AT70" s="4">
        <v>25.142165725877579</v>
      </c>
      <c r="AU70" s="4">
        <v>25.821683718468865</v>
      </c>
      <c r="AV70" s="4">
        <v>26.501201711060151</v>
      </c>
      <c r="AW70" s="4">
        <v>27.180719703651437</v>
      </c>
      <c r="AX70" s="4">
        <v>27.860237696242724</v>
      </c>
      <c r="AY70" s="4">
        <v>28.53975568883401</v>
      </c>
      <c r="AZ70" s="4">
        <v>29.219273681425296</v>
      </c>
      <c r="BA70" s="4">
        <v>29.898791674016582</v>
      </c>
      <c r="BB70" s="4">
        <v>30.578309666607868</v>
      </c>
      <c r="BC70" s="4">
        <v>31.257827659199155</v>
      </c>
      <c r="BD70" s="4">
        <v>31.937345651790441</v>
      </c>
      <c r="BE70" s="4">
        <v>32.616863644381723</v>
      </c>
      <c r="BF70" s="4">
        <v>33.29638163697301</v>
      </c>
      <c r="BG70" s="4">
        <v>33.975899629564296</v>
      </c>
      <c r="BH70" s="4">
        <v>34.655417622155582</v>
      </c>
      <c r="BI70" s="4">
        <v>35.334935614746868</v>
      </c>
      <c r="BJ70" s="4">
        <v>36.014453607338154</v>
      </c>
      <c r="BK70" s="4">
        <v>36.693971599929441</v>
      </c>
      <c r="BL70" s="4">
        <v>37.373489592520727</v>
      </c>
      <c r="BM70" s="4">
        <v>38.053007585112013</v>
      </c>
      <c r="BN70" s="4">
        <v>38.732525577703299</v>
      </c>
      <c r="BO70" s="4">
        <v>39.412043570294585</v>
      </c>
      <c r="BP70" s="4">
        <v>40.091561562885872</v>
      </c>
      <c r="BQ70" s="4">
        <v>40.771079555477158</v>
      </c>
      <c r="BR70" s="4">
        <v>41.450597548068444</v>
      </c>
      <c r="BS70" s="4">
        <v>42.13011554065973</v>
      </c>
      <c r="BT70" s="4">
        <v>42.809633533251017</v>
      </c>
      <c r="BU70" s="4">
        <v>43.489151525842303</v>
      </c>
      <c r="BV70" s="4">
        <v>44.168669518433589</v>
      </c>
      <c r="BW70" s="4">
        <v>44.848187511024875</v>
      </c>
      <c r="BX70" s="4">
        <v>45.527705503616161</v>
      </c>
      <c r="BY70" s="4">
        <v>46.207223496207448</v>
      </c>
      <c r="BZ70" s="4">
        <v>46.886741488798727</v>
      </c>
      <c r="CA70" s="4">
        <v>47.566259481390013</v>
      </c>
    </row>
    <row r="71" spans="2:79" x14ac:dyDescent="0.35">
      <c r="B71" t="s">
        <v>89</v>
      </c>
      <c r="C71">
        <v>6804</v>
      </c>
      <c r="D71">
        <v>558.95000000000005</v>
      </c>
      <c r="H71" t="s">
        <v>89</v>
      </c>
      <c r="I71" s="3">
        <v>6804</v>
      </c>
      <c r="J71" s="4">
        <v>-0.45604383489151523</v>
      </c>
      <c r="K71" s="4">
        <v>-0.91208766978303046</v>
      </c>
      <c r="L71" s="4">
        <v>-1.3681315046745457</v>
      </c>
      <c r="M71" s="4">
        <v>-1.8241753395660609</v>
      </c>
      <c r="N71" s="4">
        <v>-2.2802191744575762</v>
      </c>
      <c r="O71" s="4">
        <v>-2.7362630093490914</v>
      </c>
      <c r="P71" s="4">
        <v>-3.1923068442406066</v>
      </c>
      <c r="Q71" s="4">
        <v>-3.6483506791321219</v>
      </c>
      <c r="R71" s="4">
        <v>-4.1043945140236371</v>
      </c>
      <c r="S71" s="4">
        <v>-4.5604383489151523</v>
      </c>
      <c r="T71" s="4">
        <v>-5.0164821838066675</v>
      </c>
      <c r="U71" s="4">
        <v>-5.4725260186981828</v>
      </c>
      <c r="V71" s="4">
        <v>-5.928569853589698</v>
      </c>
      <c r="W71" s="4">
        <v>-6.3846136884812132</v>
      </c>
      <c r="X71" s="4">
        <v>-6.8406575233727285</v>
      </c>
      <c r="Y71" s="4">
        <v>-7.2967013582642437</v>
      </c>
      <c r="Z71" s="4">
        <v>-7.7527451931557598</v>
      </c>
      <c r="AA71" s="4">
        <v>-8.2087890280472742</v>
      </c>
      <c r="AB71" s="4">
        <v>-8.6648328629387894</v>
      </c>
      <c r="AC71" s="4">
        <v>-9.1208766978303046</v>
      </c>
      <c r="AD71" s="4">
        <v>-9.5769205327218199</v>
      </c>
      <c r="AE71" s="4">
        <v>-10.032964367613335</v>
      </c>
      <c r="AF71" s="4">
        <v>-10.48900820250485</v>
      </c>
      <c r="AG71" s="4">
        <v>-10.945052037396366</v>
      </c>
      <c r="AH71" s="4">
        <v>-11.401095872287881</v>
      </c>
      <c r="AI71" s="4">
        <v>-11.857139707179396</v>
      </c>
      <c r="AJ71" s="4">
        <v>-12.313183542070911</v>
      </c>
      <c r="AK71" s="4">
        <v>-12.769227376962426</v>
      </c>
      <c r="AL71" s="4">
        <v>-13.225271211853942</v>
      </c>
      <c r="AM71" s="4">
        <v>-13.681315046745457</v>
      </c>
      <c r="AN71" s="4">
        <v>-14.137358881636972</v>
      </c>
      <c r="AO71" s="4">
        <v>-14.593402716528487</v>
      </c>
      <c r="AP71" s="4">
        <v>-15.049446551420003</v>
      </c>
      <c r="AQ71" s="4">
        <v>-15.50549038631152</v>
      </c>
      <c r="AR71" s="4">
        <v>-15.961534221203035</v>
      </c>
      <c r="AS71" s="4">
        <v>-16.417578056094548</v>
      </c>
      <c r="AT71" s="4">
        <v>-16.873621890986065</v>
      </c>
      <c r="AU71" s="4">
        <v>-17.329665725877579</v>
      </c>
      <c r="AV71" s="4">
        <v>-17.785709560769096</v>
      </c>
      <c r="AW71" s="4">
        <v>-18.241753395660609</v>
      </c>
      <c r="AX71" s="4">
        <v>-18.697797230552126</v>
      </c>
      <c r="AY71" s="4">
        <v>-19.15384106544364</v>
      </c>
      <c r="AZ71" s="4">
        <v>-19.609884900335157</v>
      </c>
      <c r="BA71" s="4">
        <v>-20.06592873522667</v>
      </c>
      <c r="BB71" s="4">
        <v>-20.521972570118187</v>
      </c>
      <c r="BC71" s="4">
        <v>-20.978016405009701</v>
      </c>
      <c r="BD71" s="4">
        <v>-21.434060239901218</v>
      </c>
      <c r="BE71" s="4">
        <v>-21.890104074792731</v>
      </c>
      <c r="BF71" s="4">
        <v>-22.346147909684248</v>
      </c>
      <c r="BG71" s="4">
        <v>-22.802191744575762</v>
      </c>
      <c r="BH71" s="4">
        <v>-23.258235579467279</v>
      </c>
      <c r="BI71" s="4">
        <v>-23.714279414358792</v>
      </c>
      <c r="BJ71" s="4">
        <v>-24.170323249250309</v>
      </c>
      <c r="BK71" s="4">
        <v>-24.626367084141823</v>
      </c>
      <c r="BL71" s="4">
        <v>-25.08241091903334</v>
      </c>
      <c r="BM71" s="4">
        <v>-25.538454753924853</v>
      </c>
      <c r="BN71" s="4">
        <v>-25.99449858881637</v>
      </c>
      <c r="BO71" s="4">
        <v>-26.450542423707883</v>
      </c>
      <c r="BP71" s="4">
        <v>-26.9065862585994</v>
      </c>
      <c r="BQ71" s="4">
        <v>-27.362630093490914</v>
      </c>
      <c r="BR71" s="4">
        <v>-27.818673928382431</v>
      </c>
      <c r="BS71" s="4">
        <v>-28.274717763273944</v>
      </c>
      <c r="BT71" s="4">
        <v>-28.730761598165461</v>
      </c>
      <c r="BU71" s="4">
        <v>-29.186805433056975</v>
      </c>
      <c r="BV71" s="4">
        <v>-29.642849267948492</v>
      </c>
      <c r="BW71" s="4">
        <v>-30.098893102840005</v>
      </c>
      <c r="BX71" s="4">
        <v>-30.554936937731522</v>
      </c>
      <c r="BY71" s="4">
        <v>-31.010980772623039</v>
      </c>
      <c r="BZ71" s="4">
        <v>-31.467024607514553</v>
      </c>
      <c r="CA71" s="4">
        <v>-31.92306844240607</v>
      </c>
    </row>
    <row r="72" spans="2:79" x14ac:dyDescent="0.35">
      <c r="B72" t="s">
        <v>90</v>
      </c>
      <c r="C72">
        <v>6804</v>
      </c>
      <c r="D72">
        <v>827.95</v>
      </c>
      <c r="H72" t="s">
        <v>90</v>
      </c>
      <c r="I72" s="3">
        <v>6804</v>
      </c>
      <c r="J72" s="4">
        <v>-0.15947477509260891</v>
      </c>
      <c r="K72" s="4">
        <v>-0.31894955018521781</v>
      </c>
      <c r="L72" s="4">
        <v>-0.47842432527782669</v>
      </c>
      <c r="M72" s="4">
        <v>-0.63789910037043562</v>
      </c>
      <c r="N72" s="4">
        <v>-0.7973738754630445</v>
      </c>
      <c r="O72" s="4">
        <v>-0.95684865055565338</v>
      </c>
      <c r="P72" s="4">
        <v>-1.1163234256482624</v>
      </c>
      <c r="Q72" s="4">
        <v>-1.2757982007408712</v>
      </c>
      <c r="R72" s="4">
        <v>-1.4352729758334801</v>
      </c>
      <c r="S72" s="4">
        <v>-1.594747750926089</v>
      </c>
      <c r="T72" s="4">
        <v>-1.7542225260186979</v>
      </c>
      <c r="U72" s="4">
        <v>-1.9136973011113068</v>
      </c>
      <c r="V72" s="4">
        <v>-2.0731720762039156</v>
      </c>
      <c r="W72" s="4">
        <v>-2.2326468512965247</v>
      </c>
      <c r="X72" s="4">
        <v>-2.3921216263891334</v>
      </c>
      <c r="Y72" s="4">
        <v>-2.5515964014817425</v>
      </c>
      <c r="Z72" s="4">
        <v>-2.7110711765743516</v>
      </c>
      <c r="AA72" s="4">
        <v>-2.8705459516669602</v>
      </c>
      <c r="AB72" s="4">
        <v>-3.0300207267595689</v>
      </c>
      <c r="AC72" s="4">
        <v>-3.189495501852178</v>
      </c>
      <c r="AD72" s="4">
        <v>-3.3489702769447867</v>
      </c>
      <c r="AE72" s="4">
        <v>-3.5084450520373958</v>
      </c>
      <c r="AF72" s="4">
        <v>-3.6679198271300049</v>
      </c>
      <c r="AG72" s="4">
        <v>-3.8273946022226135</v>
      </c>
      <c r="AH72" s="4">
        <v>-3.9868693773152226</v>
      </c>
      <c r="AI72" s="4">
        <v>-4.1463441524078313</v>
      </c>
      <c r="AJ72" s="4">
        <v>-4.3058189275004404</v>
      </c>
      <c r="AK72" s="4">
        <v>-4.4652937025930495</v>
      </c>
      <c r="AL72" s="4">
        <v>-4.6247684776856586</v>
      </c>
      <c r="AM72" s="4">
        <v>-4.7842432527782668</v>
      </c>
      <c r="AN72" s="4">
        <v>-4.9437180278708759</v>
      </c>
      <c r="AO72" s="4">
        <v>-5.103192802963485</v>
      </c>
      <c r="AP72" s="4">
        <v>-5.2626675780560941</v>
      </c>
      <c r="AQ72" s="4">
        <v>-5.4221423531487032</v>
      </c>
      <c r="AR72" s="4">
        <v>-5.5816171282413114</v>
      </c>
      <c r="AS72" s="4">
        <v>-5.7410919033339205</v>
      </c>
      <c r="AT72" s="4">
        <v>-5.9005666784265287</v>
      </c>
      <c r="AU72" s="4">
        <v>-6.0600414535191378</v>
      </c>
      <c r="AV72" s="4">
        <v>-6.2195162286117469</v>
      </c>
      <c r="AW72" s="4">
        <v>-6.378991003704356</v>
      </c>
      <c r="AX72" s="4">
        <v>-6.5384657787969651</v>
      </c>
      <c r="AY72" s="4">
        <v>-6.6979405538895733</v>
      </c>
      <c r="AZ72" s="4">
        <v>-6.8574153289821824</v>
      </c>
      <c r="BA72" s="4">
        <v>-7.0168901040747915</v>
      </c>
      <c r="BB72" s="4">
        <v>-7.1763648791674006</v>
      </c>
      <c r="BC72" s="4">
        <v>-7.3358396542600097</v>
      </c>
      <c r="BD72" s="4">
        <v>-7.4953144293526179</v>
      </c>
      <c r="BE72" s="4">
        <v>-7.654789204445227</v>
      </c>
      <c r="BF72" s="4">
        <v>-7.8142639795378361</v>
      </c>
      <c r="BG72" s="4">
        <v>-7.9737387546304452</v>
      </c>
      <c r="BH72" s="4">
        <v>-8.1332135297230543</v>
      </c>
      <c r="BI72" s="4">
        <v>-8.2926883048156625</v>
      </c>
      <c r="BJ72" s="4">
        <v>-8.4521630799082725</v>
      </c>
      <c r="BK72" s="4">
        <v>-8.6116378550008807</v>
      </c>
      <c r="BL72" s="4">
        <v>-8.771112630093489</v>
      </c>
      <c r="BM72" s="4">
        <v>-8.9305874051860989</v>
      </c>
      <c r="BN72" s="4">
        <v>-9.0900621802787072</v>
      </c>
      <c r="BO72" s="4">
        <v>-9.2495369553713171</v>
      </c>
      <c r="BP72" s="4">
        <v>-9.4090117304639254</v>
      </c>
      <c r="BQ72" s="4">
        <v>-9.5684865055565336</v>
      </c>
      <c r="BR72" s="4">
        <v>-9.7279612806491436</v>
      </c>
      <c r="BS72" s="4">
        <v>-9.8874360557417518</v>
      </c>
      <c r="BT72" s="4">
        <v>-10.046910830834362</v>
      </c>
      <c r="BU72" s="4">
        <v>-10.20638560592697</v>
      </c>
      <c r="BV72" s="4">
        <v>-10.365860381019578</v>
      </c>
      <c r="BW72" s="4">
        <v>-10.525335156112188</v>
      </c>
      <c r="BX72" s="4">
        <v>-10.684809931204796</v>
      </c>
      <c r="BY72" s="4">
        <v>-10.844284706297406</v>
      </c>
      <c r="BZ72" s="4">
        <v>-11.003759481390015</v>
      </c>
      <c r="CA72" s="4">
        <v>-11.163234256482623</v>
      </c>
    </row>
    <row r="73" spans="2:79" x14ac:dyDescent="0.35">
      <c r="B73" t="s">
        <v>91</v>
      </c>
      <c r="C73">
        <v>6804</v>
      </c>
      <c r="D73">
        <v>1024.95</v>
      </c>
      <c r="H73" t="s">
        <v>91</v>
      </c>
      <c r="I73" s="3">
        <v>6804</v>
      </c>
      <c r="J73" s="4">
        <v>5.7715205503616175E-2</v>
      </c>
      <c r="K73" s="4">
        <v>0.11543041100723235</v>
      </c>
      <c r="L73" s="4">
        <v>0.17314561651084856</v>
      </c>
      <c r="M73" s="4">
        <v>0.2308608220144647</v>
      </c>
      <c r="N73" s="4">
        <v>0.28857602751808092</v>
      </c>
      <c r="O73" s="4">
        <v>0.34629123302169712</v>
      </c>
      <c r="P73" s="4">
        <v>0.40400643852531326</v>
      </c>
      <c r="Q73" s="4">
        <v>0.4617216440289294</v>
      </c>
      <c r="R73" s="4">
        <v>0.51943684953254565</v>
      </c>
      <c r="S73" s="4">
        <v>0.57715205503616185</v>
      </c>
      <c r="T73" s="4">
        <v>0.63486726053977793</v>
      </c>
      <c r="U73" s="4">
        <v>0.69258246604339424</v>
      </c>
      <c r="V73" s="4">
        <v>0.75029767154701033</v>
      </c>
      <c r="W73" s="4">
        <v>0.80801287705062652</v>
      </c>
      <c r="X73" s="4">
        <v>0.86572808255424272</v>
      </c>
      <c r="Y73" s="4">
        <v>0.9234432880578588</v>
      </c>
      <c r="Z73" s="4">
        <v>0.98115849356147522</v>
      </c>
      <c r="AA73" s="4">
        <v>1.0388736990650913</v>
      </c>
      <c r="AB73" s="4">
        <v>1.0965889045687074</v>
      </c>
      <c r="AC73" s="4">
        <v>1.1543041100723237</v>
      </c>
      <c r="AD73" s="4">
        <v>1.2120193155759398</v>
      </c>
      <c r="AE73" s="4">
        <v>1.2697345210795559</v>
      </c>
      <c r="AF73" s="4">
        <v>1.3274497265831722</v>
      </c>
      <c r="AG73" s="4">
        <v>1.3851649320867885</v>
      </c>
      <c r="AH73" s="4">
        <v>1.4428801375904046</v>
      </c>
      <c r="AI73" s="4">
        <v>1.5005953430940207</v>
      </c>
      <c r="AJ73" s="4">
        <v>1.558310548597637</v>
      </c>
      <c r="AK73" s="4">
        <v>1.616025754101253</v>
      </c>
      <c r="AL73" s="4">
        <v>1.6737409596048691</v>
      </c>
      <c r="AM73" s="4">
        <v>1.7314561651084854</v>
      </c>
      <c r="AN73" s="4">
        <v>1.7891713706121015</v>
      </c>
      <c r="AO73" s="4">
        <v>1.8468865761157176</v>
      </c>
      <c r="AP73" s="4">
        <v>1.9046017816193341</v>
      </c>
      <c r="AQ73" s="4">
        <v>1.9623169871229504</v>
      </c>
      <c r="AR73" s="4">
        <v>2.0200321926265663</v>
      </c>
      <c r="AS73" s="4">
        <v>2.0777473981301826</v>
      </c>
      <c r="AT73" s="4">
        <v>2.1354626036337989</v>
      </c>
      <c r="AU73" s="4">
        <v>2.1931778091374148</v>
      </c>
      <c r="AV73" s="4">
        <v>2.2508930146410311</v>
      </c>
      <c r="AW73" s="4">
        <v>2.3086082201446474</v>
      </c>
      <c r="AX73" s="4">
        <v>2.3663234256482633</v>
      </c>
      <c r="AY73" s="4">
        <v>2.4240386311518796</v>
      </c>
      <c r="AZ73" s="4">
        <v>2.4817538366554959</v>
      </c>
      <c r="BA73" s="4">
        <v>2.5394690421591117</v>
      </c>
      <c r="BB73" s="4">
        <v>2.5971842476627285</v>
      </c>
      <c r="BC73" s="4">
        <v>2.6548994531663443</v>
      </c>
      <c r="BD73" s="4">
        <v>2.7126146586699607</v>
      </c>
      <c r="BE73" s="4">
        <v>2.770329864173577</v>
      </c>
      <c r="BF73" s="4">
        <v>2.8280450696771928</v>
      </c>
      <c r="BG73" s="4">
        <v>2.8857602751808091</v>
      </c>
      <c r="BH73" s="4">
        <v>2.9434754806844254</v>
      </c>
      <c r="BI73" s="4">
        <v>3.0011906861880413</v>
      </c>
      <c r="BJ73" s="4">
        <v>3.0589058916916576</v>
      </c>
      <c r="BK73" s="4">
        <v>3.1166210971952739</v>
      </c>
      <c r="BL73" s="4">
        <v>3.1743363026988898</v>
      </c>
      <c r="BM73" s="4">
        <v>3.2320515082025061</v>
      </c>
      <c r="BN73" s="4">
        <v>3.2897667137061224</v>
      </c>
      <c r="BO73" s="4">
        <v>3.3474819192097383</v>
      </c>
      <c r="BP73" s="4">
        <v>3.4051971247133546</v>
      </c>
      <c r="BQ73" s="4">
        <v>3.4629123302169709</v>
      </c>
      <c r="BR73" s="4">
        <v>3.5206275357205867</v>
      </c>
      <c r="BS73" s="4">
        <v>3.578342741224203</v>
      </c>
      <c r="BT73" s="4">
        <v>3.6360579467278193</v>
      </c>
      <c r="BU73" s="4">
        <v>3.6937731522314352</v>
      </c>
      <c r="BV73" s="4">
        <v>3.7514883577350524</v>
      </c>
      <c r="BW73" s="4">
        <v>3.8092035632386683</v>
      </c>
      <c r="BX73" s="4">
        <v>3.8669187687422846</v>
      </c>
      <c r="BY73" s="4">
        <v>3.9246339742459009</v>
      </c>
      <c r="BZ73" s="4">
        <v>3.9823491797495167</v>
      </c>
      <c r="CA73" s="4">
        <v>4.0400643852531326</v>
      </c>
    </row>
    <row r="74" spans="2:79" x14ac:dyDescent="0.35">
      <c r="B74" t="s">
        <v>92</v>
      </c>
      <c r="C74">
        <v>6804</v>
      </c>
      <c r="D74">
        <v>1221.95</v>
      </c>
      <c r="H74" t="s">
        <v>92</v>
      </c>
      <c r="I74" s="3">
        <v>6804</v>
      </c>
      <c r="J74" s="4">
        <v>0.27490518609984127</v>
      </c>
      <c r="K74" s="4">
        <v>0.54981037219968254</v>
      </c>
      <c r="L74" s="4">
        <v>0.8247155582995237</v>
      </c>
      <c r="M74" s="4">
        <v>1.0996207443993651</v>
      </c>
      <c r="N74" s="4">
        <v>1.3745259304992063</v>
      </c>
      <c r="O74" s="4">
        <v>1.6494311165990474</v>
      </c>
      <c r="P74" s="4">
        <v>1.9243363026988891</v>
      </c>
      <c r="Q74" s="4">
        <v>2.1992414887987302</v>
      </c>
      <c r="R74" s="4">
        <v>2.4741466748985714</v>
      </c>
      <c r="S74" s="4">
        <v>2.7490518609984127</v>
      </c>
      <c r="T74" s="4">
        <v>3.0239570470982535</v>
      </c>
      <c r="U74" s="4">
        <v>3.2988622331980948</v>
      </c>
      <c r="V74" s="4">
        <v>3.573767419297937</v>
      </c>
      <c r="W74" s="4">
        <v>3.8486726053977782</v>
      </c>
      <c r="X74" s="4">
        <v>4.1235777914976195</v>
      </c>
      <c r="Y74" s="4">
        <v>4.3984829775974603</v>
      </c>
      <c r="Z74" s="4">
        <v>4.673388163697302</v>
      </c>
      <c r="AA74" s="4">
        <v>4.9482933497971429</v>
      </c>
      <c r="AB74" s="4">
        <v>5.2231985358969846</v>
      </c>
      <c r="AC74" s="4">
        <v>5.4981037219968254</v>
      </c>
      <c r="AD74" s="4">
        <v>5.7730089080966671</v>
      </c>
      <c r="AE74" s="4">
        <v>6.0479140941965071</v>
      </c>
      <c r="AF74" s="4">
        <v>6.3228192802963488</v>
      </c>
      <c r="AG74" s="4">
        <v>6.5977244663961896</v>
      </c>
      <c r="AH74" s="4">
        <v>6.8726296524960313</v>
      </c>
      <c r="AI74" s="4">
        <v>7.1475348385958739</v>
      </c>
      <c r="AJ74" s="4">
        <v>7.4224400246957147</v>
      </c>
      <c r="AK74" s="4">
        <v>7.6973452107955564</v>
      </c>
      <c r="AL74" s="4">
        <v>7.9722503968953973</v>
      </c>
      <c r="AM74" s="4">
        <v>8.247155582995239</v>
      </c>
      <c r="AN74" s="4">
        <v>8.5220607690950789</v>
      </c>
      <c r="AO74" s="4">
        <v>8.7969659551949206</v>
      </c>
      <c r="AP74" s="4">
        <v>9.0718711412947624</v>
      </c>
      <c r="AQ74" s="4">
        <v>9.3467763273946041</v>
      </c>
      <c r="AR74" s="4">
        <v>9.621681513494444</v>
      </c>
      <c r="AS74" s="4">
        <v>9.8965866995942857</v>
      </c>
      <c r="AT74" s="4">
        <v>10.171491885694127</v>
      </c>
      <c r="AU74" s="4">
        <v>10.446397071793969</v>
      </c>
      <c r="AV74" s="4">
        <v>10.721302257893809</v>
      </c>
      <c r="AW74" s="4">
        <v>10.996207443993651</v>
      </c>
      <c r="AX74" s="4">
        <v>11.271112630093493</v>
      </c>
      <c r="AY74" s="4">
        <v>11.546017816193334</v>
      </c>
      <c r="AZ74" s="4">
        <v>11.820923002293174</v>
      </c>
      <c r="BA74" s="4">
        <v>12.095828188393014</v>
      </c>
      <c r="BB74" s="4">
        <v>12.370733374492856</v>
      </c>
      <c r="BC74" s="4">
        <v>12.645638560592698</v>
      </c>
      <c r="BD74" s="4">
        <v>12.920543746692539</v>
      </c>
      <c r="BE74" s="4">
        <v>13.195448932792379</v>
      </c>
      <c r="BF74" s="4">
        <v>13.470354118892221</v>
      </c>
      <c r="BG74" s="4">
        <v>13.745259304992063</v>
      </c>
      <c r="BH74" s="4">
        <v>14.020164491091903</v>
      </c>
      <c r="BI74" s="4">
        <v>14.295069677191748</v>
      </c>
      <c r="BJ74" s="4">
        <v>14.569974863291588</v>
      </c>
      <c r="BK74" s="4">
        <v>14.844880049391429</v>
      </c>
      <c r="BL74" s="4">
        <v>15.119785235491271</v>
      </c>
      <c r="BM74" s="4">
        <v>15.394690421591113</v>
      </c>
      <c r="BN74" s="4">
        <v>15.669595607690953</v>
      </c>
      <c r="BO74" s="4">
        <v>15.944500793790795</v>
      </c>
      <c r="BP74" s="4">
        <v>16.219405979890634</v>
      </c>
      <c r="BQ74" s="4">
        <v>16.494311165990478</v>
      </c>
      <c r="BR74" s="4">
        <v>16.769216352090318</v>
      </c>
      <c r="BS74" s="4">
        <v>17.044121538190158</v>
      </c>
      <c r="BT74" s="4">
        <v>17.319026724290001</v>
      </c>
      <c r="BU74" s="4">
        <v>17.593931910389841</v>
      </c>
      <c r="BV74" s="4">
        <v>17.868837096489685</v>
      </c>
      <c r="BW74" s="4">
        <v>18.143742282589525</v>
      </c>
      <c r="BX74" s="4">
        <v>18.418647468689365</v>
      </c>
      <c r="BY74" s="4">
        <v>18.693552654789208</v>
      </c>
      <c r="BZ74" s="4">
        <v>18.968457840889048</v>
      </c>
      <c r="CA74" s="4">
        <v>19.243363026988888</v>
      </c>
    </row>
    <row r="75" spans="2:79" x14ac:dyDescent="0.35">
      <c r="B75" t="s">
        <v>23430</v>
      </c>
      <c r="C75">
        <v>6804</v>
      </c>
      <c r="D75">
        <v>1418.95</v>
      </c>
      <c r="H75" t="s">
        <v>23430</v>
      </c>
      <c r="I75" s="3">
        <v>6804</v>
      </c>
      <c r="J75" s="4">
        <v>0.49209516669606634</v>
      </c>
      <c r="K75" s="4">
        <v>0.98419033339213269</v>
      </c>
      <c r="L75" s="4">
        <v>1.4762855000881989</v>
      </c>
      <c r="M75" s="4">
        <v>1.9683806667842654</v>
      </c>
      <c r="N75" s="4">
        <v>2.4604758334803316</v>
      </c>
      <c r="O75" s="4">
        <v>2.9525710001763978</v>
      </c>
      <c r="P75" s="4">
        <v>3.4446661668724641</v>
      </c>
      <c r="Q75" s="4">
        <v>3.9367613335685308</v>
      </c>
      <c r="R75" s="4">
        <v>4.4288565002645965</v>
      </c>
      <c r="S75" s="4">
        <v>4.9209516669606632</v>
      </c>
      <c r="T75" s="4">
        <v>5.4130468336567299</v>
      </c>
      <c r="U75" s="4">
        <v>5.9051420003527957</v>
      </c>
      <c r="V75" s="4">
        <v>6.3972371670488624</v>
      </c>
      <c r="W75" s="4">
        <v>6.8893323337449281</v>
      </c>
      <c r="X75" s="4">
        <v>7.3814275004409948</v>
      </c>
      <c r="Y75" s="4">
        <v>7.8735226671370615</v>
      </c>
      <c r="Z75" s="4">
        <v>8.3656178338331273</v>
      </c>
      <c r="AA75" s="4">
        <v>8.8577130005291931</v>
      </c>
      <c r="AB75" s="4">
        <v>9.3498081672252606</v>
      </c>
      <c r="AC75" s="4">
        <v>9.8419033339213264</v>
      </c>
      <c r="AD75" s="4">
        <v>10.333998500617392</v>
      </c>
      <c r="AE75" s="4">
        <v>10.82609366731346</v>
      </c>
      <c r="AF75" s="4">
        <v>11.318188834009526</v>
      </c>
      <c r="AG75" s="4">
        <v>11.810284000705591</v>
      </c>
      <c r="AH75" s="4">
        <v>12.302379167401659</v>
      </c>
      <c r="AI75" s="4">
        <v>12.794474334097725</v>
      </c>
      <c r="AJ75" s="4">
        <v>13.286569500793791</v>
      </c>
      <c r="AK75" s="4">
        <v>13.778664667489856</v>
      </c>
      <c r="AL75" s="4">
        <v>14.270759834185924</v>
      </c>
      <c r="AM75" s="4">
        <v>14.76285500088199</v>
      </c>
      <c r="AN75" s="4">
        <v>15.254950167578055</v>
      </c>
      <c r="AO75" s="4">
        <v>15.747045334274123</v>
      </c>
      <c r="AP75" s="4">
        <v>16.239140500970187</v>
      </c>
      <c r="AQ75" s="4">
        <v>16.731235667666255</v>
      </c>
      <c r="AR75" s="4">
        <v>17.223330834362322</v>
      </c>
      <c r="AS75" s="4">
        <v>17.715426001058386</v>
      </c>
      <c r="AT75" s="4">
        <v>18.207521167754454</v>
      </c>
      <c r="AU75" s="4">
        <v>18.699616334450521</v>
      </c>
      <c r="AV75" s="4">
        <v>19.191711501146585</v>
      </c>
      <c r="AW75" s="4">
        <v>19.683806667842653</v>
      </c>
      <c r="AX75" s="4">
        <v>20.17590183453872</v>
      </c>
      <c r="AY75" s="4">
        <v>20.667997001234784</v>
      </c>
      <c r="AZ75" s="4">
        <v>21.160092167930852</v>
      </c>
      <c r="BA75" s="4">
        <v>21.65218733462692</v>
      </c>
      <c r="BB75" s="4">
        <v>22.144282501322984</v>
      </c>
      <c r="BC75" s="4">
        <v>22.636377668019051</v>
      </c>
      <c r="BD75" s="4">
        <v>23.128472834715119</v>
      </c>
      <c r="BE75" s="4">
        <v>23.620568001411183</v>
      </c>
      <c r="BF75" s="4">
        <v>24.11266316810725</v>
      </c>
      <c r="BG75" s="4">
        <v>24.604758334803318</v>
      </c>
      <c r="BH75" s="4">
        <v>25.096853501499382</v>
      </c>
      <c r="BI75" s="4">
        <v>25.588948668195449</v>
      </c>
      <c r="BJ75" s="4">
        <v>26.081043834891517</v>
      </c>
      <c r="BK75" s="4">
        <v>26.573139001587581</v>
      </c>
      <c r="BL75" s="4">
        <v>27.065234168283649</v>
      </c>
      <c r="BM75" s="4">
        <v>27.557329334979713</v>
      </c>
      <c r="BN75" s="4">
        <v>28.04942450167578</v>
      </c>
      <c r="BO75" s="4">
        <v>28.541519668371848</v>
      </c>
      <c r="BP75" s="4">
        <v>29.033614835067912</v>
      </c>
      <c r="BQ75" s="4">
        <v>29.525710001763979</v>
      </c>
      <c r="BR75" s="4">
        <v>30.017805168460047</v>
      </c>
      <c r="BS75" s="4">
        <v>30.509900335156111</v>
      </c>
      <c r="BT75" s="4">
        <v>31.001995501852178</v>
      </c>
      <c r="BU75" s="4">
        <v>31.494090668548246</v>
      </c>
      <c r="BV75" s="4">
        <v>31.98618583524431</v>
      </c>
      <c r="BW75" s="4">
        <v>32.478281001940374</v>
      </c>
      <c r="BX75" s="4">
        <v>32.970376168636442</v>
      </c>
      <c r="BY75" s="4">
        <v>33.462471335332509</v>
      </c>
      <c r="BZ75" s="4">
        <v>33.954566502028577</v>
      </c>
      <c r="CA75" s="4">
        <v>34.446661668724644</v>
      </c>
    </row>
    <row r="76" spans="2:79" x14ac:dyDescent="0.35">
      <c r="I76" s="3"/>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row>
    <row r="79" spans="2:79" x14ac:dyDescent="0.35">
      <c r="B79" t="s">
        <v>23315</v>
      </c>
      <c r="C79">
        <v>2449</v>
      </c>
      <c r="D79">
        <v>272.25</v>
      </c>
      <c r="H79" t="s">
        <v>23315</v>
      </c>
      <c r="I79">
        <v>2449</v>
      </c>
      <c r="J79" s="4">
        <v>-0.77212691832774738</v>
      </c>
      <c r="K79" s="4">
        <v>-1.5442538366554948</v>
      </c>
      <c r="L79" s="4">
        <v>-2.3163807549832423</v>
      </c>
      <c r="M79" s="4">
        <v>-3.0885076733109895</v>
      </c>
      <c r="N79" s="4">
        <v>-3.8606345916387368</v>
      </c>
      <c r="O79" s="4">
        <v>-4.6327615099664845</v>
      </c>
      <c r="P79" s="4">
        <v>-5.4048884282942318</v>
      </c>
      <c r="Q79" s="4">
        <v>-6.177015346621979</v>
      </c>
      <c r="R79" s="4">
        <v>-6.9491422649497263</v>
      </c>
      <c r="S79" s="4">
        <v>-7.7212691832774736</v>
      </c>
      <c r="T79" s="4">
        <v>-8.4933961016052208</v>
      </c>
      <c r="U79" s="4">
        <v>-9.265523019932969</v>
      </c>
      <c r="V79" s="4">
        <v>-10.037649938260715</v>
      </c>
      <c r="W79" s="4">
        <v>-10.809776856588464</v>
      </c>
      <c r="X79" s="4">
        <v>-11.581903774916212</v>
      </c>
      <c r="Y79" s="4">
        <v>-12.354030693243958</v>
      </c>
      <c r="Z79" s="4">
        <v>-13.126157611571706</v>
      </c>
      <c r="AA79" s="4">
        <v>-13.898284529899453</v>
      </c>
      <c r="AB79" s="4">
        <v>-14.670411448227201</v>
      </c>
      <c r="AC79" s="4">
        <v>-15.442538366554947</v>
      </c>
      <c r="AD79" s="4">
        <v>-16.214665284882695</v>
      </c>
      <c r="AE79" s="4">
        <v>-16.986792203210442</v>
      </c>
      <c r="AF79" s="4">
        <v>-17.758919121538192</v>
      </c>
      <c r="AG79" s="4">
        <v>-18.531046039865938</v>
      </c>
      <c r="AH79" s="4">
        <v>-19.303172958193684</v>
      </c>
      <c r="AI79" s="4">
        <v>-20.075299876521431</v>
      </c>
      <c r="AJ79" s="4">
        <v>-20.847426794849181</v>
      </c>
      <c r="AK79" s="4">
        <v>-21.619553713176927</v>
      </c>
      <c r="AL79" s="4">
        <v>-22.391680631504673</v>
      </c>
      <c r="AM79" s="4">
        <v>-23.163807549832423</v>
      </c>
      <c r="AN79" s="4">
        <v>-23.93593446816017</v>
      </c>
      <c r="AO79" s="4">
        <v>-24.708061386487916</v>
      </c>
      <c r="AP79" s="4">
        <v>-25.480188304815663</v>
      </c>
      <c r="AQ79" s="4">
        <v>-26.252315223143412</v>
      </c>
      <c r="AR79" s="4">
        <v>-27.024442141471159</v>
      </c>
      <c r="AS79" s="4">
        <v>-27.796569059798905</v>
      </c>
      <c r="AT79" s="4">
        <v>-28.568695978126655</v>
      </c>
      <c r="AU79" s="4">
        <v>-29.340822896454402</v>
      </c>
      <c r="AV79" s="4">
        <v>-30.112949814782148</v>
      </c>
      <c r="AW79" s="4">
        <v>-30.885076733109894</v>
      </c>
      <c r="AX79" s="4">
        <v>-31.657203651437644</v>
      </c>
      <c r="AY79" s="4">
        <v>-32.429330569765391</v>
      </c>
      <c r="AZ79" s="4">
        <v>-33.201457488093141</v>
      </c>
      <c r="BA79" s="4">
        <v>-33.973584406420883</v>
      </c>
      <c r="BB79" s="4">
        <v>-34.745711324748633</v>
      </c>
      <c r="BC79" s="4">
        <v>-35.517838243076383</v>
      </c>
      <c r="BD79" s="4">
        <v>-36.289965161404126</v>
      </c>
      <c r="BE79" s="4">
        <v>-37.062092079731876</v>
      </c>
      <c r="BF79" s="4">
        <v>-37.834218998059626</v>
      </c>
      <c r="BG79" s="4">
        <v>-38.606345916387369</v>
      </c>
      <c r="BH79" s="4">
        <v>-39.378472834715119</v>
      </c>
      <c r="BI79" s="4">
        <v>-40.150599753042862</v>
      </c>
      <c r="BJ79" s="4">
        <v>-40.922726671370611</v>
      </c>
      <c r="BK79" s="4">
        <v>-41.694853589698361</v>
      </c>
      <c r="BL79" s="4">
        <v>-42.466980508026104</v>
      </c>
      <c r="BM79" s="4">
        <v>-43.239107426353854</v>
      </c>
      <c r="BN79" s="4">
        <v>-44.011234344681604</v>
      </c>
      <c r="BO79" s="4">
        <v>-44.783361263009347</v>
      </c>
      <c r="BP79" s="4">
        <v>-45.555488181337097</v>
      </c>
      <c r="BQ79" s="4">
        <v>-46.327615099664847</v>
      </c>
      <c r="BR79" s="4">
        <v>-47.09974201799259</v>
      </c>
      <c r="BS79" s="4">
        <v>-47.87186893632034</v>
      </c>
      <c r="BT79" s="4">
        <v>-48.64399585464809</v>
      </c>
      <c r="BU79" s="4">
        <v>-49.416122772975832</v>
      </c>
      <c r="BV79" s="4">
        <v>-50.188249691303582</v>
      </c>
      <c r="BW79" s="4">
        <v>-50.960376609631325</v>
      </c>
      <c r="BX79" s="4">
        <v>-51.732503527959075</v>
      </c>
      <c r="BY79" s="4">
        <v>-52.504630446286825</v>
      </c>
      <c r="BZ79" s="4">
        <v>-53.276757364614568</v>
      </c>
      <c r="CA79" s="4">
        <v>-54.048884282942318</v>
      </c>
    </row>
    <row r="80" spans="2:79" x14ac:dyDescent="0.35">
      <c r="B80" t="s">
        <v>23316</v>
      </c>
      <c r="C80">
        <v>2449</v>
      </c>
      <c r="D80">
        <v>332.9</v>
      </c>
      <c r="H80" t="s">
        <v>23316</v>
      </c>
      <c r="I80">
        <v>2449</v>
      </c>
      <c r="J80" s="4">
        <v>-0.70526106897160001</v>
      </c>
      <c r="K80" s="4">
        <v>-1.4105221379432</v>
      </c>
      <c r="L80" s="4">
        <v>-2.1157832069147999</v>
      </c>
      <c r="M80" s="4">
        <v>-2.8210442758864001</v>
      </c>
      <c r="N80" s="4">
        <v>-3.5263053448579997</v>
      </c>
      <c r="O80" s="4">
        <v>-4.2315664138295999</v>
      </c>
      <c r="P80" s="4">
        <v>-4.9368274828012</v>
      </c>
      <c r="Q80" s="4">
        <v>-5.6420885517728001</v>
      </c>
      <c r="R80" s="4">
        <v>-6.3473496207443993</v>
      </c>
      <c r="S80" s="4">
        <v>-7.0526106897159995</v>
      </c>
      <c r="T80" s="4">
        <v>-7.7578717586875996</v>
      </c>
      <c r="U80" s="4">
        <v>-8.4631328276591997</v>
      </c>
      <c r="V80" s="4">
        <v>-9.1683938966307998</v>
      </c>
      <c r="W80" s="4">
        <v>-9.8736549656024</v>
      </c>
      <c r="X80" s="4">
        <v>-10.578916034574</v>
      </c>
      <c r="Y80" s="4">
        <v>-11.2841771035456</v>
      </c>
      <c r="Z80" s="4">
        <v>-11.989438172517199</v>
      </c>
      <c r="AA80" s="4">
        <v>-12.694699241488799</v>
      </c>
      <c r="AB80" s="4">
        <v>-13.399960310460399</v>
      </c>
      <c r="AC80" s="4">
        <v>-14.105221379431999</v>
      </c>
      <c r="AD80" s="4">
        <v>-14.810482448403599</v>
      </c>
      <c r="AE80" s="4">
        <v>-15.515743517375199</v>
      </c>
      <c r="AF80" s="4">
        <v>-16.221004586346798</v>
      </c>
      <c r="AG80" s="4">
        <v>-16.926265655318399</v>
      </c>
      <c r="AH80" s="4">
        <v>-17.631526724289998</v>
      </c>
      <c r="AI80" s="4">
        <v>-18.3367877932616</v>
      </c>
      <c r="AJ80" s="4">
        <v>-19.042048862233202</v>
      </c>
      <c r="AK80" s="4">
        <v>-19.7473099312048</v>
      </c>
      <c r="AL80" s="4">
        <v>-20.452571000176402</v>
      </c>
      <c r="AM80" s="4">
        <v>-21.157832069148</v>
      </c>
      <c r="AN80" s="4">
        <v>-21.863093138119602</v>
      </c>
      <c r="AO80" s="4">
        <v>-22.5683542070912</v>
      </c>
      <c r="AP80" s="4">
        <v>-23.273615276062799</v>
      </c>
      <c r="AQ80" s="4">
        <v>-23.978876345034397</v>
      </c>
      <c r="AR80" s="4">
        <v>-24.684137414005999</v>
      </c>
      <c r="AS80" s="4">
        <v>-25.389398482977597</v>
      </c>
      <c r="AT80" s="4">
        <v>-26.094659551949196</v>
      </c>
      <c r="AU80" s="4">
        <v>-26.799920620920798</v>
      </c>
      <c r="AV80" s="4">
        <v>-27.505181689892396</v>
      </c>
      <c r="AW80" s="4">
        <v>-28.210442758863998</v>
      </c>
      <c r="AX80" s="4">
        <v>-28.915703827835596</v>
      </c>
      <c r="AY80" s="4">
        <v>-29.620964896807198</v>
      </c>
      <c r="AZ80" s="4">
        <v>-30.326225965778796</v>
      </c>
      <c r="BA80" s="4">
        <v>-31.031487034750398</v>
      </c>
      <c r="BB80" s="4">
        <v>-31.736748103721997</v>
      </c>
      <c r="BC80" s="4">
        <v>-32.442009172693595</v>
      </c>
      <c r="BD80" s="4">
        <v>-33.147270241665197</v>
      </c>
      <c r="BE80" s="4">
        <v>-33.852531310636799</v>
      </c>
      <c r="BF80" s="4">
        <v>-34.557792379608394</v>
      </c>
      <c r="BG80" s="4">
        <v>-35.263053448579996</v>
      </c>
      <c r="BH80" s="4">
        <v>-35.968314517551597</v>
      </c>
      <c r="BI80" s="4">
        <v>-36.673575586523199</v>
      </c>
      <c r="BJ80" s="4">
        <v>-37.378836655494801</v>
      </c>
      <c r="BK80" s="4">
        <v>-38.084097724466403</v>
      </c>
      <c r="BL80" s="4">
        <v>-38.789358793437998</v>
      </c>
      <c r="BM80" s="4">
        <v>-39.4946198624096</v>
      </c>
      <c r="BN80" s="4">
        <v>-40.199880931381202</v>
      </c>
      <c r="BO80" s="4">
        <v>-40.905142000352804</v>
      </c>
      <c r="BP80" s="4">
        <v>-41.610403069324398</v>
      </c>
      <c r="BQ80" s="4">
        <v>-42.315664138296</v>
      </c>
      <c r="BR80" s="4">
        <v>-43.020925207267602</v>
      </c>
      <c r="BS80" s="4">
        <v>-43.726186276239204</v>
      </c>
      <c r="BT80" s="4">
        <v>-44.431447345210799</v>
      </c>
      <c r="BU80" s="4">
        <v>-45.136708414182401</v>
      </c>
      <c r="BV80" s="4">
        <v>-45.841969483154003</v>
      </c>
      <c r="BW80" s="4">
        <v>-46.547230552125598</v>
      </c>
      <c r="BX80" s="4">
        <v>-47.252491621097192</v>
      </c>
      <c r="BY80" s="4">
        <v>-47.957752690068794</v>
      </c>
      <c r="BZ80" s="4">
        <v>-48.663013759040396</v>
      </c>
      <c r="CA80" s="4">
        <v>-49.368274828011998</v>
      </c>
    </row>
    <row r="81" spans="2:80" x14ac:dyDescent="0.35">
      <c r="B81" t="s">
        <v>23317</v>
      </c>
      <c r="C81">
        <v>2449</v>
      </c>
      <c r="D81">
        <v>393.5</v>
      </c>
      <c r="H81" t="s">
        <v>23317</v>
      </c>
      <c r="I81">
        <v>2449</v>
      </c>
      <c r="J81" s="4">
        <v>-0.63845034397600986</v>
      </c>
      <c r="K81" s="4">
        <v>-1.2769006879520197</v>
      </c>
      <c r="L81" s="4">
        <v>-1.9153510319280296</v>
      </c>
      <c r="M81" s="4">
        <v>-2.5538013759040394</v>
      </c>
      <c r="N81" s="4">
        <v>-3.1922517198800495</v>
      </c>
      <c r="O81" s="4">
        <v>-3.8307020638560592</v>
      </c>
      <c r="P81" s="4">
        <v>-4.4691524078320688</v>
      </c>
      <c r="Q81" s="4">
        <v>-5.1076027518080789</v>
      </c>
      <c r="R81" s="4">
        <v>-5.746053095784089</v>
      </c>
      <c r="S81" s="4">
        <v>-6.384503439760099</v>
      </c>
      <c r="T81" s="4">
        <v>-7.0229537837361082</v>
      </c>
      <c r="U81" s="4">
        <v>-7.6614041277121183</v>
      </c>
      <c r="V81" s="4">
        <v>-8.2998544716881284</v>
      </c>
      <c r="W81" s="4">
        <v>-8.9383048156641376</v>
      </c>
      <c r="X81" s="4">
        <v>-9.5767551596401486</v>
      </c>
      <c r="Y81" s="4">
        <v>-10.215205503616158</v>
      </c>
      <c r="Z81" s="4">
        <v>-10.853655847592169</v>
      </c>
      <c r="AA81" s="4">
        <v>-11.492106191568178</v>
      </c>
      <c r="AB81" s="4">
        <v>-12.130556535544187</v>
      </c>
      <c r="AC81" s="4">
        <v>-12.769006879520198</v>
      </c>
      <c r="AD81" s="4">
        <v>-13.407457223496207</v>
      </c>
      <c r="AE81" s="4">
        <v>-14.045907567472216</v>
      </c>
      <c r="AF81" s="4">
        <v>-14.684357911448227</v>
      </c>
      <c r="AG81" s="4">
        <v>-15.322808255424237</v>
      </c>
      <c r="AH81" s="4">
        <v>-15.961258599400248</v>
      </c>
      <c r="AI81" s="4">
        <v>-16.599708943376257</v>
      </c>
      <c r="AJ81" s="4">
        <v>-17.238159287352268</v>
      </c>
      <c r="AK81" s="4">
        <v>-17.876609631328275</v>
      </c>
      <c r="AL81" s="4">
        <v>-18.515059975304286</v>
      </c>
      <c r="AM81" s="4">
        <v>-19.153510319280297</v>
      </c>
      <c r="AN81" s="4">
        <v>-19.791960663256305</v>
      </c>
      <c r="AO81" s="4">
        <v>-20.430411007232316</v>
      </c>
      <c r="AP81" s="4">
        <v>-21.068861351208326</v>
      </c>
      <c r="AQ81" s="4">
        <v>-21.707311695184337</v>
      </c>
      <c r="AR81" s="4">
        <v>-22.345762039160345</v>
      </c>
      <c r="AS81" s="4">
        <v>-22.984212383136356</v>
      </c>
      <c r="AT81" s="4">
        <v>-23.622662727112367</v>
      </c>
      <c r="AU81" s="4">
        <v>-24.261113071088374</v>
      </c>
      <c r="AV81" s="4">
        <v>-24.899563415064385</v>
      </c>
      <c r="AW81" s="4">
        <v>-25.538013759040396</v>
      </c>
      <c r="AX81" s="4">
        <v>-26.176464103016404</v>
      </c>
      <c r="AY81" s="4">
        <v>-26.814914446992415</v>
      </c>
      <c r="AZ81" s="4">
        <v>-27.453364790968426</v>
      </c>
      <c r="BA81" s="4">
        <v>-28.091815134944433</v>
      </c>
      <c r="BB81" s="4">
        <v>-28.730265478920444</v>
      </c>
      <c r="BC81" s="4">
        <v>-29.368715822896455</v>
      </c>
      <c r="BD81" s="4">
        <v>-30.007166166872466</v>
      </c>
      <c r="BE81" s="4">
        <v>-30.645616510848473</v>
      </c>
      <c r="BF81" s="4">
        <v>-31.284066854824484</v>
      </c>
      <c r="BG81" s="4">
        <v>-31.922517198800495</v>
      </c>
      <c r="BH81" s="4">
        <v>-32.560967542776503</v>
      </c>
      <c r="BI81" s="4">
        <v>-33.199417886752514</v>
      </c>
      <c r="BJ81" s="4">
        <v>-33.837868230728525</v>
      </c>
      <c r="BK81" s="4">
        <v>-34.476318574704536</v>
      </c>
      <c r="BL81" s="4">
        <v>-35.114768918680547</v>
      </c>
      <c r="BM81" s="4">
        <v>-35.75321926265655</v>
      </c>
      <c r="BN81" s="4">
        <v>-36.391669606632561</v>
      </c>
      <c r="BO81" s="4">
        <v>-37.030119950608572</v>
      </c>
      <c r="BP81" s="4">
        <v>-37.668570294584583</v>
      </c>
      <c r="BQ81" s="4">
        <v>-38.307020638560594</v>
      </c>
      <c r="BR81" s="4">
        <v>-38.945470982536605</v>
      </c>
      <c r="BS81" s="4">
        <v>-39.583921326512609</v>
      </c>
      <c r="BT81" s="4">
        <v>-40.22237167048862</v>
      </c>
      <c r="BU81" s="4">
        <v>-40.860822014464631</v>
      </c>
      <c r="BV81" s="4">
        <v>-41.499272358440642</v>
      </c>
      <c r="BW81" s="4">
        <v>-42.137722702416653</v>
      </c>
      <c r="BX81" s="4">
        <v>-42.776173046392664</v>
      </c>
      <c r="BY81" s="4">
        <v>-43.414623390368675</v>
      </c>
      <c r="BZ81" s="4">
        <v>-44.053073734344679</v>
      </c>
      <c r="CA81" s="4">
        <v>-44.69152407832069</v>
      </c>
    </row>
    <row r="82" spans="2:80" x14ac:dyDescent="0.35">
      <c r="B82" t="s">
        <v>23391</v>
      </c>
      <c r="C82">
        <v>2449</v>
      </c>
      <c r="D82">
        <v>455.6</v>
      </c>
      <c r="H82" t="s">
        <v>23391</v>
      </c>
      <c r="I82">
        <v>2449</v>
      </c>
      <c r="J82" s="4">
        <v>-0.56998588816369733</v>
      </c>
      <c r="K82" s="4">
        <v>-1.1399717763273947</v>
      </c>
      <c r="L82" s="4">
        <v>-1.7099576644910919</v>
      </c>
      <c r="M82" s="4">
        <v>-2.2799435526547893</v>
      </c>
      <c r="N82" s="4">
        <v>-2.8499294408184865</v>
      </c>
      <c r="O82" s="4">
        <v>-3.4199153289821838</v>
      </c>
      <c r="P82" s="4">
        <v>-3.989901217145881</v>
      </c>
      <c r="Q82" s="4">
        <v>-4.5598871053095786</v>
      </c>
      <c r="R82" s="4">
        <v>-5.1298729934732759</v>
      </c>
      <c r="S82" s="4">
        <v>-5.6998588816369731</v>
      </c>
      <c r="T82" s="4">
        <v>-6.2698447698006703</v>
      </c>
      <c r="U82" s="4">
        <v>-6.8398306579643675</v>
      </c>
      <c r="V82" s="4">
        <v>-7.4098165461280647</v>
      </c>
      <c r="W82" s="4">
        <v>-7.9798024342917619</v>
      </c>
      <c r="X82" s="4">
        <v>-8.5497883224554592</v>
      </c>
      <c r="Y82" s="4">
        <v>-9.1197742106191573</v>
      </c>
      <c r="Z82" s="4">
        <v>-9.6897600987828536</v>
      </c>
      <c r="AA82" s="4">
        <v>-10.259745986946552</v>
      </c>
      <c r="AB82" s="4">
        <v>-10.829731875110248</v>
      </c>
      <c r="AC82" s="4">
        <v>-11.399717763273946</v>
      </c>
      <c r="AD82" s="4">
        <v>-11.969703651437642</v>
      </c>
      <c r="AE82" s="4">
        <v>-12.539689539601341</v>
      </c>
      <c r="AF82" s="4">
        <v>-13.109675427765039</v>
      </c>
      <c r="AG82" s="4">
        <v>-13.679661315928735</v>
      </c>
      <c r="AH82" s="4">
        <v>-14.249647204092433</v>
      </c>
      <c r="AI82" s="4">
        <v>-14.819633092256129</v>
      </c>
      <c r="AJ82" s="4">
        <v>-15.389618980419828</v>
      </c>
      <c r="AK82" s="4">
        <v>-15.959604868583524</v>
      </c>
      <c r="AL82" s="4">
        <v>-16.529590756747222</v>
      </c>
      <c r="AM82" s="4">
        <v>-17.099576644910918</v>
      </c>
      <c r="AN82" s="4">
        <v>-17.669562533074615</v>
      </c>
      <c r="AO82" s="4">
        <v>-18.239548421238315</v>
      </c>
      <c r="AP82" s="4">
        <v>-18.809534309402011</v>
      </c>
      <c r="AQ82" s="4">
        <v>-19.379520197565707</v>
      </c>
      <c r="AR82" s="4">
        <v>-19.949506085729407</v>
      </c>
      <c r="AS82" s="4">
        <v>-20.519491973893103</v>
      </c>
      <c r="AT82" s="4">
        <v>-21.0894778620568</v>
      </c>
      <c r="AU82" s="4">
        <v>-21.659463750220496</v>
      </c>
      <c r="AV82" s="4">
        <v>-22.229449638384196</v>
      </c>
      <c r="AW82" s="4">
        <v>-22.799435526547892</v>
      </c>
      <c r="AX82" s="4">
        <v>-23.369421414711589</v>
      </c>
      <c r="AY82" s="4">
        <v>-23.939407302875285</v>
      </c>
      <c r="AZ82" s="4">
        <v>-24.509393191038985</v>
      </c>
      <c r="BA82" s="4">
        <v>-25.079379079202681</v>
      </c>
      <c r="BB82" s="4">
        <v>-25.649364967366377</v>
      </c>
      <c r="BC82" s="4">
        <v>-26.219350855530077</v>
      </c>
      <c r="BD82" s="4">
        <v>-26.789336743693774</v>
      </c>
      <c r="BE82" s="4">
        <v>-27.35932263185747</v>
      </c>
      <c r="BF82" s="4">
        <v>-27.929308520021166</v>
      </c>
      <c r="BG82" s="4">
        <v>-28.499294408184866</v>
      </c>
      <c r="BH82" s="4">
        <v>-29.069280296348563</v>
      </c>
      <c r="BI82" s="4">
        <v>-29.639266184512259</v>
      </c>
      <c r="BJ82" s="4">
        <v>-30.209252072675955</v>
      </c>
      <c r="BK82" s="4">
        <v>-30.779237960839655</v>
      </c>
      <c r="BL82" s="4">
        <v>-31.349223849003351</v>
      </c>
      <c r="BM82" s="4">
        <v>-31.919209737167048</v>
      </c>
      <c r="BN82" s="4">
        <v>-32.489195625330744</v>
      </c>
      <c r="BO82" s="4">
        <v>-33.059181513494444</v>
      </c>
      <c r="BP82" s="4">
        <v>-33.629167401658144</v>
      </c>
      <c r="BQ82" s="4">
        <v>-34.199153289821837</v>
      </c>
      <c r="BR82" s="4">
        <v>-34.769139177985537</v>
      </c>
      <c r="BS82" s="4">
        <v>-35.339125066149229</v>
      </c>
      <c r="BT82" s="4">
        <v>-35.909110954312929</v>
      </c>
      <c r="BU82" s="4">
        <v>-36.479096842476629</v>
      </c>
      <c r="BV82" s="4">
        <v>-37.049082730640322</v>
      </c>
      <c r="BW82" s="4">
        <v>-37.619068618804022</v>
      </c>
      <c r="BX82" s="4">
        <v>-38.189054506967722</v>
      </c>
      <c r="BY82" s="4">
        <v>-38.759040395131414</v>
      </c>
      <c r="BZ82" s="4">
        <v>-39.329026283295114</v>
      </c>
      <c r="CA82" s="4">
        <v>-39.899012171458814</v>
      </c>
    </row>
    <row r="83" spans="2:80" x14ac:dyDescent="0.35">
      <c r="B83" t="s">
        <v>23318</v>
      </c>
      <c r="C83">
        <v>2449</v>
      </c>
      <c r="D83">
        <v>518.59999999999991</v>
      </c>
      <c r="H83" t="s">
        <v>23318</v>
      </c>
      <c r="I83">
        <v>2449</v>
      </c>
      <c r="J83" s="4">
        <v>-0.50052919386135142</v>
      </c>
      <c r="K83" s="4">
        <v>-1.0010583877227028</v>
      </c>
      <c r="L83" s="4">
        <v>-1.501587581584054</v>
      </c>
      <c r="M83" s="4">
        <v>-2.0021167754454057</v>
      </c>
      <c r="N83" s="4">
        <v>-2.5026459693067569</v>
      </c>
      <c r="O83" s="4">
        <v>-3.0031751631681081</v>
      </c>
      <c r="P83" s="4">
        <v>-3.5037043570294593</v>
      </c>
      <c r="Q83" s="4">
        <v>-4.0042335508908113</v>
      </c>
      <c r="R83" s="4">
        <v>-4.5047627447521625</v>
      </c>
      <c r="S83" s="4">
        <v>-5.0052919386135137</v>
      </c>
      <c r="T83" s="4">
        <v>-5.5058211324748649</v>
      </c>
      <c r="U83" s="4">
        <v>-6.0063503263362161</v>
      </c>
      <c r="V83" s="4">
        <v>-6.5068795201975673</v>
      </c>
      <c r="W83" s="4">
        <v>-7.0074087140589185</v>
      </c>
      <c r="X83" s="4">
        <v>-7.5079379079202697</v>
      </c>
      <c r="Y83" s="4">
        <v>-8.0084671017816227</v>
      </c>
      <c r="Z83" s="4">
        <v>-8.508996295642973</v>
      </c>
      <c r="AA83" s="4">
        <v>-9.0095254895043251</v>
      </c>
      <c r="AB83" s="4">
        <v>-9.5100546833656754</v>
      </c>
      <c r="AC83" s="4">
        <v>-10.010583877227027</v>
      </c>
      <c r="AD83" s="4">
        <v>-10.511113071088378</v>
      </c>
      <c r="AE83" s="4">
        <v>-11.01164226494973</v>
      </c>
      <c r="AF83" s="4">
        <v>-11.51217145881108</v>
      </c>
      <c r="AG83" s="4">
        <v>-12.012700652672432</v>
      </c>
      <c r="AH83" s="4">
        <v>-12.513229846533783</v>
      </c>
      <c r="AI83" s="4">
        <v>-13.013759040395135</v>
      </c>
      <c r="AJ83" s="4">
        <v>-13.514288234256485</v>
      </c>
      <c r="AK83" s="4">
        <v>-14.014817428117837</v>
      </c>
      <c r="AL83" s="4">
        <v>-14.515346621979187</v>
      </c>
      <c r="AM83" s="4">
        <v>-15.015875815840539</v>
      </c>
      <c r="AN83" s="4">
        <v>-15.516405009701893</v>
      </c>
      <c r="AO83" s="4">
        <v>-16.016934203563245</v>
      </c>
      <c r="AP83" s="4">
        <v>-16.517463397424596</v>
      </c>
      <c r="AQ83" s="4">
        <v>-17.017992591285946</v>
      </c>
      <c r="AR83" s="4">
        <v>-17.518521785147296</v>
      </c>
      <c r="AS83" s="4">
        <v>-18.01905097900865</v>
      </c>
      <c r="AT83" s="4">
        <v>-18.51958017287</v>
      </c>
      <c r="AU83" s="4">
        <v>-19.020109366731351</v>
      </c>
      <c r="AV83" s="4">
        <v>-19.520638560592701</v>
      </c>
      <c r="AW83" s="4">
        <v>-20.021167754454055</v>
      </c>
      <c r="AX83" s="4">
        <v>-20.521696948315405</v>
      </c>
      <c r="AY83" s="4">
        <v>-21.022226142176756</v>
      </c>
      <c r="AZ83" s="4">
        <v>-21.522755336038106</v>
      </c>
      <c r="BA83" s="4">
        <v>-22.02328452989946</v>
      </c>
      <c r="BB83" s="4">
        <v>-22.52381372376081</v>
      </c>
      <c r="BC83" s="4">
        <v>-23.02434291762216</v>
      </c>
      <c r="BD83" s="4">
        <v>-23.524872111483511</v>
      </c>
      <c r="BE83" s="4">
        <v>-24.025401305344865</v>
      </c>
      <c r="BF83" s="4">
        <v>-24.525930499206215</v>
      </c>
      <c r="BG83" s="4">
        <v>-25.026459693067565</v>
      </c>
      <c r="BH83" s="4">
        <v>-25.526988886928915</v>
      </c>
      <c r="BI83" s="4">
        <v>-26.027518080790269</v>
      </c>
      <c r="BJ83" s="4">
        <v>-26.52804727465162</v>
      </c>
      <c r="BK83" s="4">
        <v>-27.02857646851297</v>
      </c>
      <c r="BL83" s="4">
        <v>-27.52910566237432</v>
      </c>
      <c r="BM83" s="4">
        <v>-28.029634856235674</v>
      </c>
      <c r="BN83" s="4">
        <v>-28.530164050097024</v>
      </c>
      <c r="BO83" s="4">
        <v>-29.030693243958375</v>
      </c>
      <c r="BP83" s="4">
        <v>-29.531222437819725</v>
      </c>
      <c r="BQ83" s="4">
        <v>-30.031751631681079</v>
      </c>
      <c r="BR83" s="4">
        <v>-30.532280825542429</v>
      </c>
      <c r="BS83" s="4">
        <v>-31.032810019403787</v>
      </c>
      <c r="BT83" s="4">
        <v>-31.533339213265137</v>
      </c>
      <c r="BU83" s="4">
        <v>-32.033868407126491</v>
      </c>
      <c r="BV83" s="4">
        <v>-32.534397600987838</v>
      </c>
      <c r="BW83" s="4">
        <v>-33.034926794849191</v>
      </c>
      <c r="BX83" s="4">
        <v>-33.535455988710538</v>
      </c>
      <c r="BY83" s="4">
        <v>-34.035985182571892</v>
      </c>
      <c r="BZ83" s="4">
        <v>-34.536514376433246</v>
      </c>
      <c r="CA83" s="4">
        <v>-35.037043570294593</v>
      </c>
    </row>
    <row r="84" spans="2:80" x14ac:dyDescent="0.35">
      <c r="B84" t="s">
        <v>23319</v>
      </c>
      <c r="C84">
        <v>2449</v>
      </c>
      <c r="D84">
        <v>580.09999999999991</v>
      </c>
      <c r="H84" t="s">
        <v>23319</v>
      </c>
      <c r="I84">
        <v>2449</v>
      </c>
      <c r="J84" s="4">
        <v>-0.43272623037572783</v>
      </c>
      <c r="K84" s="4">
        <v>-0.86545246075145565</v>
      </c>
      <c r="L84" s="4">
        <v>-1.2981786911271833</v>
      </c>
      <c r="M84" s="4">
        <v>-1.7309049215029113</v>
      </c>
      <c r="N84" s="4">
        <v>-2.1636311518786386</v>
      </c>
      <c r="O84" s="4">
        <v>-2.5963573822543666</v>
      </c>
      <c r="P84" s="4">
        <v>-3.0290836126300942</v>
      </c>
      <c r="Q84" s="4">
        <v>-3.4618098430058226</v>
      </c>
      <c r="R84" s="4">
        <v>-3.8945360733815502</v>
      </c>
      <c r="S84" s="4">
        <v>-4.3272623037572773</v>
      </c>
      <c r="T84" s="4">
        <v>-4.7599885341330053</v>
      </c>
      <c r="U84" s="4">
        <v>-5.1927147645087333</v>
      </c>
      <c r="V84" s="4">
        <v>-5.6254409948844613</v>
      </c>
      <c r="W84" s="4">
        <v>-6.0581672252601884</v>
      </c>
      <c r="X84" s="4">
        <v>-6.4908934556359155</v>
      </c>
      <c r="Y84" s="4">
        <v>-6.9236196860116452</v>
      </c>
      <c r="Z84" s="4">
        <v>-7.3563459163873723</v>
      </c>
      <c r="AA84" s="4">
        <v>-7.7890721467631003</v>
      </c>
      <c r="AB84" s="4">
        <v>-8.2217983771388283</v>
      </c>
      <c r="AC84" s="4">
        <v>-8.6545246075145545</v>
      </c>
      <c r="AD84" s="4">
        <v>-9.0872508378902825</v>
      </c>
      <c r="AE84" s="4">
        <v>-9.5199770682660105</v>
      </c>
      <c r="AF84" s="4">
        <v>-9.9527032986417385</v>
      </c>
      <c r="AG84" s="4">
        <v>-10.385429529017467</v>
      </c>
      <c r="AH84" s="4">
        <v>-10.818155759393193</v>
      </c>
      <c r="AI84" s="4">
        <v>-11.250881989768923</v>
      </c>
      <c r="AJ84" s="4">
        <v>-11.683608220144649</v>
      </c>
      <c r="AK84" s="4">
        <v>-12.116334450520377</v>
      </c>
      <c r="AL84" s="4">
        <v>-12.549060680896105</v>
      </c>
      <c r="AM84" s="4">
        <v>-12.981786911271831</v>
      </c>
      <c r="AN84" s="4">
        <v>-13.414513141647562</v>
      </c>
      <c r="AO84" s="4">
        <v>-13.84723937202329</v>
      </c>
      <c r="AP84" s="4">
        <v>-14.279965602399017</v>
      </c>
      <c r="AQ84" s="4">
        <v>-14.712691832774745</v>
      </c>
      <c r="AR84" s="4">
        <v>-15.145418063150473</v>
      </c>
      <c r="AS84" s="4">
        <v>-15.578144293526201</v>
      </c>
      <c r="AT84" s="4">
        <v>-16.010870523901929</v>
      </c>
      <c r="AU84" s="4">
        <v>-16.443596754277657</v>
      </c>
      <c r="AV84" s="4">
        <v>-16.876322984653385</v>
      </c>
      <c r="AW84" s="4">
        <v>-17.309049215029109</v>
      </c>
      <c r="AX84" s="4">
        <v>-17.741775445404837</v>
      </c>
      <c r="AY84" s="4">
        <v>-18.174501675780565</v>
      </c>
      <c r="AZ84" s="4">
        <v>-18.607227906156293</v>
      </c>
      <c r="BA84" s="4">
        <v>-19.039954136532021</v>
      </c>
      <c r="BB84" s="4">
        <v>-19.472680366907749</v>
      </c>
      <c r="BC84" s="4">
        <v>-19.905406597283477</v>
      </c>
      <c r="BD84" s="4">
        <v>-20.338132827659205</v>
      </c>
      <c r="BE84" s="4">
        <v>-20.770859058034933</v>
      </c>
      <c r="BF84" s="4">
        <v>-21.203585288410661</v>
      </c>
      <c r="BG84" s="4">
        <v>-21.636311518786385</v>
      </c>
      <c r="BH84" s="4">
        <v>-22.069037749162113</v>
      </c>
      <c r="BI84" s="4">
        <v>-22.501763979537845</v>
      </c>
      <c r="BJ84" s="4">
        <v>-22.934490209913573</v>
      </c>
      <c r="BK84" s="4">
        <v>-23.367216440289297</v>
      </c>
      <c r="BL84" s="4">
        <v>-23.799942670665025</v>
      </c>
      <c r="BM84" s="4">
        <v>-24.232668901040753</v>
      </c>
      <c r="BN84" s="4">
        <v>-24.665395131416481</v>
      </c>
      <c r="BO84" s="4">
        <v>-25.098121361792209</v>
      </c>
      <c r="BP84" s="4">
        <v>-25.530847592167937</v>
      </c>
      <c r="BQ84" s="4">
        <v>-25.963573822543662</v>
      </c>
      <c r="BR84" s="4">
        <v>-26.39630005291939</v>
      </c>
      <c r="BS84" s="4">
        <v>-26.829026283295125</v>
      </c>
      <c r="BT84" s="4">
        <v>-27.261752513670853</v>
      </c>
      <c r="BU84" s="4">
        <v>-27.694478744046581</v>
      </c>
      <c r="BV84" s="4">
        <v>-28.127204974422305</v>
      </c>
      <c r="BW84" s="4">
        <v>-28.559931204798033</v>
      </c>
      <c r="BX84" s="4">
        <v>-28.992657435173761</v>
      </c>
      <c r="BY84" s="4">
        <v>-29.425383665549489</v>
      </c>
      <c r="BZ84" s="4">
        <v>-29.858109895925217</v>
      </c>
      <c r="CA84" s="4">
        <v>-30.290836126300945</v>
      </c>
    </row>
    <row r="85" spans="2:80" x14ac:dyDescent="0.35">
      <c r="B85" t="s">
        <v>23320</v>
      </c>
      <c r="C85">
        <v>2449</v>
      </c>
      <c r="D85">
        <v>640.70000000000005</v>
      </c>
      <c r="H85" t="s">
        <v>23320</v>
      </c>
      <c r="I85">
        <v>2449</v>
      </c>
      <c r="J85" s="4">
        <v>-0.36591550538013762</v>
      </c>
      <c r="K85" s="4">
        <v>-0.73183101076027524</v>
      </c>
      <c r="L85" s="4">
        <v>-1.0977465161404127</v>
      </c>
      <c r="M85" s="4">
        <v>-1.4636620215205505</v>
      </c>
      <c r="N85" s="4">
        <v>-1.829577526900688</v>
      </c>
      <c r="O85" s="4">
        <v>-2.1954930322808255</v>
      </c>
      <c r="P85" s="4">
        <v>-2.561408537660963</v>
      </c>
      <c r="Q85" s="4">
        <v>-2.9273240430411009</v>
      </c>
      <c r="R85" s="4">
        <v>-3.2932395484212384</v>
      </c>
      <c r="S85" s="4">
        <v>-3.659155053801376</v>
      </c>
      <c r="T85" s="4">
        <v>-4.0250705591815139</v>
      </c>
      <c r="U85" s="4">
        <v>-4.390986064561651</v>
      </c>
      <c r="V85" s="4">
        <v>-4.756901569941788</v>
      </c>
      <c r="W85" s="4">
        <v>-5.122817075321926</v>
      </c>
      <c r="X85" s="4">
        <v>-5.488732580702063</v>
      </c>
      <c r="Y85" s="4">
        <v>-5.8546480860822019</v>
      </c>
      <c r="Z85" s="4">
        <v>-6.2205635914623389</v>
      </c>
      <c r="AA85" s="4">
        <v>-6.5864790968424769</v>
      </c>
      <c r="AB85" s="4">
        <v>-6.952394602222614</v>
      </c>
      <c r="AC85" s="4">
        <v>-7.3183101076027519</v>
      </c>
      <c r="AD85" s="4">
        <v>-7.684225612982889</v>
      </c>
      <c r="AE85" s="4">
        <v>-8.0501411183630278</v>
      </c>
      <c r="AF85" s="4">
        <v>-8.4160566237431649</v>
      </c>
      <c r="AG85" s="4">
        <v>-8.7819721291233019</v>
      </c>
      <c r="AH85" s="4">
        <v>-9.147887634503439</v>
      </c>
      <c r="AI85" s="4">
        <v>-9.5138031398835761</v>
      </c>
      <c r="AJ85" s="4">
        <v>-9.8797186452637131</v>
      </c>
      <c r="AK85" s="4">
        <v>-10.245634150643852</v>
      </c>
      <c r="AL85" s="4">
        <v>-10.611549656023989</v>
      </c>
      <c r="AM85" s="4">
        <v>-10.977465161404126</v>
      </c>
      <c r="AN85" s="4">
        <v>-11.343380666784263</v>
      </c>
      <c r="AO85" s="4">
        <v>-11.709296172164404</v>
      </c>
      <c r="AP85" s="4">
        <v>-12.075211677544541</v>
      </c>
      <c r="AQ85" s="4">
        <v>-12.441127182924678</v>
      </c>
      <c r="AR85" s="4">
        <v>-12.807042688304815</v>
      </c>
      <c r="AS85" s="4">
        <v>-13.172958193684954</v>
      </c>
      <c r="AT85" s="4">
        <v>-13.538873699065091</v>
      </c>
      <c r="AU85" s="4">
        <v>-13.904789204445228</v>
      </c>
      <c r="AV85" s="4">
        <v>-14.270704709825367</v>
      </c>
      <c r="AW85" s="4">
        <v>-14.636620215205504</v>
      </c>
      <c r="AX85" s="4">
        <v>-15.002535720585641</v>
      </c>
      <c r="AY85" s="4">
        <v>-15.368451225965778</v>
      </c>
      <c r="AZ85" s="4">
        <v>-15.734366731345917</v>
      </c>
      <c r="BA85" s="4">
        <v>-16.100282236726056</v>
      </c>
      <c r="BB85" s="4">
        <v>-16.466197742106193</v>
      </c>
      <c r="BC85" s="4">
        <v>-16.83211324748633</v>
      </c>
      <c r="BD85" s="4">
        <v>-17.198028752866467</v>
      </c>
      <c r="BE85" s="4">
        <v>-17.563944258246604</v>
      </c>
      <c r="BF85" s="4">
        <v>-17.929859763626741</v>
      </c>
      <c r="BG85" s="4">
        <v>-18.295775269006878</v>
      </c>
      <c r="BH85" s="4">
        <v>-18.661690774387019</v>
      </c>
      <c r="BI85" s="4">
        <v>-19.027606279767152</v>
      </c>
      <c r="BJ85" s="4">
        <v>-19.393521785147289</v>
      </c>
      <c r="BK85" s="4">
        <v>-19.759437290527426</v>
      </c>
      <c r="BL85" s="4">
        <v>-20.125352795907563</v>
      </c>
      <c r="BM85" s="4">
        <v>-20.491268301287704</v>
      </c>
      <c r="BN85" s="4">
        <v>-20.857183806667841</v>
      </c>
      <c r="BO85" s="4">
        <v>-21.223099312047978</v>
      </c>
      <c r="BP85" s="4">
        <v>-21.589014817428115</v>
      </c>
      <c r="BQ85" s="4">
        <v>-21.954930322808252</v>
      </c>
      <c r="BR85" s="4">
        <v>-22.320845828188389</v>
      </c>
      <c r="BS85" s="4">
        <v>-22.686761333568526</v>
      </c>
      <c r="BT85" s="4">
        <v>-23.052676838948667</v>
      </c>
      <c r="BU85" s="4">
        <v>-23.418592344328808</v>
      </c>
      <c r="BV85" s="4">
        <v>-23.784507849708945</v>
      </c>
      <c r="BW85" s="4">
        <v>-24.150423355089082</v>
      </c>
      <c r="BX85" s="4">
        <v>-24.516338860469219</v>
      </c>
      <c r="BY85" s="4">
        <v>-24.882254365849356</v>
      </c>
      <c r="BZ85" s="4">
        <v>-25.248169871229493</v>
      </c>
      <c r="CA85" s="4">
        <v>-25.61408537660963</v>
      </c>
    </row>
    <row r="86" spans="2:80" x14ac:dyDescent="0.35">
      <c r="B86" t="s">
        <v>23392</v>
      </c>
      <c r="C86">
        <v>2449</v>
      </c>
      <c r="D86">
        <v>701.35</v>
      </c>
      <c r="H86" t="s">
        <v>23392</v>
      </c>
      <c r="I86">
        <v>2449</v>
      </c>
      <c r="J86" s="4">
        <v>-0.29904965602399014</v>
      </c>
      <c r="K86" s="4">
        <v>-0.59809931204798028</v>
      </c>
      <c r="L86" s="4">
        <v>-0.89714896807197031</v>
      </c>
      <c r="M86" s="4">
        <v>-1.1961986240959606</v>
      </c>
      <c r="N86" s="4">
        <v>-1.4952482801199507</v>
      </c>
      <c r="O86" s="4">
        <v>-1.7942979361439406</v>
      </c>
      <c r="P86" s="4">
        <v>-2.0933475921679308</v>
      </c>
      <c r="Q86" s="4">
        <v>-2.3923972481919211</v>
      </c>
      <c r="R86" s="4">
        <v>-2.691446904215911</v>
      </c>
      <c r="S86" s="4">
        <v>-2.9904965602399014</v>
      </c>
      <c r="T86" s="4">
        <v>-3.2895462162638913</v>
      </c>
      <c r="U86" s="4">
        <v>-3.5885958722878812</v>
      </c>
      <c r="V86" s="4">
        <v>-3.8876455283118716</v>
      </c>
      <c r="W86" s="4">
        <v>-4.1866951843358615</v>
      </c>
      <c r="X86" s="4">
        <v>-4.4857448403598514</v>
      </c>
      <c r="Y86" s="4">
        <v>-4.7847944963838422</v>
      </c>
      <c r="Z86" s="4">
        <v>-5.0838441524078322</v>
      </c>
      <c r="AA86" s="4">
        <v>-5.3828938084318221</v>
      </c>
      <c r="AB86" s="4">
        <v>-5.681943464455812</v>
      </c>
      <c r="AC86" s="4">
        <v>-5.9809931204798028</v>
      </c>
      <c r="AD86" s="4">
        <v>-6.2800427765037927</v>
      </c>
      <c r="AE86" s="4">
        <v>-6.5790924325277826</v>
      </c>
      <c r="AF86" s="4">
        <v>-6.8781420885517726</v>
      </c>
      <c r="AG86" s="4">
        <v>-7.1771917445757625</v>
      </c>
      <c r="AH86" s="4">
        <v>-7.4762414005997533</v>
      </c>
      <c r="AI86" s="4">
        <v>-7.7752910566237432</v>
      </c>
      <c r="AJ86" s="4">
        <v>-8.074340712647734</v>
      </c>
      <c r="AK86" s="4">
        <v>-8.373390368671723</v>
      </c>
      <c r="AL86" s="4">
        <v>-8.6724400246957138</v>
      </c>
      <c r="AM86" s="4">
        <v>-8.9714896807197029</v>
      </c>
      <c r="AN86" s="4">
        <v>-9.2705393367436937</v>
      </c>
      <c r="AO86" s="4">
        <v>-9.5695889927676845</v>
      </c>
      <c r="AP86" s="4">
        <v>-9.8686386487916735</v>
      </c>
      <c r="AQ86" s="4">
        <v>-10.167688304815664</v>
      </c>
      <c r="AR86" s="4">
        <v>-10.466737960839655</v>
      </c>
      <c r="AS86" s="4">
        <v>-10.765787616863644</v>
      </c>
      <c r="AT86" s="4">
        <v>-11.064837272887635</v>
      </c>
      <c r="AU86" s="4">
        <v>-11.363886928911624</v>
      </c>
      <c r="AV86" s="4">
        <v>-11.662936584935615</v>
      </c>
      <c r="AW86" s="4">
        <v>-11.961986240959606</v>
      </c>
      <c r="AX86" s="4">
        <v>-12.261035896983595</v>
      </c>
      <c r="AY86" s="4">
        <v>-12.560085553007585</v>
      </c>
      <c r="AZ86" s="4">
        <v>-12.859135209031574</v>
      </c>
      <c r="BA86" s="4">
        <v>-13.158184865055565</v>
      </c>
      <c r="BB86" s="4">
        <v>-13.457234521079556</v>
      </c>
      <c r="BC86" s="4">
        <v>-13.756284177103545</v>
      </c>
      <c r="BD86" s="4">
        <v>-14.055333833127536</v>
      </c>
      <c r="BE86" s="4">
        <v>-14.354383489151525</v>
      </c>
      <c r="BF86" s="4">
        <v>-14.653433145175516</v>
      </c>
      <c r="BG86" s="4">
        <v>-14.952482801199507</v>
      </c>
      <c r="BH86" s="4">
        <v>-15.251532457223496</v>
      </c>
      <c r="BI86" s="4">
        <v>-15.550582113247486</v>
      </c>
      <c r="BJ86" s="4">
        <v>-15.849631769271477</v>
      </c>
      <c r="BK86" s="4">
        <v>-16.148681425295468</v>
      </c>
      <c r="BL86" s="4">
        <v>-16.447731081319457</v>
      </c>
      <c r="BM86" s="4">
        <v>-16.746780737343446</v>
      </c>
      <c r="BN86" s="4">
        <v>-17.045830393367439</v>
      </c>
      <c r="BO86" s="4">
        <v>-17.344880049391428</v>
      </c>
      <c r="BP86" s="4">
        <v>-17.643929705415417</v>
      </c>
      <c r="BQ86" s="4">
        <v>-17.942979361439406</v>
      </c>
      <c r="BR86" s="4">
        <v>-18.242029017463398</v>
      </c>
      <c r="BS86" s="4">
        <v>-18.541078673487387</v>
      </c>
      <c r="BT86" s="4">
        <v>-18.840128329511376</v>
      </c>
      <c r="BU86" s="4">
        <v>-19.139177985535369</v>
      </c>
      <c r="BV86" s="4">
        <v>-19.438227641559358</v>
      </c>
      <c r="BW86" s="4">
        <v>-19.737277297583347</v>
      </c>
      <c r="BX86" s="4">
        <v>-20.03632695360734</v>
      </c>
      <c r="BY86" s="4">
        <v>-20.335376609631329</v>
      </c>
      <c r="BZ86" s="4">
        <v>-20.634426265655318</v>
      </c>
      <c r="CA86" s="4">
        <v>-20.93347592167931</v>
      </c>
    </row>
    <row r="87" spans="2:80" x14ac:dyDescent="0.35">
      <c r="B87" t="s">
        <v>23448</v>
      </c>
      <c r="C87">
        <v>5102</v>
      </c>
      <c r="D87">
        <v>302.55</v>
      </c>
      <c r="H87" t="s">
        <v>23448</v>
      </c>
      <c r="I87">
        <v>5102</v>
      </c>
      <c r="J87" s="4">
        <v>-0.73872155582995236</v>
      </c>
      <c r="K87" s="4">
        <v>-1.4774431116599047</v>
      </c>
      <c r="L87" s="4">
        <v>-2.2161646674898572</v>
      </c>
      <c r="M87" s="4">
        <v>-2.9548862233198094</v>
      </c>
      <c r="N87" s="4">
        <v>-3.6936077791497617</v>
      </c>
      <c r="O87" s="4">
        <v>-4.4323293349797144</v>
      </c>
      <c r="P87" s="4">
        <v>-5.1710508908096662</v>
      </c>
      <c r="Q87" s="4">
        <v>-5.9097724466396189</v>
      </c>
      <c r="R87" s="4">
        <v>-6.6484940024695716</v>
      </c>
      <c r="S87" s="4">
        <v>-7.3872155582995234</v>
      </c>
      <c r="T87" s="4">
        <v>-8.1259371141294761</v>
      </c>
      <c r="U87" s="4">
        <v>-8.8646586699594287</v>
      </c>
      <c r="V87" s="4">
        <v>-9.6033802257893797</v>
      </c>
      <c r="W87" s="4">
        <v>-10.342101781619332</v>
      </c>
      <c r="X87" s="4">
        <v>-11.080823337449285</v>
      </c>
      <c r="Y87" s="4">
        <v>-11.819544893279238</v>
      </c>
      <c r="Z87" s="4">
        <v>-12.55826644910919</v>
      </c>
      <c r="AA87" s="4">
        <v>-13.296988004939143</v>
      </c>
      <c r="AB87" s="4">
        <v>-14.035709560769096</v>
      </c>
      <c r="AC87" s="4">
        <v>-14.774431116599047</v>
      </c>
      <c r="AD87" s="4">
        <v>-15.513152672428999</v>
      </c>
      <c r="AE87" s="4">
        <v>-16.251874228258952</v>
      </c>
      <c r="AF87" s="4">
        <v>-16.990595784088903</v>
      </c>
      <c r="AG87" s="4">
        <v>-17.729317339918857</v>
      </c>
      <c r="AH87" s="4">
        <v>-18.468038895748808</v>
      </c>
      <c r="AI87" s="4">
        <v>-19.206760451578759</v>
      </c>
      <c r="AJ87" s="4">
        <v>-19.94548200740871</v>
      </c>
      <c r="AK87" s="4">
        <v>-20.684203563238665</v>
      </c>
      <c r="AL87" s="4">
        <v>-21.422925119068616</v>
      </c>
      <c r="AM87" s="4">
        <v>-22.16164667489857</v>
      </c>
      <c r="AN87" s="4">
        <v>-22.900368230728521</v>
      </c>
      <c r="AO87" s="4">
        <v>-23.639089786558475</v>
      </c>
      <c r="AP87" s="4">
        <v>-24.37781134238843</v>
      </c>
      <c r="AQ87" s="4">
        <v>-25.116532898218381</v>
      </c>
      <c r="AR87" s="4">
        <v>-25.855254454048332</v>
      </c>
      <c r="AS87" s="4">
        <v>-26.593976009878286</v>
      </c>
      <c r="AT87" s="4">
        <v>-27.332697565708237</v>
      </c>
      <c r="AU87" s="4">
        <v>-28.071419121538192</v>
      </c>
      <c r="AV87" s="4">
        <v>-28.810140677368143</v>
      </c>
      <c r="AW87" s="4">
        <v>-29.548862233198093</v>
      </c>
      <c r="AX87" s="4">
        <v>-30.287583789028048</v>
      </c>
      <c r="AY87" s="4">
        <v>-31.026305344857999</v>
      </c>
      <c r="AZ87" s="4">
        <v>-31.765026900687953</v>
      </c>
      <c r="BA87" s="4">
        <v>-32.503748456517904</v>
      </c>
      <c r="BB87" s="4">
        <v>-33.242470012347859</v>
      </c>
      <c r="BC87" s="4">
        <v>-33.981191568177806</v>
      </c>
      <c r="BD87" s="4">
        <v>-34.719913124007761</v>
      </c>
      <c r="BE87" s="4">
        <v>-35.458634679837715</v>
      </c>
      <c r="BF87" s="4">
        <v>-36.197356235667669</v>
      </c>
      <c r="BG87" s="4">
        <v>-36.936077791497617</v>
      </c>
      <c r="BH87" s="4">
        <v>-37.674799347327571</v>
      </c>
      <c r="BI87" s="4">
        <v>-38.413520903157519</v>
      </c>
      <c r="BJ87" s="4">
        <v>-39.152242458987473</v>
      </c>
      <c r="BK87" s="4">
        <v>-39.89096401481742</v>
      </c>
      <c r="BL87" s="4">
        <v>-40.629685570647375</v>
      </c>
      <c r="BM87" s="4">
        <v>-41.368407126477329</v>
      </c>
      <c r="BN87" s="4">
        <v>-42.107128682307277</v>
      </c>
      <c r="BO87" s="4">
        <v>-42.845850238137231</v>
      </c>
      <c r="BP87" s="4">
        <v>-43.584571793967186</v>
      </c>
      <c r="BQ87" s="4">
        <v>-44.32329334979714</v>
      </c>
      <c r="BR87" s="4">
        <v>-45.062014905627088</v>
      </c>
      <c r="BS87" s="4">
        <v>-45.800736461457042</v>
      </c>
      <c r="BT87" s="4">
        <v>-46.539458017286996</v>
      </c>
      <c r="BU87" s="4">
        <v>-47.278179573116951</v>
      </c>
      <c r="BV87" s="4">
        <v>-48.016901128946905</v>
      </c>
      <c r="BW87" s="4">
        <v>-48.75562268477686</v>
      </c>
      <c r="BX87" s="4">
        <v>-49.494344240606807</v>
      </c>
      <c r="BY87" s="4">
        <v>-50.233065796436762</v>
      </c>
      <c r="BZ87" s="4">
        <v>-50.971787352266716</v>
      </c>
      <c r="CA87" s="4">
        <v>-51.710508908096664</v>
      </c>
    </row>
    <row r="88" spans="2:80" x14ac:dyDescent="0.35">
      <c r="B88" t="s">
        <v>23449</v>
      </c>
      <c r="C88">
        <v>5102</v>
      </c>
      <c r="D88">
        <v>425.29999999999995</v>
      </c>
      <c r="H88" t="s">
        <v>23449</v>
      </c>
      <c r="I88">
        <v>5102</v>
      </c>
      <c r="J88" s="4">
        <v>-0.60339125066149246</v>
      </c>
      <c r="K88" s="4">
        <v>-1.2067825013229849</v>
      </c>
      <c r="L88" s="4">
        <v>-1.8101737519844774</v>
      </c>
      <c r="M88" s="4">
        <v>-2.4135650026459698</v>
      </c>
      <c r="N88" s="4">
        <v>-3.0169562533074621</v>
      </c>
      <c r="O88" s="4">
        <v>-3.6203475039689548</v>
      </c>
      <c r="P88" s="4">
        <v>-4.223738754630447</v>
      </c>
      <c r="Q88" s="4">
        <v>-4.8271300052919397</v>
      </c>
      <c r="R88" s="4">
        <v>-5.4305212559534315</v>
      </c>
      <c r="S88" s="4">
        <v>-6.0339125066149242</v>
      </c>
      <c r="T88" s="4">
        <v>-6.6373037572764169</v>
      </c>
      <c r="U88" s="4">
        <v>-7.2406950079379095</v>
      </c>
      <c r="V88" s="4">
        <v>-7.8440862585994013</v>
      </c>
      <c r="W88" s="4">
        <v>-8.447477509260894</v>
      </c>
      <c r="X88" s="4">
        <v>-9.0508687599223858</v>
      </c>
      <c r="Y88" s="4">
        <v>-9.6542600105838794</v>
      </c>
      <c r="Z88" s="4">
        <v>-10.257651261245371</v>
      </c>
      <c r="AA88" s="4">
        <v>-10.861042511906863</v>
      </c>
      <c r="AB88" s="4">
        <v>-11.464433762568355</v>
      </c>
      <c r="AC88" s="4">
        <v>-12.067825013229848</v>
      </c>
      <c r="AD88" s="4">
        <v>-12.671216263891342</v>
      </c>
      <c r="AE88" s="4">
        <v>-13.274607514552834</v>
      </c>
      <c r="AF88" s="4">
        <v>-13.877998765214326</v>
      </c>
      <c r="AG88" s="4">
        <v>-14.481390015875819</v>
      </c>
      <c r="AH88" s="4">
        <v>-15.084781266537311</v>
      </c>
      <c r="AI88" s="4">
        <v>-15.688172517198803</v>
      </c>
      <c r="AJ88" s="4">
        <v>-16.291563767860296</v>
      </c>
      <c r="AK88" s="4">
        <v>-16.894955018521788</v>
      </c>
      <c r="AL88" s="4">
        <v>-17.49834626918328</v>
      </c>
      <c r="AM88" s="4">
        <v>-18.101737519844772</v>
      </c>
      <c r="AN88" s="4">
        <v>-18.705128770506263</v>
      </c>
      <c r="AO88" s="4">
        <v>-19.308520021167759</v>
      </c>
      <c r="AP88" s="4">
        <v>-19.911911271829251</v>
      </c>
      <c r="AQ88" s="4">
        <v>-20.515302522490742</v>
      </c>
      <c r="AR88" s="4">
        <v>-21.118693773152234</v>
      </c>
      <c r="AS88" s="4">
        <v>-21.722085023813726</v>
      </c>
      <c r="AT88" s="4">
        <v>-22.325476274475218</v>
      </c>
      <c r="AU88" s="4">
        <v>-22.92886752513671</v>
      </c>
      <c r="AV88" s="4">
        <v>-23.532258775798205</v>
      </c>
      <c r="AW88" s="4">
        <v>-24.135650026459697</v>
      </c>
      <c r="AX88" s="4">
        <v>-24.739041277121192</v>
      </c>
      <c r="AY88" s="4">
        <v>-25.342432527782684</v>
      </c>
      <c r="AZ88" s="4">
        <v>-25.945823778444176</v>
      </c>
      <c r="BA88" s="4">
        <v>-26.549215029105667</v>
      </c>
      <c r="BB88" s="4">
        <v>-27.152606279767159</v>
      </c>
      <c r="BC88" s="4">
        <v>-27.755997530428651</v>
      </c>
      <c r="BD88" s="4">
        <v>-28.359388781090143</v>
      </c>
      <c r="BE88" s="4">
        <v>-28.962780031751638</v>
      </c>
      <c r="BF88" s="4">
        <v>-29.56617128241313</v>
      </c>
      <c r="BG88" s="4">
        <v>-30.169562533074622</v>
      </c>
      <c r="BH88" s="4">
        <v>-30.772953783736114</v>
      </c>
      <c r="BI88" s="4">
        <v>-31.376345034397605</v>
      </c>
      <c r="BJ88" s="4">
        <v>-31.979736285059097</v>
      </c>
      <c r="BK88" s="4">
        <v>-32.583127535720593</v>
      </c>
      <c r="BL88" s="4">
        <v>-33.186518786382081</v>
      </c>
      <c r="BM88" s="4">
        <v>-33.789910037043576</v>
      </c>
      <c r="BN88" s="4">
        <v>-34.393301287705064</v>
      </c>
      <c r="BO88" s="4">
        <v>-34.99669253836656</v>
      </c>
      <c r="BP88" s="4">
        <v>-35.600083789028055</v>
      </c>
      <c r="BQ88" s="4">
        <v>-36.203475039689543</v>
      </c>
      <c r="BR88" s="4">
        <v>-36.806866290351039</v>
      </c>
      <c r="BS88" s="4">
        <v>-37.410257541012527</v>
      </c>
      <c r="BT88" s="4">
        <v>-38.013648791674022</v>
      </c>
      <c r="BU88" s="4">
        <v>-38.617040042335518</v>
      </c>
      <c r="BV88" s="4">
        <v>-39.220431292997006</v>
      </c>
      <c r="BW88" s="4">
        <v>-39.823822543658501</v>
      </c>
      <c r="BX88" s="4">
        <v>-40.427213794319989</v>
      </c>
      <c r="BY88" s="4">
        <v>-41.030605044981485</v>
      </c>
      <c r="BZ88" s="4">
        <v>-41.633996295642973</v>
      </c>
      <c r="CA88" s="4">
        <v>-42.237387546304468</v>
      </c>
    </row>
    <row r="89" spans="2:80" x14ac:dyDescent="0.35">
      <c r="B89" t="s">
        <v>23450</v>
      </c>
      <c r="C89">
        <v>5102</v>
      </c>
      <c r="D89">
        <v>548.9</v>
      </c>
      <c r="H89" t="s">
        <v>23450</v>
      </c>
      <c r="I89">
        <v>5102</v>
      </c>
      <c r="J89" s="4">
        <v>-0.46712383136355629</v>
      </c>
      <c r="K89" s="4">
        <v>-0.93424766272711257</v>
      </c>
      <c r="L89" s="4">
        <v>-1.4013714940906687</v>
      </c>
      <c r="M89" s="4">
        <v>-1.8684953254542251</v>
      </c>
      <c r="N89" s="4">
        <v>-2.3356191568177813</v>
      </c>
      <c r="O89" s="4">
        <v>-2.8027429881813375</v>
      </c>
      <c r="P89" s="4">
        <v>-3.2698668195448941</v>
      </c>
      <c r="Q89" s="4">
        <v>-3.7369906509084503</v>
      </c>
      <c r="R89" s="4">
        <v>-4.204114482272006</v>
      </c>
      <c r="S89" s="4">
        <v>-4.6712383136355626</v>
      </c>
      <c r="T89" s="4">
        <v>-5.1383621449991184</v>
      </c>
      <c r="U89" s="4">
        <v>-5.605485976362675</v>
      </c>
      <c r="V89" s="4">
        <v>-6.0726098077262316</v>
      </c>
      <c r="W89" s="4">
        <v>-6.5397336390897882</v>
      </c>
      <c r="X89" s="4">
        <v>-7.006857470453344</v>
      </c>
      <c r="Y89" s="4">
        <v>-7.4739813018169006</v>
      </c>
      <c r="Z89" s="4">
        <v>-7.9411051331804563</v>
      </c>
      <c r="AA89" s="4">
        <v>-8.408228964544012</v>
      </c>
      <c r="AB89" s="4">
        <v>-8.8753527959075686</v>
      </c>
      <c r="AC89" s="4">
        <v>-9.3424766272711253</v>
      </c>
      <c r="AD89" s="4">
        <v>-9.8096004586346819</v>
      </c>
      <c r="AE89" s="4">
        <v>-10.276724289998237</v>
      </c>
      <c r="AF89" s="4">
        <v>-10.743848121361793</v>
      </c>
      <c r="AG89" s="4">
        <v>-11.21097195272535</v>
      </c>
      <c r="AH89" s="4">
        <v>-11.678095784088905</v>
      </c>
      <c r="AI89" s="4">
        <v>-12.145219615452463</v>
      </c>
      <c r="AJ89" s="4">
        <v>-12.61234344681602</v>
      </c>
      <c r="AK89" s="4">
        <v>-13.079467278179576</v>
      </c>
      <c r="AL89" s="4">
        <v>-13.546591109543131</v>
      </c>
      <c r="AM89" s="4">
        <v>-14.013714940906688</v>
      </c>
      <c r="AN89" s="4">
        <v>-14.480838772270245</v>
      </c>
      <c r="AO89" s="4">
        <v>-14.947962603633801</v>
      </c>
      <c r="AP89" s="4">
        <v>-15.415086434997356</v>
      </c>
      <c r="AQ89" s="4">
        <v>-15.882210266360913</v>
      </c>
      <c r="AR89" s="4">
        <v>-16.349334097724469</v>
      </c>
      <c r="AS89" s="4">
        <v>-16.816457929088024</v>
      </c>
      <c r="AT89" s="4">
        <v>-17.283581760451582</v>
      </c>
      <c r="AU89" s="4">
        <v>-17.750705591815137</v>
      </c>
      <c r="AV89" s="4">
        <v>-18.217829423178692</v>
      </c>
      <c r="AW89" s="4">
        <v>-18.684953254542251</v>
      </c>
      <c r="AX89" s="4">
        <v>-19.152077085905805</v>
      </c>
      <c r="AY89" s="4">
        <v>-19.619200917269364</v>
      </c>
      <c r="AZ89" s="4">
        <v>-20.086324748632919</v>
      </c>
      <c r="BA89" s="4">
        <v>-20.553448579996473</v>
      </c>
      <c r="BB89" s="4">
        <v>-21.020572411360032</v>
      </c>
      <c r="BC89" s="4">
        <v>-21.487696242723587</v>
      </c>
      <c r="BD89" s="4">
        <v>-21.954820074087142</v>
      </c>
      <c r="BE89" s="4">
        <v>-22.4219439054507</v>
      </c>
      <c r="BF89" s="4">
        <v>-22.889067736814255</v>
      </c>
      <c r="BG89" s="4">
        <v>-23.35619156817781</v>
      </c>
      <c r="BH89" s="4">
        <v>-23.823315399541364</v>
      </c>
      <c r="BI89" s="4">
        <v>-24.290439230904926</v>
      </c>
      <c r="BJ89" s="4">
        <v>-24.757563062268481</v>
      </c>
      <c r="BK89" s="4">
        <v>-25.22468689363204</v>
      </c>
      <c r="BL89" s="4">
        <v>-25.691810724995594</v>
      </c>
      <c r="BM89" s="4">
        <v>-26.158934556359153</v>
      </c>
      <c r="BN89" s="4">
        <v>-26.626058387722708</v>
      </c>
      <c r="BO89" s="4">
        <v>-27.093182219086263</v>
      </c>
      <c r="BP89" s="4">
        <v>-27.560306050449821</v>
      </c>
      <c r="BQ89" s="4">
        <v>-28.027429881813376</v>
      </c>
      <c r="BR89" s="4">
        <v>-28.494553713176931</v>
      </c>
      <c r="BS89" s="4">
        <v>-28.961677544540489</v>
      </c>
      <c r="BT89" s="4">
        <v>-29.428801375904044</v>
      </c>
      <c r="BU89" s="4">
        <v>-29.895925207267602</v>
      </c>
      <c r="BV89" s="4">
        <v>-30.363049038631157</v>
      </c>
      <c r="BW89" s="4">
        <v>-30.830172869994712</v>
      </c>
      <c r="BX89" s="4">
        <v>-31.29729670135827</v>
      </c>
      <c r="BY89" s="4">
        <v>-31.764420532721825</v>
      </c>
      <c r="BZ89" s="4">
        <v>-32.23154436408538</v>
      </c>
      <c r="CA89" s="4">
        <v>-32.698668195448938</v>
      </c>
    </row>
    <row r="90" spans="2:80" x14ac:dyDescent="0.35">
      <c r="B90" t="s">
        <v>23451</v>
      </c>
      <c r="C90">
        <v>5102</v>
      </c>
      <c r="D90">
        <v>671.05</v>
      </c>
      <c r="H90" t="s">
        <v>23451</v>
      </c>
      <c r="I90">
        <v>5102</v>
      </c>
      <c r="J90" s="4">
        <v>-0.33245501852178522</v>
      </c>
      <c r="K90" s="4">
        <v>-0.66491003704357043</v>
      </c>
      <c r="L90" s="4">
        <v>-0.9973650555653556</v>
      </c>
      <c r="M90" s="4">
        <v>-1.3298200740871409</v>
      </c>
      <c r="N90" s="4">
        <v>-1.662275092608926</v>
      </c>
      <c r="O90" s="4">
        <v>-1.9947301111307112</v>
      </c>
      <c r="P90" s="4">
        <v>-2.3271851296524968</v>
      </c>
      <c r="Q90" s="4">
        <v>-2.6596401481742817</v>
      </c>
      <c r="R90" s="4">
        <v>-2.9920951666960671</v>
      </c>
      <c r="S90" s="4">
        <v>-3.3245501852178521</v>
      </c>
      <c r="T90" s="4">
        <v>-3.6570052037396374</v>
      </c>
      <c r="U90" s="4">
        <v>-3.9894602222614224</v>
      </c>
      <c r="V90" s="4">
        <v>-4.3219152407832082</v>
      </c>
      <c r="W90" s="4">
        <v>-4.6543702593049936</v>
      </c>
      <c r="X90" s="4">
        <v>-4.9868252778267781</v>
      </c>
      <c r="Y90" s="4">
        <v>-5.3192802963485635</v>
      </c>
      <c r="Z90" s="4">
        <v>-5.6517353148703489</v>
      </c>
      <c r="AA90" s="4">
        <v>-5.9841903333921342</v>
      </c>
      <c r="AB90" s="4">
        <v>-6.3166453519139187</v>
      </c>
      <c r="AC90" s="4">
        <v>-6.6491003704357041</v>
      </c>
      <c r="AD90" s="4">
        <v>-6.9815553889574895</v>
      </c>
      <c r="AE90" s="4">
        <v>-7.3140104074792749</v>
      </c>
      <c r="AF90" s="4">
        <v>-7.6464654260010594</v>
      </c>
      <c r="AG90" s="4">
        <v>-7.9789204445228448</v>
      </c>
      <c r="AH90" s="4">
        <v>-8.3113754630446302</v>
      </c>
      <c r="AI90" s="4">
        <v>-8.6438304815664164</v>
      </c>
      <c r="AJ90" s="4">
        <v>-8.9762855000882009</v>
      </c>
      <c r="AK90" s="4">
        <v>-9.3087405186099872</v>
      </c>
      <c r="AL90" s="4">
        <v>-9.6411955371317717</v>
      </c>
      <c r="AM90" s="4">
        <v>-9.9736505556535562</v>
      </c>
      <c r="AN90" s="4">
        <v>-10.306105574175342</v>
      </c>
      <c r="AO90" s="4">
        <v>-10.638560592697127</v>
      </c>
      <c r="AP90" s="4">
        <v>-10.971015611218913</v>
      </c>
      <c r="AQ90" s="4">
        <v>-11.303470629740698</v>
      </c>
      <c r="AR90" s="4">
        <v>-11.635925648262482</v>
      </c>
      <c r="AS90" s="4">
        <v>-11.968380666784268</v>
      </c>
      <c r="AT90" s="4">
        <v>-12.300835685306053</v>
      </c>
      <c r="AU90" s="4">
        <v>-12.633290703827837</v>
      </c>
      <c r="AV90" s="4">
        <v>-12.965745722349624</v>
      </c>
      <c r="AW90" s="4">
        <v>-13.298200740871408</v>
      </c>
      <c r="AX90" s="4">
        <v>-13.630655759393193</v>
      </c>
      <c r="AY90" s="4">
        <v>-13.963110777914979</v>
      </c>
      <c r="AZ90" s="4">
        <v>-14.295565796436764</v>
      </c>
      <c r="BA90" s="4">
        <v>-14.62802081495855</v>
      </c>
      <c r="BB90" s="4">
        <v>-14.960475833480334</v>
      </c>
      <c r="BC90" s="4">
        <v>-15.292930852002119</v>
      </c>
      <c r="BD90" s="4">
        <v>-15.625385870523905</v>
      </c>
      <c r="BE90" s="4">
        <v>-15.95784088904569</v>
      </c>
      <c r="BF90" s="4">
        <v>-16.290295907567476</v>
      </c>
      <c r="BG90" s="4">
        <v>-16.62275092608926</v>
      </c>
      <c r="BH90" s="4">
        <v>-16.955205944611045</v>
      </c>
      <c r="BI90" s="4">
        <v>-17.287660963132833</v>
      </c>
      <c r="BJ90" s="4">
        <v>-17.620115981654617</v>
      </c>
      <c r="BK90" s="4">
        <v>-17.952571000176402</v>
      </c>
      <c r="BL90" s="4">
        <v>-18.28502601869819</v>
      </c>
      <c r="BM90" s="4">
        <v>-18.617481037219974</v>
      </c>
      <c r="BN90" s="4">
        <v>-18.949936055741759</v>
      </c>
      <c r="BO90" s="4">
        <v>-19.282391074263543</v>
      </c>
      <c r="BP90" s="4">
        <v>-19.614846092785328</v>
      </c>
      <c r="BQ90" s="4">
        <v>-19.947301111307112</v>
      </c>
      <c r="BR90" s="4">
        <v>-20.2797561298289</v>
      </c>
      <c r="BS90" s="4">
        <v>-20.612211148350685</v>
      </c>
      <c r="BT90" s="4">
        <v>-20.944666166872469</v>
      </c>
      <c r="BU90" s="4">
        <v>-21.277121185394254</v>
      </c>
      <c r="BV90" s="4">
        <v>-21.609576203916038</v>
      </c>
      <c r="BW90" s="4">
        <v>-21.942031222437826</v>
      </c>
      <c r="BX90" s="4">
        <v>-22.274486240959611</v>
      </c>
      <c r="BY90" s="4">
        <v>-22.606941259481395</v>
      </c>
      <c r="BZ90" s="4">
        <v>-22.93939627800318</v>
      </c>
      <c r="CA90" s="4">
        <v>-23.271851296524964</v>
      </c>
    </row>
    <row r="91" spans="2:80" x14ac:dyDescent="0.35">
      <c r="B91" t="s">
        <v>23322</v>
      </c>
      <c r="C91">
        <v>2449</v>
      </c>
      <c r="D91">
        <v>1134.5500000000002</v>
      </c>
      <c r="H91" t="s">
        <v>23322</v>
      </c>
      <c r="I91">
        <v>2449</v>
      </c>
      <c r="J91" s="4">
        <v>0.17854780384547558</v>
      </c>
      <c r="K91" s="4">
        <v>0.35709560769095117</v>
      </c>
      <c r="L91" s="4">
        <v>0.53564341153642669</v>
      </c>
      <c r="M91" s="4">
        <v>0.71419121538190233</v>
      </c>
      <c r="N91" s="4">
        <v>0.89273901922737775</v>
      </c>
      <c r="O91" s="4">
        <v>1.0712868230728534</v>
      </c>
      <c r="P91" s="4">
        <v>1.2498346269183291</v>
      </c>
      <c r="Q91" s="4">
        <v>1.4283824307638047</v>
      </c>
      <c r="R91" s="4">
        <v>1.6069302346092802</v>
      </c>
      <c r="S91" s="4">
        <v>1.7854780384547555</v>
      </c>
      <c r="T91" s="4">
        <v>1.9640258423002313</v>
      </c>
      <c r="U91" s="4">
        <v>2.1425736461457068</v>
      </c>
      <c r="V91" s="4">
        <v>2.3211214499911823</v>
      </c>
      <c r="W91" s="4">
        <v>2.4996692538366583</v>
      </c>
      <c r="X91" s="4">
        <v>2.6782170576821334</v>
      </c>
      <c r="Y91" s="4">
        <v>2.8567648615276093</v>
      </c>
      <c r="Z91" s="4">
        <v>3.0353126653730849</v>
      </c>
      <c r="AA91" s="4">
        <v>3.2138604692185604</v>
      </c>
      <c r="AB91" s="4">
        <v>3.3924082730640355</v>
      </c>
      <c r="AC91" s="4">
        <v>3.570956076909511</v>
      </c>
      <c r="AD91" s="4">
        <v>3.749503880754987</v>
      </c>
      <c r="AE91" s="4">
        <v>3.9280516846004625</v>
      </c>
      <c r="AF91" s="4">
        <v>4.106599488445938</v>
      </c>
      <c r="AG91" s="4">
        <v>4.2851472922914136</v>
      </c>
      <c r="AH91" s="4">
        <v>4.4636950961368891</v>
      </c>
      <c r="AI91" s="4">
        <v>4.6422428999823646</v>
      </c>
      <c r="AJ91" s="4">
        <v>4.8207907038278401</v>
      </c>
      <c r="AK91" s="4">
        <v>4.9993385076733166</v>
      </c>
      <c r="AL91" s="4">
        <v>5.1778863115187912</v>
      </c>
      <c r="AM91" s="4">
        <v>5.3564341153642667</v>
      </c>
      <c r="AN91" s="4">
        <v>5.5349819192097423</v>
      </c>
      <c r="AO91" s="4">
        <v>5.7135297230552187</v>
      </c>
      <c r="AP91" s="4">
        <v>5.8920775269006942</v>
      </c>
      <c r="AQ91" s="4">
        <v>6.0706253307461697</v>
      </c>
      <c r="AR91" s="4">
        <v>6.2491731345916453</v>
      </c>
      <c r="AS91" s="4">
        <v>6.4277209384371208</v>
      </c>
      <c r="AT91" s="4">
        <v>6.6062687422825963</v>
      </c>
      <c r="AU91" s="4">
        <v>6.7848165461280709</v>
      </c>
      <c r="AV91" s="4">
        <v>6.9633643499735465</v>
      </c>
      <c r="AW91" s="4">
        <v>7.141912153819022</v>
      </c>
      <c r="AX91" s="4">
        <v>7.3204599576644984</v>
      </c>
      <c r="AY91" s="4">
        <v>7.4990077615099739</v>
      </c>
      <c r="AZ91" s="4">
        <v>7.6775555653554495</v>
      </c>
      <c r="BA91" s="4">
        <v>7.856103369200925</v>
      </c>
      <c r="BB91" s="4">
        <v>8.0346511730464005</v>
      </c>
      <c r="BC91" s="4">
        <v>8.2131989768918761</v>
      </c>
      <c r="BD91" s="4">
        <v>8.3917467807373516</v>
      </c>
      <c r="BE91" s="4">
        <v>8.5702945845828271</v>
      </c>
      <c r="BF91" s="4">
        <v>8.7488423884283026</v>
      </c>
      <c r="BG91" s="4">
        <v>8.9273901922737782</v>
      </c>
      <c r="BH91" s="4">
        <v>9.1059379961192537</v>
      </c>
      <c r="BI91" s="4">
        <v>9.2844857999647292</v>
      </c>
      <c r="BJ91" s="4">
        <v>9.4630336038102048</v>
      </c>
      <c r="BK91" s="4">
        <v>9.6415814076556803</v>
      </c>
      <c r="BL91" s="4">
        <v>9.8201292115011576</v>
      </c>
      <c r="BM91" s="4">
        <v>9.9986770153466331</v>
      </c>
      <c r="BN91" s="4">
        <v>10.177224819192107</v>
      </c>
      <c r="BO91" s="4">
        <v>10.355772623037582</v>
      </c>
      <c r="BP91" s="4">
        <v>10.534320426883058</v>
      </c>
      <c r="BQ91" s="4">
        <v>10.712868230728533</v>
      </c>
      <c r="BR91" s="4">
        <v>10.891416034574009</v>
      </c>
      <c r="BS91" s="4">
        <v>11.069963838419485</v>
      </c>
      <c r="BT91" s="4">
        <v>11.248511642264962</v>
      </c>
      <c r="BU91" s="4">
        <v>11.427059446110437</v>
      </c>
      <c r="BV91" s="4">
        <v>11.605607249955911</v>
      </c>
      <c r="BW91" s="4">
        <v>11.784155053801388</v>
      </c>
      <c r="BX91" s="4">
        <v>11.962702857646864</v>
      </c>
      <c r="BY91" s="4">
        <v>12.141250661492339</v>
      </c>
      <c r="BZ91" s="4">
        <v>12.319798465337815</v>
      </c>
      <c r="CA91" s="4">
        <v>12.498346269183291</v>
      </c>
    </row>
    <row r="92" spans="2:80" x14ac:dyDescent="0.35">
      <c r="B92" t="s">
        <v>23323</v>
      </c>
      <c r="C92">
        <v>2449</v>
      </c>
      <c r="D92">
        <v>1195.2</v>
      </c>
      <c r="H92" t="s">
        <v>23323</v>
      </c>
      <c r="I92">
        <v>2449</v>
      </c>
      <c r="J92" s="4">
        <v>0.24541365320162289</v>
      </c>
      <c r="K92" s="4">
        <v>0.49082730640324579</v>
      </c>
      <c r="L92" s="4">
        <v>0.73624095960486857</v>
      </c>
      <c r="M92" s="4">
        <v>0.98165461280649158</v>
      </c>
      <c r="N92" s="4">
        <v>1.2270682660081145</v>
      </c>
      <c r="O92" s="4">
        <v>1.4724819192097371</v>
      </c>
      <c r="P92" s="4">
        <v>1.7178955724113603</v>
      </c>
      <c r="Q92" s="4">
        <v>1.9633092256129832</v>
      </c>
      <c r="R92" s="4">
        <v>2.2087228788146063</v>
      </c>
      <c r="S92" s="4">
        <v>2.4541365320162289</v>
      </c>
      <c r="T92" s="4">
        <v>2.6995501852178516</v>
      </c>
      <c r="U92" s="4">
        <v>2.9449638384194743</v>
      </c>
      <c r="V92" s="4">
        <v>3.1903774916210978</v>
      </c>
      <c r="W92" s="4">
        <v>3.4357911448227205</v>
      </c>
      <c r="X92" s="4">
        <v>3.6812047980243436</v>
      </c>
      <c r="Y92" s="4">
        <v>3.9266184512259663</v>
      </c>
      <c r="Z92" s="4">
        <v>4.172032104427589</v>
      </c>
      <c r="AA92" s="4">
        <v>4.4174457576292125</v>
      </c>
      <c r="AB92" s="4">
        <v>4.6628594108308352</v>
      </c>
      <c r="AC92" s="4">
        <v>4.9082730640324579</v>
      </c>
      <c r="AD92" s="4">
        <v>5.1536867172340806</v>
      </c>
      <c r="AE92" s="4">
        <v>5.3991003704357032</v>
      </c>
      <c r="AF92" s="4">
        <v>5.6445140236373268</v>
      </c>
      <c r="AG92" s="4">
        <v>5.8899276768389486</v>
      </c>
      <c r="AH92" s="4">
        <v>6.1353413300405713</v>
      </c>
      <c r="AI92" s="4">
        <v>6.3807549832421957</v>
      </c>
      <c r="AJ92" s="4">
        <v>6.6261686364438184</v>
      </c>
      <c r="AK92" s="4">
        <v>6.871582289645441</v>
      </c>
      <c r="AL92" s="4">
        <v>7.1169959428470646</v>
      </c>
      <c r="AM92" s="4">
        <v>7.3624095960486873</v>
      </c>
      <c r="AN92" s="4">
        <v>7.6078232492503099</v>
      </c>
      <c r="AO92" s="4">
        <v>7.8532369024519326</v>
      </c>
      <c r="AP92" s="4">
        <v>8.0986505556535562</v>
      </c>
      <c r="AQ92" s="4">
        <v>8.344064208855178</v>
      </c>
      <c r="AR92" s="4">
        <v>8.5894778620568015</v>
      </c>
      <c r="AS92" s="4">
        <v>8.8348915152584251</v>
      </c>
      <c r="AT92" s="4">
        <v>9.0803051684600469</v>
      </c>
      <c r="AU92" s="4">
        <v>9.3257188216616704</v>
      </c>
      <c r="AV92" s="4">
        <v>9.5711324748632922</v>
      </c>
      <c r="AW92" s="4">
        <v>9.8165461280649158</v>
      </c>
      <c r="AX92" s="4">
        <v>10.061959781266539</v>
      </c>
      <c r="AY92" s="4">
        <v>10.307373434468161</v>
      </c>
      <c r="AZ92" s="4">
        <v>10.552787087669785</v>
      </c>
      <c r="BA92" s="4">
        <v>10.798200740871406</v>
      </c>
      <c r="BB92" s="4">
        <v>11.04361439407303</v>
      </c>
      <c r="BC92" s="4">
        <v>11.289028047274654</v>
      </c>
      <c r="BD92" s="4">
        <v>11.534441700476275</v>
      </c>
      <c r="BE92" s="4">
        <v>11.779855353677897</v>
      </c>
      <c r="BF92" s="4">
        <v>12.025269006879521</v>
      </c>
      <c r="BG92" s="4">
        <v>12.270682660081143</v>
      </c>
      <c r="BH92" s="4">
        <v>12.516096313282766</v>
      </c>
      <c r="BI92" s="4">
        <v>12.761509966484391</v>
      </c>
      <c r="BJ92" s="4">
        <v>13.006923619686015</v>
      </c>
      <c r="BK92" s="4">
        <v>13.252337272887637</v>
      </c>
      <c r="BL92" s="4">
        <v>13.49775092608926</v>
      </c>
      <c r="BM92" s="4">
        <v>13.743164579290882</v>
      </c>
      <c r="BN92" s="4">
        <v>13.988578232492506</v>
      </c>
      <c r="BO92" s="4">
        <v>14.233991885694129</v>
      </c>
      <c r="BP92" s="4">
        <v>14.479405538895751</v>
      </c>
      <c r="BQ92" s="4">
        <v>14.724819192097375</v>
      </c>
      <c r="BR92" s="4">
        <v>14.970232845298996</v>
      </c>
      <c r="BS92" s="4">
        <v>15.21564649850062</v>
      </c>
      <c r="BT92" s="4">
        <v>15.461060151702243</v>
      </c>
      <c r="BU92" s="4">
        <v>15.706473804903865</v>
      </c>
      <c r="BV92" s="4">
        <v>15.951887458105489</v>
      </c>
      <c r="BW92" s="4">
        <v>16.197301111307112</v>
      </c>
      <c r="BX92" s="4">
        <v>16.442714764508736</v>
      </c>
      <c r="BY92" s="4">
        <v>16.688128417710356</v>
      </c>
      <c r="BZ92" s="4">
        <v>16.933542070911979</v>
      </c>
      <c r="CA92" s="4">
        <v>17.178955724113603</v>
      </c>
    </row>
    <row r="93" spans="2:80" x14ac:dyDescent="0.35">
      <c r="B93" t="s">
        <v>23324</v>
      </c>
      <c r="C93">
        <v>2449</v>
      </c>
      <c r="D93">
        <v>1255.8</v>
      </c>
      <c r="H93" t="s">
        <v>23324</v>
      </c>
      <c r="I93">
        <v>2449</v>
      </c>
      <c r="J93" s="4">
        <v>0.31222437819721283</v>
      </c>
      <c r="K93" s="4">
        <v>0.62444875639442565</v>
      </c>
      <c r="L93" s="4">
        <v>0.93667313459163859</v>
      </c>
      <c r="M93" s="4">
        <v>1.2488975127888513</v>
      </c>
      <c r="N93" s="4">
        <v>1.5611218909860642</v>
      </c>
      <c r="O93" s="4">
        <v>1.8733462691832772</v>
      </c>
      <c r="P93" s="4">
        <v>2.1855706473804899</v>
      </c>
      <c r="Q93" s="4">
        <v>2.4977950255777026</v>
      </c>
      <c r="R93" s="4">
        <v>2.8100194037749158</v>
      </c>
      <c r="S93" s="4">
        <v>3.1222437819721285</v>
      </c>
      <c r="T93" s="4">
        <v>3.4344681601693412</v>
      </c>
      <c r="U93" s="4">
        <v>3.7466925383665544</v>
      </c>
      <c r="V93" s="4">
        <v>4.0589169165637662</v>
      </c>
      <c r="W93" s="4">
        <v>4.3711412947609798</v>
      </c>
      <c r="X93" s="4">
        <v>4.6833656729581925</v>
      </c>
      <c r="Y93" s="4">
        <v>4.9955900511554052</v>
      </c>
      <c r="Z93" s="4">
        <v>5.3078144293526179</v>
      </c>
      <c r="AA93" s="4">
        <v>5.6200388075498315</v>
      </c>
      <c r="AB93" s="4">
        <v>5.9322631857470443</v>
      </c>
      <c r="AC93" s="4">
        <v>6.244487563944257</v>
      </c>
      <c r="AD93" s="4">
        <v>6.5567119421414697</v>
      </c>
      <c r="AE93" s="4">
        <v>6.8689363203386824</v>
      </c>
      <c r="AF93" s="4">
        <v>7.181160698535896</v>
      </c>
      <c r="AG93" s="4">
        <v>7.4933850767331087</v>
      </c>
      <c r="AH93" s="4">
        <v>7.8056094549303214</v>
      </c>
      <c r="AI93" s="4">
        <v>8.1178338331275324</v>
      </c>
      <c r="AJ93" s="4">
        <v>8.4300582113247469</v>
      </c>
      <c r="AK93" s="4">
        <v>8.7422825895219596</v>
      </c>
      <c r="AL93" s="4">
        <v>9.0545069677191723</v>
      </c>
      <c r="AM93" s="4">
        <v>9.366731345916385</v>
      </c>
      <c r="AN93" s="4">
        <v>9.6789557241135977</v>
      </c>
      <c r="AO93" s="4">
        <v>9.9911801023108104</v>
      </c>
      <c r="AP93" s="4">
        <v>10.303404480508023</v>
      </c>
      <c r="AQ93" s="4">
        <v>10.615628858705236</v>
      </c>
      <c r="AR93" s="4">
        <v>10.927853236902449</v>
      </c>
      <c r="AS93" s="4">
        <v>11.240077615099663</v>
      </c>
      <c r="AT93" s="4">
        <v>11.552301993296876</v>
      </c>
      <c r="AU93" s="4">
        <v>11.864526371494089</v>
      </c>
      <c r="AV93" s="4">
        <v>12.176750749691301</v>
      </c>
      <c r="AW93" s="4">
        <v>12.488975127888514</v>
      </c>
      <c r="AX93" s="4">
        <v>12.801199506085727</v>
      </c>
      <c r="AY93" s="4">
        <v>13.113423884282939</v>
      </c>
      <c r="AZ93" s="4">
        <v>13.425648262480152</v>
      </c>
      <c r="BA93" s="4">
        <v>13.737872640677365</v>
      </c>
      <c r="BB93" s="4">
        <v>14.050097018874579</v>
      </c>
      <c r="BC93" s="4">
        <v>14.362321397071792</v>
      </c>
      <c r="BD93" s="4">
        <v>14.674545775269005</v>
      </c>
      <c r="BE93" s="4">
        <v>14.986770153466217</v>
      </c>
      <c r="BF93" s="4">
        <v>15.29899453166343</v>
      </c>
      <c r="BG93" s="4">
        <v>15.611218909860643</v>
      </c>
      <c r="BH93" s="4">
        <v>15.923443288057856</v>
      </c>
      <c r="BI93" s="4">
        <v>16.235667666255065</v>
      </c>
      <c r="BJ93" s="4">
        <v>16.547892044452279</v>
      </c>
      <c r="BK93" s="4">
        <v>16.860116422649494</v>
      </c>
      <c r="BL93" s="4">
        <v>17.172340800846705</v>
      </c>
      <c r="BM93" s="4">
        <v>17.484565179043919</v>
      </c>
      <c r="BN93" s="4">
        <v>17.79678955724113</v>
      </c>
      <c r="BO93" s="4">
        <v>18.109013935438345</v>
      </c>
      <c r="BP93" s="4">
        <v>18.421238313635556</v>
      </c>
      <c r="BQ93" s="4">
        <v>18.73346269183277</v>
      </c>
      <c r="BR93" s="4">
        <v>19.045687070029981</v>
      </c>
      <c r="BS93" s="4">
        <v>19.357911448227195</v>
      </c>
      <c r="BT93" s="4">
        <v>19.67013582642441</v>
      </c>
      <c r="BU93" s="4">
        <v>19.982360204621621</v>
      </c>
      <c r="BV93" s="4">
        <v>20.294584582818835</v>
      </c>
      <c r="BW93" s="4">
        <v>20.606808961016046</v>
      </c>
      <c r="BX93" s="4">
        <v>20.919033339213261</v>
      </c>
      <c r="BY93" s="4">
        <v>21.231257717410472</v>
      </c>
      <c r="BZ93" s="4">
        <v>21.543482095607686</v>
      </c>
      <c r="CA93" s="4">
        <v>21.855706473804897</v>
      </c>
    </row>
    <row r="94" spans="2:80" x14ac:dyDescent="0.35">
      <c r="B94" t="s">
        <v>23393</v>
      </c>
      <c r="C94">
        <v>2449</v>
      </c>
      <c r="D94">
        <v>1316.4</v>
      </c>
      <c r="H94" t="s">
        <v>23393</v>
      </c>
      <c r="I94">
        <v>2449</v>
      </c>
      <c r="J94" s="4">
        <v>0.37903510319280304</v>
      </c>
      <c r="K94" s="4">
        <v>0.75807020638560607</v>
      </c>
      <c r="L94" s="4"/>
      <c r="M94" s="4">
        <v>1.1371053095784089</v>
      </c>
      <c r="N94" s="4">
        <v>1.5161404127712121</v>
      </c>
      <c r="O94" s="4">
        <v>1.8951755159640151</v>
      </c>
      <c r="P94" s="4">
        <v>2.2742106191568179</v>
      </c>
      <c r="Q94" s="4">
        <v>2.6532457223496215</v>
      </c>
      <c r="R94" s="4">
        <v>3.0322808255424243</v>
      </c>
      <c r="S94" s="4">
        <v>3.4113159287352275</v>
      </c>
      <c r="T94" s="4">
        <v>3.7903510319280302</v>
      </c>
      <c r="U94" s="4">
        <v>4.169386135120833</v>
      </c>
      <c r="V94" s="4">
        <v>4.5484212383136358</v>
      </c>
      <c r="W94" s="4">
        <v>4.9274563415064394</v>
      </c>
      <c r="X94" s="4">
        <v>5.3064914446992431</v>
      </c>
      <c r="Y94" s="4">
        <v>5.6855265478920458</v>
      </c>
      <c r="Z94" s="4">
        <v>6.0645616510848486</v>
      </c>
      <c r="AA94" s="4">
        <v>6.4435967542776513</v>
      </c>
      <c r="AB94" s="4">
        <v>6.822631857470455</v>
      </c>
      <c r="AC94" s="4">
        <v>7.2016669606632577</v>
      </c>
      <c r="AD94" s="4">
        <v>7.5807020638560605</v>
      </c>
      <c r="AE94" s="4">
        <v>7.9597371670488632</v>
      </c>
      <c r="AF94" s="4">
        <v>8.338772270241666</v>
      </c>
      <c r="AG94" s="4">
        <v>8.7178073734344697</v>
      </c>
      <c r="AH94" s="4">
        <v>9.0968424766272715</v>
      </c>
      <c r="AI94" s="4">
        <v>9.4758775798200752</v>
      </c>
      <c r="AJ94" s="4">
        <v>9.8549126830128788</v>
      </c>
      <c r="AK94" s="4">
        <v>10.233947786205682</v>
      </c>
      <c r="AL94" s="4">
        <v>10.612982889398486</v>
      </c>
      <c r="AM94" s="4">
        <v>10.992017992591288</v>
      </c>
      <c r="AN94" s="4">
        <v>11.371053095784092</v>
      </c>
      <c r="AO94" s="4">
        <v>11.750088198976895</v>
      </c>
      <c r="AP94" s="4">
        <v>12.129123302169697</v>
      </c>
      <c r="AQ94" s="4">
        <v>12.508158405362501</v>
      </c>
      <c r="AR94" s="4">
        <v>12.887193508555303</v>
      </c>
      <c r="AS94" s="4">
        <v>13.266228611748106</v>
      </c>
      <c r="AT94" s="4">
        <v>13.64526371494091</v>
      </c>
      <c r="AU94" s="4">
        <v>14.024298818133712</v>
      </c>
      <c r="AV94" s="4">
        <v>14.403333921326515</v>
      </c>
      <c r="AW94" s="4">
        <v>14.782369024519317</v>
      </c>
      <c r="AX94" s="4">
        <v>15.161404127712121</v>
      </c>
      <c r="AY94" s="4">
        <v>15.540439230904925</v>
      </c>
      <c r="AZ94" s="4">
        <v>15.919474334097726</v>
      </c>
      <c r="BA94" s="4">
        <v>16.29850943729053</v>
      </c>
      <c r="BB94" s="4">
        <v>16.677544540483332</v>
      </c>
      <c r="BC94" s="4">
        <v>17.056579643676137</v>
      </c>
      <c r="BD94" s="4">
        <v>17.435614746868939</v>
      </c>
      <c r="BE94" s="4">
        <v>17.814649850061741</v>
      </c>
      <c r="BF94" s="4">
        <v>18.193684953254543</v>
      </c>
      <c r="BG94" s="4">
        <v>18.572720056447348</v>
      </c>
      <c r="BH94" s="4">
        <v>18.95175515964015</v>
      </c>
      <c r="BI94" s="4">
        <v>19.330790262832952</v>
      </c>
      <c r="BJ94" s="4">
        <v>19.709825366025758</v>
      </c>
      <c r="BK94" s="4">
        <v>20.088860469218563</v>
      </c>
      <c r="BL94" s="4">
        <v>20.467895572411365</v>
      </c>
      <c r="BM94" s="4">
        <v>20.846930675604167</v>
      </c>
      <c r="BN94" s="4">
        <v>21.225965778796972</v>
      </c>
      <c r="BO94" s="4">
        <v>21.605000881989774</v>
      </c>
      <c r="BP94" s="4">
        <v>21.984035985182576</v>
      </c>
      <c r="BQ94" s="4">
        <v>22.363071088375381</v>
      </c>
      <c r="BR94" s="4">
        <v>22.742106191568183</v>
      </c>
      <c r="BS94" s="4">
        <v>23.121141294760985</v>
      </c>
      <c r="BT94" s="4">
        <v>23.500176397953791</v>
      </c>
      <c r="BU94" s="4">
        <v>23.879211501146592</v>
      </c>
      <c r="BV94" s="4">
        <v>24.258246604339394</v>
      </c>
      <c r="BW94" s="4">
        <v>24.637281707532196</v>
      </c>
      <c r="BX94" s="4">
        <v>25.016316810725002</v>
      </c>
      <c r="BY94" s="4">
        <v>25.395351913917803</v>
      </c>
      <c r="BZ94" s="4">
        <v>25.774387017110605</v>
      </c>
      <c r="CA94" s="4">
        <v>26.153422120303411</v>
      </c>
      <c r="CB94" s="4">
        <v>26.532457223496213</v>
      </c>
    </row>
    <row r="95" spans="2:80" x14ac:dyDescent="0.35">
      <c r="B95" t="s">
        <v>23325</v>
      </c>
      <c r="C95">
        <v>2449</v>
      </c>
      <c r="D95">
        <v>1377</v>
      </c>
      <c r="H95" t="s">
        <v>23325</v>
      </c>
      <c r="I95">
        <v>2449</v>
      </c>
      <c r="J95" s="4">
        <v>0.44584582818839302</v>
      </c>
      <c r="K95" s="4">
        <v>0.89169165637678605</v>
      </c>
      <c r="L95" s="4"/>
      <c r="M95" s="4">
        <v>1.3375374845651791</v>
      </c>
      <c r="N95" s="4">
        <v>1.7833833127535721</v>
      </c>
      <c r="O95" s="4">
        <v>2.2292291409419649</v>
      </c>
      <c r="P95" s="4">
        <v>2.6750749691303581</v>
      </c>
      <c r="Q95" s="4">
        <v>3.1209207973187509</v>
      </c>
      <c r="R95" s="4">
        <v>3.5667666255071442</v>
      </c>
      <c r="S95" s="4">
        <v>4.012612453695537</v>
      </c>
      <c r="T95" s="4">
        <v>4.4584582818839298</v>
      </c>
      <c r="U95" s="4">
        <v>4.9043041100723235</v>
      </c>
      <c r="V95" s="4">
        <v>5.3501499382607163</v>
      </c>
      <c r="W95" s="4">
        <v>5.7959957664491091</v>
      </c>
      <c r="X95" s="4">
        <v>6.2418415946375019</v>
      </c>
      <c r="Y95" s="4">
        <v>6.6876874228258956</v>
      </c>
      <c r="Z95" s="4">
        <v>7.1335332510142884</v>
      </c>
      <c r="AA95" s="4">
        <v>7.5793790792026812</v>
      </c>
      <c r="AB95" s="4">
        <v>8.025224907391074</v>
      </c>
      <c r="AC95" s="4">
        <v>8.4710707355794668</v>
      </c>
      <c r="AD95" s="4">
        <v>8.9169165637678596</v>
      </c>
      <c r="AE95" s="4">
        <v>9.3627623919562541</v>
      </c>
      <c r="AF95" s="4">
        <v>9.8086082201446469</v>
      </c>
      <c r="AG95" s="4">
        <v>10.25445404833304</v>
      </c>
      <c r="AH95" s="4">
        <v>10.700299876521433</v>
      </c>
      <c r="AI95" s="4">
        <v>11.146145704709825</v>
      </c>
      <c r="AJ95" s="4">
        <v>11.591991532898218</v>
      </c>
      <c r="AK95" s="4">
        <v>12.037837361086611</v>
      </c>
      <c r="AL95" s="4">
        <v>12.483683189275004</v>
      </c>
      <c r="AM95" s="4">
        <v>12.929529017463397</v>
      </c>
      <c r="AN95" s="4">
        <v>13.375374845651791</v>
      </c>
      <c r="AO95" s="4">
        <v>13.821220673840184</v>
      </c>
      <c r="AP95" s="4">
        <v>14.267066502028577</v>
      </c>
      <c r="AQ95" s="4">
        <v>14.71291233021697</v>
      </c>
      <c r="AR95" s="4">
        <v>15.158758158405362</v>
      </c>
      <c r="AS95" s="4">
        <v>15.604603986593755</v>
      </c>
      <c r="AT95" s="4">
        <v>16.050449814782148</v>
      </c>
      <c r="AU95" s="4">
        <v>16.496295642970541</v>
      </c>
      <c r="AV95" s="4">
        <v>16.942141471158934</v>
      </c>
      <c r="AW95" s="4">
        <v>17.387987299347326</v>
      </c>
      <c r="AX95" s="4">
        <v>17.833833127535719</v>
      </c>
      <c r="AY95" s="4">
        <v>18.279678955724112</v>
      </c>
      <c r="AZ95" s="4">
        <v>18.725524783912508</v>
      </c>
      <c r="BA95" s="4">
        <v>19.171370612100901</v>
      </c>
      <c r="BB95" s="4">
        <v>19.617216440289294</v>
      </c>
      <c r="BC95" s="4">
        <v>20.063062268477687</v>
      </c>
      <c r="BD95" s="4">
        <v>20.50890809666608</v>
      </c>
      <c r="BE95" s="4">
        <v>20.954753924854472</v>
      </c>
      <c r="BF95" s="4">
        <v>21.400599753042865</v>
      </c>
      <c r="BG95" s="4">
        <v>21.846445581231258</v>
      </c>
      <c r="BH95" s="4">
        <v>22.292291409419651</v>
      </c>
      <c r="BI95" s="4">
        <v>22.738137237608044</v>
      </c>
      <c r="BJ95" s="4">
        <v>23.183983065796436</v>
      </c>
      <c r="BK95" s="4">
        <v>23.629828893984829</v>
      </c>
      <c r="BL95" s="4">
        <v>24.075674722173222</v>
      </c>
      <c r="BM95" s="4">
        <v>24.521520550361615</v>
      </c>
      <c r="BN95" s="4">
        <v>24.967366378550008</v>
      </c>
      <c r="BO95" s="4">
        <v>25.4132122067384</v>
      </c>
      <c r="BP95" s="4">
        <v>25.859058034926793</v>
      </c>
      <c r="BQ95" s="4">
        <v>26.304903863115189</v>
      </c>
      <c r="BR95" s="4">
        <v>26.750749691303582</v>
      </c>
      <c r="BS95" s="4">
        <v>27.196595519491975</v>
      </c>
      <c r="BT95" s="4">
        <v>27.642441347680368</v>
      </c>
      <c r="BU95" s="4">
        <v>28.088287175868761</v>
      </c>
      <c r="BV95" s="4">
        <v>28.534133004057153</v>
      </c>
      <c r="BW95" s="4">
        <v>28.979978832245546</v>
      </c>
      <c r="BX95" s="4">
        <v>29.425824660433939</v>
      </c>
      <c r="BY95" s="4">
        <v>29.871670488622332</v>
      </c>
      <c r="BZ95" s="4">
        <v>30.317516316810725</v>
      </c>
      <c r="CA95" s="4">
        <v>30.763362144999117</v>
      </c>
      <c r="CB95" s="4">
        <v>31.20920797318751</v>
      </c>
    </row>
    <row r="96" spans="2:80" x14ac:dyDescent="0.35">
      <c r="B96" t="s">
        <v>23326</v>
      </c>
      <c r="C96">
        <v>2449</v>
      </c>
      <c r="D96">
        <v>1439.1</v>
      </c>
      <c r="H96" t="s">
        <v>23326</v>
      </c>
      <c r="I96">
        <v>2449</v>
      </c>
      <c r="J96" s="4">
        <v>0.51431028400070544</v>
      </c>
      <c r="K96" s="4">
        <v>1.0286205680014109</v>
      </c>
      <c r="L96" s="4"/>
      <c r="M96" s="4">
        <v>1.5429308520021165</v>
      </c>
      <c r="N96" s="4">
        <v>2.0572411360028218</v>
      </c>
      <c r="O96" s="4">
        <v>2.5715514200035274</v>
      </c>
      <c r="P96" s="4">
        <v>3.0858617040042331</v>
      </c>
      <c r="Q96" s="4">
        <v>3.6001719880049383</v>
      </c>
      <c r="R96" s="4">
        <v>4.1144822720056435</v>
      </c>
      <c r="S96" s="4">
        <v>4.6287925560063492</v>
      </c>
      <c r="T96" s="4">
        <v>5.1431028400070549</v>
      </c>
      <c r="U96" s="4">
        <v>5.6574131240077605</v>
      </c>
      <c r="V96" s="4">
        <v>6.1717234080084662</v>
      </c>
      <c r="W96" s="4">
        <v>6.686033692009171</v>
      </c>
      <c r="X96" s="4">
        <v>7.2003439760098766</v>
      </c>
      <c r="Y96" s="4">
        <v>7.7146542600105823</v>
      </c>
      <c r="Z96" s="4">
        <v>8.2289645440112871</v>
      </c>
      <c r="AA96" s="4">
        <v>8.7432748280119927</v>
      </c>
      <c r="AB96" s="4">
        <v>9.2575851120126984</v>
      </c>
      <c r="AC96" s="4">
        <v>9.7718953960134041</v>
      </c>
      <c r="AD96" s="4">
        <v>10.28620568001411</v>
      </c>
      <c r="AE96" s="4">
        <v>10.800515964014815</v>
      </c>
      <c r="AF96" s="4">
        <v>11.314826248015521</v>
      </c>
      <c r="AG96" s="4">
        <v>11.829136532016227</v>
      </c>
      <c r="AH96" s="4">
        <v>12.343446816016932</v>
      </c>
      <c r="AI96" s="4">
        <v>12.857757100017638</v>
      </c>
      <c r="AJ96" s="4">
        <v>13.372067384018342</v>
      </c>
      <c r="AK96" s="4">
        <v>13.886377668019048</v>
      </c>
      <c r="AL96" s="4">
        <v>14.400687952019753</v>
      </c>
      <c r="AM96" s="4">
        <v>14.914998236020459</v>
      </c>
      <c r="AN96" s="4">
        <v>15.429308520021165</v>
      </c>
      <c r="AO96" s="4">
        <v>15.943618804021868</v>
      </c>
      <c r="AP96" s="4">
        <v>16.457929088022574</v>
      </c>
      <c r="AQ96" s="4">
        <v>16.972239372023278</v>
      </c>
      <c r="AR96" s="4">
        <v>17.486549656023985</v>
      </c>
      <c r="AS96" s="4">
        <v>18.000859940024689</v>
      </c>
      <c r="AT96" s="4">
        <v>18.515170224025397</v>
      </c>
      <c r="AU96" s="4">
        <v>19.029480508026101</v>
      </c>
      <c r="AV96" s="4">
        <v>19.543790792026808</v>
      </c>
      <c r="AW96" s="4">
        <v>20.058101076027512</v>
      </c>
      <c r="AX96" s="4">
        <v>20.572411360028219</v>
      </c>
      <c r="AY96" s="4">
        <v>21.086721644028923</v>
      </c>
      <c r="AZ96" s="4">
        <v>21.601031928029631</v>
      </c>
      <c r="BA96" s="4">
        <v>22.115342212030335</v>
      </c>
      <c r="BB96" s="4">
        <v>22.629652496031042</v>
      </c>
      <c r="BC96" s="4">
        <v>23.143962780031746</v>
      </c>
      <c r="BD96" s="4">
        <v>23.658273064032453</v>
      </c>
      <c r="BE96" s="4">
        <v>24.172583348033157</v>
      </c>
      <c r="BF96" s="4">
        <v>24.686893632033865</v>
      </c>
      <c r="BG96" s="4">
        <v>25.201203916034569</v>
      </c>
      <c r="BH96" s="4">
        <v>25.715514200035276</v>
      </c>
      <c r="BI96" s="4">
        <v>26.22982448403598</v>
      </c>
      <c r="BJ96" s="4">
        <v>26.744134768036684</v>
      </c>
      <c r="BK96" s="4">
        <v>27.258445052037391</v>
      </c>
      <c r="BL96" s="4">
        <v>27.772755336038095</v>
      </c>
      <c r="BM96" s="4">
        <v>28.287065620038803</v>
      </c>
      <c r="BN96" s="4">
        <v>28.801375904039507</v>
      </c>
      <c r="BO96" s="4">
        <v>29.315686188040214</v>
      </c>
      <c r="BP96" s="4">
        <v>29.829996472040918</v>
      </c>
      <c r="BQ96" s="4">
        <v>30.344306756041625</v>
      </c>
      <c r="BR96" s="4">
        <v>30.858617040042329</v>
      </c>
      <c r="BS96" s="4">
        <v>31.372927324043037</v>
      </c>
      <c r="BT96" s="4">
        <v>31.887237608043737</v>
      </c>
      <c r="BU96" s="4">
        <v>32.401547892044441</v>
      </c>
      <c r="BV96" s="4">
        <v>32.915858176045148</v>
      </c>
      <c r="BW96" s="4">
        <v>33.430168460045856</v>
      </c>
      <c r="BX96" s="4">
        <v>33.944478744046556</v>
      </c>
      <c r="BY96" s="4">
        <v>34.458789028047264</v>
      </c>
      <c r="BZ96" s="4">
        <v>34.973099312047971</v>
      </c>
      <c r="CA96" s="4">
        <v>35.487409596048678</v>
      </c>
      <c r="CB96" s="4">
        <v>36.001719880049379</v>
      </c>
    </row>
    <row r="97" spans="2:80" x14ac:dyDescent="0.35">
      <c r="B97" t="s">
        <v>23394</v>
      </c>
      <c r="C97">
        <v>2449</v>
      </c>
      <c r="D97">
        <v>1502.65</v>
      </c>
      <c r="H97" t="s">
        <v>23394</v>
      </c>
      <c r="I97">
        <v>2449</v>
      </c>
      <c r="J97" s="4">
        <v>0.58437334626918336</v>
      </c>
      <c r="K97" s="4">
        <v>1.1687466925383667</v>
      </c>
      <c r="L97" s="4"/>
      <c r="M97" s="4">
        <v>1.7531200388075501</v>
      </c>
      <c r="N97" s="4">
        <v>2.3374933850767334</v>
      </c>
      <c r="O97" s="4">
        <v>2.9218667313459172</v>
      </c>
      <c r="P97" s="4">
        <v>3.5062400776151001</v>
      </c>
      <c r="Q97" s="4">
        <v>4.0906134238842835</v>
      </c>
      <c r="R97" s="4">
        <v>4.6749867701534669</v>
      </c>
      <c r="S97" s="4">
        <v>5.2593601164226502</v>
      </c>
      <c r="T97" s="4">
        <v>5.8437334626918345</v>
      </c>
      <c r="U97" s="4">
        <v>6.4281068089610169</v>
      </c>
      <c r="V97" s="4">
        <v>7.0124801552302003</v>
      </c>
      <c r="W97" s="4">
        <v>7.5968535014993837</v>
      </c>
      <c r="X97" s="4">
        <v>8.181226847768567</v>
      </c>
      <c r="Y97" s="4">
        <v>8.7656001940377504</v>
      </c>
      <c r="Z97" s="4">
        <v>9.3499735403069337</v>
      </c>
      <c r="AA97" s="4">
        <v>9.9343468865761171</v>
      </c>
      <c r="AB97" s="4">
        <v>10.5187202328453</v>
      </c>
      <c r="AC97" s="4">
        <v>11.103093579114484</v>
      </c>
      <c r="AD97" s="4">
        <v>11.687466925383669</v>
      </c>
      <c r="AE97" s="4">
        <v>12.271840271652851</v>
      </c>
      <c r="AF97" s="4">
        <v>12.856213617922034</v>
      </c>
      <c r="AG97" s="4">
        <v>13.440586964191217</v>
      </c>
      <c r="AH97" s="4">
        <v>14.024960310460401</v>
      </c>
      <c r="AI97" s="4">
        <v>14.609333656729584</v>
      </c>
      <c r="AJ97" s="4">
        <v>15.193707002998767</v>
      </c>
      <c r="AK97" s="4">
        <v>15.778080349267951</v>
      </c>
      <c r="AL97" s="4">
        <v>16.362453695537134</v>
      </c>
      <c r="AM97" s="4">
        <v>16.946827041806319</v>
      </c>
      <c r="AN97" s="4">
        <v>17.531200388075501</v>
      </c>
      <c r="AO97" s="4">
        <v>18.115573734344686</v>
      </c>
      <c r="AP97" s="4">
        <v>18.699947080613867</v>
      </c>
      <c r="AQ97" s="4">
        <v>19.284320426883049</v>
      </c>
      <c r="AR97" s="4">
        <v>19.868693773152234</v>
      </c>
      <c r="AS97" s="4">
        <v>20.453067119421416</v>
      </c>
      <c r="AT97" s="4">
        <v>21.037440465690601</v>
      </c>
      <c r="AU97" s="4">
        <v>21.621813811959782</v>
      </c>
      <c r="AV97" s="4">
        <v>22.206187158228968</v>
      </c>
      <c r="AW97" s="4">
        <v>22.790560504498149</v>
      </c>
      <c r="AX97" s="4">
        <v>23.374933850767338</v>
      </c>
      <c r="AY97" s="4">
        <v>23.959307197036519</v>
      </c>
      <c r="AZ97" s="4">
        <v>24.543680543305701</v>
      </c>
      <c r="BA97" s="4">
        <v>25.128053889574886</v>
      </c>
      <c r="BB97" s="4">
        <v>25.712427235844068</v>
      </c>
      <c r="BC97" s="4">
        <v>26.296800582113253</v>
      </c>
      <c r="BD97" s="4">
        <v>26.881173928382434</v>
      </c>
      <c r="BE97" s="4">
        <v>27.46554727465162</v>
      </c>
      <c r="BF97" s="4">
        <v>28.049920620920801</v>
      </c>
      <c r="BG97" s="4">
        <v>28.634293967189986</v>
      </c>
      <c r="BH97" s="4">
        <v>29.218667313459168</v>
      </c>
      <c r="BI97" s="4">
        <v>29.803040659728353</v>
      </c>
      <c r="BJ97" s="4">
        <v>30.387414005997535</v>
      </c>
      <c r="BK97" s="4">
        <v>30.97178735226672</v>
      </c>
      <c r="BL97" s="4">
        <v>31.556160698535901</v>
      </c>
      <c r="BM97" s="4">
        <v>32.140534044805086</v>
      </c>
      <c r="BN97" s="4">
        <v>32.724907391074268</v>
      </c>
      <c r="BO97" s="4">
        <v>33.30928073734345</v>
      </c>
      <c r="BP97" s="4">
        <v>33.893654083612638</v>
      </c>
      <c r="BQ97" s="4">
        <v>34.47802742988182</v>
      </c>
      <c r="BR97" s="4">
        <v>35.062400776151001</v>
      </c>
      <c r="BS97" s="4">
        <v>35.646774122420183</v>
      </c>
      <c r="BT97" s="4">
        <v>36.231147468689372</v>
      </c>
      <c r="BU97" s="4">
        <v>36.815520814958553</v>
      </c>
      <c r="BV97" s="4">
        <v>37.399894161227735</v>
      </c>
      <c r="BW97" s="4">
        <v>37.984267507496916</v>
      </c>
      <c r="BX97" s="4">
        <v>38.568640853766098</v>
      </c>
      <c r="BY97" s="4">
        <v>39.153014200035287</v>
      </c>
      <c r="BZ97" s="4">
        <v>39.737387546304468</v>
      </c>
      <c r="CA97" s="4">
        <v>40.32176089257365</v>
      </c>
      <c r="CB97" s="4">
        <v>40.906134238842832</v>
      </c>
    </row>
    <row r="98" spans="2:80" x14ac:dyDescent="0.35">
      <c r="B98" t="s">
        <v>105</v>
      </c>
      <c r="C98">
        <v>2925</v>
      </c>
      <c r="D98">
        <v>1573</v>
      </c>
      <c r="H98" t="s">
        <v>105</v>
      </c>
      <c r="I98">
        <v>2925</v>
      </c>
      <c r="J98" s="4">
        <v>0.66193332157346974</v>
      </c>
      <c r="K98" s="4">
        <v>1.3238666431469395</v>
      </c>
      <c r="L98" s="4"/>
      <c r="M98" s="4">
        <v>1.9857999647204092</v>
      </c>
      <c r="N98" s="4">
        <v>2.6477332862938789</v>
      </c>
      <c r="O98" s="4">
        <v>3.3096666078673489</v>
      </c>
      <c r="P98" s="4">
        <v>3.9715999294408184</v>
      </c>
      <c r="Q98" s="4">
        <v>4.6335332510142884</v>
      </c>
      <c r="R98" s="4">
        <v>5.2954665725877579</v>
      </c>
      <c r="S98" s="4">
        <v>5.9573998941612274</v>
      </c>
      <c r="T98" s="4">
        <v>6.6193332157346978</v>
      </c>
      <c r="U98" s="4">
        <v>7.2812665373081673</v>
      </c>
      <c r="V98" s="4">
        <v>7.9431998588816368</v>
      </c>
      <c r="W98" s="4">
        <v>8.6051331804551072</v>
      </c>
      <c r="X98" s="4">
        <v>9.2670665020285767</v>
      </c>
      <c r="Y98" s="4">
        <v>9.9289998236020462</v>
      </c>
      <c r="Z98" s="4">
        <v>10.590933145175516</v>
      </c>
      <c r="AA98" s="4">
        <v>11.252866466748985</v>
      </c>
      <c r="AB98" s="4">
        <v>11.914799788322455</v>
      </c>
      <c r="AC98" s="4">
        <v>12.576733109895926</v>
      </c>
      <c r="AD98" s="4">
        <v>13.238666431469396</v>
      </c>
      <c r="AE98" s="4">
        <v>13.900599753042865</v>
      </c>
      <c r="AF98" s="4">
        <v>14.562533074616335</v>
      </c>
      <c r="AG98" s="4">
        <v>15.224466396189804</v>
      </c>
      <c r="AH98" s="4">
        <v>15.886399717763274</v>
      </c>
      <c r="AI98" s="4">
        <v>16.548333039336743</v>
      </c>
      <c r="AJ98" s="4">
        <v>17.210266360910214</v>
      </c>
      <c r="AK98" s="4">
        <v>17.872199682483682</v>
      </c>
      <c r="AL98" s="4">
        <v>18.534133004057153</v>
      </c>
      <c r="AM98" s="4">
        <v>19.196066325630621</v>
      </c>
      <c r="AN98" s="4">
        <v>19.857999647204092</v>
      </c>
      <c r="AO98" s="4">
        <v>20.519932968777564</v>
      </c>
      <c r="AP98" s="4">
        <v>21.181866290351032</v>
      </c>
      <c r="AQ98" s="4">
        <v>21.843799611924503</v>
      </c>
      <c r="AR98" s="4">
        <v>22.505732933497971</v>
      </c>
      <c r="AS98" s="4">
        <v>23.167666255071442</v>
      </c>
      <c r="AT98" s="4">
        <v>23.82959957664491</v>
      </c>
      <c r="AU98" s="4">
        <v>24.491532898218381</v>
      </c>
      <c r="AV98" s="4">
        <v>25.153466219791852</v>
      </c>
      <c r="AW98" s="4">
        <v>25.81539954136532</v>
      </c>
      <c r="AX98" s="4">
        <v>26.477332862938791</v>
      </c>
      <c r="AY98" s="4">
        <v>27.139266184512259</v>
      </c>
      <c r="AZ98" s="4">
        <v>27.80119950608573</v>
      </c>
      <c r="BA98" s="4">
        <v>28.463132827659198</v>
      </c>
      <c r="BB98" s="4">
        <v>29.125066149232669</v>
      </c>
      <c r="BC98" s="4">
        <v>29.786999470806137</v>
      </c>
      <c r="BD98" s="4">
        <v>30.448932792379608</v>
      </c>
      <c r="BE98" s="4">
        <v>31.11086611395308</v>
      </c>
      <c r="BF98" s="4">
        <v>31.772799435526547</v>
      </c>
      <c r="BG98" s="4">
        <v>32.434732757100015</v>
      </c>
      <c r="BH98" s="4">
        <v>33.096666078673486</v>
      </c>
      <c r="BI98" s="4">
        <v>33.758599400246958</v>
      </c>
      <c r="BJ98" s="4">
        <v>34.420532721820429</v>
      </c>
      <c r="BK98" s="4">
        <v>35.0824660433939</v>
      </c>
      <c r="BL98" s="4">
        <v>35.744399364967364</v>
      </c>
      <c r="BM98" s="4">
        <v>36.406332686540836</v>
      </c>
      <c r="BN98" s="4">
        <v>37.068266008114307</v>
      </c>
      <c r="BO98" s="4">
        <v>37.730199329687778</v>
      </c>
      <c r="BP98" s="4">
        <v>38.392132651261242</v>
      </c>
      <c r="BQ98" s="4">
        <v>39.054065972834714</v>
      </c>
      <c r="BR98" s="4">
        <v>39.715999294408185</v>
      </c>
      <c r="BS98" s="4">
        <v>40.377932615981656</v>
      </c>
      <c r="BT98" s="4">
        <v>41.039865937555128</v>
      </c>
      <c r="BU98" s="4">
        <v>41.701799259128592</v>
      </c>
      <c r="BV98" s="4">
        <v>42.363732580702063</v>
      </c>
      <c r="BW98" s="4">
        <v>43.025665902275534</v>
      </c>
      <c r="BX98" s="4">
        <v>43.687599223849006</v>
      </c>
      <c r="BY98" s="4">
        <v>44.34953254542247</v>
      </c>
      <c r="BZ98" s="4">
        <v>45.011465866995941</v>
      </c>
      <c r="CA98" s="4">
        <v>45.673399188569412</v>
      </c>
      <c r="CB98" s="4">
        <v>46.335332510142884</v>
      </c>
    </row>
    <row r="101" spans="2:80" x14ac:dyDescent="0.35">
      <c r="C101" s="825" t="s">
        <v>18</v>
      </c>
      <c r="D101" s="825"/>
      <c r="E101" s="825"/>
      <c r="F101" s="825"/>
      <c r="G101" s="825"/>
      <c r="H101" s="825"/>
      <c r="K101" s="825" t="s">
        <v>106</v>
      </c>
      <c r="L101" s="825"/>
      <c r="M101" s="825"/>
      <c r="N101" s="825"/>
      <c r="R101" s="826" t="s">
        <v>107</v>
      </c>
      <c r="S101" s="826"/>
      <c r="T101" s="826"/>
      <c r="U101" s="826"/>
      <c r="V101" s="7"/>
    </row>
    <row r="102" spans="2:80" x14ac:dyDescent="0.35">
      <c r="C102" t="s">
        <v>108</v>
      </c>
      <c r="D102" t="s">
        <v>20</v>
      </c>
      <c r="E102" t="s">
        <v>111</v>
      </c>
      <c r="K102" t="s">
        <v>20</v>
      </c>
      <c r="L102" t="s">
        <v>23275</v>
      </c>
      <c r="M102" t="s">
        <v>111</v>
      </c>
      <c r="R102" t="s">
        <v>23384</v>
      </c>
      <c r="S102" t="s">
        <v>23426</v>
      </c>
      <c r="T102" t="s">
        <v>23427</v>
      </c>
      <c r="U102" t="s">
        <v>23428</v>
      </c>
      <c r="Z102" s="367"/>
      <c r="AC102" s="367"/>
    </row>
    <row r="103" spans="2:80" x14ac:dyDescent="0.35">
      <c r="B103" t="str">
        <f>IF(C103="A","A1",D103)</f>
        <v>A1</v>
      </c>
      <c r="C103" t="str">
        <f>'Load Plan '!$C$16</f>
        <v>A</v>
      </c>
      <c r="D103" t="str">
        <f>'Load Plan '!$C$17</f>
        <v>A1</v>
      </c>
      <c r="E103" s="4">
        <f>IFERROR((('Load Plan '!$C$39/2.205)*(VLOOKUP(D103,$B$3:$D$75,3,FALSE)-972.6))/90704,"")</f>
        <v>-2.5475119488613935</v>
      </c>
      <c r="K103" t="s">
        <v>23315</v>
      </c>
      <c r="L103" t="str">
        <f>IF('Load Plan '!$C$46="None",K103&amp;'Load Plan '!$C$53,K103&amp;'Load Plan '!$C$46)</f>
        <v>HOLD 11None</v>
      </c>
      <c r="M103" s="4" t="str">
        <f>IFERROR(IF(RIGHT(L103,2)="P6",((('Load Plan '!$C$59/2.205)*(VLOOKUP(L103,$B$79:$D$98,3,FALSE)-972.6))/90704),((('Load Plan '!$C$59/2.205)*(VLOOKUP(K103,$B$79:$D$98,3,FALSE)-972.6))/90704)),"")</f>
        <v/>
      </c>
      <c r="Q103" s="5">
        <v>0</v>
      </c>
      <c r="R103" s="5">
        <v>500</v>
      </c>
      <c r="S103" s="5">
        <v>226.75736961451247</v>
      </c>
      <c r="T103" s="5">
        <v>284.09090909090907</v>
      </c>
      <c r="U103" s="8">
        <v>-0.125</v>
      </c>
      <c r="Y103" s="5">
        <v>0</v>
      </c>
      <c r="Z103" s="392">
        <v>500</v>
      </c>
      <c r="AA103" s="5">
        <f>Z103/2.205</f>
        <v>226.75736961451247</v>
      </c>
      <c r="AB103" s="5">
        <f>Z103/1.76</f>
        <v>284.09090909090907</v>
      </c>
      <c r="AC103" s="8">
        <v>-0.125</v>
      </c>
    </row>
    <row r="104" spans="2:80" x14ac:dyDescent="0.35">
      <c r="B104" t="str">
        <f>IF(C104="A","A2",D104)</f>
        <v>A2</v>
      </c>
      <c r="C104" t="str">
        <f>'Load Plan '!$D$16</f>
        <v>A</v>
      </c>
      <c r="D104" t="str">
        <f>'Load Plan '!$D$17</f>
        <v>A2R</v>
      </c>
      <c r="E104" s="4">
        <f>IFERROR((('Load Plan '!$D$39/2.205)*(VLOOKUP(D104,$B$3:$D$75,3,FALSE)-972.6))/90704,"")</f>
        <v>-20.513169047239053</v>
      </c>
      <c r="K104" t="s">
        <v>23316</v>
      </c>
      <c r="L104" t="str">
        <f>IF('Load Plan '!$D$46="None",K104&amp;'Load Plan '!$D$53,K104&amp;'Load Plan '!$D$46)</f>
        <v>HOLD 12None</v>
      </c>
      <c r="M104" s="4" t="str">
        <f>IFERROR(IF(RIGHT(L104,2)="P6",((('Load Plan '!$D$59/2.205)*(VLOOKUP(L104,$B$79:$D$98,3,FALSE)-972.6))/90704),((('Load Plan '!$D$59/2.205)*(VLOOKUP(K104,$B$79:$D$98,3,FALSE)-972.6))/90704)),"")</f>
        <v/>
      </c>
      <c r="Q104" s="5">
        <v>501</v>
      </c>
      <c r="R104" s="5">
        <v>1000</v>
      </c>
      <c r="S104" s="5">
        <v>453.51473922902494</v>
      </c>
      <c r="T104" s="5">
        <v>568.18181818181813</v>
      </c>
      <c r="U104" s="8">
        <v>-0.25</v>
      </c>
      <c r="X104" s="5"/>
      <c r="Y104" s="5">
        <f>Z103+1</f>
        <v>501</v>
      </c>
      <c r="Z104" s="392">
        <v>1000</v>
      </c>
      <c r="AA104" s="5">
        <f t="shared" ref="AA104:AA167" si="0">Z104/2.205</f>
        <v>453.51473922902494</v>
      </c>
      <c r="AB104" s="5">
        <f t="shared" ref="AB104:AB167" si="1">Z104/1.76</f>
        <v>568.18181818181813</v>
      </c>
      <c r="AC104" s="8">
        <v>-0.25</v>
      </c>
    </row>
    <row r="105" spans="2:80" x14ac:dyDescent="0.35">
      <c r="B105" t="str">
        <f>IF(C105="A","A3",D105)</f>
        <v>A3</v>
      </c>
      <c r="C105" t="str">
        <f>'Load Plan '!$E$16</f>
        <v>A</v>
      </c>
      <c r="D105" t="str">
        <f>'Load Plan '!$E$17</f>
        <v>A3R</v>
      </c>
      <c r="E105" s="4">
        <f>IFERROR((('Load Plan '!$E$39/2.205)*(VLOOKUP(D105,$B$3:$D$75,3,FALSE)-972.6))/90704,"")</f>
        <v>-17.487868140729571</v>
      </c>
      <c r="K105" t="s">
        <v>23317</v>
      </c>
      <c r="L105" t="str">
        <f>IF('Load Plan '!$E$46="None",K105&amp;'Load Plan '!$E$53,K105&amp;'Load Plan '!$E$46)</f>
        <v>HOLD 13None</v>
      </c>
      <c r="M105" s="4" t="str">
        <f>IFERROR(IF(RIGHT(L105,2)="P6",((('Load Plan '!$E$59/2.205)*(VLOOKUP(L105,$B$79:$D$98,3,FALSE)-972.6))/90704),((('Load Plan '!$E$59/2.205)*(VLOOKUP(K105,$B$79:$D$98,3,FALSE)-972.6))/90704)),"")</f>
        <v/>
      </c>
      <c r="Q105" s="5">
        <v>1001</v>
      </c>
      <c r="R105" s="5">
        <v>1500</v>
      </c>
      <c r="S105" s="5">
        <v>680.27210884353735</v>
      </c>
      <c r="T105" s="5">
        <v>852.27272727272725</v>
      </c>
      <c r="U105" s="8">
        <v>-0.375</v>
      </c>
      <c r="X105" s="5"/>
      <c r="Y105" s="5">
        <f t="shared" ref="Y105:Y168" si="2">Z104+1</f>
        <v>1001</v>
      </c>
      <c r="Z105" s="392">
        <v>1500</v>
      </c>
      <c r="AA105" s="5">
        <f t="shared" si="0"/>
        <v>680.27210884353735</v>
      </c>
      <c r="AB105" s="5">
        <f t="shared" si="1"/>
        <v>852.27272727272725</v>
      </c>
      <c r="AC105" s="8">
        <v>-0.375</v>
      </c>
    </row>
    <row r="106" spans="2:80" x14ac:dyDescent="0.35">
      <c r="B106" t="str">
        <f>IF(C106="A","A4",D106)</f>
        <v>A4</v>
      </c>
      <c r="C106" t="str">
        <f>'Load Plan '!$F$16</f>
        <v>A</v>
      </c>
      <c r="D106" t="str">
        <f>'Load Plan '!$F$17</f>
        <v>A4R</v>
      </c>
      <c r="E106" s="4">
        <f>IFERROR((('Load Plan '!$F$39/2.205)*(VLOOKUP(D106,$B$3:$D$75,3,FALSE)-972.6))/90704,"")</f>
        <v>-13.297196752517671</v>
      </c>
      <c r="K106" t="s">
        <v>23391</v>
      </c>
      <c r="L106" t="str">
        <f>IF('Load Plan '!$F$46="None",K106&amp;'Load Plan '!$F$53,K106&amp;'Load Plan '!$F$46)</f>
        <v>HOLD 14None</v>
      </c>
      <c r="M106" s="4" t="str">
        <f>IFERROR(IF(RIGHT(L106,2)="P6",((('Load Plan '!$F$59/2.205)*(VLOOKUP(L106,$B$79:$D$98,3,FALSE)-972.6))/90704),((('Load Plan '!$F$59/2.205)*(VLOOKUP(K106,$B$79:$D$98,3,FALSE)-972.6))/90704)),"")</f>
        <v/>
      </c>
      <c r="Q106" s="5">
        <v>1501</v>
      </c>
      <c r="R106" s="5">
        <v>2000</v>
      </c>
      <c r="S106" s="5">
        <v>907.02947845804988</v>
      </c>
      <c r="T106" s="5">
        <v>1136.3636363636363</v>
      </c>
      <c r="U106" s="8">
        <v>-0.5</v>
      </c>
      <c r="X106" s="5"/>
      <c r="Y106" s="5">
        <f t="shared" si="2"/>
        <v>1501</v>
      </c>
      <c r="Z106" s="392">
        <v>2000</v>
      </c>
      <c r="AA106" s="5">
        <f t="shared" si="0"/>
        <v>907.02947845804988</v>
      </c>
      <c r="AB106" s="5">
        <f t="shared" si="1"/>
        <v>1136.3636363636363</v>
      </c>
      <c r="AC106" s="8">
        <v>-0.5</v>
      </c>
    </row>
    <row r="107" spans="2:80" x14ac:dyDescent="0.35">
      <c r="B107" t="str">
        <f>IF(C107="A","",D107)</f>
        <v/>
      </c>
      <c r="C107" t="str">
        <f>'Load Plan '!$G$16</f>
        <v>A</v>
      </c>
      <c r="D107" t="str">
        <f>'Load Plan '!$G$17</f>
        <v xml:space="preserve"> </v>
      </c>
      <c r="E107" s="4" t="str">
        <f>IFERROR((('Load Plan '!$G$39/2.205)*(VLOOKUP(D107,$B$3:$D$75,3,FALSE)-972.6))/90704,"")</f>
        <v/>
      </c>
      <c r="K107" t="s">
        <v>23318</v>
      </c>
      <c r="L107" t="str">
        <f>IF('Load Plan '!$G$46="None",K107&amp;'Load Plan '!$G$53,K107&amp;'Load Plan '!$G$46)</f>
        <v>HOLD 21None</v>
      </c>
      <c r="M107" s="4" t="str">
        <f>IFERROR(IF(RIGHT(L107,2)="P6",((('Load Plan '!$G$59/2.205)*(VLOOKUP(L107,$B$79:$D$98,3,FALSE)-972.6))/90704),((('Load Plan '!$G$59/2.205)*(VLOOKUP(K107,$B$79:$D$98,3,FALSE)-972.6))/90704)),"")</f>
        <v/>
      </c>
      <c r="Q107" s="5">
        <v>2001</v>
      </c>
      <c r="R107" s="5">
        <v>2500</v>
      </c>
      <c r="S107" s="5">
        <v>1133.7868480725624</v>
      </c>
      <c r="T107" s="5">
        <v>1420.4545454545455</v>
      </c>
      <c r="U107" s="8">
        <v>-0.625</v>
      </c>
      <c r="X107" s="5"/>
      <c r="Y107" s="5">
        <f t="shared" si="2"/>
        <v>2001</v>
      </c>
      <c r="Z107" s="392">
        <v>2500</v>
      </c>
      <c r="AA107" s="5">
        <f t="shared" si="0"/>
        <v>1133.7868480725624</v>
      </c>
      <c r="AB107" s="5">
        <f t="shared" si="1"/>
        <v>1420.4545454545455</v>
      </c>
      <c r="AC107" s="8">
        <v>-0.625</v>
      </c>
    </row>
    <row r="108" spans="2:80" x14ac:dyDescent="0.35">
      <c r="B108" t="str">
        <f>IF(C108="A","A5",D108)</f>
        <v>A5</v>
      </c>
      <c r="C108" t="str">
        <f>'Load Plan '!$H$16</f>
        <v>A</v>
      </c>
      <c r="D108" t="str">
        <f>'Load Plan '!$H$17</f>
        <v>A5R</v>
      </c>
      <c r="E108" s="4">
        <f>IFERROR((('Load Plan '!$H$39/2.205)*(VLOOKUP(D108,$B$3:$D$75,3,FALSE)-972.6))/90704,"")</f>
        <v>-10.160922633297453</v>
      </c>
      <c r="K108" t="s">
        <v>23319</v>
      </c>
      <c r="L108" t="str">
        <f>IF('Load Plan '!$H$46="None",K108&amp;'Load Plan '!$H$53,K108&amp;'Load Plan '!$H$46)</f>
        <v>HOLD 22None</v>
      </c>
      <c r="M108" s="4" t="str">
        <f>IFERROR(IF(RIGHT(L108,2)="P6",((('Load Plan '!$H$59/2.205)*(VLOOKUP(L108,$B$79:$D$98,3,FALSE)-972.6))/90704),((('Load Plan '!$H$59/2.205)*(VLOOKUP(K108,$B$79:$D$98,3,FALSE)-972.6))/90704)),"")</f>
        <v/>
      </c>
      <c r="Q108" s="5">
        <v>2501</v>
      </c>
      <c r="R108" s="5">
        <v>3000</v>
      </c>
      <c r="S108" s="5">
        <v>1360.5442176870747</v>
      </c>
      <c r="T108" s="5">
        <v>1704.5454545454545</v>
      </c>
      <c r="U108" s="8">
        <v>-0.75</v>
      </c>
      <c r="X108" s="5"/>
      <c r="Y108" s="5">
        <f t="shared" si="2"/>
        <v>2501</v>
      </c>
      <c r="Z108" s="392">
        <v>3000</v>
      </c>
      <c r="AA108" s="5">
        <f t="shared" si="0"/>
        <v>1360.5442176870747</v>
      </c>
      <c r="AB108" s="5">
        <f t="shared" si="1"/>
        <v>1704.5454545454545</v>
      </c>
      <c r="AC108" s="8">
        <v>-0.75</v>
      </c>
    </row>
    <row r="109" spans="2:80" x14ac:dyDescent="0.35">
      <c r="B109" t="str">
        <f>IF(C109="A","A6",D109)</f>
        <v>A6</v>
      </c>
      <c r="C109" t="str">
        <f>'Load Plan '!$I$16</f>
        <v>A</v>
      </c>
      <c r="D109" t="str">
        <f>'Load Plan '!$I$17</f>
        <v>A6R</v>
      </c>
      <c r="E109" s="4">
        <f>IFERROR((('Load Plan '!$I$39/2.205)*(VLOOKUP(D109,$B$3:$D$75,3,FALSE)-972.6))/90704,"")</f>
        <v>-5.5909556449145184</v>
      </c>
      <c r="K109" t="s">
        <v>23320</v>
      </c>
      <c r="L109" t="str">
        <f>IF('Load Plan '!$I$46="None",K109&amp;'Load Plan '!$I$53,K109&amp;'Load Plan '!$I$46)</f>
        <v>HOLD 23None</v>
      </c>
      <c r="M109" s="4" t="str">
        <f>IFERROR(IF(RIGHT(L109,2)="P6",((('Load Plan '!$I$59/2.205)*(VLOOKUP(L109,$B$79:$D$98,3,FALSE)-972.6))/90704),((('Load Plan '!$I$59/2.205)*(VLOOKUP(K109,$B$79:$D$98,3,FALSE)-972.6))/90704)),"")</f>
        <v/>
      </c>
      <c r="Q109" s="5">
        <v>3001</v>
      </c>
      <c r="R109" s="5">
        <v>3500</v>
      </c>
      <c r="S109" s="5">
        <v>1587.3015873015872</v>
      </c>
      <c r="T109" s="5">
        <v>1988.6363636363637</v>
      </c>
      <c r="U109" s="8">
        <v>-0.875</v>
      </c>
      <c r="X109" s="5"/>
      <c r="Y109" s="5">
        <f t="shared" si="2"/>
        <v>3001</v>
      </c>
      <c r="Z109" s="392">
        <v>3500</v>
      </c>
      <c r="AA109" s="5">
        <f t="shared" si="0"/>
        <v>1587.3015873015872</v>
      </c>
      <c r="AB109" s="5">
        <f t="shared" si="1"/>
        <v>1988.6363636363637</v>
      </c>
      <c r="AC109" s="8">
        <v>-0.875</v>
      </c>
    </row>
    <row r="110" spans="2:80" x14ac:dyDescent="0.35">
      <c r="B110" t="str">
        <f>IF(C110="A","A7",D110)</f>
        <v>A7</v>
      </c>
      <c r="C110" t="str">
        <f>'Load Plan '!$J$16</f>
        <v>A</v>
      </c>
      <c r="D110" t="str">
        <f>'Load Plan '!$J$17</f>
        <v>A7R</v>
      </c>
      <c r="E110" s="4">
        <f>IFERROR((('Load Plan '!$J$39/2.205)*(VLOOKUP(D110,$B$3:$D$75,3,FALSE)-972.6))/90704,"")</f>
        <v>-1.1456917099761634</v>
      </c>
      <c r="K110" t="s">
        <v>23392</v>
      </c>
      <c r="L110" t="str">
        <f>IF('Load Plan '!$J$46="None",K110&amp;'Load Plan '!$J$53,K110&amp;'Load Plan '!$J$46)</f>
        <v>HOLD 24LD-8</v>
      </c>
      <c r="M110" s="4">
        <f>IFERROR(IF(RIGHT(L110,2)="P6",((('Load Plan '!$J$59/2.205)*(VLOOKUP(L110,$B$79:$D$98,3,FALSE)-972.6))/90704),((('Load Plan '!$J$59/2.205)*(VLOOKUP(K110,$B$79:$D$98,3,FALSE)-972.6))/90704)),"")</f>
        <v>-2.2554175871559887</v>
      </c>
      <c r="Q110" s="5">
        <v>3501</v>
      </c>
      <c r="R110" s="5">
        <v>4000</v>
      </c>
      <c r="S110" s="5">
        <v>1814.0589569160998</v>
      </c>
      <c r="T110" s="5">
        <v>2272.7272727272725</v>
      </c>
      <c r="U110" s="8">
        <v>-1</v>
      </c>
      <c r="X110" s="5"/>
      <c r="Y110" s="5">
        <f t="shared" si="2"/>
        <v>3501</v>
      </c>
      <c r="Z110" s="392">
        <v>4000</v>
      </c>
      <c r="AA110" s="5">
        <f t="shared" si="0"/>
        <v>1814.0589569160998</v>
      </c>
      <c r="AB110" s="5">
        <f t="shared" si="1"/>
        <v>2272.7272727272725</v>
      </c>
      <c r="AC110" s="8">
        <v>-1</v>
      </c>
    </row>
    <row r="111" spans="2:80" x14ac:dyDescent="0.35">
      <c r="B111" t="str">
        <f>IF(C111="A","",D111)</f>
        <v/>
      </c>
      <c r="C111" t="str">
        <f>'Load Plan '!$K$16</f>
        <v>A</v>
      </c>
      <c r="D111" t="str">
        <f>'Load Plan '!$K$17</f>
        <v xml:space="preserve"> </v>
      </c>
      <c r="E111" s="4" t="str">
        <f>IFERROR((('Load Plan '!$K$39/2.205)*(VLOOKUP(D111,$B$3:$D$75,3,FALSE)-972.6))/90704,"")</f>
        <v/>
      </c>
      <c r="K111" t="s">
        <v>23322</v>
      </c>
      <c r="L111" t="str">
        <f>IF('Load Plan '!$K$46="None",K111&amp;'Load Plan '!$K$53,K111&amp;'Load Plan '!$K$46)</f>
        <v>HOLD 31LD-8</v>
      </c>
      <c r="M111" s="4">
        <f>IFERROR(IF(RIGHT(L111,2)="P6",((('Load Plan '!$K$59/2.205)*(VLOOKUP(L111,$B$79:$D$98,3,FALSE)-972.6))/90704),((('Load Plan '!$K$59/2.205)*(VLOOKUP(K111,$B$79:$D$98,3,FALSE)-972.6))/90704)),"")</f>
        <v>0</v>
      </c>
      <c r="Q111" s="5">
        <v>4001</v>
      </c>
      <c r="R111" s="5">
        <v>4500</v>
      </c>
      <c r="S111" s="5">
        <v>2040.8163265306123</v>
      </c>
      <c r="T111" s="5">
        <v>2556.818181818182</v>
      </c>
      <c r="U111" s="8">
        <v>-1.125</v>
      </c>
      <c r="X111" s="5"/>
      <c r="Y111" s="5">
        <f t="shared" si="2"/>
        <v>4001</v>
      </c>
      <c r="Z111" s="392">
        <v>4500</v>
      </c>
      <c r="AA111" s="5">
        <f t="shared" si="0"/>
        <v>2040.8163265306123</v>
      </c>
      <c r="AB111" s="5">
        <f t="shared" si="1"/>
        <v>2556.818181818182</v>
      </c>
      <c r="AC111" s="8">
        <v>-1.125</v>
      </c>
    </row>
    <row r="112" spans="2:80" x14ac:dyDescent="0.35">
      <c r="B112" t="str">
        <f>IF(C112="A","A8",D112)</f>
        <v>A8</v>
      </c>
      <c r="C112" t="str">
        <f>'Load Plan '!$L$16</f>
        <v>A</v>
      </c>
      <c r="D112" t="str">
        <f>'Load Plan '!$L$17</f>
        <v>A8R</v>
      </c>
      <c r="E112" s="4">
        <f>IFERROR((('Load Plan '!$L$39/2.205)*(VLOOKUP(D112,$B$3:$D$75,3,FALSE)-972.6))/90704,"")</f>
        <v>3.9824488035938792</v>
      </c>
      <c r="K112" t="s">
        <v>23323</v>
      </c>
      <c r="L112" t="str">
        <f>IF('Load Plan '!$L$46="None",K112&amp;'Load Plan '!$L$53,K112&amp;'Load Plan '!$L$46)</f>
        <v>HOLD 32LD-8</v>
      </c>
      <c r="M112" s="4">
        <f>IFERROR(IF(RIGHT(L112,2)="P6",((('Load Plan '!$L$59/2.205)*(VLOOKUP(L112,$B$79:$D$98,3,FALSE)-972.6))/90704),((('Load Plan '!$L$59/2.205)*(VLOOKUP(K112,$B$79:$D$98,3,FALSE)-972.6))/90704)),"")</f>
        <v>0</v>
      </c>
      <c r="Q112" s="5">
        <v>4501</v>
      </c>
      <c r="R112" s="5">
        <v>5000</v>
      </c>
      <c r="S112" s="5">
        <v>2267.5736961451248</v>
      </c>
      <c r="T112" s="5">
        <v>2840.909090909091</v>
      </c>
      <c r="U112" s="8">
        <v>-1.25</v>
      </c>
      <c r="X112" s="5"/>
      <c r="Y112" s="5">
        <f t="shared" si="2"/>
        <v>4501</v>
      </c>
      <c r="Z112" s="392">
        <v>5000</v>
      </c>
      <c r="AA112" s="5">
        <f t="shared" si="0"/>
        <v>2267.5736961451248</v>
      </c>
      <c r="AB112" s="5">
        <f t="shared" si="1"/>
        <v>2840.909090909091</v>
      </c>
      <c r="AC112" s="8">
        <v>-1.25</v>
      </c>
    </row>
    <row r="113" spans="2:29" x14ac:dyDescent="0.35">
      <c r="B113" t="str">
        <f>IF(C113="A","A9",D113)</f>
        <v>A9</v>
      </c>
      <c r="C113" t="str">
        <f>'Load Plan '!$M$16</f>
        <v>A</v>
      </c>
      <c r="D113" t="str">
        <f>'Load Plan '!$M$17</f>
        <v>A9R</v>
      </c>
      <c r="E113" s="4">
        <f>IFERROR((('Load Plan '!$M$39/2.205)*(VLOOKUP(D113,$B$3:$D$75,3,FALSE)-972.6))/90704,"")</f>
        <v>9.110589317163921</v>
      </c>
      <c r="K113" t="s">
        <v>23324</v>
      </c>
      <c r="L113" t="str">
        <f>IF('Load Plan '!$M$46="None",K113&amp;'Load Plan '!$M$53,K113&amp;'Load Plan '!$M$46)</f>
        <v>HOLD 33LD-8</v>
      </c>
      <c r="M113" s="4">
        <f>IFERROR(IF(RIGHT(L113,2)="P6",((('Load Plan '!$M$59/2.205)*(VLOOKUP(L113,$B$79:$D$98,3,FALSE)-972.6)/90704)),((('Load Plan '!$M$59/2.205)*(VLOOKUP(K113,$B$79:$D$98,3,FALSE)-972.6))/90704)),"")</f>
        <v>0</v>
      </c>
      <c r="Q113" s="5">
        <v>5001</v>
      </c>
      <c r="R113" s="5">
        <v>5500</v>
      </c>
      <c r="S113" s="5">
        <v>2494.3310657596371</v>
      </c>
      <c r="T113" s="5">
        <v>3125</v>
      </c>
      <c r="U113" s="8">
        <v>-1.375</v>
      </c>
      <c r="X113" s="5"/>
      <c r="Y113" s="5">
        <f t="shared" si="2"/>
        <v>5001</v>
      </c>
      <c r="Z113" s="392">
        <v>5500</v>
      </c>
      <c r="AA113" s="5">
        <f t="shared" si="0"/>
        <v>2494.3310657596371</v>
      </c>
      <c r="AB113" s="5">
        <f t="shared" si="1"/>
        <v>3125</v>
      </c>
      <c r="AC113" s="8">
        <v>-1.375</v>
      </c>
    </row>
    <row r="114" spans="2:29" x14ac:dyDescent="0.35">
      <c r="B114" t="str">
        <f>IF(C114="A","A10",D114)</f>
        <v>A10</v>
      </c>
      <c r="C114" t="str">
        <f>'Load Plan '!$N$16</f>
        <v>A</v>
      </c>
      <c r="D114" t="str">
        <f>'Load Plan '!$N$17</f>
        <v>A10R</v>
      </c>
      <c r="E114" s="4">
        <f>IFERROR((('Load Plan '!$N$39/2.205)*(VLOOKUP(D114,$B$3:$D$75,3,FALSE)-972.6))/90704,"")</f>
        <v>14.857957147697087</v>
      </c>
      <c r="K114" t="s">
        <v>23393</v>
      </c>
      <c r="L114" t="str">
        <f>IF('Load Plan '!$N$46="None",K114&amp;'Load Plan '!$N$53,K114&amp;'Load Plan '!$N$46)</f>
        <v>HOLD 34LD-8</v>
      </c>
      <c r="M114" s="4">
        <f>IFERROR(IF(RIGHT(L114,2)="P6",((('Load Plan '!$N$59/2.205)*(VLOOKUP(L114,$B$79:$D$98,3,FALSE)-972.6))/90704),((('Load Plan '!$N$59/2.205)*(VLOOKUP(K114,$B$79:$D$98,3,FALSE)-972.6))/90704)),"")</f>
        <v>0</v>
      </c>
      <c r="Q114" s="5">
        <v>5501</v>
      </c>
      <c r="R114" s="5">
        <v>6000</v>
      </c>
      <c r="S114" s="5">
        <v>2721.0884353741494</v>
      </c>
      <c r="T114" s="5">
        <v>3409.090909090909</v>
      </c>
      <c r="U114" s="8">
        <v>-1.5</v>
      </c>
      <c r="X114" s="5"/>
      <c r="Y114" s="5">
        <f t="shared" si="2"/>
        <v>5501</v>
      </c>
      <c r="Z114" s="392">
        <v>6000</v>
      </c>
      <c r="AA114" s="5">
        <f t="shared" si="0"/>
        <v>2721.0884353741494</v>
      </c>
      <c r="AB114" s="5">
        <f t="shared" si="1"/>
        <v>3409.090909090909</v>
      </c>
      <c r="AC114" s="8">
        <v>-1.5</v>
      </c>
    </row>
    <row r="115" spans="2:29" x14ac:dyDescent="0.35">
      <c r="B115" t="str">
        <f>IF(C115="A","",D115)</f>
        <v/>
      </c>
      <c r="C115" t="str">
        <f>'Load Plan '!$O$16</f>
        <v>A</v>
      </c>
      <c r="D115" t="str">
        <f>'Load Plan '!$O$17</f>
        <v xml:space="preserve"> </v>
      </c>
      <c r="E115" s="4" t="str">
        <f>IFERROR((('Load Plan '!$O$39/2.205)*(VLOOKUP(D115,$B$3:$D$75,3,FALSE)-972.6))/90704,"")</f>
        <v/>
      </c>
      <c r="K115" t="s">
        <v>23325</v>
      </c>
      <c r="L115" t="str">
        <f>IF('Load Plan '!$O$46="None",K115&amp;'Load Plan '!$O$53,K115&amp;'Load Plan '!$O$46)</f>
        <v>HOLD 41LD-8</v>
      </c>
      <c r="M115" s="4">
        <f>IFERROR(IF(RIGHT(L115,2)="P6",((('Load Plan '!$O$59/2.205)*(VLOOKUP(L115,$B$79:$D$98,3,FALSE)-972.6)/90704)),((('Load Plan '!$O$59/2.205)*(VLOOKUP(K115,$B$79:$D$98,3,FALSE)-972.6))/90704)),"")</f>
        <v>4.4362165398881377</v>
      </c>
      <c r="Q115" s="5">
        <v>6001</v>
      </c>
      <c r="R115" s="5">
        <v>6500</v>
      </c>
      <c r="S115" s="5">
        <v>2947.8458049886622</v>
      </c>
      <c r="T115" s="5">
        <v>3693.181818181818</v>
      </c>
      <c r="U115" s="8">
        <v>-1.6</v>
      </c>
      <c r="X115" s="5"/>
      <c r="Y115" s="5">
        <f t="shared" si="2"/>
        <v>6001</v>
      </c>
      <c r="Z115" s="392">
        <v>6500</v>
      </c>
      <c r="AA115" s="5">
        <f t="shared" si="0"/>
        <v>2947.8458049886622</v>
      </c>
      <c r="AB115" s="5">
        <f t="shared" si="1"/>
        <v>3693.181818181818</v>
      </c>
      <c r="AC115" s="8">
        <v>-1.6</v>
      </c>
    </row>
    <row r="116" spans="2:29" x14ac:dyDescent="0.35">
      <c r="B116" t="str">
        <f>IF(C116="A","A11",D116)</f>
        <v>A11</v>
      </c>
      <c r="C116" t="str">
        <f>'Load Plan '!$P$16</f>
        <v>A</v>
      </c>
      <c r="D116" t="str">
        <f>'Load Plan '!$P$17</f>
        <v>A11R</v>
      </c>
      <c r="E116" s="4">
        <f>IFERROR((('Load Plan '!$P$39/2.205)*(VLOOKUP(D116,$B$3:$D$75,3,FALSE)-972.6))/90704,"")</f>
        <v>20.209115074265139</v>
      </c>
      <c r="K116" t="s">
        <v>23326</v>
      </c>
      <c r="L116" t="str">
        <f>IF('Load Plan '!$P$46="None",K116&amp;'Load Plan '!$P$53,K116&amp;'Load Plan '!$P$46)</f>
        <v>HOLD 42LD-8</v>
      </c>
      <c r="M116" s="4">
        <f>IFERROR(IF(RIGHT(L116,2)="P6",((('Load Plan '!$P$59/2.205)*(VLOOKUP(L116,$B$79:$D$98,3,FALSE)-972.6)/90704)),((('Load Plan '!$P$59/2.205)*(VLOOKUP(K116,$B$79:$D$98,3,FALSE)-972.6))/90704)),"")</f>
        <v>5.1174456376306026</v>
      </c>
      <c r="Q116" s="5">
        <v>6501</v>
      </c>
      <c r="R116" s="5">
        <v>7000</v>
      </c>
      <c r="S116" s="5">
        <v>3174.6031746031745</v>
      </c>
      <c r="T116" s="5">
        <v>3977.2727272727275</v>
      </c>
      <c r="U116" s="8">
        <v>-1.7</v>
      </c>
      <c r="X116" s="5"/>
      <c r="Y116" s="5">
        <f t="shared" si="2"/>
        <v>6501</v>
      </c>
      <c r="Z116" s="392">
        <v>7000</v>
      </c>
      <c r="AA116" s="5">
        <f t="shared" si="0"/>
        <v>3174.6031746031745</v>
      </c>
      <c r="AB116" s="5">
        <f t="shared" si="1"/>
        <v>3977.2727272727275</v>
      </c>
      <c r="AC116" s="8">
        <v>-1.7</v>
      </c>
    </row>
    <row r="117" spans="2:29" x14ac:dyDescent="0.35">
      <c r="B117" t="str">
        <f>IF(C117="A","A12",D117)</f>
        <v>A12</v>
      </c>
      <c r="C117" t="str">
        <f>'Load Plan '!$Q$16</f>
        <v>A</v>
      </c>
      <c r="D117" t="str">
        <f>'Load Plan '!$Q$17</f>
        <v>A12R</v>
      </c>
      <c r="E117" s="4">
        <f>IFERROR((('Load Plan '!$Q$39/2.205)*(VLOOKUP(D117,$B$3:$D$75,3,FALSE)-972.6))/90704,"")</f>
        <v>25.560273000833192</v>
      </c>
      <c r="K117" t="s">
        <v>23394</v>
      </c>
      <c r="L117" t="str">
        <f>IF('Load Plan '!$Q$46="None",K117&amp;'Load Plan '!$Q$53,K117&amp;'Load Plan '!$Q$46)</f>
        <v>HOLD 43LD-8</v>
      </c>
      <c r="M117" s="4">
        <f>IFERROR(IF(RIGHT(L117,2)="P6",((('Load Plan '!$Q$59/2.205)*(VLOOKUP(L117,$B$79:$D$98,3,FALSE)-972.6)/90704)),((('Load Plan '!$Q$59/2.205)*(VLOOKUP(K117,$B$79:$D$98,3,FALSE)-972.6))/90704)),"")</f>
        <v>5.814581050859811</v>
      </c>
      <c r="Q117" s="5">
        <v>7001</v>
      </c>
      <c r="R117" s="5">
        <v>7500</v>
      </c>
      <c r="S117" s="5">
        <v>3401.3605442176868</v>
      </c>
      <c r="T117" s="5">
        <v>4261.363636363636</v>
      </c>
      <c r="U117" s="8">
        <v>-1.8</v>
      </c>
      <c r="X117" s="5"/>
      <c r="Y117" s="5">
        <f t="shared" si="2"/>
        <v>7001</v>
      </c>
      <c r="Z117" s="392">
        <v>7500</v>
      </c>
      <c r="AA117" s="5">
        <f t="shared" si="0"/>
        <v>3401.3605442176868</v>
      </c>
      <c r="AB117" s="5">
        <f t="shared" si="1"/>
        <v>4261.363636363636</v>
      </c>
      <c r="AC117" s="8">
        <v>-1.8</v>
      </c>
    </row>
    <row r="118" spans="2:29" x14ac:dyDescent="0.35">
      <c r="B118" t="str">
        <f>IF(C118="A","",D118)</f>
        <v/>
      </c>
      <c r="C118" t="str">
        <f>'Load Plan '!$R$16</f>
        <v>A</v>
      </c>
      <c r="D118" t="str">
        <f>'Load Plan '!$R$17</f>
        <v xml:space="preserve"> </v>
      </c>
      <c r="E118" s="4" t="str">
        <f>IFERROR((('Load Plan '!$R$39/2.205)*(VLOOKUP(D118,$B$3:$D$75,3,FALSE)-972.6))/90704,"")</f>
        <v/>
      </c>
      <c r="K118" t="s">
        <v>105</v>
      </c>
      <c r="M118" s="4">
        <f>IFERROR(IF(RIGHT(L118,2)="P6",((('Load Plan '!$R$59/2.205)*(VLOOKUP(L118,$B$79:$D$98,3,FALSE)-972.6)/90704)),((('Load Plan '!$R$59/2.205)*(VLOOKUP(K118,$B$79:$D$98,3,FALSE)-972.6))/90704)),"")</f>
        <v>0</v>
      </c>
      <c r="Q118" s="5">
        <v>7501</v>
      </c>
      <c r="R118" s="5">
        <v>8000</v>
      </c>
      <c r="S118" s="5">
        <v>3628.1179138321995</v>
      </c>
      <c r="T118" s="5">
        <v>4545.454545454545</v>
      </c>
      <c r="U118" s="8">
        <v>-1.9</v>
      </c>
      <c r="X118" s="5"/>
      <c r="Y118" s="5">
        <f t="shared" si="2"/>
        <v>7501</v>
      </c>
      <c r="Z118" s="392">
        <v>8000</v>
      </c>
      <c r="AA118" s="5">
        <f t="shared" si="0"/>
        <v>3628.1179138321995</v>
      </c>
      <c r="AB118" s="5">
        <f t="shared" si="1"/>
        <v>4545.454545454545</v>
      </c>
      <c r="AC118" s="8">
        <v>-1.9</v>
      </c>
    </row>
    <row r="119" spans="2:29" x14ac:dyDescent="0.35">
      <c r="B119" t="str">
        <f>IF(C119="A","A13",D119)</f>
        <v>A13</v>
      </c>
      <c r="C119" t="str">
        <f>'Load Plan '!$S$16</f>
        <v>A</v>
      </c>
      <c r="D119" t="str">
        <f>'Load Plan '!$S$17</f>
        <v>A13</v>
      </c>
      <c r="E119" s="4">
        <f>IFERROR((('Load Plan '!$S$39/2.205)*(VLOOKUP(D119,$B$3:$D$75,3,FALSE)-972.6))/90704,"")</f>
        <v>11.299814422152703</v>
      </c>
      <c r="Q119" s="5">
        <v>8001</v>
      </c>
      <c r="R119" s="5">
        <v>8500</v>
      </c>
      <c r="S119" s="5">
        <v>3854.8752834467118</v>
      </c>
      <c r="T119" s="5">
        <v>4829.545454545455</v>
      </c>
      <c r="U119" s="8">
        <v>-2</v>
      </c>
      <c r="X119" s="5"/>
      <c r="Y119" s="5">
        <f t="shared" si="2"/>
        <v>8001</v>
      </c>
      <c r="Z119" s="392">
        <v>8500</v>
      </c>
      <c r="AA119" s="5">
        <f t="shared" si="0"/>
        <v>3854.8752834467118</v>
      </c>
      <c r="AB119" s="5">
        <f t="shared" si="1"/>
        <v>4829.545454545455</v>
      </c>
      <c r="AC119" s="8">
        <v>-2</v>
      </c>
    </row>
    <row r="120" spans="2:29" x14ac:dyDescent="0.35">
      <c r="E120" s="4">
        <f>ROUND(SUM($E$103:$E$119),2)</f>
        <v>14.28</v>
      </c>
      <c r="F120" s="4"/>
      <c r="M120" s="6">
        <f>ROUND(SUM($M$103:$M$118),2)</f>
        <v>13.11</v>
      </c>
      <c r="N120" s="6"/>
      <c r="Q120" s="5">
        <v>8501</v>
      </c>
      <c r="R120" s="5">
        <v>9000</v>
      </c>
      <c r="S120" s="5">
        <v>4081.6326530612246</v>
      </c>
      <c r="T120" s="5">
        <v>5113.636363636364</v>
      </c>
      <c r="U120" s="8">
        <v>-2.1</v>
      </c>
      <c r="X120" s="5"/>
      <c r="Y120" s="5">
        <f t="shared" si="2"/>
        <v>8501</v>
      </c>
      <c r="Z120" s="392">
        <v>9000</v>
      </c>
      <c r="AA120" s="5">
        <f t="shared" si="0"/>
        <v>4081.6326530612246</v>
      </c>
      <c r="AB120" s="5">
        <f t="shared" si="1"/>
        <v>5113.636363636364</v>
      </c>
      <c r="AC120" s="8">
        <v>-2.1</v>
      </c>
    </row>
    <row r="121" spans="2:29" x14ac:dyDescent="0.35">
      <c r="Q121" s="5">
        <v>9001</v>
      </c>
      <c r="R121" s="5">
        <v>9500</v>
      </c>
      <c r="S121" s="5">
        <v>4308.3900226757369</v>
      </c>
      <c r="T121" s="5">
        <v>5397.727272727273</v>
      </c>
      <c r="U121" s="8">
        <v>-2.2000000000000002</v>
      </c>
      <c r="X121" s="5"/>
      <c r="Y121" s="5">
        <f t="shared" si="2"/>
        <v>9001</v>
      </c>
      <c r="Z121" s="392">
        <v>9500</v>
      </c>
      <c r="AA121" s="5">
        <f t="shared" si="0"/>
        <v>4308.3900226757369</v>
      </c>
      <c r="AB121" s="5">
        <f t="shared" si="1"/>
        <v>5397.727272727273</v>
      </c>
      <c r="AC121" s="8">
        <v>-2.2000000000000002</v>
      </c>
    </row>
    <row r="122" spans="2:29" x14ac:dyDescent="0.35">
      <c r="B122" t="s">
        <v>23398</v>
      </c>
      <c r="C122" s="4">
        <f>ROUND(SUM($E$120,$M$120),2)</f>
        <v>27.39</v>
      </c>
      <c r="Q122" s="5">
        <v>9501</v>
      </c>
      <c r="R122" s="5">
        <v>10000</v>
      </c>
      <c r="S122" s="5">
        <v>4535.1473922902496</v>
      </c>
      <c r="T122" s="5">
        <v>5681.818181818182</v>
      </c>
      <c r="U122" s="8">
        <v>-2.2999999999999998</v>
      </c>
      <c r="X122" s="5"/>
      <c r="Y122" s="5">
        <f t="shared" si="2"/>
        <v>9501</v>
      </c>
      <c r="Z122" s="392">
        <v>10000</v>
      </c>
      <c r="AA122" s="5">
        <f t="shared" si="0"/>
        <v>4535.1473922902496</v>
      </c>
      <c r="AB122" s="5">
        <f t="shared" si="1"/>
        <v>5681.818181818182</v>
      </c>
      <c r="AC122" s="8">
        <v>-2.2999999999999998</v>
      </c>
    </row>
    <row r="123" spans="2:29" x14ac:dyDescent="0.35">
      <c r="Q123" s="5">
        <v>10001</v>
      </c>
      <c r="R123" s="5">
        <v>10500</v>
      </c>
      <c r="S123" s="5">
        <v>4761.9047619047615</v>
      </c>
      <c r="T123" s="5">
        <v>5965.909090909091</v>
      </c>
      <c r="U123" s="8">
        <v>-2.4</v>
      </c>
      <c r="X123" s="5"/>
      <c r="Y123" s="5">
        <f t="shared" si="2"/>
        <v>10001</v>
      </c>
      <c r="Z123" s="392">
        <v>10500</v>
      </c>
      <c r="AA123" s="5">
        <f t="shared" si="0"/>
        <v>4761.9047619047615</v>
      </c>
      <c r="AB123" s="5">
        <f t="shared" si="1"/>
        <v>5965.909090909091</v>
      </c>
      <c r="AC123" s="8">
        <v>-2.4</v>
      </c>
    </row>
    <row r="124" spans="2:29" x14ac:dyDescent="0.35">
      <c r="Q124" s="5">
        <v>10501</v>
      </c>
      <c r="R124" s="5">
        <v>11000</v>
      </c>
      <c r="S124" s="5">
        <v>4988.6621315192742</v>
      </c>
      <c r="T124" s="5">
        <v>6250</v>
      </c>
      <c r="U124" s="8">
        <v>-2.5</v>
      </c>
      <c r="X124" s="5"/>
      <c r="Y124" s="5">
        <f t="shared" si="2"/>
        <v>10501</v>
      </c>
      <c r="Z124" s="392">
        <v>11000</v>
      </c>
      <c r="AA124" s="5">
        <f t="shared" si="0"/>
        <v>4988.6621315192742</v>
      </c>
      <c r="AB124" s="5">
        <f t="shared" si="1"/>
        <v>6250</v>
      </c>
      <c r="AC124" s="8">
        <v>-2.5</v>
      </c>
    </row>
    <row r="125" spans="2:29" x14ac:dyDescent="0.35">
      <c r="Q125" s="5">
        <v>11001</v>
      </c>
      <c r="R125" s="5">
        <v>11500</v>
      </c>
      <c r="S125" s="5">
        <v>5215.419501133787</v>
      </c>
      <c r="T125" s="5">
        <v>6534.090909090909</v>
      </c>
      <c r="U125" s="8">
        <v>-2.6</v>
      </c>
      <c r="X125" s="5"/>
      <c r="Y125" s="5">
        <f t="shared" si="2"/>
        <v>11001</v>
      </c>
      <c r="Z125" s="392">
        <v>11500</v>
      </c>
      <c r="AA125" s="5">
        <f t="shared" si="0"/>
        <v>5215.419501133787</v>
      </c>
      <c r="AB125" s="5">
        <f t="shared" si="1"/>
        <v>6534.090909090909</v>
      </c>
      <c r="AC125" s="8">
        <v>-2.6</v>
      </c>
    </row>
    <row r="126" spans="2:29" x14ac:dyDescent="0.35">
      <c r="Q126" s="5">
        <v>11501</v>
      </c>
      <c r="R126" s="5">
        <v>12000</v>
      </c>
      <c r="S126" s="5">
        <v>5442.1768707482988</v>
      </c>
      <c r="T126" s="5">
        <v>6818.181818181818</v>
      </c>
      <c r="U126" s="8">
        <v>-2.7</v>
      </c>
      <c r="X126" s="5"/>
      <c r="Y126" s="5">
        <f t="shared" si="2"/>
        <v>11501</v>
      </c>
      <c r="Z126" s="392">
        <v>12000</v>
      </c>
      <c r="AA126" s="5">
        <f t="shared" si="0"/>
        <v>5442.1768707482988</v>
      </c>
      <c r="AB126" s="5">
        <f t="shared" si="1"/>
        <v>6818.181818181818</v>
      </c>
      <c r="AC126" s="8">
        <v>-2.7</v>
      </c>
    </row>
    <row r="127" spans="2:29" x14ac:dyDescent="0.35">
      <c r="Q127" s="5">
        <v>12001</v>
      </c>
      <c r="R127" s="5">
        <v>12500</v>
      </c>
      <c r="S127" s="5">
        <v>5668.9342403628116</v>
      </c>
      <c r="T127" s="5">
        <v>7102.272727272727</v>
      </c>
      <c r="U127" s="8">
        <v>-2.7749999999999999</v>
      </c>
      <c r="X127" s="5"/>
      <c r="Y127" s="5">
        <f t="shared" si="2"/>
        <v>12001</v>
      </c>
      <c r="Z127" s="392">
        <v>12500</v>
      </c>
      <c r="AA127" s="5">
        <f t="shared" si="0"/>
        <v>5668.9342403628116</v>
      </c>
      <c r="AB127" s="5">
        <f t="shared" si="1"/>
        <v>7102.272727272727</v>
      </c>
      <c r="AC127" s="8">
        <v>-2.7749999999999999</v>
      </c>
    </row>
    <row r="128" spans="2:29" x14ac:dyDescent="0.35">
      <c r="Q128" s="5">
        <v>12501</v>
      </c>
      <c r="R128" s="5">
        <v>13000</v>
      </c>
      <c r="S128" s="5">
        <v>5895.6916099773243</v>
      </c>
      <c r="T128" s="5">
        <v>7386.363636363636</v>
      </c>
      <c r="U128" s="8">
        <v>-2.85</v>
      </c>
      <c r="X128" s="5"/>
      <c r="Y128" s="5">
        <f t="shared" si="2"/>
        <v>12501</v>
      </c>
      <c r="Z128" s="392">
        <v>13000</v>
      </c>
      <c r="AA128" s="5">
        <f t="shared" si="0"/>
        <v>5895.6916099773243</v>
      </c>
      <c r="AB128" s="5">
        <f t="shared" si="1"/>
        <v>7386.363636363636</v>
      </c>
      <c r="AC128" s="8">
        <v>-2.85</v>
      </c>
    </row>
    <row r="129" spans="8:29" x14ac:dyDescent="0.35">
      <c r="Q129" s="5">
        <v>13001</v>
      </c>
      <c r="R129" s="5">
        <v>13500</v>
      </c>
      <c r="S129" s="5">
        <v>6122.4489795918362</v>
      </c>
      <c r="T129" s="5">
        <v>7670.454545454545</v>
      </c>
      <c r="U129" s="8">
        <v>-2.9249999999999998</v>
      </c>
      <c r="X129" s="5"/>
      <c r="Y129" s="5">
        <f t="shared" si="2"/>
        <v>13001</v>
      </c>
      <c r="Z129" s="392">
        <v>13500</v>
      </c>
      <c r="AA129" s="5">
        <f t="shared" si="0"/>
        <v>6122.4489795918362</v>
      </c>
      <c r="AB129" s="5">
        <f t="shared" si="1"/>
        <v>7670.454545454545</v>
      </c>
      <c r="AC129" s="8">
        <v>-2.9249999999999998</v>
      </c>
    </row>
    <row r="130" spans="8:29" x14ac:dyDescent="0.35">
      <c r="Q130" s="5">
        <v>13501</v>
      </c>
      <c r="R130" s="5">
        <v>14000</v>
      </c>
      <c r="S130" s="5">
        <v>6349.2063492063489</v>
      </c>
      <c r="T130" s="5">
        <v>7954.545454545455</v>
      </c>
      <c r="U130" s="8">
        <v>-3</v>
      </c>
      <c r="X130" s="5"/>
      <c r="Y130" s="5">
        <f t="shared" si="2"/>
        <v>13501</v>
      </c>
      <c r="Z130" s="392">
        <v>14000</v>
      </c>
      <c r="AA130" s="5">
        <f t="shared" si="0"/>
        <v>6349.2063492063489</v>
      </c>
      <c r="AB130" s="5">
        <f t="shared" si="1"/>
        <v>7954.545454545455</v>
      </c>
      <c r="AC130" s="8">
        <v>-3</v>
      </c>
    </row>
    <row r="131" spans="8:29" x14ac:dyDescent="0.35">
      <c r="Q131" s="5">
        <v>14001</v>
      </c>
      <c r="R131" s="5">
        <v>14500</v>
      </c>
      <c r="S131" s="5">
        <v>6575.9637188208617</v>
      </c>
      <c r="T131" s="5">
        <v>8238.636363636364</v>
      </c>
      <c r="U131" s="8">
        <v>-3.0750000000000002</v>
      </c>
      <c r="X131" s="5"/>
      <c r="Y131" s="5">
        <f t="shared" si="2"/>
        <v>14001</v>
      </c>
      <c r="Z131" s="392">
        <v>14500</v>
      </c>
      <c r="AA131" s="5">
        <f t="shared" si="0"/>
        <v>6575.9637188208617</v>
      </c>
      <c r="AB131" s="5">
        <f t="shared" si="1"/>
        <v>8238.636363636364</v>
      </c>
      <c r="AC131" s="8">
        <v>-3.0750000000000002</v>
      </c>
    </row>
    <row r="132" spans="8:29" x14ac:dyDescent="0.35">
      <c r="H132" s="7"/>
      <c r="Q132" s="5">
        <v>14501</v>
      </c>
      <c r="R132" s="5">
        <v>15000</v>
      </c>
      <c r="S132" s="5">
        <v>6802.7210884353735</v>
      </c>
      <c r="T132" s="5">
        <v>8522.7272727272721</v>
      </c>
      <c r="U132" s="8">
        <v>-3.15</v>
      </c>
      <c r="X132" s="5"/>
      <c r="Y132" s="5">
        <f t="shared" si="2"/>
        <v>14501</v>
      </c>
      <c r="Z132" s="392">
        <v>15000</v>
      </c>
      <c r="AA132" s="5">
        <f t="shared" si="0"/>
        <v>6802.7210884353735</v>
      </c>
      <c r="AB132" s="5">
        <f t="shared" si="1"/>
        <v>8522.7272727272721</v>
      </c>
      <c r="AC132" s="8">
        <v>-3.15</v>
      </c>
    </row>
    <row r="133" spans="8:29" x14ac:dyDescent="0.35">
      <c r="Q133" s="5">
        <v>15001</v>
      </c>
      <c r="R133" s="5">
        <v>15500</v>
      </c>
      <c r="S133" s="5">
        <v>7029.4784580498863</v>
      </c>
      <c r="T133" s="5">
        <v>8806.818181818182</v>
      </c>
      <c r="U133" s="8">
        <v>-3.2250000000000001</v>
      </c>
      <c r="X133" s="5"/>
      <c r="Y133" s="5">
        <f t="shared" si="2"/>
        <v>15001</v>
      </c>
      <c r="Z133" s="392">
        <v>15500</v>
      </c>
      <c r="AA133" s="5">
        <f t="shared" si="0"/>
        <v>7029.4784580498863</v>
      </c>
      <c r="AB133" s="5">
        <f t="shared" si="1"/>
        <v>8806.818181818182</v>
      </c>
      <c r="AC133" s="8">
        <v>-3.2250000000000001</v>
      </c>
    </row>
    <row r="134" spans="8:29" x14ac:dyDescent="0.35">
      <c r="Q134" s="5">
        <v>15501</v>
      </c>
      <c r="R134" s="5">
        <v>16000</v>
      </c>
      <c r="S134" s="5">
        <v>7256.235827664399</v>
      </c>
      <c r="T134" s="5">
        <v>9090.9090909090901</v>
      </c>
      <c r="U134" s="8">
        <v>-3.3</v>
      </c>
      <c r="X134" s="5"/>
      <c r="Y134" s="5">
        <f t="shared" si="2"/>
        <v>15501</v>
      </c>
      <c r="Z134" s="392">
        <v>16000</v>
      </c>
      <c r="AA134" s="5">
        <f t="shared" si="0"/>
        <v>7256.235827664399</v>
      </c>
      <c r="AB134" s="5">
        <f t="shared" si="1"/>
        <v>9090.9090909090901</v>
      </c>
      <c r="AC134" s="8">
        <v>-3.3</v>
      </c>
    </row>
    <row r="135" spans="8:29" x14ac:dyDescent="0.35">
      <c r="Q135" s="5">
        <v>16001</v>
      </c>
      <c r="R135" s="5">
        <v>16500</v>
      </c>
      <c r="S135" s="5">
        <v>7482.9931972789109</v>
      </c>
      <c r="T135" s="5">
        <v>9375</v>
      </c>
      <c r="U135" s="8">
        <v>-3.375</v>
      </c>
      <c r="X135" s="5"/>
      <c r="Y135" s="5">
        <f t="shared" si="2"/>
        <v>16001</v>
      </c>
      <c r="Z135" s="392">
        <v>16500</v>
      </c>
      <c r="AA135" s="5">
        <f t="shared" si="0"/>
        <v>7482.9931972789109</v>
      </c>
      <c r="AB135" s="5">
        <f t="shared" si="1"/>
        <v>9375</v>
      </c>
      <c r="AC135" s="8">
        <v>-3.375</v>
      </c>
    </row>
    <row r="136" spans="8:29" x14ac:dyDescent="0.35">
      <c r="Q136" s="5">
        <v>16501</v>
      </c>
      <c r="R136" s="5">
        <v>17000</v>
      </c>
      <c r="S136" s="5">
        <v>7709.7505668934236</v>
      </c>
      <c r="T136" s="5">
        <v>9659.0909090909099</v>
      </c>
      <c r="U136" s="8">
        <v>-3.45</v>
      </c>
      <c r="X136" s="5"/>
      <c r="Y136" s="5">
        <f t="shared" si="2"/>
        <v>16501</v>
      </c>
      <c r="Z136" s="392">
        <v>17000</v>
      </c>
      <c r="AA136" s="5">
        <f t="shared" si="0"/>
        <v>7709.7505668934236</v>
      </c>
      <c r="AB136" s="5">
        <f t="shared" si="1"/>
        <v>9659.0909090909099</v>
      </c>
      <c r="AC136" s="8">
        <v>-3.45</v>
      </c>
    </row>
    <row r="137" spans="8:29" x14ac:dyDescent="0.35">
      <c r="Q137" s="5">
        <v>17001</v>
      </c>
      <c r="R137" s="5">
        <v>17500</v>
      </c>
      <c r="S137" s="5">
        <v>7936.5079365079364</v>
      </c>
      <c r="T137" s="5">
        <v>9943.181818181818</v>
      </c>
      <c r="U137" s="8">
        <v>-3.5249999999999999</v>
      </c>
      <c r="X137" s="5"/>
      <c r="Y137" s="5">
        <f t="shared" si="2"/>
        <v>17001</v>
      </c>
      <c r="Z137" s="392">
        <v>17500</v>
      </c>
      <c r="AA137" s="5">
        <f t="shared" si="0"/>
        <v>7936.5079365079364</v>
      </c>
      <c r="AB137" s="5">
        <f t="shared" si="1"/>
        <v>9943.181818181818</v>
      </c>
      <c r="AC137" s="8">
        <v>-3.5249999999999999</v>
      </c>
    </row>
    <row r="138" spans="8:29" x14ac:dyDescent="0.35">
      <c r="Q138" s="5">
        <v>17501</v>
      </c>
      <c r="R138" s="5">
        <v>18000</v>
      </c>
      <c r="S138" s="5">
        <v>8163.2653061224491</v>
      </c>
      <c r="T138" s="5">
        <v>10227.272727272728</v>
      </c>
      <c r="U138" s="8">
        <v>-3.6</v>
      </c>
      <c r="X138" s="5"/>
      <c r="Y138" s="5">
        <f t="shared" si="2"/>
        <v>17501</v>
      </c>
      <c r="Z138" s="392">
        <v>18000</v>
      </c>
      <c r="AA138" s="5">
        <f t="shared" si="0"/>
        <v>8163.2653061224491</v>
      </c>
      <c r="AB138" s="5">
        <f t="shared" si="1"/>
        <v>10227.272727272728</v>
      </c>
      <c r="AC138" s="8">
        <v>-3.6</v>
      </c>
    </row>
    <row r="139" spans="8:29" x14ac:dyDescent="0.35">
      <c r="Q139" s="5">
        <v>18001</v>
      </c>
      <c r="R139" s="5">
        <v>18500</v>
      </c>
      <c r="S139" s="5">
        <v>8390.0226757369619</v>
      </c>
      <c r="T139" s="5">
        <v>10511.363636363636</v>
      </c>
      <c r="U139" s="8">
        <v>-3.6749999999999998</v>
      </c>
      <c r="X139" s="5"/>
      <c r="Y139" s="5">
        <f t="shared" si="2"/>
        <v>18001</v>
      </c>
      <c r="Z139" s="392">
        <v>18500</v>
      </c>
      <c r="AA139" s="5">
        <f t="shared" si="0"/>
        <v>8390.0226757369619</v>
      </c>
      <c r="AB139" s="5">
        <f t="shared" si="1"/>
        <v>10511.363636363636</v>
      </c>
      <c r="AC139" s="8">
        <v>-3.6749999999999998</v>
      </c>
    </row>
    <row r="140" spans="8:29" x14ac:dyDescent="0.35">
      <c r="Q140" s="5">
        <v>18501</v>
      </c>
      <c r="R140" s="5">
        <v>19000</v>
      </c>
      <c r="S140" s="5">
        <v>8616.7800453514737</v>
      </c>
      <c r="T140" s="5">
        <v>10795.454545454546</v>
      </c>
      <c r="U140" s="8">
        <v>-3.75</v>
      </c>
      <c r="X140" s="5"/>
      <c r="Y140" s="5">
        <f t="shared" si="2"/>
        <v>18501</v>
      </c>
      <c r="Z140" s="392">
        <v>19000</v>
      </c>
      <c r="AA140" s="5">
        <f t="shared" si="0"/>
        <v>8616.7800453514737</v>
      </c>
      <c r="AB140" s="5">
        <f t="shared" si="1"/>
        <v>10795.454545454546</v>
      </c>
      <c r="AC140" s="8">
        <v>-3.75</v>
      </c>
    </row>
    <row r="141" spans="8:29" x14ac:dyDescent="0.35">
      <c r="Q141" s="5">
        <v>19001</v>
      </c>
      <c r="R141" s="5">
        <v>19500</v>
      </c>
      <c r="S141" s="5">
        <v>8843.5374149659856</v>
      </c>
      <c r="T141" s="5">
        <v>11079.545454545454</v>
      </c>
      <c r="U141" s="8">
        <v>-3.8250000000000002</v>
      </c>
      <c r="X141" s="5"/>
      <c r="Y141" s="5">
        <f t="shared" si="2"/>
        <v>19001</v>
      </c>
      <c r="Z141" s="392">
        <v>19500</v>
      </c>
      <c r="AA141" s="5">
        <f t="shared" si="0"/>
        <v>8843.5374149659856</v>
      </c>
      <c r="AB141" s="5">
        <f t="shared" si="1"/>
        <v>11079.545454545454</v>
      </c>
      <c r="AC141" s="8">
        <v>-3.8250000000000002</v>
      </c>
    </row>
    <row r="142" spans="8:29" x14ac:dyDescent="0.35">
      <c r="Q142" s="5">
        <v>19501</v>
      </c>
      <c r="R142" s="5">
        <v>20000</v>
      </c>
      <c r="S142" s="5">
        <v>9070.2947845804993</v>
      </c>
      <c r="T142" s="5">
        <v>11363.636363636364</v>
      </c>
      <c r="U142" s="8">
        <v>-3.9</v>
      </c>
      <c r="X142" s="5"/>
      <c r="Y142" s="5">
        <f t="shared" si="2"/>
        <v>19501</v>
      </c>
      <c r="Z142" s="392">
        <v>20000</v>
      </c>
      <c r="AA142" s="5">
        <f t="shared" si="0"/>
        <v>9070.2947845804993</v>
      </c>
      <c r="AB142" s="5">
        <f t="shared" si="1"/>
        <v>11363.636363636364</v>
      </c>
      <c r="AC142" s="8">
        <v>-3.9</v>
      </c>
    </row>
    <row r="143" spans="8:29" x14ac:dyDescent="0.35">
      <c r="Q143" s="5">
        <v>20001</v>
      </c>
      <c r="R143" s="5">
        <v>20500</v>
      </c>
      <c r="S143" s="5">
        <v>9297.0521541950111</v>
      </c>
      <c r="T143" s="5">
        <v>11647.727272727272</v>
      </c>
      <c r="U143" s="8">
        <v>-3.95</v>
      </c>
      <c r="X143" s="5"/>
      <c r="Y143" s="5">
        <f t="shared" si="2"/>
        <v>20001</v>
      </c>
      <c r="Z143" s="392">
        <v>20500</v>
      </c>
      <c r="AA143" s="5">
        <f t="shared" si="0"/>
        <v>9297.0521541950111</v>
      </c>
      <c r="AB143" s="5">
        <f t="shared" si="1"/>
        <v>11647.727272727272</v>
      </c>
      <c r="AC143" s="8">
        <v>-3.95</v>
      </c>
    </row>
    <row r="144" spans="8:29" x14ac:dyDescent="0.35">
      <c r="Q144" s="5">
        <v>20501</v>
      </c>
      <c r="R144" s="5">
        <v>21000</v>
      </c>
      <c r="S144" s="5">
        <v>9523.8095238095229</v>
      </c>
      <c r="T144" s="5">
        <v>11931.818181818182</v>
      </c>
      <c r="U144" s="8">
        <v>-4</v>
      </c>
      <c r="X144" s="5"/>
      <c r="Y144" s="5">
        <f t="shared" si="2"/>
        <v>20501</v>
      </c>
      <c r="Z144" s="392">
        <v>21000</v>
      </c>
      <c r="AA144" s="5">
        <f t="shared" si="0"/>
        <v>9523.8095238095229</v>
      </c>
      <c r="AB144" s="5">
        <f t="shared" si="1"/>
        <v>11931.818181818182</v>
      </c>
      <c r="AC144" s="8">
        <v>-4</v>
      </c>
    </row>
    <row r="145" spans="17:29" x14ac:dyDescent="0.35">
      <c r="Q145" s="5">
        <v>21001</v>
      </c>
      <c r="R145" s="5">
        <v>21500</v>
      </c>
      <c r="S145" s="5">
        <v>9750.5668934240366</v>
      </c>
      <c r="T145" s="5">
        <v>12215.90909090909</v>
      </c>
      <c r="U145" s="8">
        <v>-4.05</v>
      </c>
      <c r="X145" s="5"/>
      <c r="Y145" s="5">
        <f t="shared" si="2"/>
        <v>21001</v>
      </c>
      <c r="Z145" s="393">
        <v>21500</v>
      </c>
      <c r="AA145" s="5">
        <f t="shared" si="0"/>
        <v>9750.5668934240366</v>
      </c>
      <c r="AB145" s="5">
        <f t="shared" si="1"/>
        <v>12215.90909090909</v>
      </c>
      <c r="AC145" s="8">
        <v>-4.05</v>
      </c>
    </row>
    <row r="146" spans="17:29" x14ac:dyDescent="0.35">
      <c r="Q146" s="5">
        <v>21501</v>
      </c>
      <c r="R146" s="5">
        <v>22000</v>
      </c>
      <c r="S146" s="5">
        <v>9977.3242630385485</v>
      </c>
      <c r="T146" s="5">
        <v>12500</v>
      </c>
      <c r="U146" s="8">
        <v>-4.0999999999999996</v>
      </c>
      <c r="X146" s="5"/>
      <c r="Y146" s="5">
        <f t="shared" si="2"/>
        <v>21501</v>
      </c>
      <c r="Z146" s="392">
        <v>22000</v>
      </c>
      <c r="AA146" s="5">
        <f t="shared" si="0"/>
        <v>9977.3242630385485</v>
      </c>
      <c r="AB146" s="5">
        <f t="shared" si="1"/>
        <v>12500</v>
      </c>
      <c r="AC146" s="8">
        <v>-4.0999999999999996</v>
      </c>
    </row>
    <row r="147" spans="17:29" x14ac:dyDescent="0.35">
      <c r="Q147" s="5">
        <v>22001</v>
      </c>
      <c r="R147" s="5">
        <v>22500</v>
      </c>
      <c r="S147" s="5">
        <v>10204.08163265306</v>
      </c>
      <c r="T147" s="5">
        <v>12784.09090909091</v>
      </c>
      <c r="U147" s="8">
        <v>-4.1500000000000004</v>
      </c>
      <c r="X147" s="5"/>
      <c r="Y147" s="5">
        <f t="shared" si="2"/>
        <v>22001</v>
      </c>
      <c r="Z147" s="392">
        <v>22500</v>
      </c>
      <c r="AA147" s="5">
        <f t="shared" si="0"/>
        <v>10204.08163265306</v>
      </c>
      <c r="AB147" s="5">
        <f t="shared" si="1"/>
        <v>12784.09090909091</v>
      </c>
      <c r="AC147" s="8">
        <v>-4.1500000000000004</v>
      </c>
    </row>
    <row r="148" spans="17:29" x14ac:dyDescent="0.35">
      <c r="Q148" s="5">
        <v>22501</v>
      </c>
      <c r="R148" s="5">
        <v>23000</v>
      </c>
      <c r="S148" s="5">
        <v>10430.839002267574</v>
      </c>
      <c r="T148" s="5">
        <v>13068.181818181818</v>
      </c>
      <c r="U148" s="8">
        <v>-4.2</v>
      </c>
      <c r="X148" s="5"/>
      <c r="Y148" s="5">
        <f t="shared" si="2"/>
        <v>22501</v>
      </c>
      <c r="Z148" s="392">
        <v>23000</v>
      </c>
      <c r="AA148" s="5">
        <f t="shared" si="0"/>
        <v>10430.839002267574</v>
      </c>
      <c r="AB148" s="5">
        <f t="shared" si="1"/>
        <v>13068.181818181818</v>
      </c>
      <c r="AC148" s="8">
        <v>-4.2</v>
      </c>
    </row>
    <row r="149" spans="17:29" x14ac:dyDescent="0.35">
      <c r="Q149" s="5">
        <v>23001</v>
      </c>
      <c r="R149" s="5">
        <v>23500</v>
      </c>
      <c r="S149" s="5">
        <v>10657.596371882086</v>
      </c>
      <c r="T149" s="5">
        <v>13352.272727272728</v>
      </c>
      <c r="U149" s="8">
        <v>-4.25</v>
      </c>
      <c r="X149" s="5"/>
      <c r="Y149" s="5">
        <f t="shared" si="2"/>
        <v>23001</v>
      </c>
      <c r="Z149" s="392">
        <v>23500</v>
      </c>
      <c r="AA149" s="5">
        <f t="shared" si="0"/>
        <v>10657.596371882086</v>
      </c>
      <c r="AB149" s="5">
        <f t="shared" si="1"/>
        <v>13352.272727272728</v>
      </c>
      <c r="AC149" s="8">
        <v>-4.25</v>
      </c>
    </row>
    <row r="150" spans="17:29" x14ac:dyDescent="0.35">
      <c r="Q150" s="5">
        <v>23501</v>
      </c>
      <c r="R150" s="5">
        <v>24000</v>
      </c>
      <c r="S150" s="5">
        <v>10884.353741496598</v>
      </c>
      <c r="T150" s="5">
        <v>13636.363636363636</v>
      </c>
      <c r="U150" s="8">
        <v>-4.3</v>
      </c>
      <c r="X150" s="5"/>
      <c r="Y150" s="5">
        <f t="shared" si="2"/>
        <v>23501</v>
      </c>
      <c r="Z150" s="392">
        <v>24000</v>
      </c>
      <c r="AA150" s="5">
        <f t="shared" si="0"/>
        <v>10884.353741496598</v>
      </c>
      <c r="AB150" s="5">
        <f t="shared" si="1"/>
        <v>13636.363636363636</v>
      </c>
      <c r="AC150" s="8">
        <v>-4.3</v>
      </c>
    </row>
    <row r="151" spans="17:29" x14ac:dyDescent="0.35">
      <c r="Q151" s="5">
        <v>24001</v>
      </c>
      <c r="R151" s="5">
        <v>24500</v>
      </c>
      <c r="S151" s="5">
        <v>11111.111111111111</v>
      </c>
      <c r="T151" s="5">
        <v>13920.454545454546</v>
      </c>
      <c r="U151" s="8">
        <v>-4.3499999999999996</v>
      </c>
      <c r="X151" s="5"/>
      <c r="Y151" s="5">
        <f t="shared" si="2"/>
        <v>24001</v>
      </c>
      <c r="Z151" s="392">
        <v>24500</v>
      </c>
      <c r="AA151" s="5">
        <f t="shared" si="0"/>
        <v>11111.111111111111</v>
      </c>
      <c r="AB151" s="5">
        <f t="shared" si="1"/>
        <v>13920.454545454546</v>
      </c>
      <c r="AC151" s="8">
        <v>-4.3499999999999996</v>
      </c>
    </row>
    <row r="152" spans="17:29" x14ac:dyDescent="0.35">
      <c r="Q152" s="5">
        <v>24501</v>
      </c>
      <c r="R152" s="5">
        <v>25000</v>
      </c>
      <c r="S152" s="5">
        <v>11337.868480725623</v>
      </c>
      <c r="T152" s="5">
        <v>14204.545454545454</v>
      </c>
      <c r="U152" s="8">
        <v>-4.4000000000000004</v>
      </c>
      <c r="X152" s="5"/>
      <c r="Y152" s="5">
        <f t="shared" si="2"/>
        <v>24501</v>
      </c>
      <c r="Z152" s="392">
        <v>25000</v>
      </c>
      <c r="AA152" s="5">
        <f t="shared" si="0"/>
        <v>11337.868480725623</v>
      </c>
      <c r="AB152" s="5">
        <f t="shared" si="1"/>
        <v>14204.545454545454</v>
      </c>
      <c r="AC152" s="8">
        <v>-4.4000000000000004</v>
      </c>
    </row>
    <row r="153" spans="17:29" x14ac:dyDescent="0.35">
      <c r="Q153" s="5">
        <v>25001</v>
      </c>
      <c r="R153" s="5">
        <v>25500</v>
      </c>
      <c r="S153" s="5">
        <v>11564.625850340135</v>
      </c>
      <c r="T153" s="5">
        <v>14488.636363636364</v>
      </c>
      <c r="U153" s="8">
        <v>-4.45</v>
      </c>
      <c r="X153" s="5"/>
      <c r="Y153" s="5">
        <f t="shared" si="2"/>
        <v>25001</v>
      </c>
      <c r="Z153" s="392">
        <v>25500</v>
      </c>
      <c r="AA153" s="5">
        <f t="shared" si="0"/>
        <v>11564.625850340135</v>
      </c>
      <c r="AB153" s="5">
        <f t="shared" si="1"/>
        <v>14488.636363636364</v>
      </c>
      <c r="AC153" s="8">
        <v>-4.45</v>
      </c>
    </row>
    <row r="154" spans="17:29" x14ac:dyDescent="0.35">
      <c r="Q154" s="5">
        <v>25501</v>
      </c>
      <c r="R154" s="5">
        <v>26000</v>
      </c>
      <c r="S154" s="5">
        <v>11791.383219954649</v>
      </c>
      <c r="T154" s="5">
        <v>14772.727272727272</v>
      </c>
      <c r="U154" s="8">
        <v>-4.5</v>
      </c>
      <c r="X154" s="5"/>
      <c r="Y154" s="5">
        <f t="shared" si="2"/>
        <v>25501</v>
      </c>
      <c r="Z154" s="392">
        <v>26000</v>
      </c>
      <c r="AA154" s="5">
        <f t="shared" si="0"/>
        <v>11791.383219954649</v>
      </c>
      <c r="AB154" s="5">
        <f t="shared" si="1"/>
        <v>14772.727272727272</v>
      </c>
      <c r="AC154" s="8">
        <v>-4.5</v>
      </c>
    </row>
    <row r="155" spans="17:29" x14ac:dyDescent="0.35">
      <c r="Q155" s="5">
        <v>26001</v>
      </c>
      <c r="R155" s="5">
        <v>26500</v>
      </c>
      <c r="S155" s="5">
        <v>12018.140589569161</v>
      </c>
      <c r="T155" s="5">
        <v>15056.818181818182</v>
      </c>
      <c r="U155" s="8">
        <v>-4.5250000000000004</v>
      </c>
      <c r="X155" s="5"/>
      <c r="Y155" s="5">
        <f t="shared" si="2"/>
        <v>26001</v>
      </c>
      <c r="Z155" s="392">
        <v>26500</v>
      </c>
      <c r="AA155" s="5">
        <f t="shared" si="0"/>
        <v>12018.140589569161</v>
      </c>
      <c r="AB155" s="5">
        <f t="shared" si="1"/>
        <v>15056.818181818182</v>
      </c>
      <c r="AC155" s="8">
        <v>-4.5250000000000004</v>
      </c>
    </row>
    <row r="156" spans="17:29" x14ac:dyDescent="0.35">
      <c r="Q156" s="5">
        <v>26501</v>
      </c>
      <c r="R156" s="5">
        <v>27000</v>
      </c>
      <c r="S156" s="5">
        <v>12244.897959183672</v>
      </c>
      <c r="T156" s="5">
        <v>15340.90909090909</v>
      </c>
      <c r="U156" s="8">
        <v>-4.55</v>
      </c>
      <c r="X156" s="5"/>
      <c r="Y156" s="5">
        <f t="shared" si="2"/>
        <v>26501</v>
      </c>
      <c r="Z156" s="392">
        <v>27000</v>
      </c>
      <c r="AA156" s="5">
        <f t="shared" si="0"/>
        <v>12244.897959183672</v>
      </c>
      <c r="AB156" s="5">
        <f t="shared" si="1"/>
        <v>15340.90909090909</v>
      </c>
      <c r="AC156" s="8">
        <v>-4.55</v>
      </c>
    </row>
    <row r="157" spans="17:29" x14ac:dyDescent="0.35">
      <c r="Q157" s="5">
        <v>27001</v>
      </c>
      <c r="R157" s="5">
        <v>27500</v>
      </c>
      <c r="S157" s="5">
        <v>12471.655328798186</v>
      </c>
      <c r="T157" s="5">
        <v>15625</v>
      </c>
      <c r="U157" s="8">
        <v>-4.5750000000000002</v>
      </c>
      <c r="X157" s="5"/>
      <c r="Y157" s="5">
        <f t="shared" si="2"/>
        <v>27001</v>
      </c>
      <c r="Z157" s="392">
        <v>27500</v>
      </c>
      <c r="AA157" s="5">
        <f t="shared" si="0"/>
        <v>12471.655328798186</v>
      </c>
      <c r="AB157" s="5">
        <f t="shared" si="1"/>
        <v>15625</v>
      </c>
      <c r="AC157" s="8">
        <v>-4.5750000000000002</v>
      </c>
    </row>
    <row r="158" spans="17:29" x14ac:dyDescent="0.35">
      <c r="Q158" s="5">
        <v>27501</v>
      </c>
      <c r="R158" s="5">
        <v>28000</v>
      </c>
      <c r="S158" s="5">
        <v>12698.412698412698</v>
      </c>
      <c r="T158" s="5">
        <v>15909.09090909091</v>
      </c>
      <c r="U158" s="8">
        <v>-4.5999999999999996</v>
      </c>
      <c r="X158" s="5"/>
      <c r="Y158" s="5">
        <f t="shared" si="2"/>
        <v>27501</v>
      </c>
      <c r="Z158" s="392">
        <v>28000</v>
      </c>
      <c r="AA158" s="5">
        <f t="shared" si="0"/>
        <v>12698.412698412698</v>
      </c>
      <c r="AB158" s="5">
        <f t="shared" si="1"/>
        <v>15909.09090909091</v>
      </c>
      <c r="AC158" s="8">
        <v>-4.5999999999999996</v>
      </c>
    </row>
    <row r="159" spans="17:29" x14ac:dyDescent="0.35">
      <c r="Q159" s="5">
        <v>28001</v>
      </c>
      <c r="R159" s="5">
        <v>28500</v>
      </c>
      <c r="S159" s="5">
        <v>12925.17006802721</v>
      </c>
      <c r="T159" s="5">
        <v>16193.181818181818</v>
      </c>
      <c r="U159" s="8">
        <v>-4.625</v>
      </c>
      <c r="X159" s="5"/>
      <c r="Y159" s="5">
        <f t="shared" si="2"/>
        <v>28001</v>
      </c>
      <c r="Z159" s="392">
        <v>28500</v>
      </c>
      <c r="AA159" s="5">
        <f t="shared" si="0"/>
        <v>12925.17006802721</v>
      </c>
      <c r="AB159" s="5">
        <f t="shared" si="1"/>
        <v>16193.181818181818</v>
      </c>
      <c r="AC159" s="8">
        <v>-4.625</v>
      </c>
    </row>
    <row r="160" spans="17:29" x14ac:dyDescent="0.35">
      <c r="Q160" s="5">
        <v>28501</v>
      </c>
      <c r="R160" s="5">
        <v>29000</v>
      </c>
      <c r="S160" s="5">
        <v>13151.927437641723</v>
      </c>
      <c r="T160" s="5">
        <v>16477.272727272728</v>
      </c>
      <c r="U160" s="8">
        <v>-4.6500000000000004</v>
      </c>
      <c r="X160" s="5"/>
      <c r="Y160" s="5">
        <f t="shared" si="2"/>
        <v>28501</v>
      </c>
      <c r="Z160" s="392">
        <v>29000</v>
      </c>
      <c r="AA160" s="5">
        <f t="shared" si="0"/>
        <v>13151.927437641723</v>
      </c>
      <c r="AB160" s="5">
        <f t="shared" si="1"/>
        <v>16477.272727272728</v>
      </c>
      <c r="AC160" s="8">
        <v>-4.6500000000000004</v>
      </c>
    </row>
    <row r="161" spans="17:29" x14ac:dyDescent="0.35">
      <c r="Q161" s="5">
        <v>29001</v>
      </c>
      <c r="R161" s="5">
        <v>29500</v>
      </c>
      <c r="S161" s="5">
        <v>13378.684807256235</v>
      </c>
      <c r="T161" s="5">
        <v>16761.363636363636</v>
      </c>
      <c r="U161" s="8">
        <v>-4.6749999999999998</v>
      </c>
      <c r="X161" s="5"/>
      <c r="Y161" s="5">
        <f t="shared" si="2"/>
        <v>29001</v>
      </c>
      <c r="Z161" s="392">
        <v>29500</v>
      </c>
      <c r="AA161" s="5">
        <f t="shared" si="0"/>
        <v>13378.684807256235</v>
      </c>
      <c r="AB161" s="5">
        <f t="shared" si="1"/>
        <v>16761.363636363636</v>
      </c>
      <c r="AC161" s="8">
        <v>-4.6749999999999998</v>
      </c>
    </row>
    <row r="162" spans="17:29" x14ac:dyDescent="0.35">
      <c r="Q162" s="5">
        <v>29501</v>
      </c>
      <c r="R162" s="5">
        <v>30000</v>
      </c>
      <c r="S162" s="5">
        <v>13605.442176870747</v>
      </c>
      <c r="T162" s="5">
        <v>17045.454545454544</v>
      </c>
      <c r="U162" s="8">
        <v>-4.7</v>
      </c>
      <c r="X162" s="5"/>
      <c r="Y162" s="5">
        <f t="shared" si="2"/>
        <v>29501</v>
      </c>
      <c r="Z162" s="392">
        <v>30000</v>
      </c>
      <c r="AA162" s="5">
        <f t="shared" si="0"/>
        <v>13605.442176870747</v>
      </c>
      <c r="AB162" s="5">
        <f t="shared" si="1"/>
        <v>17045.454545454544</v>
      </c>
      <c r="AC162" s="8">
        <v>-4.7</v>
      </c>
    </row>
    <row r="163" spans="17:29" x14ac:dyDescent="0.35">
      <c r="Q163" s="5">
        <v>30001</v>
      </c>
      <c r="R163" s="5">
        <v>30500</v>
      </c>
      <c r="S163" s="5">
        <v>13832.199546485261</v>
      </c>
      <c r="T163" s="5">
        <v>17329.545454545456</v>
      </c>
      <c r="U163" s="8">
        <v>-4.7249999999999996</v>
      </c>
      <c r="X163" s="5"/>
      <c r="Y163" s="5">
        <f t="shared" si="2"/>
        <v>30001</v>
      </c>
      <c r="Z163" s="392">
        <v>30500</v>
      </c>
      <c r="AA163" s="5">
        <f t="shared" si="0"/>
        <v>13832.199546485261</v>
      </c>
      <c r="AB163" s="5">
        <f t="shared" si="1"/>
        <v>17329.545454545456</v>
      </c>
      <c r="AC163" s="8">
        <v>-4.7249999999999996</v>
      </c>
    </row>
    <row r="164" spans="17:29" x14ac:dyDescent="0.35">
      <c r="Q164" s="5">
        <v>30501</v>
      </c>
      <c r="R164" s="5">
        <v>31000</v>
      </c>
      <c r="S164" s="5">
        <v>14058.956916099773</v>
      </c>
      <c r="T164" s="5">
        <v>17613.636363636364</v>
      </c>
      <c r="U164" s="8">
        <v>-4.75</v>
      </c>
      <c r="X164" s="5"/>
      <c r="Y164" s="5">
        <f t="shared" si="2"/>
        <v>30501</v>
      </c>
      <c r="Z164" s="392">
        <v>31000</v>
      </c>
      <c r="AA164" s="5">
        <f t="shared" si="0"/>
        <v>14058.956916099773</v>
      </c>
      <c r="AB164" s="5">
        <f t="shared" si="1"/>
        <v>17613.636363636364</v>
      </c>
      <c r="AC164" s="8">
        <v>-4.75</v>
      </c>
    </row>
    <row r="165" spans="17:29" x14ac:dyDescent="0.35">
      <c r="Q165" s="5">
        <v>31001</v>
      </c>
      <c r="R165" s="5">
        <v>31500</v>
      </c>
      <c r="S165" s="5">
        <v>14285.714285714284</v>
      </c>
      <c r="T165" s="5">
        <v>17897.727272727272</v>
      </c>
      <c r="U165" s="8">
        <v>-4.7750000000000004</v>
      </c>
      <c r="X165" s="5"/>
      <c r="Y165" s="5">
        <f t="shared" si="2"/>
        <v>31001</v>
      </c>
      <c r="Z165" s="392">
        <v>31500</v>
      </c>
      <c r="AA165" s="5">
        <f t="shared" si="0"/>
        <v>14285.714285714284</v>
      </c>
      <c r="AB165" s="5">
        <f t="shared" si="1"/>
        <v>17897.727272727272</v>
      </c>
      <c r="AC165" s="8">
        <v>-4.7750000000000004</v>
      </c>
    </row>
    <row r="166" spans="17:29" x14ac:dyDescent="0.35">
      <c r="Q166" s="5">
        <v>31501</v>
      </c>
      <c r="R166" s="5">
        <v>32000</v>
      </c>
      <c r="S166" s="5">
        <v>14512.471655328798</v>
      </c>
      <c r="T166" s="5">
        <v>18181.81818181818</v>
      </c>
      <c r="U166" s="8">
        <v>-4.8</v>
      </c>
      <c r="X166" s="5"/>
      <c r="Y166" s="5">
        <f t="shared" si="2"/>
        <v>31501</v>
      </c>
      <c r="Z166" s="392">
        <v>32000</v>
      </c>
      <c r="AA166" s="5">
        <f t="shared" si="0"/>
        <v>14512.471655328798</v>
      </c>
      <c r="AB166" s="5">
        <f t="shared" si="1"/>
        <v>18181.81818181818</v>
      </c>
      <c r="AC166" s="8">
        <v>-4.8</v>
      </c>
    </row>
    <row r="167" spans="17:29" x14ac:dyDescent="0.35">
      <c r="Q167" s="5">
        <v>32001</v>
      </c>
      <c r="R167" s="5">
        <v>32500</v>
      </c>
      <c r="S167" s="5">
        <v>14739.22902494331</v>
      </c>
      <c r="T167" s="5">
        <v>18465.909090909092</v>
      </c>
      <c r="U167" s="8">
        <v>-4.8250000000000002</v>
      </c>
      <c r="X167" s="5"/>
      <c r="Y167" s="5">
        <f t="shared" si="2"/>
        <v>32001</v>
      </c>
      <c r="Z167" s="392">
        <v>32500</v>
      </c>
      <c r="AA167" s="5">
        <f t="shared" si="0"/>
        <v>14739.22902494331</v>
      </c>
      <c r="AB167" s="5">
        <f t="shared" si="1"/>
        <v>18465.909090909092</v>
      </c>
      <c r="AC167" s="8">
        <v>-4.8250000000000002</v>
      </c>
    </row>
    <row r="168" spans="17:29" x14ac:dyDescent="0.35">
      <c r="Q168" s="5">
        <v>32501</v>
      </c>
      <c r="R168" s="5">
        <v>33000</v>
      </c>
      <c r="S168" s="5">
        <v>14965.986394557822</v>
      </c>
      <c r="T168" s="5">
        <v>18750</v>
      </c>
      <c r="U168" s="8">
        <v>-4.8499999999999996</v>
      </c>
      <c r="X168" s="5"/>
      <c r="Y168" s="5">
        <f t="shared" si="2"/>
        <v>32501</v>
      </c>
      <c r="Z168" s="392">
        <v>33000</v>
      </c>
      <c r="AA168" s="5">
        <f t="shared" ref="AA168:AA231" si="3">Z168/2.205</f>
        <v>14965.986394557822</v>
      </c>
      <c r="AB168" s="5">
        <f t="shared" ref="AB168:AB231" si="4">Z168/1.76</f>
        <v>18750</v>
      </c>
      <c r="AC168" s="8">
        <v>-4.8499999999999996</v>
      </c>
    </row>
    <row r="169" spans="17:29" x14ac:dyDescent="0.35">
      <c r="Q169" s="5">
        <v>33001</v>
      </c>
      <c r="R169" s="5">
        <v>33500</v>
      </c>
      <c r="S169" s="5">
        <v>15192.743764172335</v>
      </c>
      <c r="T169" s="5">
        <v>19034.090909090908</v>
      </c>
      <c r="U169" s="8">
        <v>-4.875</v>
      </c>
      <c r="X169" s="5"/>
      <c r="Y169" s="5">
        <f t="shared" ref="Y169:Y232" si="5">Z168+1</f>
        <v>33001</v>
      </c>
      <c r="Z169" s="392">
        <v>33500</v>
      </c>
      <c r="AA169" s="5">
        <f t="shared" si="3"/>
        <v>15192.743764172335</v>
      </c>
      <c r="AB169" s="5">
        <f t="shared" si="4"/>
        <v>19034.090909090908</v>
      </c>
      <c r="AC169" s="8">
        <v>-4.875</v>
      </c>
    </row>
    <row r="170" spans="17:29" x14ac:dyDescent="0.35">
      <c r="Q170" s="5">
        <v>33501</v>
      </c>
      <c r="R170" s="5">
        <v>34000</v>
      </c>
      <c r="S170" s="5">
        <v>15419.501133786847</v>
      </c>
      <c r="T170" s="5">
        <v>19318.18181818182</v>
      </c>
      <c r="U170" s="8">
        <v>-4.9000000000000004</v>
      </c>
      <c r="X170" s="5"/>
      <c r="Y170" s="5">
        <f t="shared" si="5"/>
        <v>33501</v>
      </c>
      <c r="Z170" s="392">
        <v>34000</v>
      </c>
      <c r="AA170" s="5">
        <f t="shared" si="3"/>
        <v>15419.501133786847</v>
      </c>
      <c r="AB170" s="5">
        <f t="shared" si="4"/>
        <v>19318.18181818182</v>
      </c>
      <c r="AC170" s="8">
        <v>-4.9000000000000004</v>
      </c>
    </row>
    <row r="171" spans="17:29" x14ac:dyDescent="0.35">
      <c r="Q171" s="5">
        <v>34001</v>
      </c>
      <c r="R171" s="5">
        <v>34500</v>
      </c>
      <c r="S171" s="5">
        <v>15646.258503401361</v>
      </c>
      <c r="T171" s="5">
        <v>19602.272727272728</v>
      </c>
      <c r="U171" s="8">
        <v>-4.9249999999999998</v>
      </c>
      <c r="X171" s="5"/>
      <c r="Y171" s="5">
        <f t="shared" si="5"/>
        <v>34001</v>
      </c>
      <c r="Z171" s="392">
        <v>34500</v>
      </c>
      <c r="AA171" s="5">
        <f t="shared" si="3"/>
        <v>15646.258503401361</v>
      </c>
      <c r="AB171" s="5">
        <f t="shared" si="4"/>
        <v>19602.272727272728</v>
      </c>
      <c r="AC171" s="8">
        <v>-4.9249999999999998</v>
      </c>
    </row>
    <row r="172" spans="17:29" x14ac:dyDescent="0.35">
      <c r="Q172" s="5">
        <v>34501</v>
      </c>
      <c r="R172" s="5">
        <v>35000</v>
      </c>
      <c r="S172" s="5">
        <v>15873.015873015873</v>
      </c>
      <c r="T172" s="5">
        <v>19886.363636363636</v>
      </c>
      <c r="U172" s="8">
        <v>-4.95</v>
      </c>
      <c r="X172" s="5"/>
      <c r="Y172" s="5">
        <f t="shared" si="5"/>
        <v>34501</v>
      </c>
      <c r="Z172" s="392">
        <v>35000</v>
      </c>
      <c r="AA172" s="5">
        <f t="shared" si="3"/>
        <v>15873.015873015873</v>
      </c>
      <c r="AB172" s="5">
        <f t="shared" si="4"/>
        <v>19886.363636363636</v>
      </c>
      <c r="AC172" s="8">
        <v>-4.95</v>
      </c>
    </row>
    <row r="173" spans="17:29" x14ac:dyDescent="0.35">
      <c r="Q173" s="5">
        <v>35001</v>
      </c>
      <c r="R173" s="5">
        <v>35500</v>
      </c>
      <c r="S173" s="5">
        <v>16099.773242630385</v>
      </c>
      <c r="T173" s="5">
        <v>20170.454545454544</v>
      </c>
      <c r="U173" s="8">
        <v>-4.9749999999999996</v>
      </c>
      <c r="X173" s="5"/>
      <c r="Y173" s="5">
        <f t="shared" si="5"/>
        <v>35001</v>
      </c>
      <c r="Z173" s="392">
        <v>35500</v>
      </c>
      <c r="AA173" s="5">
        <f t="shared" si="3"/>
        <v>16099.773242630385</v>
      </c>
      <c r="AB173" s="5">
        <f t="shared" si="4"/>
        <v>20170.454545454544</v>
      </c>
      <c r="AC173" s="8">
        <v>-4.9749999999999996</v>
      </c>
    </row>
    <row r="174" spans="17:29" x14ac:dyDescent="0.35">
      <c r="Q174" s="5">
        <v>35501</v>
      </c>
      <c r="R174" s="5">
        <v>36000</v>
      </c>
      <c r="S174" s="5">
        <v>16326.530612244898</v>
      </c>
      <c r="T174" s="5">
        <v>20454.545454545456</v>
      </c>
      <c r="U174" s="8">
        <v>-5</v>
      </c>
      <c r="X174" s="5"/>
      <c r="Y174" s="5">
        <f t="shared" si="5"/>
        <v>35501</v>
      </c>
      <c r="Z174" s="392">
        <v>36000</v>
      </c>
      <c r="AA174" s="5">
        <f t="shared" si="3"/>
        <v>16326.530612244898</v>
      </c>
      <c r="AB174" s="5">
        <f t="shared" si="4"/>
        <v>20454.545454545456</v>
      </c>
      <c r="AC174" s="8">
        <v>-5</v>
      </c>
    </row>
    <row r="175" spans="17:29" x14ac:dyDescent="0.35">
      <c r="Q175" s="5">
        <v>36001</v>
      </c>
      <c r="R175" s="5">
        <v>36500</v>
      </c>
      <c r="S175" s="5">
        <v>16553.287981859408</v>
      </c>
      <c r="T175" s="5">
        <v>20738.636363636364</v>
      </c>
      <c r="U175" s="8">
        <v>-5.0250000000000004</v>
      </c>
      <c r="X175" s="5"/>
      <c r="Y175" s="5">
        <f t="shared" si="5"/>
        <v>36001</v>
      </c>
      <c r="Z175" s="392">
        <v>36500</v>
      </c>
      <c r="AA175" s="5">
        <f t="shared" si="3"/>
        <v>16553.287981859408</v>
      </c>
      <c r="AB175" s="5">
        <f t="shared" si="4"/>
        <v>20738.636363636364</v>
      </c>
      <c r="AC175" s="8">
        <v>-5.0250000000000004</v>
      </c>
    </row>
    <row r="176" spans="17:29" x14ac:dyDescent="0.35">
      <c r="Q176" s="5">
        <v>36501</v>
      </c>
      <c r="R176" s="5">
        <v>37000</v>
      </c>
      <c r="S176" s="5">
        <v>16780.045351473924</v>
      </c>
      <c r="T176" s="5">
        <v>21022.727272727272</v>
      </c>
      <c r="U176" s="8">
        <v>-5.05</v>
      </c>
      <c r="X176" s="5"/>
      <c r="Y176" s="5">
        <f t="shared" si="5"/>
        <v>36501</v>
      </c>
      <c r="Z176" s="392">
        <v>37000</v>
      </c>
      <c r="AA176" s="5">
        <f t="shared" si="3"/>
        <v>16780.045351473924</v>
      </c>
      <c r="AB176" s="5">
        <f t="shared" si="4"/>
        <v>21022.727272727272</v>
      </c>
      <c r="AC176" s="8">
        <v>-5.05</v>
      </c>
    </row>
    <row r="177" spans="17:29" x14ac:dyDescent="0.35">
      <c r="Q177" s="5">
        <v>37001</v>
      </c>
      <c r="R177" s="5">
        <v>37500</v>
      </c>
      <c r="S177" s="5">
        <v>17006.802721088436</v>
      </c>
      <c r="T177" s="5">
        <v>21306.81818181818</v>
      </c>
      <c r="U177" s="8">
        <v>-5.0750000000000002</v>
      </c>
      <c r="X177" s="5"/>
      <c r="Y177" s="5">
        <f t="shared" si="5"/>
        <v>37001</v>
      </c>
      <c r="Z177" s="392">
        <v>37500</v>
      </c>
      <c r="AA177" s="5">
        <f t="shared" si="3"/>
        <v>17006.802721088436</v>
      </c>
      <c r="AB177" s="5">
        <f t="shared" si="4"/>
        <v>21306.81818181818</v>
      </c>
      <c r="AC177" s="8">
        <v>-5.0750000000000002</v>
      </c>
    </row>
    <row r="178" spans="17:29" x14ac:dyDescent="0.35">
      <c r="Q178" s="5">
        <v>37501</v>
      </c>
      <c r="R178" s="5">
        <v>38000</v>
      </c>
      <c r="S178" s="5">
        <v>17233.560090702947</v>
      </c>
      <c r="T178" s="5">
        <v>21590.909090909092</v>
      </c>
      <c r="U178" s="8">
        <v>-5.0999999999999996</v>
      </c>
      <c r="X178" s="5"/>
      <c r="Y178" s="5">
        <f t="shared" si="5"/>
        <v>37501</v>
      </c>
      <c r="Z178" s="392">
        <v>38000</v>
      </c>
      <c r="AA178" s="5">
        <f t="shared" si="3"/>
        <v>17233.560090702947</v>
      </c>
      <c r="AB178" s="5">
        <f t="shared" si="4"/>
        <v>21590.909090909092</v>
      </c>
      <c r="AC178" s="8">
        <v>-5.0999999999999996</v>
      </c>
    </row>
    <row r="179" spans="17:29" x14ac:dyDescent="0.35">
      <c r="Q179" s="5">
        <v>38001</v>
      </c>
      <c r="R179" s="5">
        <v>38500</v>
      </c>
      <c r="S179" s="5">
        <v>17460.317460317459</v>
      </c>
      <c r="T179" s="5">
        <v>21875</v>
      </c>
      <c r="U179" s="8">
        <v>-5.0999999999999996</v>
      </c>
      <c r="X179" s="5"/>
      <c r="Y179" s="5">
        <f t="shared" si="5"/>
        <v>38001</v>
      </c>
      <c r="Z179" s="392">
        <v>38500</v>
      </c>
      <c r="AA179" s="5">
        <f t="shared" si="3"/>
        <v>17460.317460317459</v>
      </c>
      <c r="AB179" s="5">
        <f t="shared" si="4"/>
        <v>21875</v>
      </c>
      <c r="AC179" s="8">
        <v>-5.0999999999999996</v>
      </c>
    </row>
    <row r="180" spans="17:29" x14ac:dyDescent="0.35">
      <c r="Q180" s="5">
        <v>38501</v>
      </c>
      <c r="R180" s="5">
        <v>39000</v>
      </c>
      <c r="S180" s="5">
        <v>17687.074829931971</v>
      </c>
      <c r="T180" s="5">
        <v>22159.090909090908</v>
      </c>
      <c r="U180" s="8">
        <v>-5.0999999999999996</v>
      </c>
      <c r="X180" s="5"/>
      <c r="Y180" s="5">
        <f t="shared" si="5"/>
        <v>38501</v>
      </c>
      <c r="Z180" s="392">
        <v>39000</v>
      </c>
      <c r="AA180" s="5">
        <f t="shared" si="3"/>
        <v>17687.074829931971</v>
      </c>
      <c r="AB180" s="5">
        <f t="shared" si="4"/>
        <v>22159.090909090908</v>
      </c>
      <c r="AC180" s="8">
        <v>-5.0999999999999996</v>
      </c>
    </row>
    <row r="181" spans="17:29" x14ac:dyDescent="0.35">
      <c r="Q181" s="5">
        <v>39001</v>
      </c>
      <c r="R181" s="5">
        <v>39500</v>
      </c>
      <c r="S181" s="5">
        <v>17913.832199546483</v>
      </c>
      <c r="T181" s="5">
        <v>22443.18181818182</v>
      </c>
      <c r="U181" s="8">
        <v>-5.0999999999999996</v>
      </c>
      <c r="X181" s="5"/>
      <c r="Y181" s="5">
        <f t="shared" si="5"/>
        <v>39001</v>
      </c>
      <c r="Z181" s="392">
        <v>39500</v>
      </c>
      <c r="AA181" s="5">
        <f t="shared" si="3"/>
        <v>17913.832199546483</v>
      </c>
      <c r="AB181" s="5">
        <f t="shared" si="4"/>
        <v>22443.18181818182</v>
      </c>
      <c r="AC181" s="8">
        <v>-5.0999999999999996</v>
      </c>
    </row>
    <row r="182" spans="17:29" x14ac:dyDescent="0.35">
      <c r="Q182" s="5">
        <v>39501</v>
      </c>
      <c r="R182" s="5">
        <v>40000</v>
      </c>
      <c r="S182" s="5">
        <v>18140.589569160999</v>
      </c>
      <c r="T182" s="5">
        <v>22727.272727272728</v>
      </c>
      <c r="U182" s="8">
        <v>-5.0999999999999996</v>
      </c>
      <c r="X182" s="5"/>
      <c r="Y182" s="5">
        <f t="shared" si="5"/>
        <v>39501</v>
      </c>
      <c r="Z182" s="392">
        <v>40000</v>
      </c>
      <c r="AA182" s="5">
        <f t="shared" si="3"/>
        <v>18140.589569160999</v>
      </c>
      <c r="AB182" s="5">
        <f t="shared" si="4"/>
        <v>22727.272727272728</v>
      </c>
      <c r="AC182" s="8">
        <v>-5.0999999999999996</v>
      </c>
    </row>
    <row r="183" spans="17:29" x14ac:dyDescent="0.35">
      <c r="Q183" s="5">
        <v>40001</v>
      </c>
      <c r="R183" s="5">
        <v>40500</v>
      </c>
      <c r="S183" s="5">
        <v>18367.34693877551</v>
      </c>
      <c r="T183" s="5">
        <v>23011.363636363636</v>
      </c>
      <c r="U183" s="8">
        <v>-5.0750000000000002</v>
      </c>
      <c r="X183" s="5"/>
      <c r="Y183" s="5">
        <f t="shared" si="5"/>
        <v>40001</v>
      </c>
      <c r="Z183" s="392">
        <v>40500</v>
      </c>
      <c r="AA183" s="5">
        <f t="shared" si="3"/>
        <v>18367.34693877551</v>
      </c>
      <c r="AB183" s="5">
        <f t="shared" si="4"/>
        <v>23011.363636363636</v>
      </c>
      <c r="AC183" s="8">
        <v>-5.0750000000000002</v>
      </c>
    </row>
    <row r="184" spans="17:29" x14ac:dyDescent="0.35">
      <c r="Q184" s="5">
        <v>40501</v>
      </c>
      <c r="R184" s="5">
        <v>41000</v>
      </c>
      <c r="S184" s="5">
        <v>18594.104308390022</v>
      </c>
      <c r="T184" s="5">
        <v>23295.454545454544</v>
      </c>
      <c r="U184" s="8">
        <v>-5.05</v>
      </c>
      <c r="X184" s="5"/>
      <c r="Y184" s="5">
        <f t="shared" si="5"/>
        <v>40501</v>
      </c>
      <c r="Z184" s="392">
        <v>41000</v>
      </c>
      <c r="AA184" s="5">
        <f t="shared" si="3"/>
        <v>18594.104308390022</v>
      </c>
      <c r="AB184" s="5">
        <f t="shared" si="4"/>
        <v>23295.454545454544</v>
      </c>
      <c r="AC184" s="8">
        <v>-5.05</v>
      </c>
    </row>
    <row r="185" spans="17:29" x14ac:dyDescent="0.35">
      <c r="Q185" s="5">
        <v>41001</v>
      </c>
      <c r="R185" s="5">
        <v>41500</v>
      </c>
      <c r="S185" s="5">
        <v>18820.861678004534</v>
      </c>
      <c r="T185" s="5">
        <v>23579.545454545456</v>
      </c>
      <c r="U185" s="8">
        <v>-5.0250000000000004</v>
      </c>
      <c r="X185" s="5"/>
      <c r="Y185" s="5">
        <f t="shared" si="5"/>
        <v>41001</v>
      </c>
      <c r="Z185" s="392">
        <v>41500</v>
      </c>
      <c r="AA185" s="5">
        <f t="shared" si="3"/>
        <v>18820.861678004534</v>
      </c>
      <c r="AB185" s="5">
        <f t="shared" si="4"/>
        <v>23579.545454545456</v>
      </c>
      <c r="AC185" s="8">
        <v>-5.0250000000000004</v>
      </c>
    </row>
    <row r="186" spans="17:29" x14ac:dyDescent="0.35">
      <c r="Q186" s="5">
        <v>41501</v>
      </c>
      <c r="R186" s="5">
        <v>42000</v>
      </c>
      <c r="S186" s="5">
        <v>19047.619047619046</v>
      </c>
      <c r="T186" s="5">
        <v>23863.636363636364</v>
      </c>
      <c r="U186" s="8">
        <v>-5</v>
      </c>
      <c r="X186" s="5"/>
      <c r="Y186" s="5">
        <f t="shared" si="5"/>
        <v>41501</v>
      </c>
      <c r="Z186" s="393">
        <v>42000</v>
      </c>
      <c r="AA186" s="5">
        <f t="shared" si="3"/>
        <v>19047.619047619046</v>
      </c>
      <c r="AB186" s="5">
        <f t="shared" si="4"/>
        <v>23863.636363636364</v>
      </c>
      <c r="AC186" s="8">
        <v>-5</v>
      </c>
    </row>
    <row r="187" spans="17:29" x14ac:dyDescent="0.35">
      <c r="Q187" s="5">
        <v>42001</v>
      </c>
      <c r="R187" s="5">
        <v>42500</v>
      </c>
      <c r="S187" s="5">
        <v>19274.376417233558</v>
      </c>
      <c r="T187" s="5">
        <v>24147.727272727272</v>
      </c>
      <c r="U187" s="8">
        <v>-5</v>
      </c>
      <c r="Y187" s="5">
        <f t="shared" si="5"/>
        <v>42001</v>
      </c>
      <c r="Z187" s="5">
        <v>42500</v>
      </c>
      <c r="AA187" s="5">
        <f t="shared" si="3"/>
        <v>19274.376417233558</v>
      </c>
      <c r="AB187" s="5">
        <f t="shared" si="4"/>
        <v>24147.727272727272</v>
      </c>
      <c r="AC187" s="8">
        <v>-5</v>
      </c>
    </row>
    <row r="188" spans="17:29" x14ac:dyDescent="0.35">
      <c r="Q188" s="5">
        <v>42501</v>
      </c>
      <c r="R188" s="5">
        <v>43000</v>
      </c>
      <c r="S188" s="5">
        <v>19501.133786848073</v>
      </c>
      <c r="T188" s="5">
        <v>24431.81818181818</v>
      </c>
      <c r="U188" s="8">
        <v>-5</v>
      </c>
      <c r="Y188" s="5">
        <f t="shared" si="5"/>
        <v>42501</v>
      </c>
      <c r="Z188" s="5">
        <v>43000</v>
      </c>
      <c r="AA188" s="5">
        <f t="shared" si="3"/>
        <v>19501.133786848073</v>
      </c>
      <c r="AB188" s="5">
        <f t="shared" si="4"/>
        <v>24431.81818181818</v>
      </c>
      <c r="AC188" s="8">
        <v>-5</v>
      </c>
    </row>
    <row r="189" spans="17:29" x14ac:dyDescent="0.35">
      <c r="Q189" s="5">
        <v>43001</v>
      </c>
      <c r="R189" s="5">
        <v>43500</v>
      </c>
      <c r="S189" s="5">
        <v>19727.891156462585</v>
      </c>
      <c r="T189" s="5">
        <v>24715.909090909092</v>
      </c>
      <c r="U189" s="8">
        <v>-5</v>
      </c>
      <c r="Y189" s="5">
        <f t="shared" si="5"/>
        <v>43001</v>
      </c>
      <c r="Z189" s="5">
        <v>43500</v>
      </c>
      <c r="AA189" s="5">
        <f t="shared" si="3"/>
        <v>19727.891156462585</v>
      </c>
      <c r="AB189" s="5">
        <f t="shared" si="4"/>
        <v>24715.909090909092</v>
      </c>
      <c r="AC189" s="8">
        <v>-5</v>
      </c>
    </row>
    <row r="190" spans="17:29" x14ac:dyDescent="0.35">
      <c r="Q190" s="5">
        <v>43501</v>
      </c>
      <c r="R190" s="5">
        <v>44000</v>
      </c>
      <c r="S190" s="5">
        <v>19954.648526077097</v>
      </c>
      <c r="T190" s="5">
        <v>25000</v>
      </c>
      <c r="U190" s="8">
        <v>-5</v>
      </c>
      <c r="Y190" s="5">
        <f t="shared" si="5"/>
        <v>43501</v>
      </c>
      <c r="Z190" s="5">
        <v>44000</v>
      </c>
      <c r="AA190" s="5">
        <f t="shared" si="3"/>
        <v>19954.648526077097</v>
      </c>
      <c r="AB190" s="5">
        <f t="shared" si="4"/>
        <v>25000</v>
      </c>
      <c r="AC190" s="8">
        <v>-5</v>
      </c>
    </row>
    <row r="191" spans="17:29" x14ac:dyDescent="0.35">
      <c r="Q191" s="5">
        <v>44001</v>
      </c>
      <c r="R191" s="5">
        <v>44500</v>
      </c>
      <c r="S191" s="5">
        <v>20181.405895691609</v>
      </c>
      <c r="T191" s="5">
        <v>25284.090909090908</v>
      </c>
      <c r="U191" s="8">
        <v>-4.95</v>
      </c>
      <c r="Y191" s="5">
        <f t="shared" si="5"/>
        <v>44001</v>
      </c>
      <c r="Z191" s="5">
        <v>44500</v>
      </c>
      <c r="AA191" s="5">
        <f t="shared" si="3"/>
        <v>20181.405895691609</v>
      </c>
      <c r="AB191" s="5">
        <f t="shared" si="4"/>
        <v>25284.090909090908</v>
      </c>
      <c r="AC191" s="8">
        <v>-4.95</v>
      </c>
    </row>
    <row r="192" spans="17:29" x14ac:dyDescent="0.35">
      <c r="Q192" s="5">
        <v>44501</v>
      </c>
      <c r="R192" s="5">
        <v>45000</v>
      </c>
      <c r="S192" s="5">
        <v>20408.163265306121</v>
      </c>
      <c r="T192" s="5">
        <v>25568.18181818182</v>
      </c>
      <c r="U192" s="8">
        <v>-4.9000000000000004</v>
      </c>
      <c r="Y192" s="5">
        <f t="shared" si="5"/>
        <v>44501</v>
      </c>
      <c r="Z192" s="5">
        <v>45000</v>
      </c>
      <c r="AA192" s="5">
        <f t="shared" si="3"/>
        <v>20408.163265306121</v>
      </c>
      <c r="AB192" s="5">
        <f t="shared" si="4"/>
        <v>25568.18181818182</v>
      </c>
      <c r="AC192" s="8">
        <v>-4.9000000000000004</v>
      </c>
    </row>
    <row r="193" spans="17:29" x14ac:dyDescent="0.35">
      <c r="Q193" s="5">
        <v>45001</v>
      </c>
      <c r="R193" s="5">
        <v>45500</v>
      </c>
      <c r="S193" s="5">
        <v>20634.920634920636</v>
      </c>
      <c r="T193" s="5">
        <v>25852.272727272728</v>
      </c>
      <c r="U193" s="8">
        <v>-4.8499999999999996</v>
      </c>
      <c r="Y193" s="5">
        <f t="shared" si="5"/>
        <v>45001</v>
      </c>
      <c r="Z193" s="5">
        <v>45500</v>
      </c>
      <c r="AA193" s="5">
        <f t="shared" si="3"/>
        <v>20634.920634920636</v>
      </c>
      <c r="AB193" s="5">
        <f t="shared" si="4"/>
        <v>25852.272727272728</v>
      </c>
      <c r="AC193" s="8">
        <v>-4.8499999999999996</v>
      </c>
    </row>
    <row r="194" spans="17:29" x14ac:dyDescent="0.35">
      <c r="Q194" s="5">
        <v>45501</v>
      </c>
      <c r="R194" s="5">
        <v>46000</v>
      </c>
      <c r="S194" s="5">
        <v>20861.678004535148</v>
      </c>
      <c r="T194" s="5">
        <v>26136.363636363636</v>
      </c>
      <c r="U194" s="8">
        <v>-4.8</v>
      </c>
      <c r="Y194" s="5">
        <f t="shared" si="5"/>
        <v>45501</v>
      </c>
      <c r="Z194" s="5">
        <v>46000</v>
      </c>
      <c r="AA194" s="5">
        <f t="shared" si="3"/>
        <v>20861.678004535148</v>
      </c>
      <c r="AB194" s="5">
        <f t="shared" si="4"/>
        <v>26136.363636363636</v>
      </c>
      <c r="AC194" s="8">
        <v>-4.8</v>
      </c>
    </row>
    <row r="195" spans="17:29" x14ac:dyDescent="0.35">
      <c r="Q195" s="5">
        <v>46001</v>
      </c>
      <c r="R195" s="5">
        <v>46500</v>
      </c>
      <c r="S195" s="5">
        <v>21088.43537414966</v>
      </c>
      <c r="T195" s="5">
        <v>26420.454545454544</v>
      </c>
      <c r="U195" s="8">
        <v>-4.7249999999999996</v>
      </c>
      <c r="Y195" s="5">
        <f t="shared" si="5"/>
        <v>46001</v>
      </c>
      <c r="Z195" s="5">
        <v>46500</v>
      </c>
      <c r="AA195" s="5">
        <f t="shared" si="3"/>
        <v>21088.43537414966</v>
      </c>
      <c r="AB195" s="5">
        <f t="shared" si="4"/>
        <v>26420.454545454544</v>
      </c>
      <c r="AC195" s="8">
        <v>-4.7249999999999996</v>
      </c>
    </row>
    <row r="196" spans="17:29" x14ac:dyDescent="0.35">
      <c r="Q196" s="5">
        <v>46501</v>
      </c>
      <c r="R196" s="5">
        <v>47000</v>
      </c>
      <c r="S196" s="5">
        <v>21315.192743764172</v>
      </c>
      <c r="T196" s="5">
        <v>26704.545454545456</v>
      </c>
      <c r="U196" s="8">
        <v>-4.6500000000000004</v>
      </c>
      <c r="Y196" s="5">
        <f t="shared" si="5"/>
        <v>46501</v>
      </c>
      <c r="Z196" s="5">
        <v>47000</v>
      </c>
      <c r="AA196" s="5">
        <f t="shared" si="3"/>
        <v>21315.192743764172</v>
      </c>
      <c r="AB196" s="5">
        <f t="shared" si="4"/>
        <v>26704.545454545456</v>
      </c>
      <c r="AC196" s="8">
        <v>-4.6500000000000004</v>
      </c>
    </row>
    <row r="197" spans="17:29" x14ac:dyDescent="0.35">
      <c r="Q197" s="5">
        <v>47001</v>
      </c>
      <c r="R197" s="5">
        <v>47500</v>
      </c>
      <c r="S197" s="5">
        <v>21541.950113378683</v>
      </c>
      <c r="T197" s="5">
        <v>26988.636363636364</v>
      </c>
      <c r="U197" s="8">
        <v>-4.5750000000000002</v>
      </c>
      <c r="Y197" s="5">
        <f t="shared" si="5"/>
        <v>47001</v>
      </c>
      <c r="Z197" s="5">
        <v>47500</v>
      </c>
      <c r="AA197" s="5">
        <f t="shared" si="3"/>
        <v>21541.950113378683</v>
      </c>
      <c r="AB197" s="5">
        <f t="shared" si="4"/>
        <v>26988.636363636364</v>
      </c>
      <c r="AC197" s="8">
        <v>-4.5750000000000002</v>
      </c>
    </row>
    <row r="198" spans="17:29" x14ac:dyDescent="0.35">
      <c r="Q198" s="5">
        <v>47501</v>
      </c>
      <c r="R198" s="5">
        <v>48000</v>
      </c>
      <c r="S198" s="5">
        <v>21768.707482993195</v>
      </c>
      <c r="T198" s="5">
        <v>27272.727272727272</v>
      </c>
      <c r="U198" s="8">
        <v>-4.5</v>
      </c>
      <c r="Y198" s="5">
        <f t="shared" si="5"/>
        <v>47501</v>
      </c>
      <c r="Z198" s="5">
        <v>48000</v>
      </c>
      <c r="AA198" s="5">
        <f t="shared" si="3"/>
        <v>21768.707482993195</v>
      </c>
      <c r="AB198" s="5">
        <f t="shared" si="4"/>
        <v>27272.727272727272</v>
      </c>
      <c r="AC198" s="8">
        <v>-4.5</v>
      </c>
    </row>
    <row r="199" spans="17:29" x14ac:dyDescent="0.35">
      <c r="Q199" s="5">
        <v>48001</v>
      </c>
      <c r="R199" s="5">
        <v>48500</v>
      </c>
      <c r="S199" s="5">
        <v>21995.464852607711</v>
      </c>
      <c r="T199" s="5">
        <v>27556.81818181818</v>
      </c>
      <c r="U199" s="8">
        <v>-4.4000000000000004</v>
      </c>
      <c r="Y199" s="5">
        <f t="shared" si="5"/>
        <v>48001</v>
      </c>
      <c r="Z199" s="5">
        <v>48500</v>
      </c>
      <c r="AA199" s="5">
        <f t="shared" si="3"/>
        <v>21995.464852607711</v>
      </c>
      <c r="AB199" s="5">
        <f t="shared" si="4"/>
        <v>27556.81818181818</v>
      </c>
      <c r="AC199" s="8">
        <v>-4.4000000000000004</v>
      </c>
    </row>
    <row r="200" spans="17:29" x14ac:dyDescent="0.35">
      <c r="Q200" s="5">
        <v>48501</v>
      </c>
      <c r="R200" s="5">
        <v>49000</v>
      </c>
      <c r="S200" s="5">
        <v>22222.222222222223</v>
      </c>
      <c r="T200" s="5">
        <v>27840.909090909092</v>
      </c>
      <c r="U200" s="8">
        <v>-4.3</v>
      </c>
      <c r="Y200" s="5">
        <f t="shared" si="5"/>
        <v>48501</v>
      </c>
      <c r="Z200" s="5">
        <v>49000</v>
      </c>
      <c r="AA200" s="5">
        <f t="shared" si="3"/>
        <v>22222.222222222223</v>
      </c>
      <c r="AB200" s="5">
        <f t="shared" si="4"/>
        <v>27840.909090909092</v>
      </c>
      <c r="AC200" s="8">
        <v>-4.3</v>
      </c>
    </row>
    <row r="201" spans="17:29" x14ac:dyDescent="0.35">
      <c r="Q201" s="5">
        <v>49001</v>
      </c>
      <c r="R201" s="5">
        <v>49500</v>
      </c>
      <c r="S201" s="5">
        <v>22448.979591836734</v>
      </c>
      <c r="T201" s="5">
        <v>28125</v>
      </c>
      <c r="U201" s="8">
        <v>-4.2</v>
      </c>
      <c r="Y201" s="5">
        <f t="shared" si="5"/>
        <v>49001</v>
      </c>
      <c r="Z201" s="5">
        <v>49500</v>
      </c>
      <c r="AA201" s="5">
        <f t="shared" si="3"/>
        <v>22448.979591836734</v>
      </c>
      <c r="AB201" s="5">
        <f t="shared" si="4"/>
        <v>28125</v>
      </c>
      <c r="AC201" s="8">
        <v>-4.2</v>
      </c>
    </row>
    <row r="202" spans="17:29" x14ac:dyDescent="0.35">
      <c r="Q202" s="5">
        <v>49501</v>
      </c>
      <c r="R202" s="5">
        <v>50000</v>
      </c>
      <c r="S202" s="5">
        <v>22675.736961451246</v>
      </c>
      <c r="T202" s="5">
        <v>28409.090909090908</v>
      </c>
      <c r="U202" s="8">
        <v>-4.0999999999999996</v>
      </c>
      <c r="Y202" s="5">
        <f t="shared" si="5"/>
        <v>49501</v>
      </c>
      <c r="Z202" s="5">
        <v>50000</v>
      </c>
      <c r="AA202" s="5">
        <f t="shared" si="3"/>
        <v>22675.736961451246</v>
      </c>
      <c r="AB202" s="5">
        <f t="shared" si="4"/>
        <v>28409.090909090908</v>
      </c>
      <c r="AC202" s="8">
        <v>-4.0999999999999996</v>
      </c>
    </row>
    <row r="203" spans="17:29" x14ac:dyDescent="0.35">
      <c r="Q203" s="5">
        <v>50001</v>
      </c>
      <c r="R203" s="5">
        <v>50500</v>
      </c>
      <c r="S203" s="5">
        <v>22902.494331065758</v>
      </c>
      <c r="T203" s="5">
        <v>28693.18181818182</v>
      </c>
      <c r="U203" s="8">
        <v>-3.9750000000000001</v>
      </c>
      <c r="Y203" s="5">
        <f t="shared" si="5"/>
        <v>50001</v>
      </c>
      <c r="Z203" s="5">
        <v>50500</v>
      </c>
      <c r="AA203" s="5">
        <f t="shared" si="3"/>
        <v>22902.494331065758</v>
      </c>
      <c r="AB203" s="5">
        <f t="shared" si="4"/>
        <v>28693.18181818182</v>
      </c>
      <c r="AC203" s="8">
        <v>-3.9750000000000001</v>
      </c>
    </row>
    <row r="204" spans="17:29" x14ac:dyDescent="0.35">
      <c r="Q204" s="5">
        <v>50501</v>
      </c>
      <c r="R204" s="5">
        <v>51000</v>
      </c>
      <c r="S204" s="5">
        <v>23129.25170068027</v>
      </c>
      <c r="T204" s="5">
        <v>28977.272727272728</v>
      </c>
      <c r="U204" s="8">
        <v>-3.85</v>
      </c>
      <c r="Y204" s="5">
        <f t="shared" si="5"/>
        <v>50501</v>
      </c>
      <c r="Z204" s="5">
        <v>51000</v>
      </c>
      <c r="AA204" s="5">
        <f t="shared" si="3"/>
        <v>23129.25170068027</v>
      </c>
      <c r="AB204" s="5">
        <f t="shared" si="4"/>
        <v>28977.272727272728</v>
      </c>
      <c r="AC204" s="8">
        <v>-3.85</v>
      </c>
    </row>
    <row r="205" spans="17:29" x14ac:dyDescent="0.35">
      <c r="Q205" s="5">
        <v>51001</v>
      </c>
      <c r="R205" s="5">
        <v>51500</v>
      </c>
      <c r="S205" s="5">
        <v>23356.009070294785</v>
      </c>
      <c r="T205" s="5">
        <v>29261.363636363636</v>
      </c>
      <c r="U205" s="8">
        <v>-3.7250000000000001</v>
      </c>
      <c r="Y205" s="5">
        <f t="shared" si="5"/>
        <v>51001</v>
      </c>
      <c r="Z205" s="5">
        <v>51500</v>
      </c>
      <c r="AA205" s="5">
        <f t="shared" si="3"/>
        <v>23356.009070294785</v>
      </c>
      <c r="AB205" s="5">
        <f t="shared" si="4"/>
        <v>29261.363636363636</v>
      </c>
      <c r="AC205" s="8">
        <v>-3.7250000000000001</v>
      </c>
    </row>
    <row r="206" spans="17:29" x14ac:dyDescent="0.35">
      <c r="Q206" s="5">
        <v>51501</v>
      </c>
      <c r="R206" s="5">
        <v>52000</v>
      </c>
      <c r="S206" s="5">
        <v>23582.766439909297</v>
      </c>
      <c r="T206" s="5">
        <v>29545.454545454544</v>
      </c>
      <c r="U206" s="8">
        <v>-3.6</v>
      </c>
      <c r="Y206" s="5">
        <f t="shared" si="5"/>
        <v>51501</v>
      </c>
      <c r="Z206" s="5">
        <v>52000</v>
      </c>
      <c r="AA206" s="5">
        <f t="shared" si="3"/>
        <v>23582.766439909297</v>
      </c>
      <c r="AB206" s="5">
        <f t="shared" si="4"/>
        <v>29545.454545454544</v>
      </c>
      <c r="AC206" s="8">
        <v>-3.6</v>
      </c>
    </row>
    <row r="207" spans="17:29" x14ac:dyDescent="0.35">
      <c r="Q207" s="5">
        <v>52001</v>
      </c>
      <c r="R207" s="5">
        <v>52500</v>
      </c>
      <c r="S207" s="5">
        <v>23809.523809523809</v>
      </c>
      <c r="T207" s="5">
        <v>29829.545454545456</v>
      </c>
      <c r="U207" s="8">
        <v>-3.4750000000000001</v>
      </c>
      <c r="Y207" s="5">
        <f t="shared" si="5"/>
        <v>52001</v>
      </c>
      <c r="Z207" s="5">
        <v>52500</v>
      </c>
      <c r="AA207" s="5">
        <f t="shared" si="3"/>
        <v>23809.523809523809</v>
      </c>
      <c r="AB207" s="5">
        <f t="shared" si="4"/>
        <v>29829.545454545456</v>
      </c>
      <c r="AC207" s="8">
        <v>-3.4750000000000001</v>
      </c>
    </row>
    <row r="208" spans="17:29" x14ac:dyDescent="0.35">
      <c r="Q208" s="5">
        <v>52501</v>
      </c>
      <c r="R208" s="5">
        <v>53000</v>
      </c>
      <c r="S208" s="5">
        <v>24036.281179138321</v>
      </c>
      <c r="T208" s="5">
        <v>30113.636363636364</v>
      </c>
      <c r="U208" s="8">
        <v>-3.35</v>
      </c>
      <c r="Y208" s="5">
        <f t="shared" si="5"/>
        <v>52501</v>
      </c>
      <c r="Z208" s="5">
        <v>53000</v>
      </c>
      <c r="AA208" s="5">
        <f t="shared" si="3"/>
        <v>24036.281179138321</v>
      </c>
      <c r="AB208" s="5">
        <f t="shared" si="4"/>
        <v>30113.636363636364</v>
      </c>
      <c r="AC208" s="8">
        <v>-3.35</v>
      </c>
    </row>
    <row r="209" spans="17:29" x14ac:dyDescent="0.35">
      <c r="Q209" s="5">
        <v>53001</v>
      </c>
      <c r="R209" s="5">
        <v>53500</v>
      </c>
      <c r="S209" s="5">
        <v>24263.038548752833</v>
      </c>
      <c r="T209" s="5">
        <v>30397.727272727272</v>
      </c>
      <c r="U209" s="8">
        <v>-3.2250000000000001</v>
      </c>
      <c r="Y209" s="5">
        <f t="shared" si="5"/>
        <v>53001</v>
      </c>
      <c r="Z209" s="5">
        <v>53500</v>
      </c>
      <c r="AA209" s="5">
        <f t="shared" si="3"/>
        <v>24263.038548752833</v>
      </c>
      <c r="AB209" s="5">
        <f t="shared" si="4"/>
        <v>30397.727272727272</v>
      </c>
      <c r="AC209" s="8">
        <v>-3.2250000000000001</v>
      </c>
    </row>
    <row r="210" spans="17:29" x14ac:dyDescent="0.35">
      <c r="Q210" s="5">
        <v>53501</v>
      </c>
      <c r="R210" s="5">
        <v>54000</v>
      </c>
      <c r="S210" s="5">
        <v>24489.795918367345</v>
      </c>
      <c r="T210" s="5">
        <v>30681.81818181818</v>
      </c>
      <c r="U210" s="8">
        <v>-3.1</v>
      </c>
      <c r="Y210" s="5">
        <f t="shared" si="5"/>
        <v>53501</v>
      </c>
      <c r="Z210" s="5">
        <v>54000</v>
      </c>
      <c r="AA210" s="5">
        <f t="shared" si="3"/>
        <v>24489.795918367345</v>
      </c>
      <c r="AB210" s="5">
        <f t="shared" si="4"/>
        <v>30681.81818181818</v>
      </c>
      <c r="AC210" s="8">
        <v>-3.1</v>
      </c>
    </row>
    <row r="211" spans="17:29" x14ac:dyDescent="0.35">
      <c r="Q211" s="5">
        <v>54001</v>
      </c>
      <c r="R211" s="5">
        <v>54500</v>
      </c>
      <c r="S211" s="5">
        <v>24716.55328798186</v>
      </c>
      <c r="T211" s="5">
        <v>30965.909090909092</v>
      </c>
      <c r="U211" s="8">
        <v>-2.95</v>
      </c>
      <c r="Y211" s="5">
        <f t="shared" si="5"/>
        <v>54001</v>
      </c>
      <c r="Z211" s="5">
        <v>54500</v>
      </c>
      <c r="AA211" s="5">
        <f t="shared" si="3"/>
        <v>24716.55328798186</v>
      </c>
      <c r="AB211" s="5">
        <f t="shared" si="4"/>
        <v>30965.909090909092</v>
      </c>
      <c r="AC211" s="8">
        <v>-2.95</v>
      </c>
    </row>
    <row r="212" spans="17:29" x14ac:dyDescent="0.35">
      <c r="Q212" s="5">
        <v>54501</v>
      </c>
      <c r="R212" s="5">
        <v>55000</v>
      </c>
      <c r="S212" s="5">
        <v>24943.310657596372</v>
      </c>
      <c r="T212" s="5">
        <v>31250</v>
      </c>
      <c r="U212" s="8">
        <v>-2.8</v>
      </c>
      <c r="Y212" s="5">
        <f t="shared" si="5"/>
        <v>54501</v>
      </c>
      <c r="Z212" s="5">
        <v>55000</v>
      </c>
      <c r="AA212" s="5">
        <f t="shared" si="3"/>
        <v>24943.310657596372</v>
      </c>
      <c r="AB212" s="5">
        <f t="shared" si="4"/>
        <v>31250</v>
      </c>
      <c r="AC212" s="8">
        <v>-2.8</v>
      </c>
    </row>
    <row r="213" spans="17:29" x14ac:dyDescent="0.35">
      <c r="Q213" s="5">
        <v>55001</v>
      </c>
      <c r="R213" s="5">
        <v>55500</v>
      </c>
      <c r="S213" s="5">
        <v>25170.068027210884</v>
      </c>
      <c r="T213" s="5">
        <v>31534.090909090908</v>
      </c>
      <c r="U213" s="8">
        <v>-2.65</v>
      </c>
      <c r="Y213" s="5">
        <f t="shared" si="5"/>
        <v>55001</v>
      </c>
      <c r="Z213" s="5">
        <v>55500</v>
      </c>
      <c r="AA213" s="5">
        <f t="shared" si="3"/>
        <v>25170.068027210884</v>
      </c>
      <c r="AB213" s="5">
        <f t="shared" si="4"/>
        <v>31534.090909090908</v>
      </c>
      <c r="AC213" s="8">
        <v>-2.65</v>
      </c>
    </row>
    <row r="214" spans="17:29" x14ac:dyDescent="0.35">
      <c r="Q214" s="5">
        <v>55501</v>
      </c>
      <c r="R214" s="5">
        <v>56000</v>
      </c>
      <c r="S214" s="5">
        <v>25396.825396825396</v>
      </c>
      <c r="T214" s="5">
        <v>31818.18181818182</v>
      </c>
      <c r="U214" s="8">
        <v>-2.5</v>
      </c>
      <c r="Y214" s="5">
        <f t="shared" si="5"/>
        <v>55501</v>
      </c>
      <c r="Z214" s="5">
        <v>56000</v>
      </c>
      <c r="AA214" s="5">
        <f t="shared" si="3"/>
        <v>25396.825396825396</v>
      </c>
      <c r="AB214" s="5">
        <f t="shared" si="4"/>
        <v>31818.18181818182</v>
      </c>
      <c r="AC214" s="8">
        <v>-2.5</v>
      </c>
    </row>
    <row r="215" spans="17:29" x14ac:dyDescent="0.35">
      <c r="Q215" s="5">
        <v>56001</v>
      </c>
      <c r="R215" s="5">
        <v>56500</v>
      </c>
      <c r="S215" s="5">
        <v>25623.582766439908</v>
      </c>
      <c r="T215" s="5">
        <v>32102.272727272728</v>
      </c>
      <c r="U215" s="8">
        <v>-2.35</v>
      </c>
      <c r="Y215" s="5">
        <f t="shared" si="5"/>
        <v>56001</v>
      </c>
      <c r="Z215" s="5">
        <v>56500</v>
      </c>
      <c r="AA215" s="5">
        <f t="shared" si="3"/>
        <v>25623.582766439908</v>
      </c>
      <c r="AB215" s="5">
        <f t="shared" si="4"/>
        <v>32102.272727272728</v>
      </c>
      <c r="AC215" s="8">
        <v>-2.35</v>
      </c>
    </row>
    <row r="216" spans="17:29" x14ac:dyDescent="0.35">
      <c r="Q216" s="5">
        <v>56501</v>
      </c>
      <c r="R216" s="5">
        <v>57000</v>
      </c>
      <c r="S216" s="5">
        <v>25850.340136054419</v>
      </c>
      <c r="T216" s="5">
        <v>32386.363636363636</v>
      </c>
      <c r="U216" s="8">
        <v>-2.2000000000000002</v>
      </c>
      <c r="Y216" s="5">
        <f t="shared" si="5"/>
        <v>56501</v>
      </c>
      <c r="Z216" s="5">
        <v>57000</v>
      </c>
      <c r="AA216" s="5">
        <f t="shared" si="3"/>
        <v>25850.340136054419</v>
      </c>
      <c r="AB216" s="5">
        <f t="shared" si="4"/>
        <v>32386.363636363636</v>
      </c>
      <c r="AC216" s="8">
        <v>-2.2000000000000002</v>
      </c>
    </row>
    <row r="217" spans="17:29" x14ac:dyDescent="0.35">
      <c r="Q217" s="5">
        <v>57001</v>
      </c>
      <c r="R217" s="5">
        <v>57500</v>
      </c>
      <c r="S217" s="5">
        <v>26077.097505668935</v>
      </c>
      <c r="T217" s="5">
        <v>32670.454545454544</v>
      </c>
      <c r="U217" s="8">
        <v>-2.0499999999999998</v>
      </c>
      <c r="Y217" s="5">
        <f t="shared" si="5"/>
        <v>57001</v>
      </c>
      <c r="Z217" s="5">
        <v>57500</v>
      </c>
      <c r="AA217" s="5">
        <f t="shared" si="3"/>
        <v>26077.097505668935</v>
      </c>
      <c r="AB217" s="5">
        <f t="shared" si="4"/>
        <v>32670.454545454544</v>
      </c>
      <c r="AC217" s="8">
        <v>-2.0499999999999998</v>
      </c>
    </row>
    <row r="218" spans="17:29" x14ac:dyDescent="0.35">
      <c r="Q218" s="5">
        <v>57501</v>
      </c>
      <c r="R218" s="5">
        <v>58000</v>
      </c>
      <c r="S218" s="5">
        <v>26303.854875283447</v>
      </c>
      <c r="T218" s="5">
        <v>32954.545454545456</v>
      </c>
      <c r="U218" s="8">
        <v>-1.9</v>
      </c>
      <c r="Y218" s="5">
        <f t="shared" si="5"/>
        <v>57501</v>
      </c>
      <c r="Z218" s="5">
        <v>58000</v>
      </c>
      <c r="AA218" s="5">
        <f t="shared" si="3"/>
        <v>26303.854875283447</v>
      </c>
      <c r="AB218" s="5">
        <f t="shared" si="4"/>
        <v>32954.545454545456</v>
      </c>
      <c r="AC218" s="8">
        <v>-1.9</v>
      </c>
    </row>
    <row r="219" spans="17:29" x14ac:dyDescent="0.35">
      <c r="Q219" s="5">
        <v>58001</v>
      </c>
      <c r="R219" s="5">
        <v>58500</v>
      </c>
      <c r="S219" s="5">
        <v>26530.612244897959</v>
      </c>
      <c r="T219" s="5">
        <v>33238.63636363636</v>
      </c>
      <c r="U219" s="8">
        <v>-1.7250000000000001</v>
      </c>
      <c r="Y219" s="5">
        <f t="shared" si="5"/>
        <v>58001</v>
      </c>
      <c r="Z219" s="5">
        <v>58500</v>
      </c>
      <c r="AA219" s="5">
        <f t="shared" si="3"/>
        <v>26530.612244897959</v>
      </c>
      <c r="AB219" s="5">
        <f t="shared" si="4"/>
        <v>33238.63636363636</v>
      </c>
      <c r="AC219" s="8">
        <v>-1.7250000000000001</v>
      </c>
    </row>
    <row r="220" spans="17:29" x14ac:dyDescent="0.35">
      <c r="Q220" s="5">
        <v>58501</v>
      </c>
      <c r="R220" s="5">
        <v>59000</v>
      </c>
      <c r="S220" s="5">
        <v>26757.36961451247</v>
      </c>
      <c r="T220" s="5">
        <v>33522.727272727272</v>
      </c>
      <c r="U220" s="8">
        <v>-1.55</v>
      </c>
      <c r="Y220" s="5">
        <f t="shared" si="5"/>
        <v>58501</v>
      </c>
      <c r="Z220" s="5">
        <v>59000</v>
      </c>
      <c r="AA220" s="5">
        <f t="shared" si="3"/>
        <v>26757.36961451247</v>
      </c>
      <c r="AB220" s="5">
        <f t="shared" si="4"/>
        <v>33522.727272727272</v>
      </c>
      <c r="AC220" s="8">
        <v>-1.55</v>
      </c>
    </row>
    <row r="221" spans="17:29" x14ac:dyDescent="0.35">
      <c r="Q221" s="5">
        <v>59001</v>
      </c>
      <c r="R221" s="5">
        <v>59500</v>
      </c>
      <c r="S221" s="5">
        <v>26984.126984126982</v>
      </c>
      <c r="T221" s="5">
        <v>33806.818181818184</v>
      </c>
      <c r="U221" s="8">
        <v>-1.375</v>
      </c>
      <c r="Y221" s="5">
        <f t="shared" si="5"/>
        <v>59001</v>
      </c>
      <c r="Z221" s="5">
        <v>59500</v>
      </c>
      <c r="AA221" s="5">
        <f t="shared" si="3"/>
        <v>26984.126984126982</v>
      </c>
      <c r="AB221" s="5">
        <f t="shared" si="4"/>
        <v>33806.818181818184</v>
      </c>
      <c r="AC221" s="8">
        <v>-1.375</v>
      </c>
    </row>
    <row r="222" spans="17:29" x14ac:dyDescent="0.35">
      <c r="Q222" s="5">
        <v>59501</v>
      </c>
      <c r="R222" s="5">
        <v>60000</v>
      </c>
      <c r="S222" s="5">
        <v>27210.884353741494</v>
      </c>
      <c r="T222" s="5">
        <v>34090.909090909088</v>
      </c>
      <c r="U222" s="8">
        <v>-1.2</v>
      </c>
      <c r="Y222" s="5">
        <f t="shared" si="5"/>
        <v>59501</v>
      </c>
      <c r="Z222" s="5">
        <v>60000</v>
      </c>
      <c r="AA222" s="5">
        <f t="shared" si="3"/>
        <v>27210.884353741494</v>
      </c>
      <c r="AB222" s="5">
        <f t="shared" si="4"/>
        <v>34090.909090909088</v>
      </c>
      <c r="AC222" s="8">
        <v>-1.2</v>
      </c>
    </row>
    <row r="223" spans="17:29" x14ac:dyDescent="0.35">
      <c r="Q223" s="5">
        <v>60001</v>
      </c>
      <c r="R223" s="5">
        <v>60500</v>
      </c>
      <c r="S223" s="5">
        <v>27437.64172335601</v>
      </c>
      <c r="T223" s="5">
        <v>34375</v>
      </c>
      <c r="U223" s="8">
        <v>-1</v>
      </c>
      <c r="Y223" s="5">
        <f t="shared" si="5"/>
        <v>60001</v>
      </c>
      <c r="Z223" s="5">
        <v>60500</v>
      </c>
      <c r="AA223" s="5">
        <f t="shared" si="3"/>
        <v>27437.64172335601</v>
      </c>
      <c r="AB223" s="5">
        <f t="shared" si="4"/>
        <v>34375</v>
      </c>
      <c r="AC223" s="8">
        <v>-1</v>
      </c>
    </row>
    <row r="224" spans="17:29" x14ac:dyDescent="0.35">
      <c r="Q224" s="5">
        <v>60501</v>
      </c>
      <c r="R224" s="5">
        <v>61000</v>
      </c>
      <c r="S224" s="5">
        <v>27664.399092970521</v>
      </c>
      <c r="T224" s="5">
        <v>34659.090909090912</v>
      </c>
      <c r="U224" s="8">
        <v>-0.8</v>
      </c>
      <c r="Y224" s="5">
        <f t="shared" si="5"/>
        <v>60501</v>
      </c>
      <c r="Z224" s="5">
        <v>61000</v>
      </c>
      <c r="AA224" s="5">
        <f t="shared" si="3"/>
        <v>27664.399092970521</v>
      </c>
      <c r="AB224" s="5">
        <f t="shared" si="4"/>
        <v>34659.090909090912</v>
      </c>
      <c r="AC224" s="8">
        <v>-0.8</v>
      </c>
    </row>
    <row r="225" spans="17:29" x14ac:dyDescent="0.35">
      <c r="Q225" s="5">
        <v>61001</v>
      </c>
      <c r="R225" s="5">
        <v>61500</v>
      </c>
      <c r="S225" s="5">
        <v>27891.156462585033</v>
      </c>
      <c r="T225" s="5">
        <v>34943.181818181816</v>
      </c>
      <c r="U225" s="8">
        <v>-0.6</v>
      </c>
      <c r="Y225" s="5">
        <f t="shared" si="5"/>
        <v>61001</v>
      </c>
      <c r="Z225" s="5">
        <v>61500</v>
      </c>
      <c r="AA225" s="5">
        <f t="shared" si="3"/>
        <v>27891.156462585033</v>
      </c>
      <c r="AB225" s="5">
        <f t="shared" si="4"/>
        <v>34943.181818181816</v>
      </c>
      <c r="AC225" s="8">
        <v>-0.6</v>
      </c>
    </row>
    <row r="226" spans="17:29" x14ac:dyDescent="0.35">
      <c r="Q226" s="5">
        <v>61501</v>
      </c>
      <c r="R226" s="5">
        <v>62000</v>
      </c>
      <c r="S226" s="5">
        <v>28117.913832199545</v>
      </c>
      <c r="T226" s="5">
        <v>35227.272727272728</v>
      </c>
      <c r="U226" s="8">
        <v>-0.4</v>
      </c>
      <c r="Y226" s="5">
        <f t="shared" si="5"/>
        <v>61501</v>
      </c>
      <c r="Z226" s="5">
        <v>62000</v>
      </c>
      <c r="AA226" s="5">
        <f t="shared" si="3"/>
        <v>28117.913832199545</v>
      </c>
      <c r="AB226" s="5">
        <f t="shared" si="4"/>
        <v>35227.272727272728</v>
      </c>
      <c r="AC226" s="8">
        <v>-0.4</v>
      </c>
    </row>
    <row r="227" spans="17:29" x14ac:dyDescent="0.35">
      <c r="Q227" s="5">
        <v>62001</v>
      </c>
      <c r="R227" s="5">
        <v>62500</v>
      </c>
      <c r="S227" s="5">
        <v>28344.671201814057</v>
      </c>
      <c r="T227" s="5">
        <v>35511.36363636364</v>
      </c>
      <c r="U227" s="8">
        <v>-0.17499999999999999</v>
      </c>
      <c r="Y227" s="5">
        <f t="shared" si="5"/>
        <v>62001</v>
      </c>
      <c r="Z227" s="5">
        <v>62500</v>
      </c>
      <c r="AA227" s="5">
        <f t="shared" si="3"/>
        <v>28344.671201814057</v>
      </c>
      <c r="AB227" s="5">
        <f t="shared" si="4"/>
        <v>35511.36363636364</v>
      </c>
      <c r="AC227" s="8">
        <v>-0.17499999999999999</v>
      </c>
    </row>
    <row r="228" spans="17:29" x14ac:dyDescent="0.35">
      <c r="Q228" s="5">
        <v>62501</v>
      </c>
      <c r="R228" s="5">
        <v>63000</v>
      </c>
      <c r="S228" s="5">
        <v>28571.428571428569</v>
      </c>
      <c r="T228" s="5">
        <v>35795.454545454544</v>
      </c>
      <c r="U228" s="8">
        <v>0.05</v>
      </c>
      <c r="Y228" s="5">
        <f t="shared" si="5"/>
        <v>62501</v>
      </c>
      <c r="Z228" s="5">
        <v>63000</v>
      </c>
      <c r="AA228" s="5">
        <f t="shared" si="3"/>
        <v>28571.428571428569</v>
      </c>
      <c r="AB228" s="5">
        <f t="shared" si="4"/>
        <v>35795.454545454544</v>
      </c>
      <c r="AC228" s="8">
        <v>0.05</v>
      </c>
    </row>
    <row r="229" spans="17:29" x14ac:dyDescent="0.35">
      <c r="Q229" s="5">
        <v>63001</v>
      </c>
      <c r="R229" s="5">
        <v>63500</v>
      </c>
      <c r="S229" s="5">
        <v>28798.185941043084</v>
      </c>
      <c r="T229" s="5">
        <v>36079.545454545456</v>
      </c>
      <c r="U229" s="8">
        <v>0.27500000000000002</v>
      </c>
      <c r="Y229" s="5">
        <f t="shared" si="5"/>
        <v>63001</v>
      </c>
      <c r="Z229" s="5">
        <v>63500</v>
      </c>
      <c r="AA229" s="5">
        <f t="shared" si="3"/>
        <v>28798.185941043084</v>
      </c>
      <c r="AB229" s="5">
        <f t="shared" si="4"/>
        <v>36079.545454545456</v>
      </c>
      <c r="AC229" s="8">
        <v>0.27500000000000002</v>
      </c>
    </row>
    <row r="230" spans="17:29" x14ac:dyDescent="0.35">
      <c r="Q230" s="5">
        <v>63501</v>
      </c>
      <c r="R230" s="5">
        <v>64000</v>
      </c>
      <c r="S230" s="5">
        <v>29024.943310657596</v>
      </c>
      <c r="T230" s="5">
        <v>36363.63636363636</v>
      </c>
      <c r="U230" s="8">
        <v>0.5</v>
      </c>
      <c r="Y230" s="5">
        <f t="shared" si="5"/>
        <v>63501</v>
      </c>
      <c r="Z230" s="5">
        <v>64000</v>
      </c>
      <c r="AA230" s="5">
        <f t="shared" si="3"/>
        <v>29024.943310657596</v>
      </c>
      <c r="AB230" s="5">
        <f t="shared" si="4"/>
        <v>36363.63636363636</v>
      </c>
      <c r="AC230" s="8">
        <v>0.5</v>
      </c>
    </row>
    <row r="231" spans="17:29" x14ac:dyDescent="0.35">
      <c r="Q231" s="5">
        <v>64001</v>
      </c>
      <c r="R231" s="5">
        <v>64500</v>
      </c>
      <c r="S231" s="5">
        <v>29251.700680272108</v>
      </c>
      <c r="T231" s="5">
        <v>36647.727272727272</v>
      </c>
      <c r="U231" s="8">
        <v>0.75</v>
      </c>
      <c r="Y231" s="5">
        <f t="shared" si="5"/>
        <v>64001</v>
      </c>
      <c r="Z231" s="5">
        <v>64500</v>
      </c>
      <c r="AA231" s="5">
        <f t="shared" si="3"/>
        <v>29251.700680272108</v>
      </c>
      <c r="AB231" s="5">
        <f t="shared" si="4"/>
        <v>36647.727272727272</v>
      </c>
      <c r="AC231" s="8">
        <v>0.75</v>
      </c>
    </row>
    <row r="232" spans="17:29" x14ac:dyDescent="0.35">
      <c r="Q232" s="5">
        <v>64501</v>
      </c>
      <c r="R232" s="5">
        <v>65000</v>
      </c>
      <c r="S232" s="5">
        <v>29478.45804988662</v>
      </c>
      <c r="T232" s="5">
        <v>36931.818181818184</v>
      </c>
      <c r="U232" s="8">
        <v>1</v>
      </c>
      <c r="Y232" s="5">
        <f t="shared" si="5"/>
        <v>64501</v>
      </c>
      <c r="Z232" s="5">
        <v>65000</v>
      </c>
      <c r="AA232" s="5">
        <f t="shared" ref="AA232:AA295" si="6">Z232/2.205</f>
        <v>29478.45804988662</v>
      </c>
      <c r="AB232" s="5">
        <f t="shared" ref="AB232:AB295" si="7">Z232/1.76</f>
        <v>36931.818181818184</v>
      </c>
      <c r="AC232" s="8">
        <v>1</v>
      </c>
    </row>
    <row r="233" spans="17:29" x14ac:dyDescent="0.35">
      <c r="Q233" s="5">
        <v>65001</v>
      </c>
      <c r="R233" s="5">
        <v>65500</v>
      </c>
      <c r="S233" s="5">
        <v>29705.215419501132</v>
      </c>
      <c r="T233" s="5">
        <v>37215.909090909088</v>
      </c>
      <c r="U233" s="8">
        <v>1.25</v>
      </c>
      <c r="Y233" s="5">
        <f t="shared" ref="Y233:Y296" si="8">Z232+1</f>
        <v>65001</v>
      </c>
      <c r="Z233" s="5">
        <v>65500</v>
      </c>
      <c r="AA233" s="5">
        <f t="shared" si="6"/>
        <v>29705.215419501132</v>
      </c>
      <c r="AB233" s="5">
        <f t="shared" si="7"/>
        <v>37215.909090909088</v>
      </c>
      <c r="AC233" s="8">
        <v>1.25</v>
      </c>
    </row>
    <row r="234" spans="17:29" x14ac:dyDescent="0.35">
      <c r="Q234" s="5">
        <v>65501</v>
      </c>
      <c r="R234" s="5">
        <v>66000</v>
      </c>
      <c r="S234" s="5">
        <v>29931.972789115644</v>
      </c>
      <c r="T234" s="5">
        <v>37500</v>
      </c>
      <c r="U234" s="8">
        <v>1.5</v>
      </c>
      <c r="Y234" s="5">
        <f t="shared" si="8"/>
        <v>65501</v>
      </c>
      <c r="Z234" s="5">
        <v>66000</v>
      </c>
      <c r="AA234" s="5">
        <f t="shared" si="6"/>
        <v>29931.972789115644</v>
      </c>
      <c r="AB234" s="5">
        <f t="shared" si="7"/>
        <v>37500</v>
      </c>
      <c r="AC234" s="8">
        <v>1.5</v>
      </c>
    </row>
    <row r="235" spans="17:29" x14ac:dyDescent="0.35">
      <c r="Q235" s="5">
        <v>66001</v>
      </c>
      <c r="R235" s="5">
        <v>66500</v>
      </c>
      <c r="S235" s="5">
        <v>30158.730158730159</v>
      </c>
      <c r="T235" s="5">
        <v>37784.090909090912</v>
      </c>
      <c r="U235" s="8">
        <v>1.7749999999999999</v>
      </c>
      <c r="Y235" s="5">
        <f t="shared" si="8"/>
        <v>66001</v>
      </c>
      <c r="Z235" s="5">
        <v>66500</v>
      </c>
      <c r="AA235" s="5">
        <f t="shared" si="6"/>
        <v>30158.730158730159</v>
      </c>
      <c r="AB235" s="5">
        <f t="shared" si="7"/>
        <v>37784.090909090912</v>
      </c>
      <c r="AC235" s="8">
        <v>1.7749999999999999</v>
      </c>
    </row>
    <row r="236" spans="17:29" x14ac:dyDescent="0.35">
      <c r="Q236" s="5">
        <v>66501</v>
      </c>
      <c r="R236" s="5">
        <v>67000</v>
      </c>
      <c r="S236" s="5">
        <v>30385.487528344671</v>
      </c>
      <c r="T236" s="5">
        <v>38068.181818181816</v>
      </c>
      <c r="U236" s="8">
        <v>2.0499999999999998</v>
      </c>
      <c r="Y236" s="5">
        <f t="shared" si="8"/>
        <v>66501</v>
      </c>
      <c r="Z236" s="5">
        <v>67000</v>
      </c>
      <c r="AA236" s="5">
        <f t="shared" si="6"/>
        <v>30385.487528344671</v>
      </c>
      <c r="AB236" s="5">
        <f t="shared" si="7"/>
        <v>38068.181818181816</v>
      </c>
      <c r="AC236" s="8">
        <v>2.0499999999999998</v>
      </c>
    </row>
    <row r="237" spans="17:29" x14ac:dyDescent="0.35">
      <c r="Q237" s="5">
        <v>67001</v>
      </c>
      <c r="R237" s="5">
        <v>67500</v>
      </c>
      <c r="S237" s="5">
        <v>30612.244897959183</v>
      </c>
      <c r="T237" s="5">
        <v>38352.272727272728</v>
      </c>
      <c r="U237" s="8">
        <v>2.3250000000000002</v>
      </c>
      <c r="Y237" s="5">
        <f t="shared" si="8"/>
        <v>67001</v>
      </c>
      <c r="Z237" s="5">
        <v>67500</v>
      </c>
      <c r="AA237" s="5">
        <f t="shared" si="6"/>
        <v>30612.244897959183</v>
      </c>
      <c r="AB237" s="5">
        <f t="shared" si="7"/>
        <v>38352.272727272728</v>
      </c>
      <c r="AC237" s="8">
        <v>2.3250000000000002</v>
      </c>
    </row>
    <row r="238" spans="17:29" x14ac:dyDescent="0.35">
      <c r="Q238" s="5">
        <v>67501</v>
      </c>
      <c r="R238" s="5">
        <v>68000</v>
      </c>
      <c r="S238" s="5">
        <v>30839.002267573695</v>
      </c>
      <c r="T238" s="5">
        <v>38636.36363636364</v>
      </c>
      <c r="U238" s="8">
        <v>2.6</v>
      </c>
      <c r="Y238" s="5">
        <f t="shared" si="8"/>
        <v>67501</v>
      </c>
      <c r="Z238" s="5">
        <v>68000</v>
      </c>
      <c r="AA238" s="5">
        <f t="shared" si="6"/>
        <v>30839.002267573695</v>
      </c>
      <c r="AB238" s="5">
        <f t="shared" si="7"/>
        <v>38636.36363636364</v>
      </c>
      <c r="AC238" s="8">
        <v>2.6</v>
      </c>
    </row>
    <row r="239" spans="17:29" x14ac:dyDescent="0.35">
      <c r="Q239" s="5">
        <v>68001</v>
      </c>
      <c r="R239" s="5">
        <v>68500</v>
      </c>
      <c r="S239" s="5">
        <v>31065.759637188206</v>
      </c>
      <c r="T239" s="5">
        <v>38920.454545454544</v>
      </c>
      <c r="U239" s="8">
        <v>2.9</v>
      </c>
      <c r="Y239" s="5">
        <f t="shared" si="8"/>
        <v>68001</v>
      </c>
      <c r="Z239" s="5">
        <v>68500</v>
      </c>
      <c r="AA239" s="5">
        <f t="shared" si="6"/>
        <v>31065.759637188206</v>
      </c>
      <c r="AB239" s="5">
        <f t="shared" si="7"/>
        <v>38920.454545454544</v>
      </c>
      <c r="AC239" s="8">
        <v>2.9</v>
      </c>
    </row>
    <row r="240" spans="17:29" x14ac:dyDescent="0.35">
      <c r="Q240" s="5">
        <v>68501</v>
      </c>
      <c r="R240" s="5">
        <v>69000</v>
      </c>
      <c r="S240" s="5">
        <v>31292.517006802722</v>
      </c>
      <c r="T240" s="5">
        <v>39204.545454545456</v>
      </c>
      <c r="U240" s="8">
        <v>3.2</v>
      </c>
      <c r="Y240" s="5">
        <f t="shared" si="8"/>
        <v>68501</v>
      </c>
      <c r="Z240" s="5">
        <v>69000</v>
      </c>
      <c r="AA240" s="5">
        <f t="shared" si="6"/>
        <v>31292.517006802722</v>
      </c>
      <c r="AB240" s="5">
        <f t="shared" si="7"/>
        <v>39204.545454545456</v>
      </c>
      <c r="AC240" s="8">
        <v>3.2</v>
      </c>
    </row>
    <row r="241" spans="17:29" x14ac:dyDescent="0.35">
      <c r="Q241" s="5">
        <v>69001</v>
      </c>
      <c r="R241" s="5">
        <v>69500</v>
      </c>
      <c r="S241" s="5">
        <v>31519.274376417234</v>
      </c>
      <c r="T241" s="5">
        <v>39488.63636363636</v>
      </c>
      <c r="U241" s="8">
        <v>3.5</v>
      </c>
      <c r="Y241" s="5">
        <f t="shared" si="8"/>
        <v>69001</v>
      </c>
      <c r="Z241" s="5">
        <v>69500</v>
      </c>
      <c r="AA241" s="5">
        <f t="shared" si="6"/>
        <v>31519.274376417234</v>
      </c>
      <c r="AB241" s="5">
        <f t="shared" si="7"/>
        <v>39488.63636363636</v>
      </c>
      <c r="AC241" s="8">
        <v>3.5</v>
      </c>
    </row>
    <row r="242" spans="17:29" x14ac:dyDescent="0.35">
      <c r="Q242" s="5">
        <v>69501</v>
      </c>
      <c r="R242" s="5">
        <v>70000</v>
      </c>
      <c r="S242" s="5">
        <v>31746.031746031746</v>
      </c>
      <c r="T242" s="5">
        <v>39772.727272727272</v>
      </c>
      <c r="U242" s="8">
        <v>3.8</v>
      </c>
      <c r="Y242" s="5">
        <f t="shared" si="8"/>
        <v>69501</v>
      </c>
      <c r="Z242" s="5">
        <v>70000</v>
      </c>
      <c r="AA242" s="5">
        <f t="shared" si="6"/>
        <v>31746.031746031746</v>
      </c>
      <c r="AB242" s="5">
        <f t="shared" si="7"/>
        <v>39772.727272727272</v>
      </c>
      <c r="AC242" s="8">
        <v>3.8</v>
      </c>
    </row>
    <row r="243" spans="17:29" x14ac:dyDescent="0.35">
      <c r="Q243" s="5">
        <v>70001</v>
      </c>
      <c r="R243" s="5">
        <v>70500</v>
      </c>
      <c r="S243" s="5">
        <v>31972.789115646257</v>
      </c>
      <c r="T243" s="5">
        <v>40056.818181818184</v>
      </c>
      <c r="U243" s="8">
        <v>4.125</v>
      </c>
      <c r="Y243" s="5">
        <f t="shared" si="8"/>
        <v>70001</v>
      </c>
      <c r="Z243" s="5">
        <v>70500</v>
      </c>
      <c r="AA243" s="5">
        <f t="shared" si="6"/>
        <v>31972.789115646257</v>
      </c>
      <c r="AB243" s="5">
        <f t="shared" si="7"/>
        <v>40056.818181818184</v>
      </c>
      <c r="AC243" s="8">
        <v>4.125</v>
      </c>
    </row>
    <row r="244" spans="17:29" x14ac:dyDescent="0.35">
      <c r="Q244" s="5">
        <v>70501</v>
      </c>
      <c r="R244" s="5">
        <v>71000</v>
      </c>
      <c r="S244" s="5">
        <v>32199.546485260769</v>
      </c>
      <c r="T244" s="5">
        <v>40340.909090909088</v>
      </c>
      <c r="U244" s="8">
        <v>4.45</v>
      </c>
      <c r="Y244" s="5">
        <f t="shared" si="8"/>
        <v>70501</v>
      </c>
      <c r="Z244" s="5">
        <v>71000</v>
      </c>
      <c r="AA244" s="5">
        <f t="shared" si="6"/>
        <v>32199.546485260769</v>
      </c>
      <c r="AB244" s="5">
        <f t="shared" si="7"/>
        <v>40340.909090909088</v>
      </c>
      <c r="AC244" s="8">
        <v>4.45</v>
      </c>
    </row>
    <row r="245" spans="17:29" x14ac:dyDescent="0.35">
      <c r="Q245" s="5">
        <v>71001</v>
      </c>
      <c r="R245" s="5">
        <v>71500</v>
      </c>
      <c r="S245" s="5">
        <v>32426.303854875281</v>
      </c>
      <c r="T245" s="5">
        <v>40625</v>
      </c>
      <c r="U245" s="8">
        <v>4.7750000000000004</v>
      </c>
      <c r="Y245" s="5">
        <f t="shared" si="8"/>
        <v>71001</v>
      </c>
      <c r="Z245" s="5">
        <v>71500</v>
      </c>
      <c r="AA245" s="5">
        <f t="shared" si="6"/>
        <v>32426.303854875281</v>
      </c>
      <c r="AB245" s="5">
        <f t="shared" si="7"/>
        <v>40625</v>
      </c>
      <c r="AC245" s="8">
        <v>4.7750000000000004</v>
      </c>
    </row>
    <row r="246" spans="17:29" x14ac:dyDescent="0.35">
      <c r="Q246" s="5">
        <v>71501</v>
      </c>
      <c r="R246" s="5">
        <v>72000</v>
      </c>
      <c r="S246" s="5">
        <v>32653.061224489797</v>
      </c>
      <c r="T246" s="5">
        <v>40909.090909090912</v>
      </c>
      <c r="U246" s="8">
        <v>5.0999999999999996</v>
      </c>
      <c r="Y246" s="5">
        <f t="shared" si="8"/>
        <v>71501</v>
      </c>
      <c r="Z246" s="5">
        <v>72000</v>
      </c>
      <c r="AA246" s="5">
        <f t="shared" si="6"/>
        <v>32653.061224489797</v>
      </c>
      <c r="AB246" s="5">
        <f t="shared" si="7"/>
        <v>40909.090909090912</v>
      </c>
      <c r="AC246" s="8">
        <v>5.0999999999999996</v>
      </c>
    </row>
    <row r="247" spans="17:29" x14ac:dyDescent="0.35">
      <c r="Q247" s="5">
        <v>72001</v>
      </c>
      <c r="R247" s="5">
        <v>72500</v>
      </c>
      <c r="S247" s="5">
        <v>32879.818594104305</v>
      </c>
      <c r="T247" s="5">
        <v>41193.181818181816</v>
      </c>
      <c r="U247" s="8">
        <v>5.45</v>
      </c>
      <c r="Y247" s="5">
        <f t="shared" si="8"/>
        <v>72001</v>
      </c>
      <c r="Z247" s="5">
        <v>72500</v>
      </c>
      <c r="AA247" s="5">
        <f t="shared" si="6"/>
        <v>32879.818594104305</v>
      </c>
      <c r="AB247" s="5">
        <f t="shared" si="7"/>
        <v>41193.181818181816</v>
      </c>
      <c r="AC247" s="8">
        <v>5.45</v>
      </c>
    </row>
    <row r="248" spans="17:29" x14ac:dyDescent="0.35">
      <c r="Q248" s="5">
        <v>72501</v>
      </c>
      <c r="R248" s="5">
        <v>73000</v>
      </c>
      <c r="S248" s="5">
        <v>33106.575963718817</v>
      </c>
      <c r="T248" s="5">
        <v>41477.272727272728</v>
      </c>
      <c r="U248" s="8">
        <v>5.8</v>
      </c>
      <c r="Y248" s="5">
        <f t="shared" si="8"/>
        <v>72501</v>
      </c>
      <c r="Z248" s="5">
        <v>73000</v>
      </c>
      <c r="AA248" s="5">
        <f t="shared" si="6"/>
        <v>33106.575963718817</v>
      </c>
      <c r="AB248" s="5">
        <f t="shared" si="7"/>
        <v>41477.272727272728</v>
      </c>
      <c r="AC248" s="8">
        <v>5.8</v>
      </c>
    </row>
    <row r="249" spans="17:29" x14ac:dyDescent="0.35">
      <c r="Q249" s="5">
        <v>73001</v>
      </c>
      <c r="R249" s="5">
        <v>73500</v>
      </c>
      <c r="S249" s="5">
        <v>33333.333333333336</v>
      </c>
      <c r="T249" s="5">
        <v>41761.36363636364</v>
      </c>
      <c r="U249" s="8">
        <v>6.15</v>
      </c>
      <c r="Y249" s="5">
        <f t="shared" si="8"/>
        <v>73001</v>
      </c>
      <c r="Z249" s="5">
        <v>73500</v>
      </c>
      <c r="AA249" s="5">
        <f t="shared" si="6"/>
        <v>33333.333333333336</v>
      </c>
      <c r="AB249" s="5">
        <f t="shared" si="7"/>
        <v>41761.36363636364</v>
      </c>
      <c r="AC249" s="8">
        <v>6.15</v>
      </c>
    </row>
    <row r="250" spans="17:29" x14ac:dyDescent="0.35">
      <c r="Q250" s="5">
        <v>73501</v>
      </c>
      <c r="R250" s="5">
        <v>74000</v>
      </c>
      <c r="S250" s="5">
        <v>33560.090702947848</v>
      </c>
      <c r="T250" s="5">
        <v>42045.454545454544</v>
      </c>
      <c r="U250" s="8">
        <v>6.5</v>
      </c>
      <c r="Y250" s="5">
        <f t="shared" si="8"/>
        <v>73501</v>
      </c>
      <c r="Z250" s="5">
        <v>74000</v>
      </c>
      <c r="AA250" s="5">
        <f t="shared" si="6"/>
        <v>33560.090702947848</v>
      </c>
      <c r="AB250" s="5">
        <f t="shared" si="7"/>
        <v>42045.454545454544</v>
      </c>
      <c r="AC250" s="8">
        <v>6.5</v>
      </c>
    </row>
    <row r="251" spans="17:29" x14ac:dyDescent="0.35">
      <c r="Q251" s="5">
        <v>74001</v>
      </c>
      <c r="R251" s="5">
        <v>74500</v>
      </c>
      <c r="S251" s="5">
        <v>33786.848072562359</v>
      </c>
      <c r="T251" s="5">
        <v>42329.545454545456</v>
      </c>
      <c r="U251" s="8">
        <v>6.9</v>
      </c>
      <c r="Y251" s="5">
        <f t="shared" si="8"/>
        <v>74001</v>
      </c>
      <c r="Z251" s="5">
        <v>74500</v>
      </c>
      <c r="AA251" s="5">
        <f t="shared" si="6"/>
        <v>33786.848072562359</v>
      </c>
      <c r="AB251" s="5">
        <f t="shared" si="7"/>
        <v>42329.545454545456</v>
      </c>
      <c r="AC251" s="8">
        <v>6.9</v>
      </c>
    </row>
    <row r="252" spans="17:29" x14ac:dyDescent="0.35">
      <c r="Q252" s="5">
        <v>74501</v>
      </c>
      <c r="R252" s="5">
        <v>75000</v>
      </c>
      <c r="S252" s="5">
        <v>34013.605442176871</v>
      </c>
      <c r="T252" s="5">
        <v>42613.63636363636</v>
      </c>
      <c r="U252" s="8">
        <v>7.3</v>
      </c>
      <c r="Y252" s="5">
        <f t="shared" si="8"/>
        <v>74501</v>
      </c>
      <c r="Z252" s="5">
        <v>75000</v>
      </c>
      <c r="AA252" s="5">
        <f t="shared" si="6"/>
        <v>34013.605442176871</v>
      </c>
      <c r="AB252" s="5">
        <f t="shared" si="7"/>
        <v>42613.63636363636</v>
      </c>
      <c r="AC252" s="8">
        <v>7.3</v>
      </c>
    </row>
    <row r="253" spans="17:29" x14ac:dyDescent="0.35">
      <c r="Q253" s="5">
        <v>75001</v>
      </c>
      <c r="R253" s="5">
        <v>75500</v>
      </c>
      <c r="S253" s="5">
        <v>34240.362811791383</v>
      </c>
      <c r="T253" s="5">
        <v>42897.727272727272</v>
      </c>
      <c r="U253" s="8">
        <v>7.7</v>
      </c>
      <c r="Y253" s="5">
        <f t="shared" si="8"/>
        <v>75001</v>
      </c>
      <c r="Z253" s="5">
        <v>75500</v>
      </c>
      <c r="AA253" s="5">
        <f t="shared" si="6"/>
        <v>34240.362811791383</v>
      </c>
      <c r="AB253" s="5">
        <f t="shared" si="7"/>
        <v>42897.727272727272</v>
      </c>
      <c r="AC253" s="8">
        <v>7.7</v>
      </c>
    </row>
    <row r="254" spans="17:29" x14ac:dyDescent="0.35">
      <c r="Q254" s="5">
        <v>75501</v>
      </c>
      <c r="R254" s="5">
        <v>76000</v>
      </c>
      <c r="S254" s="5">
        <v>34467.120181405895</v>
      </c>
      <c r="T254" s="5">
        <v>43181.818181818184</v>
      </c>
      <c r="U254" s="8">
        <v>8.1</v>
      </c>
      <c r="Y254" s="5">
        <f t="shared" si="8"/>
        <v>75501</v>
      </c>
      <c r="Z254" s="5">
        <v>76000</v>
      </c>
      <c r="AA254" s="5">
        <f t="shared" si="6"/>
        <v>34467.120181405895</v>
      </c>
      <c r="AB254" s="5">
        <f t="shared" si="7"/>
        <v>43181.818181818184</v>
      </c>
      <c r="AC254" s="8">
        <v>8.1</v>
      </c>
    </row>
    <row r="255" spans="17:29" x14ac:dyDescent="0.35">
      <c r="Q255" s="5">
        <v>76001</v>
      </c>
      <c r="R255" s="5">
        <v>76500</v>
      </c>
      <c r="S255" s="5">
        <v>34693.877551020407</v>
      </c>
      <c r="T255" s="5">
        <v>43465.909090909088</v>
      </c>
      <c r="U255" s="8">
        <v>8.5250000000000004</v>
      </c>
      <c r="Y255" s="5">
        <f t="shared" si="8"/>
        <v>76001</v>
      </c>
      <c r="Z255" s="5">
        <v>76500</v>
      </c>
      <c r="AA255" s="5">
        <f t="shared" si="6"/>
        <v>34693.877551020407</v>
      </c>
      <c r="AB255" s="5">
        <f t="shared" si="7"/>
        <v>43465.909090909088</v>
      </c>
      <c r="AC255" s="8">
        <v>8.5250000000000004</v>
      </c>
    </row>
    <row r="256" spans="17:29" x14ac:dyDescent="0.35">
      <c r="Q256" s="5">
        <v>76501</v>
      </c>
      <c r="R256" s="5">
        <v>77000</v>
      </c>
      <c r="S256" s="5">
        <v>34920.634920634919</v>
      </c>
      <c r="T256" s="5">
        <v>43750</v>
      </c>
      <c r="U256" s="8">
        <v>8.9499999999999993</v>
      </c>
      <c r="Y256" s="5">
        <f t="shared" si="8"/>
        <v>76501</v>
      </c>
      <c r="Z256" s="5">
        <v>77000</v>
      </c>
      <c r="AA256" s="5">
        <f t="shared" si="6"/>
        <v>34920.634920634919</v>
      </c>
      <c r="AB256" s="5">
        <f t="shared" si="7"/>
        <v>43750</v>
      </c>
      <c r="AC256" s="8">
        <v>8.9499999999999993</v>
      </c>
    </row>
    <row r="257" spans="17:29" x14ac:dyDescent="0.35">
      <c r="Q257" s="5">
        <v>77001</v>
      </c>
      <c r="R257" s="5">
        <v>77500</v>
      </c>
      <c r="S257" s="5">
        <v>35147.392290249431</v>
      </c>
      <c r="T257" s="5">
        <v>44034.090909090912</v>
      </c>
      <c r="U257" s="8">
        <v>9.375</v>
      </c>
      <c r="Y257" s="5">
        <f t="shared" si="8"/>
        <v>77001</v>
      </c>
      <c r="Z257" s="5">
        <v>77500</v>
      </c>
      <c r="AA257" s="5">
        <f t="shared" si="6"/>
        <v>35147.392290249431</v>
      </c>
      <c r="AB257" s="5">
        <f t="shared" si="7"/>
        <v>44034.090909090912</v>
      </c>
      <c r="AC257" s="8">
        <v>9.375</v>
      </c>
    </row>
    <row r="258" spans="17:29" x14ac:dyDescent="0.35">
      <c r="Q258" s="5">
        <v>77501</v>
      </c>
      <c r="R258" s="5">
        <v>78000</v>
      </c>
      <c r="S258" s="5">
        <v>35374.149659863942</v>
      </c>
      <c r="T258" s="5">
        <v>44318.181818181816</v>
      </c>
      <c r="U258" s="8">
        <v>9.8000000000000007</v>
      </c>
      <c r="Y258" s="5">
        <f t="shared" si="8"/>
        <v>77501</v>
      </c>
      <c r="Z258" s="5">
        <v>78000</v>
      </c>
      <c r="AA258" s="5">
        <f t="shared" si="6"/>
        <v>35374.149659863942</v>
      </c>
      <c r="AB258" s="5">
        <f t="shared" si="7"/>
        <v>44318.181818181816</v>
      </c>
      <c r="AC258" s="8">
        <v>9.8000000000000007</v>
      </c>
    </row>
    <row r="259" spans="17:29" x14ac:dyDescent="0.35">
      <c r="Q259" s="5">
        <v>78001</v>
      </c>
      <c r="R259" s="5">
        <v>78500</v>
      </c>
      <c r="S259" s="5">
        <v>35600.907029478454</v>
      </c>
      <c r="T259" s="5">
        <v>44602.272727272728</v>
      </c>
      <c r="U259" s="8">
        <v>10.25</v>
      </c>
      <c r="Y259" s="5">
        <f t="shared" si="8"/>
        <v>78001</v>
      </c>
      <c r="Z259" s="5">
        <v>78500</v>
      </c>
      <c r="AA259" s="5">
        <f t="shared" si="6"/>
        <v>35600.907029478454</v>
      </c>
      <c r="AB259" s="5">
        <f t="shared" si="7"/>
        <v>44602.272727272728</v>
      </c>
      <c r="AC259" s="8">
        <v>10.25</v>
      </c>
    </row>
    <row r="260" spans="17:29" x14ac:dyDescent="0.35">
      <c r="Q260" s="5">
        <v>78501</v>
      </c>
      <c r="R260" s="5">
        <v>79000</v>
      </c>
      <c r="S260" s="5">
        <v>35827.664399092966</v>
      </c>
      <c r="T260" s="5">
        <v>44886.36363636364</v>
      </c>
      <c r="U260" s="8">
        <v>10.7</v>
      </c>
      <c r="Y260" s="5">
        <f t="shared" si="8"/>
        <v>78501</v>
      </c>
      <c r="Z260" s="5">
        <v>79000</v>
      </c>
      <c r="AA260" s="5">
        <f t="shared" si="6"/>
        <v>35827.664399092966</v>
      </c>
      <c r="AB260" s="5">
        <f t="shared" si="7"/>
        <v>44886.36363636364</v>
      </c>
      <c r="AC260" s="8">
        <v>10.7</v>
      </c>
    </row>
    <row r="261" spans="17:29" x14ac:dyDescent="0.35">
      <c r="Q261" s="5">
        <v>79001</v>
      </c>
      <c r="R261" s="5">
        <v>79500</v>
      </c>
      <c r="S261" s="5">
        <v>36054.421768707485</v>
      </c>
      <c r="T261" s="5">
        <v>45170.454545454544</v>
      </c>
      <c r="U261" s="8">
        <v>11.15</v>
      </c>
      <c r="Y261" s="5">
        <f t="shared" si="8"/>
        <v>79001</v>
      </c>
      <c r="Z261" s="5">
        <v>79500</v>
      </c>
      <c r="AA261" s="5">
        <f t="shared" si="6"/>
        <v>36054.421768707485</v>
      </c>
      <c r="AB261" s="5">
        <f t="shared" si="7"/>
        <v>45170.454545454544</v>
      </c>
      <c r="AC261" s="8">
        <v>11.15</v>
      </c>
    </row>
    <row r="262" spans="17:29" x14ac:dyDescent="0.35">
      <c r="Q262" s="5">
        <v>79501</v>
      </c>
      <c r="R262" s="5">
        <v>80000</v>
      </c>
      <c r="S262" s="5">
        <v>36281.179138321997</v>
      </c>
      <c r="T262" s="5">
        <v>45454.545454545456</v>
      </c>
      <c r="U262" s="8">
        <v>11.6</v>
      </c>
      <c r="Y262" s="5">
        <f t="shared" si="8"/>
        <v>79501</v>
      </c>
      <c r="Z262" s="5">
        <v>80000</v>
      </c>
      <c r="AA262" s="5">
        <f t="shared" si="6"/>
        <v>36281.179138321997</v>
      </c>
      <c r="AB262" s="5">
        <f t="shared" si="7"/>
        <v>45454.545454545456</v>
      </c>
      <c r="AC262" s="8">
        <v>11.6</v>
      </c>
    </row>
    <row r="263" spans="17:29" x14ac:dyDescent="0.35">
      <c r="Q263" s="5">
        <v>80001</v>
      </c>
      <c r="R263" s="5">
        <v>80500</v>
      </c>
      <c r="S263" s="5">
        <v>36507.936507936509</v>
      </c>
      <c r="T263" s="5">
        <v>45738.63636363636</v>
      </c>
      <c r="U263" s="8">
        <v>12.1</v>
      </c>
      <c r="Y263" s="5">
        <f t="shared" si="8"/>
        <v>80001</v>
      </c>
      <c r="Z263" s="5">
        <v>80500</v>
      </c>
      <c r="AA263" s="5">
        <f t="shared" si="6"/>
        <v>36507.936507936509</v>
      </c>
      <c r="AB263" s="5">
        <f t="shared" si="7"/>
        <v>45738.63636363636</v>
      </c>
      <c r="AC263" s="8">
        <v>12.1</v>
      </c>
    </row>
    <row r="264" spans="17:29" x14ac:dyDescent="0.35">
      <c r="Q264" s="5">
        <v>80501</v>
      </c>
      <c r="R264" s="5">
        <v>81000</v>
      </c>
      <c r="S264" s="5">
        <v>36734.693877551021</v>
      </c>
      <c r="T264" s="5">
        <v>46022.727272727272</v>
      </c>
      <c r="U264" s="8">
        <v>12.6</v>
      </c>
      <c r="Y264" s="5">
        <f t="shared" si="8"/>
        <v>80501</v>
      </c>
      <c r="Z264" s="5">
        <v>81000</v>
      </c>
      <c r="AA264" s="5">
        <f t="shared" si="6"/>
        <v>36734.693877551021</v>
      </c>
      <c r="AB264" s="5">
        <f t="shared" si="7"/>
        <v>46022.727272727272</v>
      </c>
      <c r="AC264" s="8">
        <v>12.6</v>
      </c>
    </row>
    <row r="265" spans="17:29" x14ac:dyDescent="0.35">
      <c r="Q265" s="5">
        <v>81001</v>
      </c>
      <c r="R265" s="5">
        <v>81500</v>
      </c>
      <c r="S265" s="5">
        <v>36961.451247165533</v>
      </c>
      <c r="T265" s="5">
        <v>46306.818181818184</v>
      </c>
      <c r="U265" s="8">
        <v>13.1</v>
      </c>
      <c r="Y265" s="5">
        <f t="shared" si="8"/>
        <v>81001</v>
      </c>
      <c r="Z265" s="5">
        <v>81500</v>
      </c>
      <c r="AA265" s="5">
        <f t="shared" si="6"/>
        <v>36961.451247165533</v>
      </c>
      <c r="AB265" s="5">
        <f t="shared" si="7"/>
        <v>46306.818181818184</v>
      </c>
      <c r="AC265" s="8">
        <v>13.1</v>
      </c>
    </row>
    <row r="266" spans="17:29" x14ac:dyDescent="0.35">
      <c r="Q266" s="5">
        <v>81501</v>
      </c>
      <c r="R266" s="5">
        <v>82000</v>
      </c>
      <c r="S266" s="5">
        <v>37188.208616780044</v>
      </c>
      <c r="T266" s="5">
        <v>46590.909090909088</v>
      </c>
      <c r="U266" s="8">
        <v>13.6</v>
      </c>
      <c r="Y266" s="5">
        <f t="shared" si="8"/>
        <v>81501</v>
      </c>
      <c r="Z266" s="5">
        <v>82000</v>
      </c>
      <c r="AA266" s="5">
        <f t="shared" si="6"/>
        <v>37188.208616780044</v>
      </c>
      <c r="AB266" s="5">
        <f t="shared" si="7"/>
        <v>46590.909090909088</v>
      </c>
      <c r="AC266" s="8">
        <v>13.6</v>
      </c>
    </row>
    <row r="267" spans="17:29" x14ac:dyDescent="0.35">
      <c r="Q267" s="5">
        <v>82001</v>
      </c>
      <c r="R267" s="5">
        <v>82500</v>
      </c>
      <c r="S267" s="5">
        <v>37414.965986394556</v>
      </c>
      <c r="T267" s="5">
        <v>46875</v>
      </c>
      <c r="U267" s="8">
        <v>14.15</v>
      </c>
      <c r="Y267" s="5">
        <f t="shared" si="8"/>
        <v>82001</v>
      </c>
      <c r="Z267" s="5">
        <v>82500</v>
      </c>
      <c r="AA267" s="5">
        <f t="shared" si="6"/>
        <v>37414.965986394556</v>
      </c>
      <c r="AB267" s="5">
        <f t="shared" si="7"/>
        <v>46875</v>
      </c>
      <c r="AC267" s="8">
        <v>14.15</v>
      </c>
    </row>
    <row r="268" spans="17:29" x14ac:dyDescent="0.35">
      <c r="Q268" s="5">
        <v>82501</v>
      </c>
      <c r="R268" s="5">
        <v>83000</v>
      </c>
      <c r="S268" s="5">
        <v>37641.723356009068</v>
      </c>
      <c r="T268" s="5">
        <v>47159.090909090912</v>
      </c>
      <c r="U268" s="8">
        <v>14.7</v>
      </c>
      <c r="Y268" s="5">
        <f t="shared" si="8"/>
        <v>82501</v>
      </c>
      <c r="Z268" s="5">
        <v>83000</v>
      </c>
      <c r="AA268" s="5">
        <f t="shared" si="6"/>
        <v>37641.723356009068</v>
      </c>
      <c r="AB268" s="5">
        <f t="shared" si="7"/>
        <v>47159.090909090912</v>
      </c>
      <c r="AC268" s="8">
        <v>14.7</v>
      </c>
    </row>
    <row r="269" spans="17:29" x14ac:dyDescent="0.35">
      <c r="Q269" s="5">
        <v>83001</v>
      </c>
      <c r="R269" s="5">
        <v>83500</v>
      </c>
      <c r="S269" s="5">
        <v>37868.48072562358</v>
      </c>
      <c r="T269" s="5">
        <v>47443.181818181816</v>
      </c>
      <c r="U269" s="8">
        <v>15.25</v>
      </c>
      <c r="Y269" s="5">
        <f t="shared" si="8"/>
        <v>83001</v>
      </c>
      <c r="Z269" s="5">
        <v>83500</v>
      </c>
      <c r="AA269" s="5">
        <f t="shared" si="6"/>
        <v>37868.48072562358</v>
      </c>
      <c r="AB269" s="5">
        <f t="shared" si="7"/>
        <v>47443.181818181816</v>
      </c>
      <c r="AC269" s="8">
        <v>15.25</v>
      </c>
    </row>
    <row r="270" spans="17:29" x14ac:dyDescent="0.35">
      <c r="Q270" s="5">
        <v>83501</v>
      </c>
      <c r="R270" s="5">
        <v>84000</v>
      </c>
      <c r="S270" s="5">
        <v>38095.238095238092</v>
      </c>
      <c r="T270" s="5">
        <v>47727.272727272728</v>
      </c>
      <c r="U270" s="8">
        <v>15.8</v>
      </c>
      <c r="Y270" s="5">
        <f t="shared" si="8"/>
        <v>83501</v>
      </c>
      <c r="Z270" s="5">
        <v>84000</v>
      </c>
      <c r="AA270" s="5">
        <f t="shared" si="6"/>
        <v>38095.238095238092</v>
      </c>
      <c r="AB270" s="5">
        <f t="shared" si="7"/>
        <v>47727.272727272728</v>
      </c>
      <c r="AC270" s="8">
        <v>15.8</v>
      </c>
    </row>
    <row r="271" spans="17:29" x14ac:dyDescent="0.35">
      <c r="Q271" s="5">
        <v>84001</v>
      </c>
      <c r="R271" s="5">
        <v>84500</v>
      </c>
      <c r="S271" s="5">
        <v>38321.995464852604</v>
      </c>
      <c r="T271" s="5">
        <v>48011.36363636364</v>
      </c>
      <c r="U271" s="8">
        <v>16.390999999999998</v>
      </c>
      <c r="Y271" s="5">
        <f t="shared" si="8"/>
        <v>84001</v>
      </c>
      <c r="Z271" s="5">
        <v>84500</v>
      </c>
      <c r="AA271" s="5">
        <f t="shared" si="6"/>
        <v>38321.995464852604</v>
      </c>
      <c r="AB271" s="5">
        <f t="shared" si="7"/>
        <v>48011.36363636364</v>
      </c>
      <c r="AC271" s="8">
        <v>16.390999999999998</v>
      </c>
    </row>
    <row r="272" spans="17:29" x14ac:dyDescent="0.35">
      <c r="Q272" s="5">
        <v>84501</v>
      </c>
      <c r="R272" s="5">
        <v>85000</v>
      </c>
      <c r="S272" s="5">
        <v>38548.752834467115</v>
      </c>
      <c r="T272" s="5">
        <v>48295.454545454544</v>
      </c>
      <c r="U272" s="8">
        <v>16.981999999999999</v>
      </c>
      <c r="Y272" s="5">
        <f t="shared" si="8"/>
        <v>84501</v>
      </c>
      <c r="Z272" s="5">
        <v>85000</v>
      </c>
      <c r="AA272" s="5">
        <f t="shared" si="6"/>
        <v>38548.752834467115</v>
      </c>
      <c r="AB272" s="5">
        <f t="shared" si="7"/>
        <v>48295.454545454544</v>
      </c>
      <c r="AC272" s="8">
        <v>16.981999999999999</v>
      </c>
    </row>
    <row r="273" spans="17:29" x14ac:dyDescent="0.35">
      <c r="Q273" s="5">
        <v>85001</v>
      </c>
      <c r="R273" s="5">
        <v>85500</v>
      </c>
      <c r="S273" s="5">
        <v>38775.510204081635</v>
      </c>
      <c r="T273" s="5">
        <v>48579.545454545456</v>
      </c>
      <c r="U273" s="8">
        <v>16.934000000000001</v>
      </c>
      <c r="Y273" s="5">
        <f t="shared" si="8"/>
        <v>85001</v>
      </c>
      <c r="Z273" s="5">
        <v>85500</v>
      </c>
      <c r="AA273" s="5">
        <f t="shared" si="6"/>
        <v>38775.510204081635</v>
      </c>
      <c r="AB273" s="5">
        <f t="shared" si="7"/>
        <v>48579.545454545456</v>
      </c>
      <c r="AC273" s="8">
        <v>16.934000000000001</v>
      </c>
    </row>
    <row r="274" spans="17:29" x14ac:dyDescent="0.35">
      <c r="Q274" s="5">
        <v>85501</v>
      </c>
      <c r="R274" s="5">
        <v>86000</v>
      </c>
      <c r="S274" s="5">
        <v>39002.267573696146</v>
      </c>
      <c r="T274" s="5">
        <v>48863.63636363636</v>
      </c>
      <c r="U274" s="8">
        <v>16.728000000000002</v>
      </c>
      <c r="Y274" s="5">
        <f t="shared" si="8"/>
        <v>85501</v>
      </c>
      <c r="Z274" s="5">
        <v>86000</v>
      </c>
      <c r="AA274" s="5">
        <f t="shared" si="6"/>
        <v>39002.267573696146</v>
      </c>
      <c r="AB274" s="5">
        <f t="shared" si="7"/>
        <v>48863.63636363636</v>
      </c>
      <c r="AC274" s="8">
        <v>16.728000000000002</v>
      </c>
    </row>
    <row r="275" spans="17:29" x14ac:dyDescent="0.35">
      <c r="Q275" s="5">
        <v>86001</v>
      </c>
      <c r="R275" s="5">
        <v>86500</v>
      </c>
      <c r="S275" s="5">
        <v>39229.024943310658</v>
      </c>
      <c r="T275" s="5">
        <v>49147.727272727272</v>
      </c>
      <c r="U275" s="8">
        <v>16.521000000000001</v>
      </c>
      <c r="Y275" s="5">
        <f t="shared" si="8"/>
        <v>86001</v>
      </c>
      <c r="Z275" s="5">
        <v>86500</v>
      </c>
      <c r="AA275" s="5">
        <f t="shared" si="6"/>
        <v>39229.024943310658</v>
      </c>
      <c r="AB275" s="5">
        <f t="shared" si="7"/>
        <v>49147.727272727272</v>
      </c>
      <c r="AC275" s="8">
        <v>16.521000000000001</v>
      </c>
    </row>
    <row r="276" spans="17:29" x14ac:dyDescent="0.35">
      <c r="Q276" s="5">
        <v>86501</v>
      </c>
      <c r="R276" s="5">
        <v>87000</v>
      </c>
      <c r="S276" s="5">
        <v>39455.78231292517</v>
      </c>
      <c r="T276" s="5">
        <v>49431.818181818184</v>
      </c>
      <c r="U276" s="8">
        <v>16.314</v>
      </c>
      <c r="Y276" s="5">
        <f t="shared" si="8"/>
        <v>86501</v>
      </c>
      <c r="Z276" s="5">
        <v>87000</v>
      </c>
      <c r="AA276" s="5">
        <f t="shared" si="6"/>
        <v>39455.78231292517</v>
      </c>
      <c r="AB276" s="5">
        <f t="shared" si="7"/>
        <v>49431.818181818184</v>
      </c>
      <c r="AC276" s="8">
        <v>16.314</v>
      </c>
    </row>
    <row r="277" spans="17:29" x14ac:dyDescent="0.35">
      <c r="Q277" s="5">
        <v>87001</v>
      </c>
      <c r="R277" s="5">
        <v>87500</v>
      </c>
      <c r="S277" s="5">
        <v>39682.539682539682</v>
      </c>
      <c r="T277" s="5">
        <v>49715.909090909088</v>
      </c>
      <c r="U277" s="8">
        <v>16.106999999999999</v>
      </c>
      <c r="Y277" s="5">
        <f t="shared" si="8"/>
        <v>87001</v>
      </c>
      <c r="Z277" s="5">
        <v>87500</v>
      </c>
      <c r="AA277" s="5">
        <f t="shared" si="6"/>
        <v>39682.539682539682</v>
      </c>
      <c r="AB277" s="5">
        <f t="shared" si="7"/>
        <v>49715.909090909088</v>
      </c>
      <c r="AC277" s="8">
        <v>16.106999999999999</v>
      </c>
    </row>
    <row r="278" spans="17:29" x14ac:dyDescent="0.35">
      <c r="Q278" s="5">
        <v>87501</v>
      </c>
      <c r="R278" s="5">
        <v>88000</v>
      </c>
      <c r="S278" s="5">
        <v>39909.297052154194</v>
      </c>
      <c r="T278" s="5">
        <v>50000</v>
      </c>
      <c r="U278" s="8">
        <v>15.9</v>
      </c>
      <c r="Y278" s="5">
        <f t="shared" si="8"/>
        <v>87501</v>
      </c>
      <c r="Z278" s="5">
        <v>88000</v>
      </c>
      <c r="AA278" s="5">
        <f t="shared" si="6"/>
        <v>39909.297052154194</v>
      </c>
      <c r="AB278" s="5">
        <f t="shared" si="7"/>
        <v>50000</v>
      </c>
      <c r="AC278" s="8">
        <v>15.9</v>
      </c>
    </row>
    <row r="279" spans="17:29" x14ac:dyDescent="0.35">
      <c r="Q279" s="5">
        <v>88001</v>
      </c>
      <c r="R279" s="5">
        <v>88500</v>
      </c>
      <c r="S279" s="5">
        <v>40136.054421768706</v>
      </c>
      <c r="T279" s="5">
        <v>50284.090909090912</v>
      </c>
      <c r="U279" s="8">
        <v>15.7</v>
      </c>
      <c r="Y279" s="5">
        <f t="shared" si="8"/>
        <v>88001</v>
      </c>
      <c r="Z279" s="5">
        <v>88500</v>
      </c>
      <c r="AA279" s="5">
        <f t="shared" si="6"/>
        <v>40136.054421768706</v>
      </c>
      <c r="AB279" s="5">
        <f t="shared" si="7"/>
        <v>50284.090909090912</v>
      </c>
      <c r="AC279" s="8">
        <v>15.7</v>
      </c>
    </row>
    <row r="280" spans="17:29" x14ac:dyDescent="0.35">
      <c r="Q280" s="5">
        <v>88501</v>
      </c>
      <c r="R280" s="5">
        <v>89000</v>
      </c>
      <c r="S280" s="5">
        <v>40362.811791383217</v>
      </c>
      <c r="T280" s="5">
        <v>50568.181818181816</v>
      </c>
      <c r="U280" s="8">
        <v>15.5</v>
      </c>
      <c r="Y280" s="5">
        <f t="shared" si="8"/>
        <v>88501</v>
      </c>
      <c r="Z280" s="5">
        <v>89000</v>
      </c>
      <c r="AA280" s="5">
        <f t="shared" si="6"/>
        <v>40362.811791383217</v>
      </c>
      <c r="AB280" s="5">
        <f t="shared" si="7"/>
        <v>50568.181818181816</v>
      </c>
      <c r="AC280" s="8">
        <v>15.5</v>
      </c>
    </row>
    <row r="281" spans="17:29" x14ac:dyDescent="0.35">
      <c r="Q281" s="5">
        <v>89001</v>
      </c>
      <c r="R281" s="5">
        <v>89500</v>
      </c>
      <c r="S281" s="5">
        <v>40589.569160997729</v>
      </c>
      <c r="T281" s="5">
        <v>50852.272727272728</v>
      </c>
      <c r="U281" s="8">
        <v>15.3</v>
      </c>
      <c r="Y281" s="5">
        <f t="shared" si="8"/>
        <v>89001</v>
      </c>
      <c r="Z281" s="5">
        <v>89500</v>
      </c>
      <c r="AA281" s="5">
        <f t="shared" si="6"/>
        <v>40589.569160997729</v>
      </c>
      <c r="AB281" s="5">
        <f t="shared" si="7"/>
        <v>50852.272727272728</v>
      </c>
      <c r="AC281" s="8">
        <v>15.3</v>
      </c>
    </row>
    <row r="282" spans="17:29" x14ac:dyDescent="0.35">
      <c r="Q282" s="5">
        <v>89501</v>
      </c>
      <c r="R282" s="5">
        <v>90000</v>
      </c>
      <c r="S282" s="5">
        <v>40816.326530612241</v>
      </c>
      <c r="T282" s="5">
        <v>51136.36363636364</v>
      </c>
      <c r="U282" s="8">
        <v>15.1</v>
      </c>
      <c r="Y282" s="5">
        <f t="shared" si="8"/>
        <v>89501</v>
      </c>
      <c r="Z282" s="5">
        <v>90000</v>
      </c>
      <c r="AA282" s="5">
        <f t="shared" si="6"/>
        <v>40816.326530612241</v>
      </c>
      <c r="AB282" s="5">
        <f t="shared" si="7"/>
        <v>51136.36363636364</v>
      </c>
      <c r="AC282" s="8">
        <v>15.1</v>
      </c>
    </row>
    <row r="283" spans="17:29" x14ac:dyDescent="0.35">
      <c r="Q283" s="5">
        <v>90001</v>
      </c>
      <c r="R283" s="5">
        <v>90500</v>
      </c>
      <c r="S283" s="5">
        <v>41043.083900226753</v>
      </c>
      <c r="T283" s="5">
        <v>51420.454545454544</v>
      </c>
      <c r="U283" s="8">
        <v>14.85</v>
      </c>
      <c r="Y283" s="5">
        <f t="shared" si="8"/>
        <v>90001</v>
      </c>
      <c r="Z283" s="5">
        <v>90500</v>
      </c>
      <c r="AA283" s="5">
        <f t="shared" si="6"/>
        <v>41043.083900226753</v>
      </c>
      <c r="AB283" s="5">
        <f t="shared" si="7"/>
        <v>51420.454545454544</v>
      </c>
      <c r="AC283" s="8">
        <v>14.85</v>
      </c>
    </row>
    <row r="284" spans="17:29" x14ac:dyDescent="0.35">
      <c r="Q284" s="5">
        <v>90501</v>
      </c>
      <c r="R284" s="5">
        <v>91000</v>
      </c>
      <c r="S284" s="5">
        <v>41269.841269841272</v>
      </c>
      <c r="T284" s="5">
        <v>51704.545454545456</v>
      </c>
      <c r="U284" s="8">
        <v>14.6</v>
      </c>
      <c r="Y284" s="5">
        <f t="shared" si="8"/>
        <v>90501</v>
      </c>
      <c r="Z284" s="5">
        <v>91000</v>
      </c>
      <c r="AA284" s="5">
        <f t="shared" si="6"/>
        <v>41269.841269841272</v>
      </c>
      <c r="AB284" s="5">
        <f t="shared" si="7"/>
        <v>51704.545454545456</v>
      </c>
      <c r="AC284" s="8">
        <v>14.6</v>
      </c>
    </row>
    <row r="285" spans="17:29" x14ac:dyDescent="0.35">
      <c r="Q285" s="5">
        <v>91001</v>
      </c>
      <c r="R285" s="5">
        <v>91500</v>
      </c>
      <c r="S285" s="5">
        <v>41496.598639455784</v>
      </c>
      <c r="T285" s="5">
        <v>51988.63636363636</v>
      </c>
      <c r="U285" s="8">
        <v>14.35</v>
      </c>
      <c r="Y285" s="5">
        <f t="shared" si="8"/>
        <v>91001</v>
      </c>
      <c r="Z285" s="5">
        <v>91500</v>
      </c>
      <c r="AA285" s="5">
        <f t="shared" si="6"/>
        <v>41496.598639455784</v>
      </c>
      <c r="AB285" s="5">
        <f t="shared" si="7"/>
        <v>51988.63636363636</v>
      </c>
      <c r="AC285" s="8">
        <v>14.35</v>
      </c>
    </row>
    <row r="286" spans="17:29" x14ac:dyDescent="0.35">
      <c r="Q286" s="5">
        <v>91501</v>
      </c>
      <c r="R286" s="5">
        <v>92000</v>
      </c>
      <c r="S286" s="5">
        <v>41723.356009070296</v>
      </c>
      <c r="T286" s="5">
        <v>52272.727272727272</v>
      </c>
      <c r="U286" s="8">
        <v>14.1</v>
      </c>
      <c r="Y286" s="5">
        <f t="shared" si="8"/>
        <v>91501</v>
      </c>
      <c r="Z286" s="5">
        <v>92000</v>
      </c>
      <c r="AA286" s="5">
        <f t="shared" si="6"/>
        <v>41723.356009070296</v>
      </c>
      <c r="AB286" s="5">
        <f t="shared" si="7"/>
        <v>52272.727272727272</v>
      </c>
      <c r="AC286" s="8">
        <v>14.1</v>
      </c>
    </row>
    <row r="287" spans="17:29" x14ac:dyDescent="0.35">
      <c r="Q287" s="5">
        <v>92001</v>
      </c>
      <c r="R287" s="5">
        <v>92500</v>
      </c>
      <c r="S287" s="5">
        <v>41950.113378684808</v>
      </c>
      <c r="T287" s="5">
        <v>52556.818181818184</v>
      </c>
      <c r="U287" s="8">
        <v>13.875</v>
      </c>
      <c r="Y287" s="5">
        <f t="shared" si="8"/>
        <v>92001</v>
      </c>
      <c r="Z287" s="5">
        <v>92500</v>
      </c>
      <c r="AA287" s="5">
        <f t="shared" si="6"/>
        <v>41950.113378684808</v>
      </c>
      <c r="AB287" s="5">
        <f t="shared" si="7"/>
        <v>52556.818181818184</v>
      </c>
      <c r="AC287" s="8">
        <v>13.875</v>
      </c>
    </row>
    <row r="288" spans="17:29" x14ac:dyDescent="0.35">
      <c r="Q288" s="5">
        <v>92501</v>
      </c>
      <c r="R288" s="5">
        <v>93000</v>
      </c>
      <c r="S288" s="5">
        <v>42176.87074829932</v>
      </c>
      <c r="T288" s="5">
        <v>52840.909090909088</v>
      </c>
      <c r="U288" s="8">
        <v>13.65</v>
      </c>
      <c r="Y288" s="5">
        <f t="shared" si="8"/>
        <v>92501</v>
      </c>
      <c r="Z288" s="5">
        <v>93000</v>
      </c>
      <c r="AA288" s="5">
        <f t="shared" si="6"/>
        <v>42176.87074829932</v>
      </c>
      <c r="AB288" s="5">
        <f t="shared" si="7"/>
        <v>52840.909090909088</v>
      </c>
      <c r="AC288" s="8">
        <v>13.65</v>
      </c>
    </row>
    <row r="289" spans="17:29" x14ac:dyDescent="0.35">
      <c r="Q289" s="5">
        <v>93001</v>
      </c>
      <c r="R289" s="5">
        <v>93500</v>
      </c>
      <c r="S289" s="5">
        <v>42403.628117913831</v>
      </c>
      <c r="T289" s="5">
        <v>53125</v>
      </c>
      <c r="U289" s="8">
        <v>13.425000000000001</v>
      </c>
      <c r="Y289" s="5">
        <f t="shared" si="8"/>
        <v>93001</v>
      </c>
      <c r="Z289" s="5">
        <v>93500</v>
      </c>
      <c r="AA289" s="5">
        <f t="shared" si="6"/>
        <v>42403.628117913831</v>
      </c>
      <c r="AB289" s="5">
        <f t="shared" si="7"/>
        <v>53125</v>
      </c>
      <c r="AC289" s="8">
        <v>13.425000000000001</v>
      </c>
    </row>
    <row r="290" spans="17:29" x14ac:dyDescent="0.35">
      <c r="Q290" s="5">
        <v>93501</v>
      </c>
      <c r="R290" s="5">
        <v>94000</v>
      </c>
      <c r="S290" s="5">
        <v>42630.385487528343</v>
      </c>
      <c r="T290" s="5">
        <v>53409.090909090912</v>
      </c>
      <c r="U290" s="8">
        <v>13.2</v>
      </c>
      <c r="Y290" s="5">
        <f t="shared" si="8"/>
        <v>93501</v>
      </c>
      <c r="Z290" s="5">
        <v>94000</v>
      </c>
      <c r="AA290" s="5">
        <f t="shared" si="6"/>
        <v>42630.385487528343</v>
      </c>
      <c r="AB290" s="5">
        <f t="shared" si="7"/>
        <v>53409.090909090912</v>
      </c>
      <c r="AC290" s="8">
        <v>13.2</v>
      </c>
    </row>
    <row r="291" spans="17:29" x14ac:dyDescent="0.35">
      <c r="Q291" s="5">
        <v>94001</v>
      </c>
      <c r="R291" s="5">
        <v>94500</v>
      </c>
      <c r="S291" s="5">
        <v>42857.142857142855</v>
      </c>
      <c r="T291" s="5">
        <v>53693.181818181816</v>
      </c>
      <c r="U291" s="8">
        <v>12.95</v>
      </c>
      <c r="Y291" s="5">
        <f t="shared" si="8"/>
        <v>94001</v>
      </c>
      <c r="Z291" s="5">
        <v>94500</v>
      </c>
      <c r="AA291" s="5">
        <f t="shared" si="6"/>
        <v>42857.142857142855</v>
      </c>
      <c r="AB291" s="5">
        <f t="shared" si="7"/>
        <v>53693.181818181816</v>
      </c>
      <c r="AC291" s="8">
        <v>12.95</v>
      </c>
    </row>
    <row r="292" spans="17:29" x14ac:dyDescent="0.35">
      <c r="Q292" s="5">
        <v>94501</v>
      </c>
      <c r="R292" s="5">
        <v>95000</v>
      </c>
      <c r="S292" s="5">
        <v>43083.900226757367</v>
      </c>
      <c r="T292" s="5">
        <v>53977.272727272728</v>
      </c>
      <c r="U292" s="8">
        <v>12.7</v>
      </c>
      <c r="Y292" s="5">
        <f t="shared" si="8"/>
        <v>94501</v>
      </c>
      <c r="Z292" s="5">
        <v>95000</v>
      </c>
      <c r="AA292" s="5">
        <f t="shared" si="6"/>
        <v>43083.900226757367</v>
      </c>
      <c r="AB292" s="5">
        <f t="shared" si="7"/>
        <v>53977.272727272728</v>
      </c>
      <c r="AC292" s="8">
        <v>12.7</v>
      </c>
    </row>
    <row r="293" spans="17:29" x14ac:dyDescent="0.35">
      <c r="Q293" s="5">
        <v>95001</v>
      </c>
      <c r="R293" s="5">
        <v>95500</v>
      </c>
      <c r="S293" s="5">
        <v>43310.657596371879</v>
      </c>
      <c r="T293" s="5">
        <v>54261.36363636364</v>
      </c>
      <c r="U293" s="8">
        <v>12.45</v>
      </c>
      <c r="Y293" s="5">
        <f t="shared" si="8"/>
        <v>95001</v>
      </c>
      <c r="Z293" s="5">
        <v>95500</v>
      </c>
      <c r="AA293" s="5">
        <f t="shared" si="6"/>
        <v>43310.657596371879</v>
      </c>
      <c r="AB293" s="5">
        <f t="shared" si="7"/>
        <v>54261.36363636364</v>
      </c>
      <c r="AC293" s="8">
        <v>12.45</v>
      </c>
    </row>
    <row r="294" spans="17:29" x14ac:dyDescent="0.35">
      <c r="Q294" s="5">
        <v>95501</v>
      </c>
      <c r="R294" s="5">
        <v>96000</v>
      </c>
      <c r="S294" s="5">
        <v>43537.414965986391</v>
      </c>
      <c r="T294" s="5">
        <v>54545.454545454544</v>
      </c>
      <c r="U294" s="8">
        <v>12.2</v>
      </c>
      <c r="Y294" s="5">
        <f t="shared" si="8"/>
        <v>95501</v>
      </c>
      <c r="Z294" s="5">
        <v>96000</v>
      </c>
      <c r="AA294" s="5">
        <f t="shared" si="6"/>
        <v>43537.414965986391</v>
      </c>
      <c r="AB294" s="5">
        <f t="shared" si="7"/>
        <v>54545.454545454544</v>
      </c>
      <c r="AC294" s="8">
        <v>12.2</v>
      </c>
    </row>
    <row r="295" spans="17:29" x14ac:dyDescent="0.35">
      <c r="Q295" s="5">
        <v>96001</v>
      </c>
      <c r="R295" s="5">
        <v>96500</v>
      </c>
      <c r="S295" s="5">
        <v>43764.172335600902</v>
      </c>
      <c r="T295" s="5">
        <v>54829.545454545456</v>
      </c>
      <c r="U295" s="8">
        <v>11.95</v>
      </c>
      <c r="Y295" s="5">
        <f t="shared" si="8"/>
        <v>96001</v>
      </c>
      <c r="Z295" s="5">
        <v>96500</v>
      </c>
      <c r="AA295" s="5">
        <f t="shared" si="6"/>
        <v>43764.172335600902</v>
      </c>
      <c r="AB295" s="5">
        <f t="shared" si="7"/>
        <v>54829.545454545456</v>
      </c>
      <c r="AC295" s="8">
        <v>11.95</v>
      </c>
    </row>
    <row r="296" spans="17:29" x14ac:dyDescent="0.35">
      <c r="Q296" s="5">
        <v>96501</v>
      </c>
      <c r="R296" s="5">
        <v>97000</v>
      </c>
      <c r="S296" s="5">
        <v>43990.929705215422</v>
      </c>
      <c r="T296" s="5">
        <v>55113.63636363636</v>
      </c>
      <c r="U296" s="8">
        <v>11.7</v>
      </c>
      <c r="Y296" s="5">
        <f t="shared" si="8"/>
        <v>96501</v>
      </c>
      <c r="Z296" s="5">
        <v>97000</v>
      </c>
      <c r="AA296" s="5">
        <f t="shared" ref="AA296:AA359" si="9">Z296/2.205</f>
        <v>43990.929705215422</v>
      </c>
      <c r="AB296" s="5">
        <f t="shared" ref="AB296:AB359" si="10">Z296/1.76</f>
        <v>55113.63636363636</v>
      </c>
      <c r="AC296" s="8">
        <v>11.7</v>
      </c>
    </row>
    <row r="297" spans="17:29" x14ac:dyDescent="0.35">
      <c r="Q297" s="5">
        <v>97001</v>
      </c>
      <c r="R297" s="5">
        <v>97500</v>
      </c>
      <c r="S297" s="5">
        <v>44217.687074829933</v>
      </c>
      <c r="T297" s="5">
        <v>55397.727272727272</v>
      </c>
      <c r="U297" s="8">
        <v>11.45</v>
      </c>
      <c r="Y297" s="5">
        <f t="shared" ref="Y297:Y360" si="11">Z296+1</f>
        <v>97001</v>
      </c>
      <c r="Z297" s="5">
        <v>97500</v>
      </c>
      <c r="AA297" s="5">
        <f t="shared" si="9"/>
        <v>44217.687074829933</v>
      </c>
      <c r="AB297" s="5">
        <f t="shared" si="10"/>
        <v>55397.727272727272</v>
      </c>
      <c r="AC297" s="8">
        <v>11.45</v>
      </c>
    </row>
    <row r="298" spans="17:29" x14ac:dyDescent="0.35">
      <c r="Q298" s="5">
        <v>97501</v>
      </c>
      <c r="R298" s="5">
        <v>98000</v>
      </c>
      <c r="S298" s="5">
        <v>44444.444444444445</v>
      </c>
      <c r="T298" s="5">
        <v>55681.818181818184</v>
      </c>
      <c r="U298" s="8">
        <v>11.2</v>
      </c>
      <c r="Y298" s="5">
        <f t="shared" si="11"/>
        <v>97501</v>
      </c>
      <c r="Z298" s="5">
        <v>98000</v>
      </c>
      <c r="AA298" s="5">
        <f t="shared" si="9"/>
        <v>44444.444444444445</v>
      </c>
      <c r="AB298" s="5">
        <f t="shared" si="10"/>
        <v>55681.818181818184</v>
      </c>
      <c r="AC298" s="8">
        <v>11.2</v>
      </c>
    </row>
    <row r="299" spans="17:29" x14ac:dyDescent="0.35">
      <c r="Q299" s="5">
        <v>98001</v>
      </c>
      <c r="R299" s="5">
        <v>98500</v>
      </c>
      <c r="S299" s="5">
        <v>44671.201814058957</v>
      </c>
      <c r="T299" s="5">
        <v>55965.909090909088</v>
      </c>
      <c r="U299" s="8">
        <v>10.975</v>
      </c>
      <c r="Y299" s="5">
        <f t="shared" si="11"/>
        <v>98001</v>
      </c>
      <c r="Z299" s="5">
        <v>98500</v>
      </c>
      <c r="AA299" s="5">
        <f t="shared" si="9"/>
        <v>44671.201814058957</v>
      </c>
      <c r="AB299" s="5">
        <f t="shared" si="10"/>
        <v>55965.909090909088</v>
      </c>
      <c r="AC299" s="8">
        <v>10.975</v>
      </c>
    </row>
    <row r="300" spans="17:29" x14ac:dyDescent="0.35">
      <c r="Q300" s="5">
        <v>98501</v>
      </c>
      <c r="R300" s="5">
        <v>99000</v>
      </c>
      <c r="S300" s="5">
        <v>44897.959183673469</v>
      </c>
      <c r="T300" s="5">
        <v>56250</v>
      </c>
      <c r="U300" s="8">
        <v>10.75</v>
      </c>
      <c r="Y300" s="5">
        <f t="shared" si="11"/>
        <v>98501</v>
      </c>
      <c r="Z300" s="5">
        <v>99000</v>
      </c>
      <c r="AA300" s="5">
        <f t="shared" si="9"/>
        <v>44897.959183673469</v>
      </c>
      <c r="AB300" s="5">
        <f t="shared" si="10"/>
        <v>56250</v>
      </c>
      <c r="AC300" s="8">
        <v>10.75</v>
      </c>
    </row>
    <row r="301" spans="17:29" x14ac:dyDescent="0.35">
      <c r="Q301" s="5">
        <v>99001</v>
      </c>
      <c r="R301" s="5">
        <v>99500</v>
      </c>
      <c r="S301" s="5">
        <v>45124.716553287981</v>
      </c>
      <c r="T301" s="5">
        <v>56534.090909090912</v>
      </c>
      <c r="U301" s="8">
        <v>10.525</v>
      </c>
      <c r="Y301" s="5">
        <f t="shared" si="11"/>
        <v>99001</v>
      </c>
      <c r="Z301" s="5">
        <v>99500</v>
      </c>
      <c r="AA301" s="5">
        <f t="shared" si="9"/>
        <v>45124.716553287981</v>
      </c>
      <c r="AB301" s="5">
        <f t="shared" si="10"/>
        <v>56534.090909090912</v>
      </c>
      <c r="AC301" s="8">
        <v>10.525</v>
      </c>
    </row>
    <row r="302" spans="17:29" x14ac:dyDescent="0.35">
      <c r="Q302" s="5">
        <v>99501</v>
      </c>
      <c r="R302" s="5">
        <v>100000</v>
      </c>
      <c r="S302" s="5">
        <v>45351.473922902493</v>
      </c>
      <c r="T302" s="5">
        <v>56818.181818181816</v>
      </c>
      <c r="U302" s="8">
        <v>10.3</v>
      </c>
      <c r="Y302" s="5">
        <f t="shared" si="11"/>
        <v>99501</v>
      </c>
      <c r="Z302" s="5">
        <v>100000</v>
      </c>
      <c r="AA302" s="5">
        <f t="shared" si="9"/>
        <v>45351.473922902493</v>
      </c>
      <c r="AB302" s="5">
        <f t="shared" si="10"/>
        <v>56818.181818181816</v>
      </c>
      <c r="AC302" s="8">
        <v>10.3</v>
      </c>
    </row>
    <row r="303" spans="17:29" x14ac:dyDescent="0.35">
      <c r="Q303" s="5">
        <v>100001</v>
      </c>
      <c r="R303" s="5">
        <v>100500</v>
      </c>
      <c r="S303" s="5">
        <v>45578.231292517004</v>
      </c>
      <c r="T303" s="5">
        <v>57102.272727272728</v>
      </c>
      <c r="U303" s="8">
        <v>10.050000000000001</v>
      </c>
      <c r="Y303" s="5">
        <f t="shared" si="11"/>
        <v>100001</v>
      </c>
      <c r="Z303" s="5">
        <v>100500</v>
      </c>
      <c r="AA303" s="5">
        <f t="shared" si="9"/>
        <v>45578.231292517004</v>
      </c>
      <c r="AB303" s="5">
        <f t="shared" si="10"/>
        <v>57102.272727272728</v>
      </c>
      <c r="AC303" s="8">
        <v>10.050000000000001</v>
      </c>
    </row>
    <row r="304" spans="17:29" x14ac:dyDescent="0.35">
      <c r="Q304" s="5">
        <v>100501</v>
      </c>
      <c r="R304" s="5">
        <v>101000</v>
      </c>
      <c r="S304" s="5">
        <v>45804.988662131516</v>
      </c>
      <c r="T304" s="5">
        <v>57386.36363636364</v>
      </c>
      <c r="U304" s="8">
        <v>9.8000000000000007</v>
      </c>
      <c r="Y304" s="5">
        <f t="shared" si="11"/>
        <v>100501</v>
      </c>
      <c r="Z304" s="5">
        <v>101000</v>
      </c>
      <c r="AA304" s="5">
        <f t="shared" si="9"/>
        <v>45804.988662131516</v>
      </c>
      <c r="AB304" s="5">
        <f t="shared" si="10"/>
        <v>57386.36363636364</v>
      </c>
      <c r="AC304" s="8">
        <v>9.8000000000000007</v>
      </c>
    </row>
    <row r="305" spans="17:29" x14ac:dyDescent="0.35">
      <c r="Q305" s="5">
        <v>101001</v>
      </c>
      <c r="R305" s="5">
        <v>101500</v>
      </c>
      <c r="S305" s="5">
        <v>46031.746031746028</v>
      </c>
      <c r="T305" s="5">
        <v>57670.454545454544</v>
      </c>
      <c r="U305" s="8">
        <v>9.5500000000000007</v>
      </c>
      <c r="Y305" s="5">
        <f t="shared" si="11"/>
        <v>101001</v>
      </c>
      <c r="Z305" s="5">
        <v>101500</v>
      </c>
      <c r="AA305" s="5">
        <f t="shared" si="9"/>
        <v>46031.746031746028</v>
      </c>
      <c r="AB305" s="5">
        <f t="shared" si="10"/>
        <v>57670.454545454544</v>
      </c>
      <c r="AC305" s="8">
        <v>9.5500000000000007</v>
      </c>
    </row>
    <row r="306" spans="17:29" x14ac:dyDescent="0.35">
      <c r="Q306" s="5">
        <v>101501</v>
      </c>
      <c r="R306" s="5">
        <v>102000</v>
      </c>
      <c r="S306" s="5">
        <v>46258.50340136054</v>
      </c>
      <c r="T306" s="5">
        <v>57954.545454545456</v>
      </c>
      <c r="U306" s="8">
        <v>9.3000000000000007</v>
      </c>
      <c r="Y306" s="5">
        <f t="shared" si="11"/>
        <v>101501</v>
      </c>
      <c r="Z306" s="5">
        <v>102000</v>
      </c>
      <c r="AA306" s="5">
        <f t="shared" si="9"/>
        <v>46258.50340136054</v>
      </c>
      <c r="AB306" s="5">
        <f t="shared" si="10"/>
        <v>57954.545454545456</v>
      </c>
      <c r="AC306" s="8">
        <v>9.3000000000000007</v>
      </c>
    </row>
    <row r="307" spans="17:29" x14ac:dyDescent="0.35">
      <c r="Q307" s="5">
        <v>102001</v>
      </c>
      <c r="R307" s="5">
        <v>102500</v>
      </c>
      <c r="S307" s="5">
        <v>46485.260770975052</v>
      </c>
      <c r="T307" s="5">
        <v>58238.63636363636</v>
      </c>
      <c r="U307" s="8">
        <v>9.0500000000000007</v>
      </c>
      <c r="Y307" s="5">
        <f t="shared" si="11"/>
        <v>102001</v>
      </c>
      <c r="Z307" s="5">
        <v>102500</v>
      </c>
      <c r="AA307" s="5">
        <f t="shared" si="9"/>
        <v>46485.260770975052</v>
      </c>
      <c r="AB307" s="5">
        <f t="shared" si="10"/>
        <v>58238.63636363636</v>
      </c>
      <c r="AC307" s="8">
        <v>9.0500000000000007</v>
      </c>
    </row>
    <row r="308" spans="17:29" x14ac:dyDescent="0.35">
      <c r="Q308" s="5">
        <v>102501</v>
      </c>
      <c r="R308" s="5">
        <v>103000</v>
      </c>
      <c r="S308" s="5">
        <v>46712.018140589571</v>
      </c>
      <c r="T308" s="5">
        <v>58522.727272727272</v>
      </c>
      <c r="U308" s="8">
        <v>8.8000000000000007</v>
      </c>
      <c r="Y308" s="5">
        <f t="shared" si="11"/>
        <v>102501</v>
      </c>
      <c r="Z308" s="5">
        <v>103000</v>
      </c>
      <c r="AA308" s="5">
        <f t="shared" si="9"/>
        <v>46712.018140589571</v>
      </c>
      <c r="AB308" s="5">
        <f t="shared" si="10"/>
        <v>58522.727272727272</v>
      </c>
      <c r="AC308" s="8">
        <v>8.8000000000000007</v>
      </c>
    </row>
    <row r="309" spans="17:29" x14ac:dyDescent="0.35">
      <c r="Q309" s="5">
        <v>103001</v>
      </c>
      <c r="R309" s="5">
        <v>103500</v>
      </c>
      <c r="S309" s="5">
        <v>46938.775510204083</v>
      </c>
      <c r="T309" s="5">
        <v>58806.818181818184</v>
      </c>
      <c r="U309" s="8">
        <v>8.5500000000000007</v>
      </c>
      <c r="Y309" s="5">
        <f t="shared" si="11"/>
        <v>103001</v>
      </c>
      <c r="Z309" s="5">
        <v>103500</v>
      </c>
      <c r="AA309" s="5">
        <f t="shared" si="9"/>
        <v>46938.775510204083</v>
      </c>
      <c r="AB309" s="5">
        <f t="shared" si="10"/>
        <v>58806.818181818184</v>
      </c>
      <c r="AC309" s="8">
        <v>8.5500000000000007</v>
      </c>
    </row>
    <row r="310" spans="17:29" x14ac:dyDescent="0.35">
      <c r="Q310" s="5">
        <v>103501</v>
      </c>
      <c r="R310" s="5">
        <v>104000</v>
      </c>
      <c r="S310" s="5">
        <v>47165.532879818595</v>
      </c>
      <c r="T310" s="5">
        <v>59090.909090909088</v>
      </c>
      <c r="U310" s="8">
        <v>8.3000000000000007</v>
      </c>
      <c r="Y310" s="5">
        <f t="shared" si="11"/>
        <v>103501</v>
      </c>
      <c r="Z310" s="5">
        <v>104000</v>
      </c>
      <c r="AA310" s="5">
        <f t="shared" si="9"/>
        <v>47165.532879818595</v>
      </c>
      <c r="AB310" s="5">
        <f t="shared" si="10"/>
        <v>59090.909090909088</v>
      </c>
      <c r="AC310" s="8">
        <v>8.3000000000000007</v>
      </c>
    </row>
    <row r="311" spans="17:29" x14ac:dyDescent="0.35">
      <c r="Q311" s="5">
        <v>104001</v>
      </c>
      <c r="R311" s="5">
        <v>104500</v>
      </c>
      <c r="S311" s="5">
        <v>47392.290249433107</v>
      </c>
      <c r="T311" s="5">
        <v>59375</v>
      </c>
      <c r="U311" s="8">
        <v>8.0749999999999993</v>
      </c>
      <c r="Y311" s="5">
        <f t="shared" si="11"/>
        <v>104001</v>
      </c>
      <c r="Z311" s="5">
        <v>104500</v>
      </c>
      <c r="AA311" s="5">
        <f t="shared" si="9"/>
        <v>47392.290249433107</v>
      </c>
      <c r="AB311" s="5">
        <f t="shared" si="10"/>
        <v>59375</v>
      </c>
      <c r="AC311" s="8">
        <v>8.0749999999999993</v>
      </c>
    </row>
    <row r="312" spans="17:29" x14ac:dyDescent="0.35">
      <c r="Q312" s="5">
        <v>104501</v>
      </c>
      <c r="R312" s="5">
        <v>105000</v>
      </c>
      <c r="S312" s="5">
        <v>47619.047619047618</v>
      </c>
      <c r="T312" s="5">
        <v>59659.090909090912</v>
      </c>
      <c r="U312" s="8">
        <v>7.85</v>
      </c>
      <c r="Y312" s="5">
        <f t="shared" si="11"/>
        <v>104501</v>
      </c>
      <c r="Z312" s="5">
        <v>105000</v>
      </c>
      <c r="AA312" s="5">
        <f t="shared" si="9"/>
        <v>47619.047619047618</v>
      </c>
      <c r="AB312" s="5">
        <f t="shared" si="10"/>
        <v>59659.090909090912</v>
      </c>
      <c r="AC312" s="8">
        <v>7.85</v>
      </c>
    </row>
    <row r="313" spans="17:29" x14ac:dyDescent="0.35">
      <c r="Q313" s="5">
        <v>105001</v>
      </c>
      <c r="R313" s="5">
        <v>105500</v>
      </c>
      <c r="S313" s="5">
        <v>47845.80498866213</v>
      </c>
      <c r="T313" s="5">
        <v>59943.181818181816</v>
      </c>
      <c r="U313" s="8">
        <v>7.625</v>
      </c>
      <c r="Y313" s="5">
        <f t="shared" si="11"/>
        <v>105001</v>
      </c>
      <c r="Z313" s="5">
        <v>105500</v>
      </c>
      <c r="AA313" s="5">
        <f t="shared" si="9"/>
        <v>47845.80498866213</v>
      </c>
      <c r="AB313" s="5">
        <f t="shared" si="10"/>
        <v>59943.181818181816</v>
      </c>
      <c r="AC313" s="8">
        <v>7.625</v>
      </c>
    </row>
    <row r="314" spans="17:29" x14ac:dyDescent="0.35">
      <c r="Q314" s="5">
        <v>105501</v>
      </c>
      <c r="R314" s="5">
        <v>106000</v>
      </c>
      <c r="S314" s="5">
        <v>48072.562358276642</v>
      </c>
      <c r="T314" s="5">
        <v>60227.272727272728</v>
      </c>
      <c r="U314" s="8">
        <v>7.4</v>
      </c>
      <c r="Y314" s="5">
        <f t="shared" si="11"/>
        <v>105501</v>
      </c>
      <c r="Z314" s="5">
        <v>106000</v>
      </c>
      <c r="AA314" s="5">
        <f t="shared" si="9"/>
        <v>48072.562358276642</v>
      </c>
      <c r="AB314" s="5">
        <f t="shared" si="10"/>
        <v>60227.272727272728</v>
      </c>
      <c r="AC314" s="8">
        <v>7.4</v>
      </c>
    </row>
    <row r="315" spans="17:29" x14ac:dyDescent="0.35">
      <c r="Q315" s="5">
        <v>106001</v>
      </c>
      <c r="R315" s="5">
        <v>106500</v>
      </c>
      <c r="S315" s="5">
        <v>48299.319727891154</v>
      </c>
      <c r="T315" s="5">
        <v>60511.36363636364</v>
      </c>
      <c r="U315" s="8">
        <v>7.15</v>
      </c>
      <c r="Y315" s="5">
        <f t="shared" si="11"/>
        <v>106001</v>
      </c>
      <c r="Z315" s="5">
        <v>106500</v>
      </c>
      <c r="AA315" s="5">
        <f t="shared" si="9"/>
        <v>48299.319727891154</v>
      </c>
      <c r="AB315" s="5">
        <f t="shared" si="10"/>
        <v>60511.36363636364</v>
      </c>
      <c r="AC315" s="8">
        <v>7.15</v>
      </c>
    </row>
    <row r="316" spans="17:29" x14ac:dyDescent="0.35">
      <c r="Q316" s="5">
        <v>106501</v>
      </c>
      <c r="R316" s="5">
        <v>107000</v>
      </c>
      <c r="S316" s="5">
        <v>48526.077097505666</v>
      </c>
      <c r="T316" s="5">
        <v>60795.454545454544</v>
      </c>
      <c r="U316" s="8">
        <v>6.9</v>
      </c>
      <c r="Y316" s="5">
        <f t="shared" si="11"/>
        <v>106501</v>
      </c>
      <c r="Z316" s="5">
        <v>107000</v>
      </c>
      <c r="AA316" s="5">
        <f t="shared" si="9"/>
        <v>48526.077097505666</v>
      </c>
      <c r="AB316" s="5">
        <f t="shared" si="10"/>
        <v>60795.454545454544</v>
      </c>
      <c r="AC316" s="8">
        <v>6.9</v>
      </c>
    </row>
    <row r="317" spans="17:29" x14ac:dyDescent="0.35">
      <c r="Q317" s="5">
        <v>107001</v>
      </c>
      <c r="R317" s="5">
        <v>107500</v>
      </c>
      <c r="S317" s="5">
        <v>48752.834467120178</v>
      </c>
      <c r="T317" s="5">
        <v>61079.545454545456</v>
      </c>
      <c r="U317" s="8">
        <v>6.65</v>
      </c>
      <c r="Y317" s="5">
        <f t="shared" si="11"/>
        <v>107001</v>
      </c>
      <c r="Z317" s="5">
        <v>107500</v>
      </c>
      <c r="AA317" s="5">
        <f t="shared" si="9"/>
        <v>48752.834467120178</v>
      </c>
      <c r="AB317" s="5">
        <f t="shared" si="10"/>
        <v>61079.545454545456</v>
      </c>
      <c r="AC317" s="8">
        <v>6.65</v>
      </c>
    </row>
    <row r="318" spans="17:29" x14ac:dyDescent="0.35">
      <c r="Q318" s="5">
        <v>107501</v>
      </c>
      <c r="R318" s="5">
        <v>108000</v>
      </c>
      <c r="S318" s="5">
        <v>48979.591836734689</v>
      </c>
      <c r="T318" s="5">
        <v>61363.63636363636</v>
      </c>
      <c r="U318" s="8">
        <v>6.4</v>
      </c>
      <c r="Y318" s="5">
        <f t="shared" si="11"/>
        <v>107501</v>
      </c>
      <c r="Z318" s="5">
        <v>108000</v>
      </c>
      <c r="AA318" s="5">
        <f t="shared" si="9"/>
        <v>48979.591836734689</v>
      </c>
      <c r="AB318" s="5">
        <f t="shared" si="10"/>
        <v>61363.63636363636</v>
      </c>
      <c r="AC318" s="8">
        <v>6.4</v>
      </c>
    </row>
    <row r="319" spans="17:29" x14ac:dyDescent="0.35">
      <c r="Q319" s="5">
        <v>108001</v>
      </c>
      <c r="R319" s="5">
        <v>108500</v>
      </c>
      <c r="S319" s="5">
        <v>49206.349206349201</v>
      </c>
      <c r="T319" s="5">
        <v>61647.727272727272</v>
      </c>
      <c r="U319" s="8">
        <v>6.15</v>
      </c>
      <c r="Y319" s="5">
        <f t="shared" si="11"/>
        <v>108001</v>
      </c>
      <c r="Z319" s="5">
        <v>108500</v>
      </c>
      <c r="AA319" s="5">
        <f t="shared" si="9"/>
        <v>49206.349206349201</v>
      </c>
      <c r="AB319" s="5">
        <f t="shared" si="10"/>
        <v>61647.727272727272</v>
      </c>
      <c r="AC319" s="8">
        <v>6.15</v>
      </c>
    </row>
    <row r="320" spans="17:29" x14ac:dyDescent="0.35">
      <c r="Q320" s="5">
        <v>108501</v>
      </c>
      <c r="R320" s="5">
        <v>109000</v>
      </c>
      <c r="S320" s="5">
        <v>49433.10657596372</v>
      </c>
      <c r="T320" s="5">
        <v>61931.818181818184</v>
      </c>
      <c r="U320" s="8">
        <v>5.9</v>
      </c>
      <c r="Y320" s="5">
        <f t="shared" si="11"/>
        <v>108501</v>
      </c>
      <c r="Z320" s="5">
        <v>109000</v>
      </c>
      <c r="AA320" s="5">
        <f t="shared" si="9"/>
        <v>49433.10657596372</v>
      </c>
      <c r="AB320" s="5">
        <f t="shared" si="10"/>
        <v>61931.818181818184</v>
      </c>
      <c r="AC320" s="8">
        <v>5.9</v>
      </c>
    </row>
    <row r="321" spans="17:29" x14ac:dyDescent="0.35">
      <c r="Q321" s="5">
        <v>109001</v>
      </c>
      <c r="R321" s="5">
        <v>109500</v>
      </c>
      <c r="S321" s="5">
        <v>49659.863945578232</v>
      </c>
      <c r="T321" s="5">
        <v>62215.909090909088</v>
      </c>
      <c r="U321" s="8">
        <v>5.65</v>
      </c>
      <c r="Y321" s="5">
        <f t="shared" si="11"/>
        <v>109001</v>
      </c>
      <c r="Z321" s="5">
        <v>109500</v>
      </c>
      <c r="AA321" s="5">
        <f t="shared" si="9"/>
        <v>49659.863945578232</v>
      </c>
      <c r="AB321" s="5">
        <f t="shared" si="10"/>
        <v>62215.909090909088</v>
      </c>
      <c r="AC321" s="8">
        <v>5.65</v>
      </c>
    </row>
    <row r="322" spans="17:29" x14ac:dyDescent="0.35">
      <c r="Q322" s="5">
        <v>109501</v>
      </c>
      <c r="R322" s="5">
        <v>110000</v>
      </c>
      <c r="S322" s="5">
        <v>49886.621315192744</v>
      </c>
      <c r="T322" s="5">
        <v>62500</v>
      </c>
      <c r="U322" s="8">
        <v>5.4</v>
      </c>
      <c r="Y322" s="5">
        <f t="shared" si="11"/>
        <v>109501</v>
      </c>
      <c r="Z322" s="5">
        <v>110000</v>
      </c>
      <c r="AA322" s="5">
        <f t="shared" si="9"/>
        <v>49886.621315192744</v>
      </c>
      <c r="AB322" s="5">
        <f t="shared" si="10"/>
        <v>62500</v>
      </c>
      <c r="AC322" s="8">
        <v>5.4</v>
      </c>
    </row>
    <row r="323" spans="17:29" x14ac:dyDescent="0.35">
      <c r="Q323" s="5">
        <v>110001</v>
      </c>
      <c r="R323" s="5">
        <v>110500</v>
      </c>
      <c r="S323" s="5">
        <v>50113.378684807256</v>
      </c>
      <c r="T323" s="5">
        <v>62784.090909090912</v>
      </c>
      <c r="U323" s="8">
        <v>5.1749999999999998</v>
      </c>
      <c r="Y323" s="5">
        <f t="shared" si="11"/>
        <v>110001</v>
      </c>
      <c r="Z323" s="5">
        <v>110500</v>
      </c>
      <c r="AA323" s="5">
        <f t="shared" si="9"/>
        <v>50113.378684807256</v>
      </c>
      <c r="AB323" s="5">
        <f t="shared" si="10"/>
        <v>62784.090909090912</v>
      </c>
      <c r="AC323" s="8">
        <v>5.1749999999999998</v>
      </c>
    </row>
    <row r="324" spans="17:29" x14ac:dyDescent="0.35">
      <c r="Q324" s="5">
        <v>110501</v>
      </c>
      <c r="R324" s="5">
        <v>111000</v>
      </c>
      <c r="S324" s="5">
        <v>50340.136054421768</v>
      </c>
      <c r="T324" s="5">
        <v>63068.181818181816</v>
      </c>
      <c r="U324" s="8">
        <v>4.95</v>
      </c>
      <c r="Y324" s="5">
        <f t="shared" si="11"/>
        <v>110501</v>
      </c>
      <c r="Z324" s="5">
        <v>111000</v>
      </c>
      <c r="AA324" s="5">
        <f t="shared" si="9"/>
        <v>50340.136054421768</v>
      </c>
      <c r="AB324" s="5">
        <f t="shared" si="10"/>
        <v>63068.181818181816</v>
      </c>
      <c r="AC324" s="8">
        <v>4.95</v>
      </c>
    </row>
    <row r="325" spans="17:29" x14ac:dyDescent="0.35">
      <c r="Q325" s="5">
        <v>111001</v>
      </c>
      <c r="R325" s="5">
        <v>111500</v>
      </c>
      <c r="S325" s="5">
        <v>50566.89342403628</v>
      </c>
      <c r="T325" s="5">
        <v>63352.272727272728</v>
      </c>
      <c r="U325" s="8">
        <v>4.7249999999999996</v>
      </c>
      <c r="Y325" s="5">
        <f t="shared" si="11"/>
        <v>111001</v>
      </c>
      <c r="Z325" s="5">
        <v>111500</v>
      </c>
      <c r="AA325" s="5">
        <f t="shared" si="9"/>
        <v>50566.89342403628</v>
      </c>
      <c r="AB325" s="5">
        <f t="shared" si="10"/>
        <v>63352.272727272728</v>
      </c>
      <c r="AC325" s="8">
        <v>4.7249999999999996</v>
      </c>
    </row>
    <row r="326" spans="17:29" x14ac:dyDescent="0.35">
      <c r="Q326" s="5">
        <v>111501</v>
      </c>
      <c r="R326" s="5">
        <v>112000</v>
      </c>
      <c r="S326" s="5">
        <v>50793.650793650791</v>
      </c>
      <c r="T326" s="5">
        <v>63636.36363636364</v>
      </c>
      <c r="U326" s="8">
        <v>4.5</v>
      </c>
      <c r="Y326" s="5">
        <f t="shared" si="11"/>
        <v>111501</v>
      </c>
      <c r="Z326" s="5">
        <v>112000</v>
      </c>
      <c r="AA326" s="5">
        <f t="shared" si="9"/>
        <v>50793.650793650791</v>
      </c>
      <c r="AB326" s="5">
        <f t="shared" si="10"/>
        <v>63636.36363636364</v>
      </c>
      <c r="AC326" s="8">
        <v>4.5</v>
      </c>
    </row>
    <row r="327" spans="17:29" x14ac:dyDescent="0.35">
      <c r="Q327" s="5">
        <v>112001</v>
      </c>
      <c r="R327" s="5">
        <v>112500</v>
      </c>
      <c r="S327" s="5">
        <v>51020.408163265303</v>
      </c>
      <c r="T327" s="5">
        <v>63920.454545454544</v>
      </c>
      <c r="U327" s="8">
        <v>4.25</v>
      </c>
      <c r="Y327" s="5">
        <f t="shared" si="11"/>
        <v>112001</v>
      </c>
      <c r="Z327" s="5">
        <v>112500</v>
      </c>
      <c r="AA327" s="5">
        <f t="shared" si="9"/>
        <v>51020.408163265303</v>
      </c>
      <c r="AB327" s="5">
        <f t="shared" si="10"/>
        <v>63920.454545454544</v>
      </c>
      <c r="AC327" s="8">
        <v>4.25</v>
      </c>
    </row>
    <row r="328" spans="17:29" x14ac:dyDescent="0.35">
      <c r="Q328" s="5">
        <v>112501</v>
      </c>
      <c r="R328" s="5">
        <v>113000</v>
      </c>
      <c r="S328" s="5">
        <v>51247.165532879815</v>
      </c>
      <c r="T328" s="5">
        <v>64204.545454545456</v>
      </c>
      <c r="U328" s="8">
        <v>4</v>
      </c>
      <c r="Y328" s="5">
        <f t="shared" si="11"/>
        <v>112501</v>
      </c>
      <c r="Z328" s="5">
        <v>113000</v>
      </c>
      <c r="AA328" s="5">
        <f t="shared" si="9"/>
        <v>51247.165532879815</v>
      </c>
      <c r="AB328" s="5">
        <f t="shared" si="10"/>
        <v>64204.545454545456</v>
      </c>
      <c r="AC328" s="8">
        <v>4</v>
      </c>
    </row>
    <row r="329" spans="17:29" x14ac:dyDescent="0.35">
      <c r="Q329" s="5">
        <v>113001</v>
      </c>
      <c r="R329" s="5">
        <v>113500</v>
      </c>
      <c r="S329" s="5">
        <v>51473.922902494327</v>
      </c>
      <c r="T329" s="5">
        <v>64488.63636363636</v>
      </c>
      <c r="U329" s="8">
        <v>3.75</v>
      </c>
      <c r="Y329" s="5">
        <f t="shared" si="11"/>
        <v>113001</v>
      </c>
      <c r="Z329" s="5">
        <v>113500</v>
      </c>
      <c r="AA329" s="5">
        <f t="shared" si="9"/>
        <v>51473.922902494327</v>
      </c>
      <c r="AB329" s="5">
        <f t="shared" si="10"/>
        <v>64488.63636363636</v>
      </c>
      <c r="AC329" s="8">
        <v>3.75</v>
      </c>
    </row>
    <row r="330" spans="17:29" x14ac:dyDescent="0.35">
      <c r="Q330" s="5">
        <v>113501</v>
      </c>
      <c r="R330" s="5">
        <v>114000</v>
      </c>
      <c r="S330" s="5">
        <v>51700.680272108839</v>
      </c>
      <c r="T330" s="5">
        <v>64772.727272727272</v>
      </c>
      <c r="U330" s="8">
        <v>3.5</v>
      </c>
      <c r="Y330" s="5">
        <f t="shared" si="11"/>
        <v>113501</v>
      </c>
      <c r="Z330" s="5">
        <v>114000</v>
      </c>
      <c r="AA330" s="5">
        <f t="shared" si="9"/>
        <v>51700.680272108839</v>
      </c>
      <c r="AB330" s="5">
        <f t="shared" si="10"/>
        <v>64772.727272727272</v>
      </c>
      <c r="AC330" s="8">
        <v>3.5</v>
      </c>
    </row>
    <row r="331" spans="17:29" x14ac:dyDescent="0.35">
      <c r="Q331" s="5">
        <v>114001</v>
      </c>
      <c r="R331" s="5">
        <v>114500</v>
      </c>
      <c r="S331" s="5">
        <v>51927.437641723358</v>
      </c>
      <c r="T331" s="5">
        <v>65056.818181818184</v>
      </c>
      <c r="U331" s="8">
        <v>3.25</v>
      </c>
      <c r="Y331" s="5">
        <f t="shared" si="11"/>
        <v>114001</v>
      </c>
      <c r="Z331" s="5">
        <v>114500</v>
      </c>
      <c r="AA331" s="5">
        <f t="shared" si="9"/>
        <v>51927.437641723358</v>
      </c>
      <c r="AB331" s="5">
        <f t="shared" si="10"/>
        <v>65056.818181818184</v>
      </c>
      <c r="AC331" s="8">
        <v>3.25</v>
      </c>
    </row>
    <row r="332" spans="17:29" x14ac:dyDescent="0.35">
      <c r="Q332" s="5">
        <v>114501</v>
      </c>
      <c r="R332" s="5">
        <v>115000</v>
      </c>
      <c r="S332" s="5">
        <v>52154.19501133787</v>
      </c>
      <c r="T332" s="5">
        <v>65340.909090909088</v>
      </c>
      <c r="U332" s="8">
        <v>3</v>
      </c>
      <c r="Y332" s="5">
        <f t="shared" si="11"/>
        <v>114501</v>
      </c>
      <c r="Z332" s="5">
        <v>115000</v>
      </c>
      <c r="AA332" s="5">
        <f t="shared" si="9"/>
        <v>52154.19501133787</v>
      </c>
      <c r="AB332" s="5">
        <f t="shared" si="10"/>
        <v>65340.909090909088</v>
      </c>
      <c r="AC332" s="8">
        <v>3</v>
      </c>
    </row>
    <row r="333" spans="17:29" x14ac:dyDescent="0.35">
      <c r="Q333" s="5">
        <v>115001</v>
      </c>
      <c r="R333" s="5">
        <v>115500</v>
      </c>
      <c r="S333" s="5">
        <v>52380.952380952382</v>
      </c>
      <c r="T333" s="5">
        <v>65625</v>
      </c>
      <c r="U333" s="8">
        <v>2.75</v>
      </c>
      <c r="Y333" s="5">
        <f t="shared" si="11"/>
        <v>115001</v>
      </c>
      <c r="Z333" s="5">
        <v>115500</v>
      </c>
      <c r="AA333" s="5">
        <f t="shared" si="9"/>
        <v>52380.952380952382</v>
      </c>
      <c r="AB333" s="5">
        <f t="shared" si="10"/>
        <v>65625</v>
      </c>
      <c r="AC333" s="8">
        <v>2.75</v>
      </c>
    </row>
    <row r="334" spans="17:29" x14ac:dyDescent="0.35">
      <c r="Q334" s="5">
        <v>115501</v>
      </c>
      <c r="R334" s="5">
        <v>116000</v>
      </c>
      <c r="S334" s="5">
        <v>52607.709750566893</v>
      </c>
      <c r="T334" s="5">
        <v>65909.090909090912</v>
      </c>
      <c r="U334" s="8">
        <v>2.5</v>
      </c>
      <c r="Y334" s="5">
        <f t="shared" si="11"/>
        <v>115501</v>
      </c>
      <c r="Z334" s="5">
        <v>116000</v>
      </c>
      <c r="AA334" s="5">
        <f t="shared" si="9"/>
        <v>52607.709750566893</v>
      </c>
      <c r="AB334" s="5">
        <f t="shared" si="10"/>
        <v>65909.090909090912</v>
      </c>
      <c r="AC334" s="8">
        <v>2.5</v>
      </c>
    </row>
    <row r="335" spans="17:29" x14ac:dyDescent="0.35">
      <c r="Q335" s="5">
        <v>116001</v>
      </c>
      <c r="R335" s="5">
        <v>116500</v>
      </c>
      <c r="S335" s="5">
        <v>52834.467120181405</v>
      </c>
      <c r="T335" s="5">
        <v>66193.181818181823</v>
      </c>
      <c r="U335" s="8">
        <v>2.25</v>
      </c>
      <c r="Y335" s="5">
        <f t="shared" si="11"/>
        <v>116001</v>
      </c>
      <c r="Z335" s="5">
        <v>116500</v>
      </c>
      <c r="AA335" s="5">
        <f t="shared" si="9"/>
        <v>52834.467120181405</v>
      </c>
      <c r="AB335" s="5">
        <f t="shared" si="10"/>
        <v>66193.181818181823</v>
      </c>
      <c r="AC335" s="8">
        <v>2.25</v>
      </c>
    </row>
    <row r="336" spans="17:29" x14ac:dyDescent="0.35">
      <c r="Q336" s="5">
        <v>116501</v>
      </c>
      <c r="R336" s="5">
        <v>117000</v>
      </c>
      <c r="S336" s="5">
        <v>53061.224489795917</v>
      </c>
      <c r="T336" s="5">
        <v>66477.272727272721</v>
      </c>
      <c r="U336" s="8">
        <v>2</v>
      </c>
      <c r="Y336" s="5">
        <f t="shared" si="11"/>
        <v>116501</v>
      </c>
      <c r="Z336" s="5">
        <v>117000</v>
      </c>
      <c r="AA336" s="5">
        <f t="shared" si="9"/>
        <v>53061.224489795917</v>
      </c>
      <c r="AB336" s="5">
        <f t="shared" si="10"/>
        <v>66477.272727272721</v>
      </c>
      <c r="AC336" s="8">
        <v>2</v>
      </c>
    </row>
    <row r="337" spans="17:29" x14ac:dyDescent="0.35">
      <c r="Q337" s="5">
        <v>117001</v>
      </c>
      <c r="R337" s="5">
        <v>117500</v>
      </c>
      <c r="S337" s="5">
        <v>53287.981859410429</v>
      </c>
      <c r="T337" s="5">
        <v>66761.363636363632</v>
      </c>
      <c r="U337" s="8">
        <v>1.75</v>
      </c>
      <c r="Y337" s="5">
        <f t="shared" si="11"/>
        <v>117001</v>
      </c>
      <c r="Z337" s="5">
        <v>117500</v>
      </c>
      <c r="AA337" s="5">
        <f t="shared" si="9"/>
        <v>53287.981859410429</v>
      </c>
      <c r="AB337" s="5">
        <f t="shared" si="10"/>
        <v>66761.363636363632</v>
      </c>
      <c r="AC337" s="8">
        <v>1.75</v>
      </c>
    </row>
    <row r="338" spans="17:29" x14ac:dyDescent="0.35">
      <c r="Q338" s="5">
        <v>117501</v>
      </c>
      <c r="R338" s="5">
        <v>118000</v>
      </c>
      <c r="S338" s="5">
        <v>53514.739229024941</v>
      </c>
      <c r="T338" s="5">
        <v>67045.454545454544</v>
      </c>
      <c r="U338" s="8">
        <v>1.5</v>
      </c>
      <c r="Y338" s="5">
        <f t="shared" si="11"/>
        <v>117501</v>
      </c>
      <c r="Z338" s="5">
        <v>118000</v>
      </c>
      <c r="AA338" s="5">
        <f t="shared" si="9"/>
        <v>53514.739229024941</v>
      </c>
      <c r="AB338" s="5">
        <f t="shared" si="10"/>
        <v>67045.454545454544</v>
      </c>
      <c r="AC338" s="8">
        <v>1.5</v>
      </c>
    </row>
    <row r="339" spans="17:29" x14ac:dyDescent="0.35">
      <c r="Q339" s="5">
        <v>118001</v>
      </c>
      <c r="R339" s="5">
        <v>118500</v>
      </c>
      <c r="S339" s="5">
        <v>53741.496598639453</v>
      </c>
      <c r="T339" s="5">
        <v>67329.545454545456</v>
      </c>
      <c r="U339" s="8">
        <v>1.25</v>
      </c>
      <c r="Y339" s="5">
        <f t="shared" si="11"/>
        <v>118001</v>
      </c>
      <c r="Z339" s="5">
        <v>118500</v>
      </c>
      <c r="AA339" s="5">
        <f t="shared" si="9"/>
        <v>53741.496598639453</v>
      </c>
      <c r="AB339" s="5">
        <f t="shared" si="10"/>
        <v>67329.545454545456</v>
      </c>
      <c r="AC339" s="8">
        <v>1.25</v>
      </c>
    </row>
    <row r="340" spans="17:29" x14ac:dyDescent="0.35">
      <c r="Q340" s="5">
        <v>118501</v>
      </c>
      <c r="R340" s="5">
        <v>119000</v>
      </c>
      <c r="S340" s="5">
        <v>53968.253968253965</v>
      </c>
      <c r="T340" s="5">
        <v>67613.636363636368</v>
      </c>
      <c r="U340" s="8">
        <v>1</v>
      </c>
      <c r="Y340" s="5">
        <f t="shared" si="11"/>
        <v>118501</v>
      </c>
      <c r="Z340" s="5">
        <v>119000</v>
      </c>
      <c r="AA340" s="5">
        <f t="shared" si="9"/>
        <v>53968.253968253965</v>
      </c>
      <c r="AB340" s="5">
        <f t="shared" si="10"/>
        <v>67613.636363636368</v>
      </c>
      <c r="AC340" s="8">
        <v>1</v>
      </c>
    </row>
    <row r="341" spans="17:29" x14ac:dyDescent="0.35">
      <c r="Q341" s="5">
        <v>119001</v>
      </c>
      <c r="R341" s="5">
        <v>119500</v>
      </c>
      <c r="S341" s="5">
        <v>54195.011337868476</v>
      </c>
      <c r="T341" s="5">
        <v>67897.727272727279</v>
      </c>
      <c r="U341" s="8">
        <v>0.75</v>
      </c>
      <c r="Y341" s="5">
        <f t="shared" si="11"/>
        <v>119001</v>
      </c>
      <c r="Z341" s="5">
        <v>119500</v>
      </c>
      <c r="AA341" s="5">
        <f t="shared" si="9"/>
        <v>54195.011337868476</v>
      </c>
      <c r="AB341" s="5">
        <f t="shared" si="10"/>
        <v>67897.727272727279</v>
      </c>
      <c r="AC341" s="8">
        <v>0.75</v>
      </c>
    </row>
    <row r="342" spans="17:29" x14ac:dyDescent="0.35">
      <c r="Q342" s="5">
        <v>119501</v>
      </c>
      <c r="R342" s="5">
        <v>120000</v>
      </c>
      <c r="S342" s="5">
        <v>54421.768707482988</v>
      </c>
      <c r="T342" s="5">
        <v>68181.818181818177</v>
      </c>
      <c r="U342" s="8">
        <v>0.5</v>
      </c>
      <c r="Y342" s="5">
        <f t="shared" si="11"/>
        <v>119501</v>
      </c>
      <c r="Z342" s="5">
        <v>120000</v>
      </c>
      <c r="AA342" s="5">
        <f t="shared" si="9"/>
        <v>54421.768707482988</v>
      </c>
      <c r="AB342" s="5">
        <f t="shared" si="10"/>
        <v>68181.818181818177</v>
      </c>
      <c r="AC342" s="8">
        <v>0.5</v>
      </c>
    </row>
    <row r="343" spans="17:29" x14ac:dyDescent="0.35">
      <c r="Q343" s="5">
        <v>120001</v>
      </c>
      <c r="R343" s="5">
        <v>120500</v>
      </c>
      <c r="S343" s="5">
        <v>54648.526077097507</v>
      </c>
      <c r="T343" s="5">
        <v>68465.909090909088</v>
      </c>
      <c r="U343" s="8">
        <v>0.27500000000000002</v>
      </c>
      <c r="Y343" s="5">
        <f t="shared" si="11"/>
        <v>120001</v>
      </c>
      <c r="Z343" s="5">
        <v>120500</v>
      </c>
      <c r="AA343" s="5">
        <f t="shared" si="9"/>
        <v>54648.526077097507</v>
      </c>
      <c r="AB343" s="5">
        <f t="shared" si="10"/>
        <v>68465.909090909088</v>
      </c>
      <c r="AC343" s="8">
        <v>0.27500000000000002</v>
      </c>
    </row>
    <row r="344" spans="17:29" x14ac:dyDescent="0.35">
      <c r="Q344" s="5">
        <v>120501</v>
      </c>
      <c r="R344" s="5">
        <v>121000</v>
      </c>
      <c r="S344" s="5">
        <v>54875.283446712019</v>
      </c>
      <c r="T344" s="5">
        <v>68750</v>
      </c>
      <c r="U344" s="8">
        <v>0.05</v>
      </c>
      <c r="Y344" s="5">
        <f t="shared" si="11"/>
        <v>120501</v>
      </c>
      <c r="Z344" s="5">
        <v>121000</v>
      </c>
      <c r="AA344" s="5">
        <f t="shared" si="9"/>
        <v>54875.283446712019</v>
      </c>
      <c r="AB344" s="5">
        <f t="shared" si="10"/>
        <v>68750</v>
      </c>
      <c r="AC344" s="8">
        <v>0.05</v>
      </c>
    </row>
    <row r="345" spans="17:29" x14ac:dyDescent="0.35">
      <c r="Q345" s="5">
        <v>121001</v>
      </c>
      <c r="R345" s="5">
        <v>121500</v>
      </c>
      <c r="S345" s="5">
        <v>55102.040816326531</v>
      </c>
      <c r="T345" s="5">
        <v>69034.090909090912</v>
      </c>
      <c r="U345" s="8">
        <v>-0.17499999999999999</v>
      </c>
      <c r="Y345" s="5">
        <f t="shared" si="11"/>
        <v>121001</v>
      </c>
      <c r="Z345" s="5">
        <v>121500</v>
      </c>
      <c r="AA345" s="5">
        <f t="shared" si="9"/>
        <v>55102.040816326531</v>
      </c>
      <c r="AB345" s="5">
        <f t="shared" si="10"/>
        <v>69034.090909090912</v>
      </c>
      <c r="AC345" s="8">
        <v>-0.17499999999999999</v>
      </c>
    </row>
    <row r="346" spans="17:29" x14ac:dyDescent="0.35">
      <c r="Q346" s="5">
        <v>121501</v>
      </c>
      <c r="R346" s="5">
        <v>122000</v>
      </c>
      <c r="S346" s="5">
        <v>55328.798185941043</v>
      </c>
      <c r="T346" s="5">
        <v>69318.181818181823</v>
      </c>
      <c r="U346" s="8">
        <v>-0.4</v>
      </c>
      <c r="Y346" s="5">
        <f t="shared" si="11"/>
        <v>121501</v>
      </c>
      <c r="Z346" s="5">
        <v>122000</v>
      </c>
      <c r="AA346" s="5">
        <f t="shared" si="9"/>
        <v>55328.798185941043</v>
      </c>
      <c r="AB346" s="5">
        <f t="shared" si="10"/>
        <v>69318.181818181823</v>
      </c>
      <c r="AC346" s="8">
        <v>-0.4</v>
      </c>
    </row>
    <row r="347" spans="17:29" x14ac:dyDescent="0.35">
      <c r="Q347" s="5">
        <v>122001</v>
      </c>
      <c r="R347" s="5">
        <v>122500</v>
      </c>
      <c r="S347" s="5">
        <v>55555.555555555555</v>
      </c>
      <c r="T347" s="5">
        <v>69602.272727272721</v>
      </c>
      <c r="U347" s="8">
        <v>-0.65</v>
      </c>
      <c r="Y347" s="5">
        <f t="shared" si="11"/>
        <v>122001</v>
      </c>
      <c r="Z347" s="5">
        <v>122500</v>
      </c>
      <c r="AA347" s="5">
        <f t="shared" si="9"/>
        <v>55555.555555555555</v>
      </c>
      <c r="AB347" s="5">
        <f t="shared" si="10"/>
        <v>69602.272727272721</v>
      </c>
      <c r="AC347" s="8">
        <v>-0.65</v>
      </c>
    </row>
    <row r="348" spans="17:29" x14ac:dyDescent="0.35">
      <c r="Q348" s="5">
        <v>122501</v>
      </c>
      <c r="R348" s="5">
        <v>123000</v>
      </c>
      <c r="S348" s="5">
        <v>55782.312925170067</v>
      </c>
      <c r="T348" s="5">
        <v>69886.363636363632</v>
      </c>
      <c r="U348" s="8">
        <v>-0.9</v>
      </c>
      <c r="Y348" s="5">
        <f t="shared" si="11"/>
        <v>122501</v>
      </c>
      <c r="Z348" s="5">
        <v>123000</v>
      </c>
      <c r="AA348" s="5">
        <f t="shared" si="9"/>
        <v>55782.312925170067</v>
      </c>
      <c r="AB348" s="5">
        <f t="shared" si="10"/>
        <v>69886.363636363632</v>
      </c>
      <c r="AC348" s="8">
        <v>-0.9</v>
      </c>
    </row>
    <row r="349" spans="17:29" x14ac:dyDescent="0.35">
      <c r="Q349" s="5">
        <v>123001</v>
      </c>
      <c r="R349" s="5">
        <v>123500</v>
      </c>
      <c r="S349" s="5">
        <v>56009.070294784578</v>
      </c>
      <c r="T349" s="5">
        <v>70170.454545454544</v>
      </c>
      <c r="U349" s="8">
        <v>-1.1499999999999999</v>
      </c>
      <c r="Y349" s="5">
        <f t="shared" si="11"/>
        <v>123001</v>
      </c>
      <c r="Z349" s="5">
        <v>123500</v>
      </c>
      <c r="AA349" s="5">
        <f t="shared" si="9"/>
        <v>56009.070294784578</v>
      </c>
      <c r="AB349" s="5">
        <f t="shared" si="10"/>
        <v>70170.454545454544</v>
      </c>
      <c r="AC349" s="8">
        <v>-1.1499999999999999</v>
      </c>
    </row>
    <row r="350" spans="17:29" x14ac:dyDescent="0.35">
      <c r="Q350" s="5">
        <v>123501</v>
      </c>
      <c r="R350" s="5">
        <v>124000</v>
      </c>
      <c r="S350" s="5">
        <v>56235.82766439909</v>
      </c>
      <c r="T350" s="5">
        <v>70454.545454545456</v>
      </c>
      <c r="U350" s="8">
        <v>-1.4</v>
      </c>
      <c r="Y350" s="5">
        <f t="shared" si="11"/>
        <v>123501</v>
      </c>
      <c r="Z350" s="5">
        <v>124000</v>
      </c>
      <c r="AA350" s="5">
        <f t="shared" si="9"/>
        <v>56235.82766439909</v>
      </c>
      <c r="AB350" s="5">
        <f t="shared" si="10"/>
        <v>70454.545454545456</v>
      </c>
      <c r="AC350" s="8">
        <v>-1.4</v>
      </c>
    </row>
    <row r="351" spans="17:29" x14ac:dyDescent="0.35">
      <c r="Q351" s="5">
        <v>124001</v>
      </c>
      <c r="R351" s="5">
        <v>124500</v>
      </c>
      <c r="S351" s="5">
        <v>56462.585034013602</v>
      </c>
      <c r="T351" s="5">
        <v>70738.636363636368</v>
      </c>
      <c r="U351" s="8">
        <v>-1.65</v>
      </c>
      <c r="Y351" s="5">
        <f t="shared" si="11"/>
        <v>124001</v>
      </c>
      <c r="Z351" s="5">
        <v>124500</v>
      </c>
      <c r="AA351" s="5">
        <f t="shared" si="9"/>
        <v>56462.585034013602</v>
      </c>
      <c r="AB351" s="5">
        <f t="shared" si="10"/>
        <v>70738.636363636368</v>
      </c>
      <c r="AC351" s="8">
        <v>-1.65</v>
      </c>
    </row>
    <row r="352" spans="17:29" x14ac:dyDescent="0.35">
      <c r="Q352" s="5">
        <v>124501</v>
      </c>
      <c r="R352" s="5">
        <v>125000</v>
      </c>
      <c r="S352" s="5">
        <v>56689.342403628114</v>
      </c>
      <c r="T352" s="5">
        <v>71022.727272727279</v>
      </c>
      <c r="U352" s="8">
        <v>-1.9</v>
      </c>
      <c r="Y352" s="5">
        <f t="shared" si="11"/>
        <v>124501</v>
      </c>
      <c r="Z352" s="5">
        <v>125000</v>
      </c>
      <c r="AA352" s="5">
        <f t="shared" si="9"/>
        <v>56689.342403628114</v>
      </c>
      <c r="AB352" s="5">
        <f t="shared" si="10"/>
        <v>71022.727272727279</v>
      </c>
      <c r="AC352" s="8">
        <v>-1.9</v>
      </c>
    </row>
    <row r="353" spans="17:29" x14ac:dyDescent="0.35">
      <c r="Q353" s="5">
        <v>125001</v>
      </c>
      <c r="R353" s="5">
        <v>125500</v>
      </c>
      <c r="S353" s="5">
        <v>56916.099773242626</v>
      </c>
      <c r="T353" s="5">
        <v>71306.818181818177</v>
      </c>
      <c r="U353" s="8">
        <v>-2.15</v>
      </c>
      <c r="Y353" s="5">
        <f t="shared" si="11"/>
        <v>125001</v>
      </c>
      <c r="Z353" s="5">
        <v>125500</v>
      </c>
      <c r="AA353" s="5">
        <f t="shared" si="9"/>
        <v>56916.099773242626</v>
      </c>
      <c r="AB353" s="5">
        <f t="shared" si="10"/>
        <v>71306.818181818177</v>
      </c>
      <c r="AC353" s="8">
        <v>-2.15</v>
      </c>
    </row>
    <row r="354" spans="17:29" x14ac:dyDescent="0.35">
      <c r="Q354" s="5">
        <v>125501</v>
      </c>
      <c r="R354" s="5">
        <v>126000</v>
      </c>
      <c r="S354" s="5">
        <v>57142.857142857138</v>
      </c>
      <c r="T354" s="5">
        <v>71590.909090909088</v>
      </c>
      <c r="U354" s="8">
        <v>-2.4</v>
      </c>
      <c r="Y354" s="5">
        <f t="shared" si="11"/>
        <v>125501</v>
      </c>
      <c r="Z354" s="5">
        <v>126000</v>
      </c>
      <c r="AA354" s="5">
        <f t="shared" si="9"/>
        <v>57142.857142857138</v>
      </c>
      <c r="AB354" s="5">
        <f t="shared" si="10"/>
        <v>71590.909090909088</v>
      </c>
      <c r="AC354" s="8">
        <v>-2.4</v>
      </c>
    </row>
    <row r="355" spans="17:29" x14ac:dyDescent="0.35">
      <c r="Q355" s="5">
        <v>126001</v>
      </c>
      <c r="R355" s="5">
        <v>126500</v>
      </c>
      <c r="S355" s="5">
        <v>57369.614512471657</v>
      </c>
      <c r="T355" s="5">
        <v>71875</v>
      </c>
      <c r="U355" s="8">
        <v>-2.633</v>
      </c>
      <c r="Y355" s="5">
        <f t="shared" si="11"/>
        <v>126001</v>
      </c>
      <c r="Z355" s="5">
        <v>126500</v>
      </c>
      <c r="AA355" s="5">
        <f t="shared" si="9"/>
        <v>57369.614512471657</v>
      </c>
      <c r="AB355" s="5">
        <f t="shared" si="10"/>
        <v>71875</v>
      </c>
      <c r="AC355" s="8">
        <v>-2.633</v>
      </c>
    </row>
    <row r="356" spans="17:29" x14ac:dyDescent="0.35">
      <c r="Q356" s="5">
        <v>126501</v>
      </c>
      <c r="R356" s="5">
        <v>127000</v>
      </c>
      <c r="S356" s="5">
        <v>57596.371882086169</v>
      </c>
      <c r="T356" s="5">
        <v>72159.090909090912</v>
      </c>
      <c r="U356" s="8">
        <v>-2.867</v>
      </c>
      <c r="Y356" s="5">
        <f t="shared" si="11"/>
        <v>126501</v>
      </c>
      <c r="Z356" s="5">
        <v>127000</v>
      </c>
      <c r="AA356" s="5">
        <f t="shared" si="9"/>
        <v>57596.371882086169</v>
      </c>
      <c r="AB356" s="5">
        <f t="shared" si="10"/>
        <v>72159.090909090912</v>
      </c>
      <c r="AC356" s="8">
        <v>-2.867</v>
      </c>
    </row>
    <row r="357" spans="17:29" x14ac:dyDescent="0.35">
      <c r="Q357" s="5">
        <v>127001</v>
      </c>
      <c r="R357" s="5">
        <v>127500</v>
      </c>
      <c r="S357" s="5">
        <v>57823.12925170068</v>
      </c>
      <c r="T357" s="5">
        <v>72443.181818181823</v>
      </c>
      <c r="U357" s="8">
        <v>-3.1</v>
      </c>
      <c r="Y357" s="5">
        <f t="shared" si="11"/>
        <v>127001</v>
      </c>
      <c r="Z357" s="5">
        <v>127500</v>
      </c>
      <c r="AA357" s="5">
        <f t="shared" si="9"/>
        <v>57823.12925170068</v>
      </c>
      <c r="AB357" s="5">
        <f t="shared" si="10"/>
        <v>72443.181818181823</v>
      </c>
      <c r="AC357" s="8">
        <v>-3.1</v>
      </c>
    </row>
    <row r="358" spans="17:29" x14ac:dyDescent="0.35">
      <c r="Q358" s="5">
        <v>127501</v>
      </c>
      <c r="R358" s="5">
        <v>128000</v>
      </c>
      <c r="S358" s="5">
        <v>58049.886621315192</v>
      </c>
      <c r="T358" s="5">
        <v>72727.272727272721</v>
      </c>
      <c r="U358" s="8">
        <v>-3.3330000000000002</v>
      </c>
      <c r="Y358" s="5">
        <f t="shared" si="11"/>
        <v>127501</v>
      </c>
      <c r="Z358" s="5">
        <v>128000</v>
      </c>
      <c r="AA358" s="5">
        <f t="shared" si="9"/>
        <v>58049.886621315192</v>
      </c>
      <c r="AB358" s="5">
        <f t="shared" si="10"/>
        <v>72727.272727272721</v>
      </c>
      <c r="AC358" s="8">
        <v>-3.3330000000000002</v>
      </c>
    </row>
    <row r="359" spans="17:29" x14ac:dyDescent="0.35">
      <c r="Q359" s="5">
        <v>128001</v>
      </c>
      <c r="R359" s="5">
        <v>128500</v>
      </c>
      <c r="S359" s="5">
        <v>58276.643990929704</v>
      </c>
      <c r="T359" s="5">
        <v>73011.363636363632</v>
      </c>
      <c r="U359" s="8">
        <v>-3.5670000000000002</v>
      </c>
      <c r="Y359" s="5">
        <f t="shared" si="11"/>
        <v>128001</v>
      </c>
      <c r="Z359" s="5">
        <v>128500</v>
      </c>
      <c r="AA359" s="5">
        <f t="shared" si="9"/>
        <v>58276.643990929704</v>
      </c>
      <c r="AB359" s="5">
        <f t="shared" si="10"/>
        <v>73011.363636363632</v>
      </c>
      <c r="AC359" s="8">
        <v>-3.5670000000000002</v>
      </c>
    </row>
    <row r="360" spans="17:29" x14ac:dyDescent="0.35">
      <c r="Q360" s="5">
        <v>128501</v>
      </c>
      <c r="R360" s="5">
        <v>129000</v>
      </c>
      <c r="S360" s="5">
        <v>58503.401360544216</v>
      </c>
      <c r="T360" s="5">
        <v>73295.454545454544</v>
      </c>
      <c r="U360" s="8">
        <v>-3.8</v>
      </c>
      <c r="Y360" s="5">
        <f t="shared" si="11"/>
        <v>128501</v>
      </c>
      <c r="Z360" s="5">
        <v>129000</v>
      </c>
      <c r="AA360" s="5">
        <f t="shared" ref="AA360:AA423" si="12">Z360/2.205</f>
        <v>58503.401360544216</v>
      </c>
      <c r="AB360" s="5">
        <f t="shared" ref="AB360:AB423" si="13">Z360/1.76</f>
        <v>73295.454545454544</v>
      </c>
      <c r="AC360" s="8">
        <v>-3.8</v>
      </c>
    </row>
    <row r="361" spans="17:29" x14ac:dyDescent="0.35">
      <c r="Q361" s="5">
        <v>129001</v>
      </c>
      <c r="R361" s="5">
        <v>129500</v>
      </c>
      <c r="S361" s="5">
        <v>58730.158730158728</v>
      </c>
      <c r="T361" s="5">
        <v>73579.545454545456</v>
      </c>
      <c r="U361" s="8">
        <v>-4.0330000000000004</v>
      </c>
      <c r="Y361" s="5">
        <f t="shared" ref="Y361:Y424" si="14">Z360+1</f>
        <v>129001</v>
      </c>
      <c r="Z361" s="5">
        <v>129500</v>
      </c>
      <c r="AA361" s="5">
        <f t="shared" si="12"/>
        <v>58730.158730158728</v>
      </c>
      <c r="AB361" s="5">
        <f t="shared" si="13"/>
        <v>73579.545454545456</v>
      </c>
      <c r="AC361" s="8">
        <v>-4.0330000000000004</v>
      </c>
    </row>
    <row r="362" spans="17:29" x14ac:dyDescent="0.35">
      <c r="Q362" s="5">
        <v>129501</v>
      </c>
      <c r="R362" s="5">
        <v>130000</v>
      </c>
      <c r="S362" s="5">
        <v>58956.91609977324</v>
      </c>
      <c r="T362" s="5">
        <v>73863.636363636368</v>
      </c>
      <c r="U362" s="8">
        <v>-4.2670000000000003</v>
      </c>
      <c r="Y362" s="5">
        <f t="shared" si="14"/>
        <v>129501</v>
      </c>
      <c r="Z362" s="5">
        <v>130000</v>
      </c>
      <c r="AA362" s="5">
        <f t="shared" si="12"/>
        <v>58956.91609977324</v>
      </c>
      <c r="AB362" s="5">
        <f t="shared" si="13"/>
        <v>73863.636363636368</v>
      </c>
      <c r="AC362" s="8">
        <v>-4.2670000000000003</v>
      </c>
    </row>
    <row r="363" spans="17:29" x14ac:dyDescent="0.35">
      <c r="Q363" s="5">
        <v>130001</v>
      </c>
      <c r="R363" s="5">
        <v>130500</v>
      </c>
      <c r="S363" s="5">
        <v>59183.673469387752</v>
      </c>
      <c r="T363" s="5">
        <v>74147.727272727279</v>
      </c>
      <c r="U363" s="8">
        <v>-4.5</v>
      </c>
      <c r="Y363" s="5">
        <f t="shared" si="14"/>
        <v>130001</v>
      </c>
      <c r="Z363" s="5">
        <v>130500</v>
      </c>
      <c r="AA363" s="5">
        <f t="shared" si="12"/>
        <v>59183.673469387752</v>
      </c>
      <c r="AB363" s="5">
        <f t="shared" si="13"/>
        <v>74147.727272727279</v>
      </c>
      <c r="AC363" s="8">
        <v>-4.5</v>
      </c>
    </row>
    <row r="364" spans="17:29" x14ac:dyDescent="0.35">
      <c r="Q364" s="5">
        <v>130501</v>
      </c>
      <c r="R364" s="5">
        <v>131000</v>
      </c>
      <c r="S364" s="5">
        <v>59410.430839002263</v>
      </c>
      <c r="T364" s="5">
        <v>74431.818181818177</v>
      </c>
      <c r="U364" s="8">
        <v>-4.7329999999999997</v>
      </c>
      <c r="Y364" s="5">
        <f t="shared" si="14"/>
        <v>130501</v>
      </c>
      <c r="Z364" s="5">
        <v>131000</v>
      </c>
      <c r="AA364" s="5">
        <f t="shared" si="12"/>
        <v>59410.430839002263</v>
      </c>
      <c r="AB364" s="5">
        <f t="shared" si="13"/>
        <v>74431.818181818177</v>
      </c>
      <c r="AC364" s="8">
        <v>-4.7329999999999997</v>
      </c>
    </row>
    <row r="365" spans="17:29" x14ac:dyDescent="0.35">
      <c r="Q365" s="5">
        <v>131001</v>
      </c>
      <c r="R365" s="5">
        <v>131500</v>
      </c>
      <c r="S365" s="5">
        <v>59637.188208616775</v>
      </c>
      <c r="T365" s="5">
        <v>74715.909090909088</v>
      </c>
      <c r="U365" s="8">
        <v>-4.9669999999999996</v>
      </c>
      <c r="Y365" s="5">
        <f t="shared" si="14"/>
        <v>131001</v>
      </c>
      <c r="Z365" s="5">
        <v>131500</v>
      </c>
      <c r="AA365" s="5">
        <f t="shared" si="12"/>
        <v>59637.188208616775</v>
      </c>
      <c r="AB365" s="5">
        <f t="shared" si="13"/>
        <v>74715.909090909088</v>
      </c>
      <c r="AC365" s="8">
        <v>-4.9669999999999996</v>
      </c>
    </row>
    <row r="366" spans="17:29" x14ac:dyDescent="0.35">
      <c r="Q366" s="5">
        <v>131501</v>
      </c>
      <c r="R366" s="5">
        <v>132000</v>
      </c>
      <c r="S366" s="5">
        <v>59863.945578231287</v>
      </c>
      <c r="T366" s="5">
        <v>75000</v>
      </c>
      <c r="U366" s="8">
        <v>-5.2</v>
      </c>
      <c r="Y366" s="5">
        <f t="shared" si="14"/>
        <v>131501</v>
      </c>
      <c r="Z366" s="5">
        <v>132000</v>
      </c>
      <c r="AA366" s="5">
        <f t="shared" si="12"/>
        <v>59863.945578231287</v>
      </c>
      <c r="AB366" s="5">
        <f t="shared" si="13"/>
        <v>75000</v>
      </c>
      <c r="AC366" s="8">
        <v>-5.2</v>
      </c>
    </row>
    <row r="367" spans="17:29" x14ac:dyDescent="0.35">
      <c r="Q367" s="5">
        <v>132001</v>
      </c>
      <c r="R367" s="5">
        <v>132500</v>
      </c>
      <c r="S367" s="5">
        <v>60090.702947845806</v>
      </c>
      <c r="T367" s="5">
        <v>75284.090909090912</v>
      </c>
      <c r="U367" s="8">
        <v>-5.45</v>
      </c>
      <c r="Y367" s="5">
        <f t="shared" si="14"/>
        <v>132001</v>
      </c>
      <c r="Z367" s="5">
        <v>132500</v>
      </c>
      <c r="AA367" s="5">
        <f t="shared" si="12"/>
        <v>60090.702947845806</v>
      </c>
      <c r="AB367" s="5">
        <f t="shared" si="13"/>
        <v>75284.090909090912</v>
      </c>
      <c r="AC367" s="8">
        <v>-5.45</v>
      </c>
    </row>
    <row r="368" spans="17:29" x14ac:dyDescent="0.35">
      <c r="Q368" s="5">
        <v>132501</v>
      </c>
      <c r="R368" s="5">
        <v>133000</v>
      </c>
      <c r="S368" s="5">
        <v>60317.460317460318</v>
      </c>
      <c r="T368" s="5">
        <v>75568.181818181823</v>
      </c>
      <c r="U368" s="8">
        <v>-5.7</v>
      </c>
      <c r="Y368" s="5">
        <f t="shared" si="14"/>
        <v>132501</v>
      </c>
      <c r="Z368" s="5">
        <v>133000</v>
      </c>
      <c r="AA368" s="5">
        <f t="shared" si="12"/>
        <v>60317.460317460318</v>
      </c>
      <c r="AB368" s="5">
        <f t="shared" si="13"/>
        <v>75568.181818181823</v>
      </c>
      <c r="AC368" s="8">
        <v>-5.7</v>
      </c>
    </row>
    <row r="369" spans="17:29" x14ac:dyDescent="0.35">
      <c r="Q369" s="5">
        <v>133001</v>
      </c>
      <c r="R369" s="5">
        <v>133500</v>
      </c>
      <c r="S369" s="5">
        <v>60544.21768707483</v>
      </c>
      <c r="T369" s="5">
        <v>75852.272727272721</v>
      </c>
      <c r="U369" s="8">
        <v>-5.95</v>
      </c>
      <c r="Y369" s="5">
        <f t="shared" si="14"/>
        <v>133001</v>
      </c>
      <c r="Z369" s="5">
        <v>133500</v>
      </c>
      <c r="AA369" s="5">
        <f t="shared" si="12"/>
        <v>60544.21768707483</v>
      </c>
      <c r="AB369" s="5">
        <f t="shared" si="13"/>
        <v>75852.272727272721</v>
      </c>
      <c r="AC369" s="8">
        <v>-5.95</v>
      </c>
    </row>
    <row r="370" spans="17:29" x14ac:dyDescent="0.35">
      <c r="Q370" s="5">
        <v>133501</v>
      </c>
      <c r="R370" s="5">
        <v>134000</v>
      </c>
      <c r="S370" s="5">
        <v>60770.975056689342</v>
      </c>
      <c r="T370" s="5">
        <v>76136.363636363632</v>
      </c>
      <c r="U370" s="8">
        <v>-6.2</v>
      </c>
      <c r="Y370" s="5">
        <f t="shared" si="14"/>
        <v>133501</v>
      </c>
      <c r="Z370" s="5">
        <v>134000</v>
      </c>
      <c r="AA370" s="5">
        <f t="shared" si="12"/>
        <v>60770.975056689342</v>
      </c>
      <c r="AB370" s="5">
        <f t="shared" si="13"/>
        <v>76136.363636363632</v>
      </c>
      <c r="AC370" s="8">
        <v>-6.2</v>
      </c>
    </row>
    <row r="371" spans="17:29" x14ac:dyDescent="0.35">
      <c r="Q371" s="5">
        <v>134001</v>
      </c>
      <c r="R371" s="5">
        <v>134500</v>
      </c>
      <c r="S371" s="5">
        <v>60997.732426303854</v>
      </c>
      <c r="T371" s="5">
        <v>76420.454545454544</v>
      </c>
      <c r="U371" s="8">
        <v>-6.45</v>
      </c>
      <c r="Y371" s="5">
        <f t="shared" si="14"/>
        <v>134001</v>
      </c>
      <c r="Z371" s="5">
        <v>134500</v>
      </c>
      <c r="AA371" s="5">
        <f t="shared" si="12"/>
        <v>60997.732426303854</v>
      </c>
      <c r="AB371" s="5">
        <f t="shared" si="13"/>
        <v>76420.454545454544</v>
      </c>
      <c r="AC371" s="8">
        <v>-6.45</v>
      </c>
    </row>
    <row r="372" spans="17:29" x14ac:dyDescent="0.35">
      <c r="Q372" s="5">
        <v>134501</v>
      </c>
      <c r="R372" s="5">
        <v>135000</v>
      </c>
      <c r="S372" s="5">
        <v>61224.489795918365</v>
      </c>
      <c r="T372" s="5">
        <v>76704.545454545456</v>
      </c>
      <c r="U372" s="8">
        <v>-6.7</v>
      </c>
      <c r="Y372" s="5">
        <f t="shared" si="14"/>
        <v>134501</v>
      </c>
      <c r="Z372" s="5">
        <v>135000</v>
      </c>
      <c r="AA372" s="5">
        <f t="shared" si="12"/>
        <v>61224.489795918365</v>
      </c>
      <c r="AB372" s="5">
        <f t="shared" si="13"/>
        <v>76704.545454545456</v>
      </c>
      <c r="AC372" s="8">
        <v>-6.7</v>
      </c>
    </row>
    <row r="373" spans="17:29" x14ac:dyDescent="0.35">
      <c r="Q373" s="5">
        <v>135001</v>
      </c>
      <c r="R373" s="5">
        <v>135500</v>
      </c>
      <c r="S373" s="5">
        <v>61451.247165532877</v>
      </c>
      <c r="T373" s="5">
        <v>76988.636363636368</v>
      </c>
      <c r="U373" s="8">
        <v>-6.95</v>
      </c>
      <c r="Y373" s="5">
        <f t="shared" si="14"/>
        <v>135001</v>
      </c>
      <c r="Z373" s="5">
        <v>135500</v>
      </c>
      <c r="AA373" s="5">
        <f t="shared" si="12"/>
        <v>61451.247165532877</v>
      </c>
      <c r="AB373" s="5">
        <f t="shared" si="13"/>
        <v>76988.636363636368</v>
      </c>
      <c r="AC373" s="8">
        <v>-6.95</v>
      </c>
    </row>
    <row r="374" spans="17:29" x14ac:dyDescent="0.35">
      <c r="Q374" s="5">
        <v>135501</v>
      </c>
      <c r="R374" s="5">
        <v>136000</v>
      </c>
      <c r="S374" s="5">
        <v>61678.004535147389</v>
      </c>
      <c r="T374" s="5">
        <v>77272.727272727279</v>
      </c>
      <c r="U374" s="8">
        <v>-7.2</v>
      </c>
      <c r="Y374" s="5">
        <f t="shared" si="14"/>
        <v>135501</v>
      </c>
      <c r="Z374" s="5">
        <v>136000</v>
      </c>
      <c r="AA374" s="5">
        <f t="shared" si="12"/>
        <v>61678.004535147389</v>
      </c>
      <c r="AB374" s="5">
        <f t="shared" si="13"/>
        <v>77272.727272727279</v>
      </c>
      <c r="AC374" s="8">
        <v>-7.2</v>
      </c>
    </row>
    <row r="375" spans="17:29" x14ac:dyDescent="0.35">
      <c r="Q375" s="5">
        <v>136001</v>
      </c>
      <c r="R375" s="5">
        <v>136500</v>
      </c>
      <c r="S375" s="5">
        <v>61904.761904761901</v>
      </c>
      <c r="T375" s="5">
        <v>77556.818181818177</v>
      </c>
      <c r="U375" s="8">
        <v>-7.45</v>
      </c>
      <c r="Y375" s="5">
        <f t="shared" si="14"/>
        <v>136001</v>
      </c>
      <c r="Z375" s="5">
        <v>136500</v>
      </c>
      <c r="AA375" s="5">
        <f t="shared" si="12"/>
        <v>61904.761904761901</v>
      </c>
      <c r="AB375" s="5">
        <f t="shared" si="13"/>
        <v>77556.818181818177</v>
      </c>
      <c r="AC375" s="8">
        <v>-7.45</v>
      </c>
    </row>
    <row r="376" spans="17:29" x14ac:dyDescent="0.35">
      <c r="Q376" s="5">
        <v>136501</v>
      </c>
      <c r="R376" s="5">
        <v>137000</v>
      </c>
      <c r="S376" s="5">
        <v>62131.519274376413</v>
      </c>
      <c r="T376" s="5">
        <v>77840.909090909088</v>
      </c>
      <c r="U376" s="8">
        <v>-7.7</v>
      </c>
      <c r="Y376" s="5">
        <f t="shared" si="14"/>
        <v>136501</v>
      </c>
      <c r="Z376" s="5">
        <v>137000</v>
      </c>
      <c r="AA376" s="5">
        <f t="shared" si="12"/>
        <v>62131.519274376413</v>
      </c>
      <c r="AB376" s="5">
        <f t="shared" si="13"/>
        <v>77840.909090909088</v>
      </c>
      <c r="AC376" s="8">
        <v>-7.7</v>
      </c>
    </row>
    <row r="377" spans="17:29" x14ac:dyDescent="0.35">
      <c r="Q377" s="5">
        <v>137001</v>
      </c>
      <c r="R377" s="5">
        <v>137500</v>
      </c>
      <c r="S377" s="5">
        <v>62358.276643990925</v>
      </c>
      <c r="T377" s="5">
        <v>78125</v>
      </c>
      <c r="U377" s="8">
        <v>-7.95</v>
      </c>
      <c r="Y377" s="5">
        <f t="shared" si="14"/>
        <v>137001</v>
      </c>
      <c r="Z377" s="5">
        <v>137500</v>
      </c>
      <c r="AA377" s="5">
        <f t="shared" si="12"/>
        <v>62358.276643990925</v>
      </c>
      <c r="AB377" s="5">
        <f t="shared" si="13"/>
        <v>78125</v>
      </c>
      <c r="AC377" s="8">
        <v>-7.95</v>
      </c>
    </row>
    <row r="378" spans="17:29" x14ac:dyDescent="0.35">
      <c r="Q378" s="5">
        <v>137501</v>
      </c>
      <c r="R378" s="5">
        <v>138000</v>
      </c>
      <c r="S378" s="5">
        <v>62585.034013605444</v>
      </c>
      <c r="T378" s="5">
        <v>78409.090909090912</v>
      </c>
      <c r="U378" s="8">
        <v>-8.1999999999999993</v>
      </c>
      <c r="Y378" s="5">
        <f t="shared" si="14"/>
        <v>137501</v>
      </c>
      <c r="Z378" s="5">
        <v>138000</v>
      </c>
      <c r="AA378" s="5">
        <f t="shared" si="12"/>
        <v>62585.034013605444</v>
      </c>
      <c r="AB378" s="5">
        <f t="shared" si="13"/>
        <v>78409.090909090912</v>
      </c>
      <c r="AC378" s="8">
        <v>-8.1999999999999993</v>
      </c>
    </row>
    <row r="379" spans="17:29" x14ac:dyDescent="0.35">
      <c r="Q379" s="5">
        <v>138001</v>
      </c>
      <c r="R379" s="5">
        <v>138500</v>
      </c>
      <c r="S379" s="5">
        <v>62811.791383219956</v>
      </c>
      <c r="T379" s="5">
        <v>78693.181818181823</v>
      </c>
      <c r="U379" s="8">
        <v>-8.4499999999999993</v>
      </c>
      <c r="Y379" s="5">
        <f t="shared" si="14"/>
        <v>138001</v>
      </c>
      <c r="Z379" s="5">
        <v>138500</v>
      </c>
      <c r="AA379" s="5">
        <f t="shared" si="12"/>
        <v>62811.791383219956</v>
      </c>
      <c r="AB379" s="5">
        <f t="shared" si="13"/>
        <v>78693.181818181823</v>
      </c>
      <c r="AC379" s="8">
        <v>-8.4499999999999993</v>
      </c>
    </row>
    <row r="380" spans="17:29" x14ac:dyDescent="0.35">
      <c r="Q380" s="5">
        <v>138501</v>
      </c>
      <c r="R380" s="5">
        <v>139000</v>
      </c>
      <c r="S380" s="5">
        <v>63038.548752834467</v>
      </c>
      <c r="T380" s="5">
        <v>78977.272727272721</v>
      </c>
      <c r="U380" s="8">
        <v>-8.6999999999999993</v>
      </c>
      <c r="Y380" s="5">
        <f t="shared" si="14"/>
        <v>138501</v>
      </c>
      <c r="Z380" s="5">
        <v>139000</v>
      </c>
      <c r="AA380" s="5">
        <f t="shared" si="12"/>
        <v>63038.548752834467</v>
      </c>
      <c r="AB380" s="5">
        <f t="shared" si="13"/>
        <v>78977.272727272721</v>
      </c>
      <c r="AC380" s="8">
        <v>-8.6999999999999993</v>
      </c>
    </row>
    <row r="381" spans="17:29" x14ac:dyDescent="0.35">
      <c r="Q381" s="5">
        <v>139001</v>
      </c>
      <c r="R381" s="5">
        <v>139500</v>
      </c>
      <c r="S381" s="5">
        <v>63265.306122448979</v>
      </c>
      <c r="T381" s="5">
        <v>79261.363636363632</v>
      </c>
      <c r="U381" s="8">
        <v>-8.9499999999999993</v>
      </c>
      <c r="Y381" s="5">
        <f t="shared" si="14"/>
        <v>139001</v>
      </c>
      <c r="Z381" s="5">
        <v>139500</v>
      </c>
      <c r="AA381" s="5">
        <f t="shared" si="12"/>
        <v>63265.306122448979</v>
      </c>
      <c r="AB381" s="5">
        <f t="shared" si="13"/>
        <v>79261.363636363632</v>
      </c>
      <c r="AC381" s="8">
        <v>-8.9499999999999993</v>
      </c>
    </row>
    <row r="382" spans="17:29" x14ac:dyDescent="0.35">
      <c r="Q382" s="5">
        <v>139501</v>
      </c>
      <c r="R382" s="5">
        <v>140000</v>
      </c>
      <c r="S382" s="5">
        <v>63492.063492063491</v>
      </c>
      <c r="T382" s="5">
        <v>79545.454545454544</v>
      </c>
      <c r="U382" s="8">
        <v>-9.1999999999999993</v>
      </c>
      <c r="Y382" s="5">
        <f t="shared" si="14"/>
        <v>139501</v>
      </c>
      <c r="Z382" s="5">
        <v>140000</v>
      </c>
      <c r="AA382" s="5">
        <f t="shared" si="12"/>
        <v>63492.063492063491</v>
      </c>
      <c r="AB382" s="5">
        <f t="shared" si="13"/>
        <v>79545.454545454544</v>
      </c>
      <c r="AC382" s="8">
        <v>-9.1999999999999993</v>
      </c>
    </row>
    <row r="383" spans="17:29" x14ac:dyDescent="0.35">
      <c r="Q383" s="5">
        <v>140001</v>
      </c>
      <c r="R383" s="5">
        <v>140500</v>
      </c>
      <c r="S383" s="5">
        <v>63718.820861678003</v>
      </c>
      <c r="T383" s="5">
        <v>79829.545454545456</v>
      </c>
      <c r="U383" s="8">
        <v>-9.4499999999999993</v>
      </c>
      <c r="Y383" s="5">
        <f t="shared" si="14"/>
        <v>140001</v>
      </c>
      <c r="Z383" s="5">
        <v>140500</v>
      </c>
      <c r="AA383" s="5">
        <f t="shared" si="12"/>
        <v>63718.820861678003</v>
      </c>
      <c r="AB383" s="5">
        <f t="shared" si="13"/>
        <v>79829.545454545456</v>
      </c>
      <c r="AC383" s="8">
        <v>-9.4499999999999993</v>
      </c>
    </row>
    <row r="384" spans="17:29" x14ac:dyDescent="0.35">
      <c r="Q384" s="5">
        <v>140501</v>
      </c>
      <c r="R384" s="5">
        <v>141000</v>
      </c>
      <c r="S384" s="5">
        <v>63945.578231292515</v>
      </c>
      <c r="T384" s="5">
        <v>80113.636363636368</v>
      </c>
      <c r="U384" s="8">
        <v>-9.6999999999999993</v>
      </c>
      <c r="Y384" s="5">
        <f t="shared" si="14"/>
        <v>140501</v>
      </c>
      <c r="Z384" s="5">
        <v>141000</v>
      </c>
      <c r="AA384" s="5">
        <f t="shared" si="12"/>
        <v>63945.578231292515</v>
      </c>
      <c r="AB384" s="5">
        <f t="shared" si="13"/>
        <v>80113.636363636368</v>
      </c>
      <c r="AC384" s="8">
        <v>-9.6999999999999993</v>
      </c>
    </row>
    <row r="385" spans="17:29" x14ac:dyDescent="0.35">
      <c r="Q385" s="5">
        <v>141001</v>
      </c>
      <c r="R385" s="5">
        <v>141500</v>
      </c>
      <c r="S385" s="5">
        <v>64172.335600907027</v>
      </c>
      <c r="T385" s="5">
        <v>80397.727272727279</v>
      </c>
      <c r="U385" s="8">
        <v>-9.9499999999999993</v>
      </c>
      <c r="Y385" s="5">
        <f t="shared" si="14"/>
        <v>141001</v>
      </c>
      <c r="Z385" s="5">
        <v>141500</v>
      </c>
      <c r="AA385" s="5">
        <f t="shared" si="12"/>
        <v>64172.335600907027</v>
      </c>
      <c r="AB385" s="5">
        <f t="shared" si="13"/>
        <v>80397.727272727279</v>
      </c>
      <c r="AC385" s="8">
        <v>-9.9499999999999993</v>
      </c>
    </row>
    <row r="386" spans="17:29" x14ac:dyDescent="0.35">
      <c r="Q386" s="5">
        <v>141501</v>
      </c>
      <c r="R386" s="5">
        <v>142000</v>
      </c>
      <c r="S386" s="5">
        <v>64399.092970521539</v>
      </c>
      <c r="T386" s="5">
        <v>80681.818181818177</v>
      </c>
      <c r="U386" s="8">
        <v>-10.199999999999999</v>
      </c>
      <c r="Y386" s="5">
        <f t="shared" si="14"/>
        <v>141501</v>
      </c>
      <c r="Z386" s="5">
        <v>142000</v>
      </c>
      <c r="AA386" s="5">
        <f t="shared" si="12"/>
        <v>64399.092970521539</v>
      </c>
      <c r="AB386" s="5">
        <f t="shared" si="13"/>
        <v>80681.818181818177</v>
      </c>
      <c r="AC386" s="8">
        <v>-10.199999999999999</v>
      </c>
    </row>
    <row r="387" spans="17:29" x14ac:dyDescent="0.35">
      <c r="Q387" s="5">
        <v>142001</v>
      </c>
      <c r="R387" s="5">
        <v>142500</v>
      </c>
      <c r="S387" s="5">
        <v>64625.85034013605</v>
      </c>
      <c r="T387" s="5">
        <v>80965.909090909088</v>
      </c>
      <c r="U387" s="8">
        <v>-10.45</v>
      </c>
      <c r="Y387" s="5">
        <f t="shared" si="14"/>
        <v>142001</v>
      </c>
      <c r="Z387" s="5">
        <v>142500</v>
      </c>
      <c r="AA387" s="5">
        <f t="shared" si="12"/>
        <v>64625.85034013605</v>
      </c>
      <c r="AB387" s="5">
        <f t="shared" si="13"/>
        <v>80965.909090909088</v>
      </c>
      <c r="AC387" s="8">
        <v>-10.45</v>
      </c>
    </row>
    <row r="388" spans="17:29" x14ac:dyDescent="0.35">
      <c r="Q388" s="5">
        <v>142501</v>
      </c>
      <c r="R388" s="5">
        <v>143000</v>
      </c>
      <c r="S388" s="5">
        <v>64852.607709750562</v>
      </c>
      <c r="T388" s="5">
        <v>81250</v>
      </c>
      <c r="U388" s="8">
        <v>-10.7</v>
      </c>
      <c r="Y388" s="5">
        <f t="shared" si="14"/>
        <v>142501</v>
      </c>
      <c r="Z388" s="5">
        <v>143000</v>
      </c>
      <c r="AA388" s="5">
        <f t="shared" si="12"/>
        <v>64852.607709750562</v>
      </c>
      <c r="AB388" s="5">
        <f t="shared" si="13"/>
        <v>81250</v>
      </c>
      <c r="AC388" s="8">
        <v>-10.7</v>
      </c>
    </row>
    <row r="389" spans="17:29" x14ac:dyDescent="0.35">
      <c r="Q389" s="5">
        <v>143001</v>
      </c>
      <c r="R389" s="5">
        <v>143500</v>
      </c>
      <c r="S389" s="5">
        <v>65079.365079365074</v>
      </c>
      <c r="T389" s="5">
        <v>81534.090909090912</v>
      </c>
      <c r="U389" s="8">
        <v>-10.95</v>
      </c>
      <c r="Y389" s="5">
        <f t="shared" si="14"/>
        <v>143001</v>
      </c>
      <c r="Z389" s="5">
        <v>143500</v>
      </c>
      <c r="AA389" s="5">
        <f t="shared" si="12"/>
        <v>65079.365079365074</v>
      </c>
      <c r="AB389" s="5">
        <f t="shared" si="13"/>
        <v>81534.090909090912</v>
      </c>
      <c r="AC389" s="8">
        <v>-10.95</v>
      </c>
    </row>
    <row r="390" spans="17:29" x14ac:dyDescent="0.35">
      <c r="Q390" s="5">
        <v>143501</v>
      </c>
      <c r="R390" s="5">
        <v>144000</v>
      </c>
      <c r="S390" s="5">
        <v>65306.122448979593</v>
      </c>
      <c r="T390" s="5">
        <v>81818.181818181823</v>
      </c>
      <c r="U390" s="8">
        <v>-11.2</v>
      </c>
      <c r="Y390" s="5">
        <f t="shared" si="14"/>
        <v>143501</v>
      </c>
      <c r="Z390" s="5">
        <v>144000</v>
      </c>
      <c r="AA390" s="5">
        <f t="shared" si="12"/>
        <v>65306.122448979593</v>
      </c>
      <c r="AB390" s="5">
        <f t="shared" si="13"/>
        <v>81818.181818181823</v>
      </c>
      <c r="AC390" s="8">
        <v>-11.2</v>
      </c>
    </row>
    <row r="391" spans="17:29" x14ac:dyDescent="0.35">
      <c r="Q391" s="5">
        <v>144001</v>
      </c>
      <c r="R391" s="5">
        <v>144500</v>
      </c>
      <c r="S391" s="5">
        <v>65532.879818594105</v>
      </c>
      <c r="T391" s="5">
        <v>82102.272727272721</v>
      </c>
      <c r="U391" s="8">
        <v>-11.425000000000001</v>
      </c>
      <c r="Y391" s="5">
        <f t="shared" si="14"/>
        <v>144001</v>
      </c>
      <c r="Z391" s="5">
        <v>144500</v>
      </c>
      <c r="AA391" s="5">
        <f t="shared" si="12"/>
        <v>65532.879818594105</v>
      </c>
      <c r="AB391" s="5">
        <f t="shared" si="13"/>
        <v>82102.272727272721</v>
      </c>
      <c r="AC391" s="8">
        <v>-11.425000000000001</v>
      </c>
    </row>
    <row r="392" spans="17:29" x14ac:dyDescent="0.35">
      <c r="Q392" s="5">
        <v>144501</v>
      </c>
      <c r="R392" s="5">
        <v>145000</v>
      </c>
      <c r="S392" s="5">
        <v>65759.63718820861</v>
      </c>
      <c r="T392" s="5">
        <v>82386.363636363632</v>
      </c>
      <c r="U392" s="8">
        <v>-11.65</v>
      </c>
      <c r="Y392" s="5">
        <f t="shared" si="14"/>
        <v>144501</v>
      </c>
      <c r="Z392" s="5">
        <v>145000</v>
      </c>
      <c r="AA392" s="5">
        <f t="shared" si="12"/>
        <v>65759.63718820861</v>
      </c>
      <c r="AB392" s="5">
        <f t="shared" si="13"/>
        <v>82386.363636363632</v>
      </c>
      <c r="AC392" s="8">
        <v>-11.65</v>
      </c>
    </row>
    <row r="393" spans="17:29" x14ac:dyDescent="0.35">
      <c r="Q393" s="5">
        <v>145001</v>
      </c>
      <c r="R393" s="5">
        <v>145500</v>
      </c>
      <c r="S393" s="5">
        <v>65986.394557823121</v>
      </c>
      <c r="T393" s="5">
        <v>82670.454545454544</v>
      </c>
      <c r="U393" s="8">
        <v>-11.875</v>
      </c>
      <c r="Y393" s="5">
        <f t="shared" si="14"/>
        <v>145001</v>
      </c>
      <c r="Z393" s="5">
        <v>145500</v>
      </c>
      <c r="AA393" s="5">
        <f t="shared" si="12"/>
        <v>65986.394557823121</v>
      </c>
      <c r="AB393" s="5">
        <f t="shared" si="13"/>
        <v>82670.454545454544</v>
      </c>
      <c r="AC393" s="8">
        <v>-11.875</v>
      </c>
    </row>
    <row r="394" spans="17:29" x14ac:dyDescent="0.35">
      <c r="Q394" s="5">
        <v>145501</v>
      </c>
      <c r="R394" s="5">
        <v>146000</v>
      </c>
      <c r="S394" s="5">
        <v>66213.151927437633</v>
      </c>
      <c r="T394" s="5">
        <v>82954.545454545456</v>
      </c>
      <c r="U394" s="8">
        <v>-12.1</v>
      </c>
      <c r="Y394" s="5">
        <f t="shared" si="14"/>
        <v>145501</v>
      </c>
      <c r="Z394" s="5">
        <v>146000</v>
      </c>
      <c r="AA394" s="5">
        <f t="shared" si="12"/>
        <v>66213.151927437633</v>
      </c>
      <c r="AB394" s="5">
        <f t="shared" si="13"/>
        <v>82954.545454545456</v>
      </c>
      <c r="AC394" s="8">
        <v>-12.1</v>
      </c>
    </row>
    <row r="395" spans="17:29" x14ac:dyDescent="0.35">
      <c r="Q395" s="5">
        <v>146001</v>
      </c>
      <c r="R395" s="5">
        <v>146500</v>
      </c>
      <c r="S395" s="5">
        <v>66439.909297052145</v>
      </c>
      <c r="T395" s="5">
        <v>83238.636363636368</v>
      </c>
      <c r="U395" s="8">
        <v>-12.324999999999999</v>
      </c>
      <c r="Y395" s="5">
        <f t="shared" si="14"/>
        <v>146001</v>
      </c>
      <c r="Z395" s="5">
        <v>146500</v>
      </c>
      <c r="AA395" s="5">
        <f t="shared" si="12"/>
        <v>66439.909297052145</v>
      </c>
      <c r="AB395" s="5">
        <f t="shared" si="13"/>
        <v>83238.636363636368</v>
      </c>
      <c r="AC395" s="8">
        <v>-12.324999999999999</v>
      </c>
    </row>
    <row r="396" spans="17:29" x14ac:dyDescent="0.35">
      <c r="Q396" s="5">
        <v>146501</v>
      </c>
      <c r="R396" s="5">
        <v>147000</v>
      </c>
      <c r="S396" s="5">
        <v>66666.666666666672</v>
      </c>
      <c r="T396" s="5">
        <v>83522.727272727279</v>
      </c>
      <c r="U396" s="8">
        <v>-12.55</v>
      </c>
      <c r="Y396" s="5">
        <f t="shared" si="14"/>
        <v>146501</v>
      </c>
      <c r="Z396" s="5">
        <v>147000</v>
      </c>
      <c r="AA396" s="5">
        <f t="shared" si="12"/>
        <v>66666.666666666672</v>
      </c>
      <c r="AB396" s="5">
        <f t="shared" si="13"/>
        <v>83522.727272727279</v>
      </c>
      <c r="AC396" s="8">
        <v>-12.55</v>
      </c>
    </row>
    <row r="397" spans="17:29" x14ac:dyDescent="0.35">
      <c r="Q397" s="5">
        <v>147001</v>
      </c>
      <c r="R397" s="5">
        <v>147500</v>
      </c>
      <c r="S397" s="5">
        <v>66893.424036281183</v>
      </c>
      <c r="T397" s="5">
        <v>83806.818181818177</v>
      </c>
      <c r="U397" s="8">
        <v>-12.775</v>
      </c>
      <c r="Y397" s="5">
        <f t="shared" si="14"/>
        <v>147001</v>
      </c>
      <c r="Z397" s="5">
        <v>147500</v>
      </c>
      <c r="AA397" s="5">
        <f t="shared" si="12"/>
        <v>66893.424036281183</v>
      </c>
      <c r="AB397" s="5">
        <f t="shared" si="13"/>
        <v>83806.818181818177</v>
      </c>
      <c r="AC397" s="8">
        <v>-12.775</v>
      </c>
    </row>
    <row r="398" spans="17:29" x14ac:dyDescent="0.35">
      <c r="Q398" s="5">
        <v>147501</v>
      </c>
      <c r="R398" s="5">
        <v>148000</v>
      </c>
      <c r="S398" s="5">
        <v>67120.181405895695</v>
      </c>
      <c r="T398" s="5">
        <v>84090.909090909088</v>
      </c>
      <c r="U398" s="8">
        <v>-13</v>
      </c>
      <c r="Y398" s="5">
        <f t="shared" si="14"/>
        <v>147501</v>
      </c>
      <c r="Z398" s="5">
        <v>148000</v>
      </c>
      <c r="AA398" s="5">
        <f t="shared" si="12"/>
        <v>67120.181405895695</v>
      </c>
      <c r="AB398" s="5">
        <f t="shared" si="13"/>
        <v>84090.909090909088</v>
      </c>
      <c r="AC398" s="8">
        <v>-13</v>
      </c>
    </row>
    <row r="399" spans="17:29" x14ac:dyDescent="0.35">
      <c r="Q399" s="5">
        <v>148001</v>
      </c>
      <c r="R399" s="5">
        <v>148500</v>
      </c>
      <c r="S399" s="5">
        <v>67346.938775510207</v>
      </c>
      <c r="T399" s="5">
        <v>84375</v>
      </c>
      <c r="U399" s="8">
        <v>-13.275</v>
      </c>
      <c r="Y399" s="5">
        <f t="shared" si="14"/>
        <v>148001</v>
      </c>
      <c r="Z399" s="5">
        <v>148500</v>
      </c>
      <c r="AA399" s="5">
        <f t="shared" si="12"/>
        <v>67346.938775510207</v>
      </c>
      <c r="AB399" s="5">
        <f t="shared" si="13"/>
        <v>84375</v>
      </c>
      <c r="AC399" s="8">
        <v>-13.275</v>
      </c>
    </row>
    <row r="400" spans="17:29" x14ac:dyDescent="0.35">
      <c r="Q400" s="5">
        <v>148501</v>
      </c>
      <c r="R400" s="5">
        <v>149000</v>
      </c>
      <c r="S400" s="5">
        <v>67573.696145124719</v>
      </c>
      <c r="T400" s="5">
        <v>84659.090909090912</v>
      </c>
      <c r="U400" s="8">
        <v>-13.55</v>
      </c>
      <c r="Y400" s="5">
        <f t="shared" si="14"/>
        <v>148501</v>
      </c>
      <c r="Z400" s="5">
        <v>149000</v>
      </c>
      <c r="AA400" s="5">
        <f t="shared" si="12"/>
        <v>67573.696145124719</v>
      </c>
      <c r="AB400" s="5">
        <f t="shared" si="13"/>
        <v>84659.090909090912</v>
      </c>
      <c r="AC400" s="8">
        <v>-13.55</v>
      </c>
    </row>
    <row r="401" spans="17:29" x14ac:dyDescent="0.35">
      <c r="Q401" s="5">
        <v>149001</v>
      </c>
      <c r="R401" s="5">
        <v>149500</v>
      </c>
      <c r="S401" s="5">
        <v>67800.453514739231</v>
      </c>
      <c r="T401" s="5">
        <v>84943.181818181823</v>
      </c>
      <c r="U401" s="8">
        <v>-13.824999999999999</v>
      </c>
      <c r="Y401" s="5">
        <f t="shared" si="14"/>
        <v>149001</v>
      </c>
      <c r="Z401" s="5">
        <v>149500</v>
      </c>
      <c r="AA401" s="5">
        <f t="shared" si="12"/>
        <v>67800.453514739231</v>
      </c>
      <c r="AB401" s="5">
        <f t="shared" si="13"/>
        <v>84943.181818181823</v>
      </c>
      <c r="AC401" s="8">
        <v>-13.824999999999999</v>
      </c>
    </row>
    <row r="402" spans="17:29" x14ac:dyDescent="0.35">
      <c r="Q402" s="5">
        <v>149501</v>
      </c>
      <c r="R402" s="5">
        <v>150000</v>
      </c>
      <c r="S402" s="5">
        <v>68027.210884353743</v>
      </c>
      <c r="T402" s="5">
        <v>85227.272727272721</v>
      </c>
      <c r="U402" s="8">
        <v>-14.1</v>
      </c>
      <c r="Y402" s="5">
        <f t="shared" si="14"/>
        <v>149501</v>
      </c>
      <c r="Z402" s="5">
        <v>150000</v>
      </c>
      <c r="AA402" s="5">
        <f t="shared" si="12"/>
        <v>68027.210884353743</v>
      </c>
      <c r="AB402" s="5">
        <f t="shared" si="13"/>
        <v>85227.272727272721</v>
      </c>
      <c r="AC402" s="8">
        <v>-14.1</v>
      </c>
    </row>
    <row r="403" spans="17:29" x14ac:dyDescent="0.35">
      <c r="Q403" s="5">
        <v>150001</v>
      </c>
      <c r="R403" s="5">
        <v>150500</v>
      </c>
      <c r="S403" s="5">
        <v>68253.968253968254</v>
      </c>
      <c r="T403" s="5">
        <v>85511.363636363632</v>
      </c>
      <c r="U403" s="8">
        <v>-14.324999999999999</v>
      </c>
      <c r="Y403" s="5">
        <f t="shared" si="14"/>
        <v>150001</v>
      </c>
      <c r="Z403" s="5">
        <v>150500</v>
      </c>
      <c r="AA403" s="5">
        <f t="shared" si="12"/>
        <v>68253.968253968254</v>
      </c>
      <c r="AB403" s="5">
        <f t="shared" si="13"/>
        <v>85511.363636363632</v>
      </c>
      <c r="AC403" s="8">
        <v>-14.324999999999999</v>
      </c>
    </row>
    <row r="404" spans="17:29" x14ac:dyDescent="0.35">
      <c r="Q404" s="5">
        <v>150501</v>
      </c>
      <c r="R404" s="5">
        <v>151000</v>
      </c>
      <c r="S404" s="5">
        <v>68480.725623582766</v>
      </c>
      <c r="T404" s="5">
        <v>85795.454545454544</v>
      </c>
      <c r="U404" s="8">
        <v>-14.55</v>
      </c>
      <c r="Y404" s="5">
        <f t="shared" si="14"/>
        <v>150501</v>
      </c>
      <c r="Z404" s="5">
        <v>151000</v>
      </c>
      <c r="AA404" s="5">
        <f t="shared" si="12"/>
        <v>68480.725623582766</v>
      </c>
      <c r="AB404" s="5">
        <f t="shared" si="13"/>
        <v>85795.454545454544</v>
      </c>
      <c r="AC404" s="8">
        <v>-14.55</v>
      </c>
    </row>
    <row r="405" spans="17:29" x14ac:dyDescent="0.35">
      <c r="Q405" s="5">
        <v>151001</v>
      </c>
      <c r="R405" s="5">
        <v>151500</v>
      </c>
      <c r="S405" s="5">
        <v>68707.482993197278</v>
      </c>
      <c r="T405" s="5">
        <v>86079.545454545456</v>
      </c>
      <c r="U405" s="8">
        <v>-14.775</v>
      </c>
      <c r="Y405" s="5">
        <f t="shared" si="14"/>
        <v>151001</v>
      </c>
      <c r="Z405" s="5">
        <v>151500</v>
      </c>
      <c r="AA405" s="5">
        <f t="shared" si="12"/>
        <v>68707.482993197278</v>
      </c>
      <c r="AB405" s="5">
        <f t="shared" si="13"/>
        <v>86079.545454545456</v>
      </c>
      <c r="AC405" s="8">
        <v>-14.775</v>
      </c>
    </row>
    <row r="406" spans="17:29" x14ac:dyDescent="0.35">
      <c r="Q406" s="5">
        <v>151501</v>
      </c>
      <c r="R406" s="5">
        <v>152000</v>
      </c>
      <c r="S406" s="5">
        <v>68934.24036281179</v>
      </c>
      <c r="T406" s="5">
        <v>86363.636363636368</v>
      </c>
      <c r="U406" s="8">
        <v>-15</v>
      </c>
      <c r="Y406" s="5">
        <f t="shared" si="14"/>
        <v>151501</v>
      </c>
      <c r="Z406" s="5">
        <v>152000</v>
      </c>
      <c r="AA406" s="5">
        <f t="shared" si="12"/>
        <v>68934.24036281179</v>
      </c>
      <c r="AB406" s="5">
        <f t="shared" si="13"/>
        <v>86363.636363636368</v>
      </c>
      <c r="AC406" s="8">
        <v>-15</v>
      </c>
    </row>
    <row r="407" spans="17:29" x14ac:dyDescent="0.35">
      <c r="Q407" s="5">
        <v>152001</v>
      </c>
      <c r="R407" s="5">
        <v>152500</v>
      </c>
      <c r="S407" s="5">
        <v>69160.997732426302</v>
      </c>
      <c r="T407" s="5">
        <v>86647.727272727279</v>
      </c>
      <c r="U407" s="8">
        <v>-15.25</v>
      </c>
      <c r="Y407" s="5">
        <f t="shared" si="14"/>
        <v>152001</v>
      </c>
      <c r="Z407" s="5">
        <v>152500</v>
      </c>
      <c r="AA407" s="5">
        <f t="shared" si="12"/>
        <v>69160.997732426302</v>
      </c>
      <c r="AB407" s="5">
        <f t="shared" si="13"/>
        <v>86647.727272727279</v>
      </c>
      <c r="AC407" s="8">
        <v>-15.25</v>
      </c>
    </row>
    <row r="408" spans="17:29" x14ac:dyDescent="0.35">
      <c r="Q408" s="5">
        <v>152501</v>
      </c>
      <c r="R408" s="5">
        <v>153000</v>
      </c>
      <c r="S408" s="5">
        <v>69387.755102040814</v>
      </c>
      <c r="T408" s="5">
        <v>86931.818181818177</v>
      </c>
      <c r="U408" s="8">
        <v>-15.5</v>
      </c>
      <c r="Y408" s="5">
        <f t="shared" si="14"/>
        <v>152501</v>
      </c>
      <c r="Z408" s="5">
        <v>153000</v>
      </c>
      <c r="AA408" s="5">
        <f t="shared" si="12"/>
        <v>69387.755102040814</v>
      </c>
      <c r="AB408" s="5">
        <f t="shared" si="13"/>
        <v>86931.818181818177</v>
      </c>
      <c r="AC408" s="8">
        <v>-15.5</v>
      </c>
    </row>
    <row r="409" spans="17:29" x14ac:dyDescent="0.35">
      <c r="Q409" s="5">
        <v>153001</v>
      </c>
      <c r="R409" s="5">
        <v>153500</v>
      </c>
      <c r="S409" s="5">
        <v>69614.512471655325</v>
      </c>
      <c r="T409" s="5">
        <v>87215.909090909088</v>
      </c>
      <c r="U409" s="8">
        <v>-15.75</v>
      </c>
      <c r="Y409" s="5">
        <f t="shared" si="14"/>
        <v>153001</v>
      </c>
      <c r="Z409" s="5">
        <v>153500</v>
      </c>
      <c r="AA409" s="5">
        <f t="shared" si="12"/>
        <v>69614.512471655325</v>
      </c>
      <c r="AB409" s="5">
        <f t="shared" si="13"/>
        <v>87215.909090909088</v>
      </c>
      <c r="AC409" s="8">
        <v>-15.75</v>
      </c>
    </row>
    <row r="410" spans="17:29" x14ac:dyDescent="0.35">
      <c r="Q410" s="5">
        <v>153501</v>
      </c>
      <c r="R410" s="5">
        <v>154000</v>
      </c>
      <c r="S410" s="5">
        <v>69841.269841269837</v>
      </c>
      <c r="T410" s="5">
        <v>87500</v>
      </c>
      <c r="U410" s="8">
        <v>-16</v>
      </c>
      <c r="Y410" s="5">
        <f t="shared" si="14"/>
        <v>153501</v>
      </c>
      <c r="Z410" s="5">
        <v>154000</v>
      </c>
      <c r="AA410" s="5">
        <f t="shared" si="12"/>
        <v>69841.269841269837</v>
      </c>
      <c r="AB410" s="5">
        <f t="shared" si="13"/>
        <v>87500</v>
      </c>
      <c r="AC410" s="8">
        <v>-16</v>
      </c>
    </row>
    <row r="411" spans="17:29" x14ac:dyDescent="0.35">
      <c r="Q411" s="5">
        <v>154001</v>
      </c>
      <c r="R411" s="5">
        <v>154500</v>
      </c>
      <c r="S411" s="5">
        <v>70068.027210884349</v>
      </c>
      <c r="T411" s="5">
        <v>87784.090909090912</v>
      </c>
      <c r="U411" s="8">
        <v>-16.274999999999999</v>
      </c>
      <c r="Y411" s="5">
        <f t="shared" si="14"/>
        <v>154001</v>
      </c>
      <c r="Z411" s="5">
        <v>154500</v>
      </c>
      <c r="AA411" s="5">
        <f t="shared" si="12"/>
        <v>70068.027210884349</v>
      </c>
      <c r="AB411" s="5">
        <f t="shared" si="13"/>
        <v>87784.090909090912</v>
      </c>
      <c r="AC411" s="8">
        <v>-16.274999999999999</v>
      </c>
    </row>
    <row r="412" spans="17:29" x14ac:dyDescent="0.35">
      <c r="Q412" s="5">
        <v>154501</v>
      </c>
      <c r="R412" s="5">
        <v>155000</v>
      </c>
      <c r="S412" s="5">
        <v>70294.784580498861</v>
      </c>
      <c r="T412" s="5">
        <v>88068.181818181823</v>
      </c>
      <c r="U412" s="8">
        <v>-16.55</v>
      </c>
      <c r="Y412" s="5">
        <f t="shared" si="14"/>
        <v>154501</v>
      </c>
      <c r="Z412" s="5">
        <v>155000</v>
      </c>
      <c r="AA412" s="5">
        <f t="shared" si="12"/>
        <v>70294.784580498861</v>
      </c>
      <c r="AB412" s="5">
        <f t="shared" si="13"/>
        <v>88068.181818181823</v>
      </c>
      <c r="AC412" s="8">
        <v>-16.55</v>
      </c>
    </row>
    <row r="413" spans="17:29" x14ac:dyDescent="0.35">
      <c r="Q413" s="5">
        <v>155001</v>
      </c>
      <c r="R413" s="5">
        <v>155500</v>
      </c>
      <c r="S413" s="5">
        <v>70521.541950113373</v>
      </c>
      <c r="T413" s="5">
        <v>88352.272727272721</v>
      </c>
      <c r="U413" s="8">
        <v>-16.824999999999999</v>
      </c>
      <c r="Y413" s="5">
        <f t="shared" si="14"/>
        <v>155001</v>
      </c>
      <c r="Z413" s="5">
        <v>155500</v>
      </c>
      <c r="AA413" s="5">
        <f t="shared" si="12"/>
        <v>70521.541950113373</v>
      </c>
      <c r="AB413" s="5">
        <f t="shared" si="13"/>
        <v>88352.272727272721</v>
      </c>
      <c r="AC413" s="8">
        <v>-16.824999999999999</v>
      </c>
    </row>
    <row r="414" spans="17:29" x14ac:dyDescent="0.35">
      <c r="Q414" s="5">
        <v>155501</v>
      </c>
      <c r="R414" s="5">
        <v>156000</v>
      </c>
      <c r="S414" s="5">
        <v>70748.299319727885</v>
      </c>
      <c r="T414" s="5">
        <v>88636.363636363632</v>
      </c>
      <c r="U414" s="8">
        <v>-17.100000000000001</v>
      </c>
      <c r="Y414" s="5">
        <f t="shared" si="14"/>
        <v>155501</v>
      </c>
      <c r="Z414" s="5">
        <v>156000</v>
      </c>
      <c r="AA414" s="5">
        <f t="shared" si="12"/>
        <v>70748.299319727885</v>
      </c>
      <c r="AB414" s="5">
        <f t="shared" si="13"/>
        <v>88636.363636363632</v>
      </c>
      <c r="AC414" s="8">
        <v>-17.100000000000001</v>
      </c>
    </row>
    <row r="415" spans="17:29" x14ac:dyDescent="0.35">
      <c r="Q415" s="5">
        <v>156001</v>
      </c>
      <c r="R415" s="5">
        <v>156500</v>
      </c>
      <c r="S415" s="5">
        <v>70975.056689342397</v>
      </c>
      <c r="T415" s="5">
        <v>88920.454545454544</v>
      </c>
      <c r="U415" s="8">
        <v>-17.375</v>
      </c>
      <c r="Y415" s="5">
        <f t="shared" si="14"/>
        <v>156001</v>
      </c>
      <c r="Z415" s="5">
        <v>156500</v>
      </c>
      <c r="AA415" s="5">
        <f t="shared" si="12"/>
        <v>70975.056689342397</v>
      </c>
      <c r="AB415" s="5">
        <f t="shared" si="13"/>
        <v>88920.454545454544</v>
      </c>
      <c r="AC415" s="8">
        <v>-17.375</v>
      </c>
    </row>
    <row r="416" spans="17:29" x14ac:dyDescent="0.35">
      <c r="Q416" s="5">
        <v>156501</v>
      </c>
      <c r="R416" s="5">
        <v>157000</v>
      </c>
      <c r="S416" s="5">
        <v>71201.814058956908</v>
      </c>
      <c r="T416" s="5">
        <v>89204.545454545456</v>
      </c>
      <c r="U416" s="8">
        <v>-17.649999999999999</v>
      </c>
      <c r="Y416" s="5">
        <f t="shared" si="14"/>
        <v>156501</v>
      </c>
      <c r="Z416" s="5">
        <v>157000</v>
      </c>
      <c r="AA416" s="5">
        <f t="shared" si="12"/>
        <v>71201.814058956908</v>
      </c>
      <c r="AB416" s="5">
        <f t="shared" si="13"/>
        <v>89204.545454545456</v>
      </c>
      <c r="AC416" s="8">
        <v>-17.649999999999999</v>
      </c>
    </row>
    <row r="417" spans="17:29" x14ac:dyDescent="0.35">
      <c r="Q417" s="5">
        <v>157001</v>
      </c>
      <c r="R417" s="5">
        <v>157500</v>
      </c>
      <c r="S417" s="5">
        <v>71428.57142857142</v>
      </c>
      <c r="T417" s="5">
        <v>89488.636363636368</v>
      </c>
      <c r="U417" s="8">
        <v>-17.925000000000001</v>
      </c>
      <c r="Y417" s="5">
        <f t="shared" si="14"/>
        <v>157001</v>
      </c>
      <c r="Z417" s="5">
        <v>157500</v>
      </c>
      <c r="AA417" s="5">
        <f t="shared" si="12"/>
        <v>71428.57142857142</v>
      </c>
      <c r="AB417" s="5">
        <f t="shared" si="13"/>
        <v>89488.636363636368</v>
      </c>
      <c r="AC417" s="8">
        <v>-17.925000000000001</v>
      </c>
    </row>
    <row r="418" spans="17:29" x14ac:dyDescent="0.35">
      <c r="Q418" s="5">
        <v>157501</v>
      </c>
      <c r="R418" s="5">
        <v>158000</v>
      </c>
      <c r="S418" s="5">
        <v>71655.328798185932</v>
      </c>
      <c r="T418" s="5">
        <v>89772.727272727279</v>
      </c>
      <c r="U418" s="8">
        <v>-18.2</v>
      </c>
      <c r="Y418" s="5">
        <f t="shared" si="14"/>
        <v>157501</v>
      </c>
      <c r="Z418" s="5">
        <v>158000</v>
      </c>
      <c r="AA418" s="5">
        <f t="shared" si="12"/>
        <v>71655.328798185932</v>
      </c>
      <c r="AB418" s="5">
        <f t="shared" si="13"/>
        <v>89772.727272727279</v>
      </c>
      <c r="AC418" s="8">
        <v>-18.2</v>
      </c>
    </row>
    <row r="419" spans="17:29" x14ac:dyDescent="0.35">
      <c r="Q419" s="5">
        <v>158001</v>
      </c>
      <c r="R419" s="5">
        <v>158500</v>
      </c>
      <c r="S419" s="5">
        <v>71882.086167800444</v>
      </c>
      <c r="T419" s="5">
        <v>90056.818181818177</v>
      </c>
      <c r="U419" s="8">
        <v>-18.45</v>
      </c>
      <c r="Y419" s="5">
        <f t="shared" si="14"/>
        <v>158001</v>
      </c>
      <c r="Z419" s="5">
        <v>158500</v>
      </c>
      <c r="AA419" s="5">
        <f t="shared" si="12"/>
        <v>71882.086167800444</v>
      </c>
      <c r="AB419" s="5">
        <f t="shared" si="13"/>
        <v>90056.818181818177</v>
      </c>
      <c r="AC419" s="8">
        <v>-18.45</v>
      </c>
    </row>
    <row r="420" spans="17:29" x14ac:dyDescent="0.35">
      <c r="Q420" s="5">
        <v>158501</v>
      </c>
      <c r="R420" s="5">
        <v>159000</v>
      </c>
      <c r="S420" s="5">
        <v>72108.84353741497</v>
      </c>
      <c r="T420" s="5">
        <v>90340.909090909088</v>
      </c>
      <c r="U420" s="8">
        <v>-18.7</v>
      </c>
      <c r="Y420" s="5">
        <f t="shared" si="14"/>
        <v>158501</v>
      </c>
      <c r="Z420" s="5">
        <v>159000</v>
      </c>
      <c r="AA420" s="5">
        <f t="shared" si="12"/>
        <v>72108.84353741497</v>
      </c>
      <c r="AB420" s="5">
        <f t="shared" si="13"/>
        <v>90340.909090909088</v>
      </c>
      <c r="AC420" s="8">
        <v>-18.7</v>
      </c>
    </row>
    <row r="421" spans="17:29" x14ac:dyDescent="0.35">
      <c r="Q421" s="5">
        <v>159001</v>
      </c>
      <c r="R421" s="5">
        <v>159500</v>
      </c>
      <c r="S421" s="5">
        <v>72335.600907029482</v>
      </c>
      <c r="T421" s="5">
        <v>90625</v>
      </c>
      <c r="U421" s="8">
        <v>-18.95</v>
      </c>
      <c r="Y421" s="5">
        <f t="shared" si="14"/>
        <v>159001</v>
      </c>
      <c r="Z421" s="5">
        <v>159500</v>
      </c>
      <c r="AA421" s="5">
        <f t="shared" si="12"/>
        <v>72335.600907029482</v>
      </c>
      <c r="AB421" s="5">
        <f t="shared" si="13"/>
        <v>90625</v>
      </c>
      <c r="AC421" s="8">
        <v>-18.95</v>
      </c>
    </row>
    <row r="422" spans="17:29" x14ac:dyDescent="0.35">
      <c r="Q422" s="5">
        <v>159501</v>
      </c>
      <c r="R422" s="5">
        <v>160000</v>
      </c>
      <c r="S422" s="5">
        <v>72562.358276643994</v>
      </c>
      <c r="T422" s="5">
        <v>90909.090909090912</v>
      </c>
      <c r="U422" s="8">
        <v>-19.2</v>
      </c>
      <c r="Y422" s="5">
        <f t="shared" si="14"/>
        <v>159501</v>
      </c>
      <c r="Z422" s="5">
        <v>160000</v>
      </c>
      <c r="AA422" s="5">
        <f t="shared" si="12"/>
        <v>72562.358276643994</v>
      </c>
      <c r="AB422" s="5">
        <f t="shared" si="13"/>
        <v>90909.090909090912</v>
      </c>
      <c r="AC422" s="8">
        <v>-19.2</v>
      </c>
    </row>
    <row r="423" spans="17:29" x14ac:dyDescent="0.35">
      <c r="Q423" s="5">
        <v>160001</v>
      </c>
      <c r="R423" s="5">
        <v>160500</v>
      </c>
      <c r="S423" s="5">
        <v>72789.115646258506</v>
      </c>
      <c r="T423" s="5">
        <v>91193.181818181823</v>
      </c>
      <c r="U423" s="8">
        <v>-19.5</v>
      </c>
      <c r="Y423" s="5">
        <f t="shared" si="14"/>
        <v>160001</v>
      </c>
      <c r="Z423" s="5">
        <v>160500</v>
      </c>
      <c r="AA423" s="5">
        <f t="shared" si="12"/>
        <v>72789.115646258506</v>
      </c>
      <c r="AB423" s="5">
        <f t="shared" si="13"/>
        <v>91193.181818181823</v>
      </c>
      <c r="AC423" s="8">
        <v>-19.5</v>
      </c>
    </row>
    <row r="424" spans="17:29" x14ac:dyDescent="0.35">
      <c r="Q424" s="5">
        <v>160501</v>
      </c>
      <c r="R424" s="5">
        <v>161000</v>
      </c>
      <c r="S424" s="5">
        <v>73015.873015873018</v>
      </c>
      <c r="T424" s="5">
        <v>91477.272727272721</v>
      </c>
      <c r="U424" s="8">
        <v>-19.8</v>
      </c>
      <c r="Y424" s="5">
        <f t="shared" si="14"/>
        <v>160501</v>
      </c>
      <c r="Z424" s="5">
        <v>161000</v>
      </c>
      <c r="AA424" s="5">
        <f t="shared" ref="AA424:AA442" si="15">Z424/2.205</f>
        <v>73015.873015873018</v>
      </c>
      <c r="AB424" s="5">
        <f t="shared" ref="AB424:AB442" si="16">Z424/1.76</f>
        <v>91477.272727272721</v>
      </c>
      <c r="AC424" s="8">
        <v>-19.8</v>
      </c>
    </row>
    <row r="425" spans="17:29" x14ac:dyDescent="0.35">
      <c r="Q425" s="5">
        <v>161001</v>
      </c>
      <c r="R425" s="5">
        <v>161500</v>
      </c>
      <c r="S425" s="5">
        <v>73242.63038548753</v>
      </c>
      <c r="T425" s="5">
        <v>91761.363636363632</v>
      </c>
      <c r="U425" s="8">
        <v>-20.100000000000001</v>
      </c>
      <c r="Y425" s="5">
        <f t="shared" ref="Y425:Y442" si="17">Z424+1</f>
        <v>161001</v>
      </c>
      <c r="Z425" s="5">
        <v>161500</v>
      </c>
      <c r="AA425" s="5">
        <f t="shared" si="15"/>
        <v>73242.63038548753</v>
      </c>
      <c r="AB425" s="5">
        <f t="shared" si="16"/>
        <v>91761.363636363632</v>
      </c>
      <c r="AC425" s="8">
        <v>-20.100000000000001</v>
      </c>
    </row>
    <row r="426" spans="17:29" x14ac:dyDescent="0.35">
      <c r="Q426" s="5">
        <v>161501</v>
      </c>
      <c r="R426" s="5">
        <v>162000</v>
      </c>
      <c r="S426" s="5">
        <v>73469.387755102041</v>
      </c>
      <c r="T426" s="5">
        <v>92045.454545454544</v>
      </c>
      <c r="U426" s="8">
        <v>-20.399999999999999</v>
      </c>
      <c r="Y426" s="5">
        <f t="shared" si="17"/>
        <v>161501</v>
      </c>
      <c r="Z426" s="5">
        <v>162000</v>
      </c>
      <c r="AA426" s="5">
        <f t="shared" si="15"/>
        <v>73469.387755102041</v>
      </c>
      <c r="AB426" s="5">
        <f t="shared" si="16"/>
        <v>92045.454545454544</v>
      </c>
      <c r="AC426" s="8">
        <v>-20.399999999999999</v>
      </c>
    </row>
    <row r="427" spans="17:29" x14ac:dyDescent="0.35">
      <c r="Q427" s="5">
        <v>162001</v>
      </c>
      <c r="R427" s="5">
        <v>162500</v>
      </c>
      <c r="S427" s="5">
        <v>73696.145124716553</v>
      </c>
      <c r="T427" s="5">
        <v>92329.545454545456</v>
      </c>
      <c r="U427" s="8">
        <v>-20.7</v>
      </c>
      <c r="Y427" s="5">
        <f t="shared" si="17"/>
        <v>162001</v>
      </c>
      <c r="Z427" s="5">
        <v>162500</v>
      </c>
      <c r="AA427" s="5">
        <f t="shared" si="15"/>
        <v>73696.145124716553</v>
      </c>
      <c r="AB427" s="5">
        <f t="shared" si="16"/>
        <v>92329.545454545456</v>
      </c>
      <c r="AC427" s="8">
        <v>-20.7</v>
      </c>
    </row>
    <row r="428" spans="17:29" x14ac:dyDescent="0.35">
      <c r="Q428" s="5">
        <v>162501</v>
      </c>
      <c r="R428" s="5">
        <v>163000</v>
      </c>
      <c r="S428" s="5">
        <v>73922.902494331065</v>
      </c>
      <c r="T428" s="5">
        <v>92613.636363636368</v>
      </c>
      <c r="U428" s="8">
        <v>-21</v>
      </c>
      <c r="Y428" s="5">
        <f t="shared" si="17"/>
        <v>162501</v>
      </c>
      <c r="Z428" s="5">
        <v>163000</v>
      </c>
      <c r="AA428" s="5">
        <f t="shared" si="15"/>
        <v>73922.902494331065</v>
      </c>
      <c r="AB428" s="5">
        <f t="shared" si="16"/>
        <v>92613.636363636368</v>
      </c>
      <c r="AC428" s="8">
        <v>-21</v>
      </c>
    </row>
    <row r="429" spans="17:29" x14ac:dyDescent="0.35">
      <c r="Q429" s="5">
        <v>163001</v>
      </c>
      <c r="R429" s="5">
        <v>163500</v>
      </c>
      <c r="S429" s="5">
        <v>74149.659863945577</v>
      </c>
      <c r="T429" s="5">
        <v>92897.727272727279</v>
      </c>
      <c r="U429" s="8">
        <v>-21.3</v>
      </c>
      <c r="Y429" s="5">
        <f t="shared" si="17"/>
        <v>163001</v>
      </c>
      <c r="Z429" s="5">
        <v>163500</v>
      </c>
      <c r="AA429" s="5">
        <f t="shared" si="15"/>
        <v>74149.659863945577</v>
      </c>
      <c r="AB429" s="5">
        <f t="shared" si="16"/>
        <v>92897.727272727279</v>
      </c>
      <c r="AC429" s="8">
        <v>-21.3</v>
      </c>
    </row>
    <row r="430" spans="17:29" x14ac:dyDescent="0.35">
      <c r="Q430" s="5">
        <v>163501</v>
      </c>
      <c r="R430" s="5">
        <v>164000</v>
      </c>
      <c r="S430" s="5">
        <v>74376.417233560089</v>
      </c>
      <c r="T430" s="5">
        <v>93181.818181818177</v>
      </c>
      <c r="U430" s="8">
        <v>-21.6</v>
      </c>
      <c r="Y430" s="5">
        <f t="shared" si="17"/>
        <v>163501</v>
      </c>
      <c r="Z430" s="5">
        <v>164000</v>
      </c>
      <c r="AA430" s="5">
        <f t="shared" si="15"/>
        <v>74376.417233560089</v>
      </c>
      <c r="AB430" s="5">
        <f t="shared" si="16"/>
        <v>93181.818181818177</v>
      </c>
      <c r="AC430" s="8">
        <v>-21.6</v>
      </c>
    </row>
    <row r="431" spans="17:29" x14ac:dyDescent="0.35">
      <c r="Q431" s="5">
        <v>164001</v>
      </c>
      <c r="R431" s="5">
        <v>164500</v>
      </c>
      <c r="S431" s="5">
        <v>74603.174603174601</v>
      </c>
      <c r="T431" s="5">
        <v>93465.909090909088</v>
      </c>
      <c r="U431" s="8">
        <v>-21.9</v>
      </c>
      <c r="Y431" s="5">
        <f t="shared" si="17"/>
        <v>164001</v>
      </c>
      <c r="Z431" s="5">
        <v>164500</v>
      </c>
      <c r="AA431" s="5">
        <f t="shared" si="15"/>
        <v>74603.174603174601</v>
      </c>
      <c r="AB431" s="5">
        <f t="shared" si="16"/>
        <v>93465.909090909088</v>
      </c>
      <c r="AC431" s="8">
        <v>-21.9</v>
      </c>
    </row>
    <row r="432" spans="17:29" x14ac:dyDescent="0.35">
      <c r="Q432" s="5">
        <v>164501</v>
      </c>
      <c r="R432" s="5">
        <v>165000</v>
      </c>
      <c r="S432" s="5">
        <v>74829.931972789112</v>
      </c>
      <c r="T432" s="5">
        <v>93750</v>
      </c>
      <c r="U432" s="8">
        <v>-22.2</v>
      </c>
      <c r="Y432" s="5">
        <f t="shared" si="17"/>
        <v>164501</v>
      </c>
      <c r="Z432" s="5">
        <v>165000</v>
      </c>
      <c r="AA432" s="5">
        <f t="shared" si="15"/>
        <v>74829.931972789112</v>
      </c>
      <c r="AB432" s="5">
        <f t="shared" si="16"/>
        <v>93750</v>
      </c>
      <c r="AC432" s="8">
        <v>-22.2</v>
      </c>
    </row>
    <row r="433" spans="17:29" x14ac:dyDescent="0.35">
      <c r="Q433" s="5">
        <v>165001</v>
      </c>
      <c r="R433" s="5">
        <v>165500</v>
      </c>
      <c r="S433" s="5">
        <v>75056.689342403624</v>
      </c>
      <c r="T433" s="5">
        <v>94034.090909090912</v>
      </c>
      <c r="U433" s="8">
        <v>-22.5</v>
      </c>
      <c r="Y433" s="5">
        <f t="shared" si="17"/>
        <v>165001</v>
      </c>
      <c r="Z433" s="5">
        <v>165500</v>
      </c>
      <c r="AA433" s="5">
        <f t="shared" si="15"/>
        <v>75056.689342403624</v>
      </c>
      <c r="AB433" s="5">
        <f t="shared" si="16"/>
        <v>94034.090909090912</v>
      </c>
      <c r="AC433" s="8">
        <v>-22.5</v>
      </c>
    </row>
    <row r="434" spans="17:29" x14ac:dyDescent="0.35">
      <c r="Q434" s="5">
        <v>165501</v>
      </c>
      <c r="R434" s="5">
        <v>166000</v>
      </c>
      <c r="S434" s="5">
        <v>75283.446712018136</v>
      </c>
      <c r="T434" s="5">
        <v>94318.181818181823</v>
      </c>
      <c r="U434" s="8">
        <v>-22.8</v>
      </c>
      <c r="Y434" s="5">
        <f t="shared" si="17"/>
        <v>165501</v>
      </c>
      <c r="Z434" s="5">
        <v>166000</v>
      </c>
      <c r="AA434" s="5">
        <f t="shared" si="15"/>
        <v>75283.446712018136</v>
      </c>
      <c r="AB434" s="5">
        <f t="shared" si="16"/>
        <v>94318.181818181823</v>
      </c>
      <c r="AC434" s="8">
        <v>-22.8</v>
      </c>
    </row>
    <row r="435" spans="17:29" x14ac:dyDescent="0.35">
      <c r="Q435" s="5">
        <v>166001</v>
      </c>
      <c r="R435" s="5">
        <v>166500</v>
      </c>
      <c r="S435" s="5">
        <v>75510.204081632648</v>
      </c>
      <c r="T435" s="5">
        <v>94602.272727272721</v>
      </c>
      <c r="U435" s="8">
        <v>-23.125</v>
      </c>
      <c r="Y435" s="5">
        <f t="shared" si="17"/>
        <v>166001</v>
      </c>
      <c r="Z435" s="5">
        <v>166500</v>
      </c>
      <c r="AA435" s="5">
        <f t="shared" si="15"/>
        <v>75510.204081632648</v>
      </c>
      <c r="AB435" s="5">
        <f t="shared" si="16"/>
        <v>94602.272727272721</v>
      </c>
      <c r="AC435" s="8">
        <v>-23.125</v>
      </c>
    </row>
    <row r="436" spans="17:29" x14ac:dyDescent="0.35">
      <c r="Q436" s="5">
        <v>166501</v>
      </c>
      <c r="R436" s="5">
        <v>167000</v>
      </c>
      <c r="S436" s="5">
        <v>75736.96145124716</v>
      </c>
      <c r="T436" s="5">
        <v>94886.363636363632</v>
      </c>
      <c r="U436" s="8">
        <v>-23.45</v>
      </c>
      <c r="Y436" s="5">
        <f t="shared" si="17"/>
        <v>166501</v>
      </c>
      <c r="Z436" s="5">
        <v>167000</v>
      </c>
      <c r="AA436" s="5">
        <f t="shared" si="15"/>
        <v>75736.96145124716</v>
      </c>
      <c r="AB436" s="5">
        <f t="shared" si="16"/>
        <v>94886.363636363632</v>
      </c>
      <c r="AC436" s="8">
        <v>-23.45</v>
      </c>
    </row>
    <row r="437" spans="17:29" x14ac:dyDescent="0.35">
      <c r="Q437" s="5">
        <v>167001</v>
      </c>
      <c r="R437" s="5">
        <v>167500</v>
      </c>
      <c r="S437" s="5">
        <v>75963.718820861672</v>
      </c>
      <c r="T437" s="5">
        <v>95170.454545454544</v>
      </c>
      <c r="U437" s="8">
        <v>-23.774999999999999</v>
      </c>
      <c r="Y437" s="5">
        <f t="shared" si="17"/>
        <v>167001</v>
      </c>
      <c r="Z437" s="5">
        <v>167500</v>
      </c>
      <c r="AA437" s="5">
        <f t="shared" si="15"/>
        <v>75963.718820861672</v>
      </c>
      <c r="AB437" s="5">
        <f t="shared" si="16"/>
        <v>95170.454545454544</v>
      </c>
      <c r="AC437" s="8">
        <v>-23.774999999999999</v>
      </c>
    </row>
    <row r="438" spans="17:29" x14ac:dyDescent="0.35">
      <c r="Q438" s="5">
        <v>167501</v>
      </c>
      <c r="R438" s="5">
        <v>168000</v>
      </c>
      <c r="S438" s="5">
        <v>76190.476190476184</v>
      </c>
      <c r="T438" s="5">
        <v>95454.545454545456</v>
      </c>
      <c r="U438" s="8">
        <v>-24.1</v>
      </c>
      <c r="Y438" s="5">
        <f t="shared" si="17"/>
        <v>167501</v>
      </c>
      <c r="Z438" s="5">
        <v>168000</v>
      </c>
      <c r="AA438" s="5">
        <f t="shared" si="15"/>
        <v>76190.476190476184</v>
      </c>
      <c r="AB438" s="5">
        <f t="shared" si="16"/>
        <v>95454.545454545456</v>
      </c>
      <c r="AC438" s="8">
        <v>-24.1</v>
      </c>
    </row>
    <row r="439" spans="17:29" x14ac:dyDescent="0.35">
      <c r="Q439" s="5">
        <v>168001</v>
      </c>
      <c r="R439" s="5">
        <v>168500</v>
      </c>
      <c r="S439" s="5">
        <v>76417.233560090695</v>
      </c>
      <c r="T439" s="5">
        <v>95738.636363636368</v>
      </c>
      <c r="U439" s="8">
        <v>-24.414000000000001</v>
      </c>
      <c r="Y439" s="5">
        <f t="shared" si="17"/>
        <v>168001</v>
      </c>
      <c r="Z439" s="5">
        <v>168500</v>
      </c>
      <c r="AA439" s="5">
        <f t="shared" si="15"/>
        <v>76417.233560090695</v>
      </c>
      <c r="AB439" s="5">
        <f t="shared" si="16"/>
        <v>95738.636363636368</v>
      </c>
      <c r="AC439" s="8">
        <v>-24.414000000000001</v>
      </c>
    </row>
    <row r="440" spans="17:29" x14ac:dyDescent="0.35">
      <c r="Q440" s="5">
        <v>168501</v>
      </c>
      <c r="R440" s="5">
        <v>169000</v>
      </c>
      <c r="S440" s="5">
        <v>76643.990929705207</v>
      </c>
      <c r="T440" s="5">
        <v>96022.727272727279</v>
      </c>
      <c r="U440" s="8">
        <v>-24.728999999999999</v>
      </c>
      <c r="Y440" s="5">
        <f t="shared" si="17"/>
        <v>168501</v>
      </c>
      <c r="Z440" s="5">
        <v>169000</v>
      </c>
      <c r="AA440" s="5">
        <f t="shared" si="15"/>
        <v>76643.990929705207</v>
      </c>
      <c r="AB440" s="5">
        <f t="shared" si="16"/>
        <v>96022.727272727279</v>
      </c>
      <c r="AC440" s="8">
        <v>-24.728999999999999</v>
      </c>
    </row>
    <row r="441" spans="17:29" x14ac:dyDescent="0.35">
      <c r="Q441" s="5">
        <v>169001</v>
      </c>
      <c r="R441" s="5">
        <v>169500</v>
      </c>
      <c r="S441" s="5">
        <v>76870.748299319719</v>
      </c>
      <c r="T441" s="5">
        <v>96306.818181818177</v>
      </c>
      <c r="U441" s="8">
        <v>-25.042999999999999</v>
      </c>
      <c r="Y441" s="5">
        <f t="shared" si="17"/>
        <v>169001</v>
      </c>
      <c r="Z441" s="5">
        <v>169500</v>
      </c>
      <c r="AA441" s="5">
        <f t="shared" si="15"/>
        <v>76870.748299319719</v>
      </c>
      <c r="AB441" s="5">
        <f t="shared" si="16"/>
        <v>96306.818181818177</v>
      </c>
      <c r="AC441" s="8">
        <v>-25.042999999999999</v>
      </c>
    </row>
    <row r="442" spans="17:29" x14ac:dyDescent="0.35">
      <c r="Q442" s="5">
        <v>169501</v>
      </c>
      <c r="R442" s="5">
        <v>169591</v>
      </c>
      <c r="S442" s="5">
        <v>76912.018140589571</v>
      </c>
      <c r="T442" s="5">
        <v>96358.522727272721</v>
      </c>
      <c r="U442" s="8">
        <v>-25.1</v>
      </c>
      <c r="Y442" s="5">
        <f t="shared" si="17"/>
        <v>169501</v>
      </c>
      <c r="Z442" s="5">
        <v>169591</v>
      </c>
      <c r="AA442" s="5">
        <f t="shared" si="15"/>
        <v>76912.018140589571</v>
      </c>
      <c r="AB442" s="5">
        <f t="shared" si="16"/>
        <v>96358.522727272721</v>
      </c>
      <c r="AC442" s="8">
        <v>-25.1</v>
      </c>
    </row>
  </sheetData>
  <mergeCells count="5">
    <mergeCell ref="J1:AJ1"/>
    <mergeCell ref="J2:BJ2"/>
    <mergeCell ref="C101:H101"/>
    <mergeCell ref="K101:N101"/>
    <mergeCell ref="R101:U101"/>
  </mergeCells>
  <pageMargins left="0.7" right="0.7" top="0.75" bottom="0.75" header="0.3" footer="0.3"/>
  <pageSetup paperSize="9" fitToWidth="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12B3F-CD1C-404A-AC6E-261685F831C5}">
  <sheetPr codeName="Sheet5">
    <tabColor rgb="FFFFC000"/>
  </sheetPr>
  <dimension ref="B2:AE94"/>
  <sheetViews>
    <sheetView showGridLines="0" topLeftCell="A14" zoomScale="87" zoomScaleNormal="87" workbookViewId="0">
      <selection activeCell="H29" sqref="H29"/>
    </sheetView>
  </sheetViews>
  <sheetFormatPr defaultRowHeight="14.5" x14ac:dyDescent="0.35"/>
  <cols>
    <col min="1" max="1" width="2.36328125" customWidth="1"/>
    <col min="2" max="2" width="7.90625" bestFit="1" customWidth="1"/>
    <col min="3" max="3" width="7.81640625" bestFit="1" customWidth="1"/>
    <col min="4" max="4" width="7.36328125" bestFit="1" customWidth="1"/>
    <col min="5" max="5" width="6.81640625" bestFit="1" customWidth="1"/>
    <col min="6" max="6" width="2.6328125" customWidth="1"/>
    <col min="7" max="7" width="9.54296875" bestFit="1" customWidth="1"/>
    <col min="8" max="8" width="7.453125" bestFit="1" customWidth="1"/>
    <col min="9" max="9" width="7" bestFit="1" customWidth="1"/>
    <col min="10" max="10" width="4.54296875" customWidth="1"/>
    <col min="11" max="11" width="7.90625" bestFit="1" customWidth="1"/>
    <col min="12" max="12" width="6.08984375" bestFit="1" customWidth="1"/>
    <col min="13" max="13" width="7.36328125" bestFit="1" customWidth="1"/>
    <col min="14" max="14" width="5.81640625" bestFit="1" customWidth="1"/>
    <col min="15" max="15" width="5.54296875" bestFit="1" customWidth="1"/>
    <col min="16" max="16" width="4.54296875" customWidth="1"/>
    <col min="17" max="17" width="5.453125" customWidth="1"/>
    <col min="18" max="18" width="2.453125" customWidth="1"/>
    <col min="19" max="19" width="5.6328125" bestFit="1" customWidth="1"/>
    <col min="20" max="20" width="7.6328125" bestFit="1" customWidth="1"/>
    <col min="21" max="21" width="6" bestFit="1" customWidth="1"/>
    <col min="22" max="22" width="6.6328125" bestFit="1" customWidth="1"/>
    <col min="23" max="23" width="37.08984375" bestFit="1" customWidth="1"/>
    <col min="24" max="24" width="16.54296875" bestFit="1" customWidth="1"/>
    <col min="25" max="25" width="7.90625" bestFit="1" customWidth="1"/>
    <col min="26" max="26" width="9.36328125" bestFit="1" customWidth="1"/>
    <col min="27" max="27" width="9.26953125" bestFit="1" customWidth="1"/>
    <col min="28" max="28" width="6.36328125" bestFit="1" customWidth="1"/>
    <col min="29" max="29" width="3.81640625" customWidth="1"/>
    <col min="30" max="30" width="7.54296875" bestFit="1" customWidth="1"/>
    <col min="31" max="31" width="6.08984375" bestFit="1" customWidth="1"/>
  </cols>
  <sheetData>
    <row r="2" spans="2:27" x14ac:dyDescent="0.35">
      <c r="B2" s="816" t="s">
        <v>23401</v>
      </c>
      <c r="C2" s="816"/>
      <c r="D2" s="816"/>
      <c r="E2" s="816"/>
      <c r="F2" s="299"/>
      <c r="G2" s="816" t="s">
        <v>23402</v>
      </c>
      <c r="H2" s="816"/>
      <c r="I2" s="816"/>
      <c r="J2" s="299"/>
      <c r="K2" s="816" t="s">
        <v>23403</v>
      </c>
      <c r="L2" s="816"/>
      <c r="M2" s="816"/>
      <c r="N2" s="816"/>
      <c r="O2" s="299"/>
      <c r="P2" s="299"/>
      <c r="Q2" s="299"/>
    </row>
    <row r="3" spans="2:27" ht="16" thickBot="1" x14ac:dyDescent="0.4">
      <c r="B3" t="s">
        <v>112</v>
      </c>
      <c r="C3" t="s">
        <v>113</v>
      </c>
      <c r="D3" t="s">
        <v>23404</v>
      </c>
      <c r="E3" t="s">
        <v>111</v>
      </c>
      <c r="G3" s="299" t="s">
        <v>112</v>
      </c>
      <c r="H3" s="8" t="s">
        <v>111</v>
      </c>
      <c r="I3" s="8" t="s">
        <v>23404</v>
      </c>
      <c r="W3" s="7"/>
      <c r="X3" s="278" t="s">
        <v>23400</v>
      </c>
      <c r="Y3" s="279" t="s">
        <v>111</v>
      </c>
      <c r="Z3" s="280" t="s">
        <v>23361</v>
      </c>
      <c r="AA3" s="280" t="s">
        <v>7</v>
      </c>
    </row>
    <row r="4" spans="2:27" ht="16" thickBot="1" x14ac:dyDescent="0.4">
      <c r="B4" s="5">
        <v>169000</v>
      </c>
      <c r="C4" s="10">
        <v>7.0000000000000007E-2</v>
      </c>
      <c r="D4" s="8">
        <f>(C4*(237.5))+(913.2)</f>
        <v>929.82500000000005</v>
      </c>
      <c r="E4" s="8">
        <f t="shared" ref="E4:E21" si="0">((((B4)*(D4-(Con_I)))/Con_II)+Datum_Index)</f>
        <v>38.855125000000015</v>
      </c>
      <c r="F4" s="8"/>
      <c r="G4" s="5">
        <v>169000</v>
      </c>
      <c r="H4" s="325">
        <v>41.5</v>
      </c>
      <c r="I4" s="325">
        <v>860.66</v>
      </c>
      <c r="J4" s="299"/>
      <c r="K4" s="816" t="s">
        <v>23405</v>
      </c>
      <c r="L4" s="816"/>
      <c r="M4" s="816"/>
      <c r="N4" s="816"/>
      <c r="O4" s="299"/>
      <c r="P4" s="299"/>
      <c r="Q4" s="8"/>
      <c r="T4" s="10">
        <v>6.2271105071575607E-2</v>
      </c>
      <c r="W4" s="281" t="s">
        <v>116</v>
      </c>
      <c r="X4" s="282">
        <f>'Trim Sheet'!$K$5</f>
        <v>278564</v>
      </c>
      <c r="Y4" s="283">
        <f>'Trim Sheet'!$M$5</f>
        <v>65</v>
      </c>
      <c r="Z4" s="292">
        <f>IFERROR(((((200000*(Y4-75)))/(X4))+972.6),0)</f>
        <v>965.42032136241585</v>
      </c>
      <c r="AA4" s="348">
        <f>IFERROR(((($Z$4-913.2))/237.5),"")</f>
        <v>0.21987503731543495</v>
      </c>
    </row>
    <row r="5" spans="2:27" ht="16" thickBot="1" x14ac:dyDescent="0.4">
      <c r="B5" s="5">
        <v>180000</v>
      </c>
      <c r="C5" s="10">
        <v>7.0000000000000007E-2</v>
      </c>
      <c r="D5" s="8">
        <f t="shared" ref="D5:D21" si="1">(C5*(237.5))+(913.2)</f>
        <v>929.82500000000005</v>
      </c>
      <c r="E5" s="8">
        <f t="shared" si="0"/>
        <v>36.502500000000019</v>
      </c>
      <c r="F5" s="8"/>
      <c r="G5" s="5">
        <v>292000</v>
      </c>
      <c r="H5" s="325">
        <v>16</v>
      </c>
      <c r="I5" s="325">
        <v>879.52</v>
      </c>
      <c r="J5" s="8"/>
      <c r="K5" s="5">
        <v>385365.64500000002</v>
      </c>
      <c r="L5" s="10">
        <v>9.9900000000000003E-2</v>
      </c>
      <c r="M5" s="8">
        <f>(L5*(237.5))+(913.2)</f>
        <v>936.9262500000001</v>
      </c>
      <c r="N5" s="8">
        <f>((((K5)*(M5-(Con_I)))/Con_II)+Datum_Index)</f>
        <v>6.2628116084063947</v>
      </c>
      <c r="O5" s="8"/>
      <c r="P5" s="8"/>
      <c r="Q5" s="8"/>
      <c r="T5" s="9">
        <v>7.0000000000000007E-2</v>
      </c>
      <c r="U5">
        <v>929.82500000000005</v>
      </c>
      <c r="W5" s="285" t="s">
        <v>117</v>
      </c>
      <c r="X5" s="286">
        <f>'Trim Sheet'!$K$6</f>
        <v>387464</v>
      </c>
      <c r="Y5" s="287">
        <f>'Trim Sheet'!$M$6</f>
        <v>70.900000000000006</v>
      </c>
      <c r="Z5" s="292">
        <f>IFERROR(((((200000*(Y5-75)))/(X5))+972.6),0)</f>
        <v>970.48367435426258</v>
      </c>
      <c r="AA5" s="348">
        <f>IFERROR(((($Z$5-913.2))/237.5),"")</f>
        <v>0.24119441833373698</v>
      </c>
    </row>
    <row r="6" spans="2:27" ht="16" thickBot="1" x14ac:dyDescent="0.4">
      <c r="B6" s="5">
        <v>294000</v>
      </c>
      <c r="C6" s="10">
        <v>7.0000000000000007E-2</v>
      </c>
      <c r="D6" s="8">
        <f t="shared" si="1"/>
        <v>929.82500000000005</v>
      </c>
      <c r="E6" s="8">
        <f t="shared" si="0"/>
        <v>12.120750000000037</v>
      </c>
      <c r="F6" s="8"/>
      <c r="G6" s="5">
        <v>292000</v>
      </c>
      <c r="H6" s="325">
        <v>14</v>
      </c>
      <c r="I6" s="325">
        <v>877.66</v>
      </c>
      <c r="J6" s="8"/>
      <c r="K6" s="5">
        <v>408169.755</v>
      </c>
      <c r="L6" s="10">
        <v>0.1928</v>
      </c>
      <c r="M6" s="8">
        <f>(L6*(237.5))+(913.2)</f>
        <v>958.99</v>
      </c>
      <c r="N6" s="8">
        <f>((((K6)*(M6-(Con_I)))/Con_II)+Datum_Index)</f>
        <v>47.224048172249972</v>
      </c>
      <c r="O6" s="8"/>
      <c r="P6" s="8"/>
      <c r="Q6" s="8"/>
      <c r="W6" s="288" t="s">
        <v>23362</v>
      </c>
      <c r="X6" s="289">
        <f>'Trim Sheet'!$K$7</f>
        <v>287464</v>
      </c>
      <c r="Y6" s="290">
        <f>'Trim Sheet'!$M$7</f>
        <v>62.9</v>
      </c>
      <c r="Z6" s="292">
        <f>IFERROR(((((200000*(Y6-75)))/(X6))+972.6),0)</f>
        <v>964.18155455987539</v>
      </c>
      <c r="AA6" s="348">
        <f>IFERROR(((($Z$6-913.2))/237.5),"")</f>
        <v>0.21465917709421201</v>
      </c>
    </row>
    <row r="7" spans="2:27" x14ac:dyDescent="0.35">
      <c r="B7" s="5">
        <v>320000</v>
      </c>
      <c r="C7" s="10">
        <v>7.0000000000000007E-2</v>
      </c>
      <c r="D7" s="8">
        <f t="shared" si="1"/>
        <v>929.82500000000005</v>
      </c>
      <c r="E7" s="8">
        <f t="shared" si="0"/>
        <v>6.5600000000000307</v>
      </c>
      <c r="F7" s="8"/>
      <c r="G7" s="5">
        <v>320000</v>
      </c>
      <c r="H7" s="325">
        <v>11.5</v>
      </c>
      <c r="I7" s="325">
        <v>877.66</v>
      </c>
      <c r="J7" s="8"/>
      <c r="M7" s="8"/>
      <c r="N7" s="8"/>
      <c r="O7" s="8"/>
      <c r="P7" s="8"/>
      <c r="Q7" s="8"/>
    </row>
    <row r="8" spans="2:27" ht="16" thickBot="1" x14ac:dyDescent="0.4">
      <c r="B8" s="5">
        <v>360000</v>
      </c>
      <c r="C8" s="10">
        <v>0.09</v>
      </c>
      <c r="D8" s="8">
        <f t="shared" si="1"/>
        <v>934.57500000000005</v>
      </c>
      <c r="E8" s="8">
        <f t="shared" si="0"/>
        <v>6.5550000000000352</v>
      </c>
      <c r="F8" s="8"/>
      <c r="G8" s="5">
        <v>320000</v>
      </c>
      <c r="H8" s="325">
        <v>11.5</v>
      </c>
      <c r="I8" s="325">
        <v>883.99</v>
      </c>
      <c r="J8" s="299"/>
      <c r="K8" s="816" t="s">
        <v>23406</v>
      </c>
      <c r="L8" s="816"/>
      <c r="M8" s="816"/>
      <c r="N8" s="816"/>
      <c r="O8" s="299"/>
      <c r="P8" s="299"/>
      <c r="Q8" s="8"/>
      <c r="X8" s="278" t="s">
        <v>23400</v>
      </c>
      <c r="Y8" s="279" t="s">
        <v>23361</v>
      </c>
      <c r="Z8" s="280" t="s">
        <v>23363</v>
      </c>
      <c r="AA8" s="280" t="s">
        <v>111</v>
      </c>
    </row>
    <row r="9" spans="2:27" ht="16" thickBot="1" x14ac:dyDescent="0.4">
      <c r="B9" s="5">
        <v>389000</v>
      </c>
      <c r="C9" s="10">
        <v>0.10150000000000001</v>
      </c>
      <c r="D9" s="8">
        <f t="shared" si="1"/>
        <v>937.30625000000009</v>
      </c>
      <c r="E9" s="8">
        <f t="shared" si="0"/>
        <v>6.3536562500001281</v>
      </c>
      <c r="F9" s="8"/>
      <c r="G9" s="5">
        <v>398068.65</v>
      </c>
      <c r="H9" s="325">
        <v>11.5</v>
      </c>
      <c r="I9" s="325">
        <v>901.61</v>
      </c>
      <c r="J9" s="8"/>
      <c r="K9" s="5">
        <v>389788.875</v>
      </c>
      <c r="L9" s="10">
        <v>0.1022</v>
      </c>
      <c r="M9" s="8">
        <f>(L9*(237.5))+(913.2)</f>
        <v>937.47250000000008</v>
      </c>
      <c r="N9" s="8">
        <f>((((K9)*(M9-(Con_I)))/Con_II)+Datum_Index)</f>
        <v>6.5384564671876149</v>
      </c>
      <c r="O9" s="8"/>
      <c r="P9" s="8"/>
      <c r="Q9" s="8"/>
      <c r="W9" s="291" t="s">
        <v>23364</v>
      </c>
      <c r="X9" s="282">
        <f>181600/2.205</f>
        <v>82358.276643990932</v>
      </c>
      <c r="Y9" s="292">
        <v>937.41312500000004</v>
      </c>
      <c r="Z9" s="335">
        <f>(Y9-913.2)/2.375</f>
        <v>10.194999999999997</v>
      </c>
      <c r="AA9" s="284">
        <f>((X9*(Y9-972.6))/68000)+70</f>
        <v>27.383376684006954</v>
      </c>
    </row>
    <row r="10" spans="2:27" ht="16" thickBot="1" x14ac:dyDescent="0.4">
      <c r="B10" s="5">
        <v>411900</v>
      </c>
      <c r="C10" s="10">
        <v>0.189</v>
      </c>
      <c r="D10" s="8">
        <f t="shared" si="1"/>
        <v>958.08750000000009</v>
      </c>
      <c r="E10" s="8">
        <f t="shared" si="0"/>
        <v>45.11150625000014</v>
      </c>
      <c r="F10" s="8"/>
      <c r="G10" s="5">
        <v>413071.47000000003</v>
      </c>
      <c r="H10" s="325">
        <v>53.6</v>
      </c>
      <c r="I10" s="325">
        <v>949.77</v>
      </c>
      <c r="J10" s="8"/>
      <c r="K10" s="5">
        <v>404793.9</v>
      </c>
      <c r="L10" s="10">
        <v>0.1643</v>
      </c>
      <c r="M10" s="8">
        <f>(L10*(237.5))+(913.2)</f>
        <v>952.22125000000005</v>
      </c>
      <c r="N10" s="8">
        <f>((((K10)*(M10-(Con_I)))/Con_II)+Datum_Index)</f>
        <v>33.754031551875059</v>
      </c>
      <c r="O10" s="8"/>
      <c r="P10" s="8"/>
      <c r="Q10" s="8"/>
      <c r="W10" s="293" t="s">
        <v>23365</v>
      </c>
      <c r="X10" s="289"/>
      <c r="Y10" s="294">
        <v>937.41312500000004</v>
      </c>
      <c r="Z10" s="335">
        <f>(Y10-913.2)/2.375</f>
        <v>10.194999999999997</v>
      </c>
      <c r="AA10" s="336">
        <f>((X10*(Y10-972.6))/68000)+70</f>
        <v>70</v>
      </c>
    </row>
    <row r="11" spans="2:27" x14ac:dyDescent="0.35">
      <c r="B11" s="5">
        <v>411900</v>
      </c>
      <c r="C11" s="10">
        <v>0.189</v>
      </c>
      <c r="D11" s="8">
        <f t="shared" si="1"/>
        <v>958.08750000000009</v>
      </c>
      <c r="E11" s="8">
        <f t="shared" si="0"/>
        <v>45.11150625000014</v>
      </c>
      <c r="F11" s="8"/>
      <c r="G11" s="5">
        <v>400000</v>
      </c>
      <c r="H11" s="325">
        <v>128</v>
      </c>
      <c r="I11" s="325">
        <v>949.61</v>
      </c>
      <c r="J11" s="8"/>
      <c r="M11" s="8"/>
      <c r="N11" s="8"/>
      <c r="O11" s="8"/>
      <c r="P11" s="8"/>
      <c r="Q11" s="8"/>
    </row>
    <row r="12" spans="2:27" x14ac:dyDescent="0.35">
      <c r="B12" s="5">
        <v>412000</v>
      </c>
      <c r="C12" s="10">
        <v>0.193</v>
      </c>
      <c r="D12" s="8">
        <f t="shared" si="1"/>
        <v>959.03750000000002</v>
      </c>
      <c r="E12" s="8">
        <f t="shared" si="0"/>
        <v>47.061250000000001</v>
      </c>
      <c r="F12" s="8"/>
      <c r="G12" s="5">
        <v>350000</v>
      </c>
      <c r="H12" s="325">
        <v>121</v>
      </c>
      <c r="I12" s="325">
        <v>991.67</v>
      </c>
      <c r="J12" s="299"/>
      <c r="K12" s="816" t="s">
        <v>23407</v>
      </c>
      <c r="L12" s="816"/>
      <c r="M12" s="816"/>
      <c r="N12" s="816"/>
      <c r="P12" s="299"/>
      <c r="Q12" s="8"/>
    </row>
    <row r="13" spans="2:27" x14ac:dyDescent="0.35">
      <c r="B13" s="5">
        <v>412000</v>
      </c>
      <c r="C13" s="10">
        <v>0.21</v>
      </c>
      <c r="D13" s="8">
        <f t="shared" si="1"/>
        <v>963.07500000000005</v>
      </c>
      <c r="E13" s="8">
        <f t="shared" si="0"/>
        <v>55.378500000000045</v>
      </c>
      <c r="F13" s="8"/>
      <c r="G13" s="5">
        <v>302000</v>
      </c>
      <c r="H13" s="325">
        <v>115</v>
      </c>
      <c r="I13" s="325">
        <v>984.3</v>
      </c>
      <c r="J13" s="8"/>
      <c r="K13" s="5">
        <v>395554.95</v>
      </c>
      <c r="L13" s="10">
        <v>0.1048</v>
      </c>
      <c r="M13" s="8">
        <f>(L13*(237.5))+(913.2)</f>
        <v>938.09</v>
      </c>
      <c r="N13" s="8">
        <f>((((K13)*(M13-(Con_I)))/Con_II)+Datum_Index)</f>
        <v>6.7469933775000186</v>
      </c>
      <c r="P13" s="8"/>
      <c r="Q13" s="8"/>
      <c r="W13" t="s">
        <v>23433</v>
      </c>
    </row>
    <row r="14" spans="2:27" x14ac:dyDescent="0.35">
      <c r="B14" s="5">
        <v>412000</v>
      </c>
      <c r="C14" s="10">
        <v>0.255</v>
      </c>
      <c r="D14" s="8">
        <f t="shared" si="1"/>
        <v>973.76250000000005</v>
      </c>
      <c r="E14" s="8">
        <f t="shared" si="0"/>
        <v>77.394750000000045</v>
      </c>
      <c r="F14" s="8"/>
      <c r="G14" s="5">
        <v>302000</v>
      </c>
      <c r="H14" s="325">
        <v>112.5</v>
      </c>
      <c r="I14" s="325">
        <v>982.7</v>
      </c>
      <c r="J14" s="8"/>
      <c r="K14" s="5">
        <v>401852.43</v>
      </c>
      <c r="L14" s="10">
        <v>0.13880000000000001</v>
      </c>
      <c r="M14" s="8">
        <f>(L14*(237.5))+(913.2)</f>
        <v>946.16500000000008</v>
      </c>
      <c r="N14" s="8">
        <f>((((K14)*(M14-(Con_I)))/Con_II)+Datum_Index)</f>
        <v>21.885155064750109</v>
      </c>
      <c r="P14" s="8"/>
      <c r="Q14" s="8"/>
      <c r="W14" t="s">
        <v>23399</v>
      </c>
    </row>
    <row r="15" spans="2:27" x14ac:dyDescent="0.35">
      <c r="B15" s="5">
        <v>411900</v>
      </c>
      <c r="C15" s="10">
        <v>0.26400000000000001</v>
      </c>
      <c r="D15" s="8">
        <f t="shared" si="1"/>
        <v>975.90000000000009</v>
      </c>
      <c r="E15" s="8">
        <f t="shared" si="0"/>
        <v>81.796350000000146</v>
      </c>
      <c r="F15" s="8"/>
      <c r="G15" s="5">
        <v>169000</v>
      </c>
      <c r="H15" s="325">
        <v>94</v>
      </c>
      <c r="I15" s="325">
        <v>957.35</v>
      </c>
      <c r="J15" s="8"/>
      <c r="M15" s="8"/>
      <c r="N15" s="8"/>
      <c r="P15" s="8"/>
      <c r="Q15" s="8"/>
      <c r="W15" t="s">
        <v>23432</v>
      </c>
    </row>
    <row r="16" spans="2:27" x14ac:dyDescent="0.35">
      <c r="B16" s="5">
        <v>400000</v>
      </c>
      <c r="C16" s="10">
        <v>0.37</v>
      </c>
      <c r="D16" s="8">
        <f t="shared" si="1"/>
        <v>1001.075</v>
      </c>
      <c r="E16" s="8">
        <f t="shared" si="0"/>
        <v>131.95000000000005</v>
      </c>
      <c r="F16" s="8"/>
      <c r="G16" s="299"/>
      <c r="H16" s="299"/>
      <c r="I16" s="299"/>
      <c r="J16" s="299"/>
      <c r="K16" s="816" t="s">
        <v>23408</v>
      </c>
      <c r="L16" s="816"/>
      <c r="M16" s="816"/>
      <c r="N16" s="816"/>
      <c r="P16" s="299"/>
      <c r="Q16" s="8"/>
    </row>
    <row r="17" spans="2:23" x14ac:dyDescent="0.35">
      <c r="B17" s="5">
        <v>396800</v>
      </c>
      <c r="C17" s="10">
        <v>0.37</v>
      </c>
      <c r="D17" s="8">
        <f t="shared" si="1"/>
        <v>1001.075</v>
      </c>
      <c r="E17" s="8">
        <f t="shared" si="0"/>
        <v>131.49440000000004</v>
      </c>
      <c r="F17" s="8"/>
      <c r="G17" s="828" t="s">
        <v>23409</v>
      </c>
      <c r="H17" s="828"/>
      <c r="I17" s="828"/>
      <c r="J17" s="8"/>
      <c r="M17" s="8"/>
      <c r="N17" s="8"/>
      <c r="P17" s="8"/>
      <c r="Q17" s="8"/>
    </row>
    <row r="18" spans="2:23" x14ac:dyDescent="0.35">
      <c r="B18" s="5">
        <v>326055.55499999999</v>
      </c>
      <c r="C18" s="10">
        <v>0.37</v>
      </c>
      <c r="D18" s="8">
        <f t="shared" si="1"/>
        <v>1001.075</v>
      </c>
      <c r="E18" s="8">
        <f t="shared" si="0"/>
        <v>121.42215964312504</v>
      </c>
      <c r="F18" s="8"/>
      <c r="G18" s="326" t="s">
        <v>112</v>
      </c>
      <c r="H18" s="326" t="s">
        <v>111</v>
      </c>
      <c r="I18" s="326" t="s">
        <v>23404</v>
      </c>
      <c r="J18" s="299"/>
      <c r="K18" s="816" t="s">
        <v>23410</v>
      </c>
      <c r="L18" s="816"/>
      <c r="M18" s="816"/>
      <c r="N18" s="816"/>
      <c r="P18" s="299"/>
      <c r="Q18" s="8"/>
      <c r="W18" s="7"/>
    </row>
    <row r="19" spans="2:23" x14ac:dyDescent="0.35">
      <c r="B19" s="5">
        <v>309052.79999999999</v>
      </c>
      <c r="C19" s="10">
        <v>0.37</v>
      </c>
      <c r="D19" s="8">
        <f t="shared" si="1"/>
        <v>1001.075</v>
      </c>
      <c r="E19" s="8">
        <f t="shared" si="0"/>
        <v>119.00139240000003</v>
      </c>
      <c r="F19" s="8"/>
      <c r="G19" s="5">
        <v>169000</v>
      </c>
      <c r="H19" s="327">
        <v>47.5</v>
      </c>
      <c r="I19" s="327">
        <v>870.13</v>
      </c>
      <c r="J19" s="8"/>
      <c r="K19" s="5">
        <v>403922.92499999999</v>
      </c>
      <c r="L19" s="10">
        <v>0.15670000000000001</v>
      </c>
      <c r="M19" s="8">
        <f>(L19*(237.5))+(913.2)</f>
        <v>950.41624999999999</v>
      </c>
      <c r="N19" s="8">
        <f>((((K19)*(M19-(Con_I)))/Con_II)+Datum_Index)</f>
        <v>30.197374062656181</v>
      </c>
      <c r="P19" s="8"/>
      <c r="Q19" s="8"/>
    </row>
    <row r="20" spans="2:23" x14ac:dyDescent="0.35">
      <c r="B20" s="5">
        <v>169000</v>
      </c>
      <c r="C20" s="10">
        <v>0.37</v>
      </c>
      <c r="D20" s="8">
        <f t="shared" si="1"/>
        <v>1001.075</v>
      </c>
      <c r="E20" s="8">
        <f t="shared" si="0"/>
        <v>99.061375000000027</v>
      </c>
      <c r="F20" s="8"/>
      <c r="G20" s="5">
        <v>180000</v>
      </c>
      <c r="H20" s="327">
        <v>45</v>
      </c>
      <c r="I20" s="327">
        <v>885.12</v>
      </c>
      <c r="J20" s="8"/>
      <c r="K20" s="5">
        <v>385215.70500000002</v>
      </c>
      <c r="L20" s="10">
        <v>0.37</v>
      </c>
      <c r="M20" s="8">
        <f>(L20*(237.5))+(913.2)</f>
        <v>1001.075</v>
      </c>
      <c r="N20" s="8">
        <f>((((K20)*(M20-(Con_I)))/Con_II)+Datum_Index)</f>
        <v>129.84508599937504</v>
      </c>
      <c r="P20" s="8"/>
      <c r="Q20" s="8"/>
    </row>
    <row r="21" spans="2:23" x14ac:dyDescent="0.35">
      <c r="B21" s="5">
        <v>160000</v>
      </c>
      <c r="C21" s="10">
        <v>0.37</v>
      </c>
      <c r="D21" s="8">
        <f t="shared" si="1"/>
        <v>1001.075</v>
      </c>
      <c r="E21" s="8">
        <f t="shared" si="0"/>
        <v>97.780000000000015</v>
      </c>
      <c r="F21" s="8"/>
      <c r="G21" s="5">
        <v>294000</v>
      </c>
      <c r="H21" s="327">
        <v>21</v>
      </c>
      <c r="I21" s="327">
        <v>883.05</v>
      </c>
      <c r="J21" s="8"/>
      <c r="M21" s="8"/>
      <c r="N21" s="8"/>
      <c r="P21" s="8"/>
      <c r="Q21" s="8"/>
    </row>
    <row r="22" spans="2:23" x14ac:dyDescent="0.35">
      <c r="B22" s="5"/>
      <c r="C22" s="10"/>
      <c r="D22" s="8"/>
      <c r="E22" s="8"/>
      <c r="F22" s="8"/>
      <c r="G22" s="5">
        <v>294000</v>
      </c>
      <c r="H22" s="327">
        <v>19</v>
      </c>
      <c r="I22" s="327">
        <v>883.05</v>
      </c>
      <c r="J22" s="299"/>
      <c r="K22" s="816" t="s">
        <v>23411</v>
      </c>
      <c r="L22" s="816"/>
      <c r="M22" s="816"/>
      <c r="N22" s="816"/>
      <c r="P22" s="299"/>
      <c r="Q22" s="8"/>
    </row>
    <row r="23" spans="2:23" x14ac:dyDescent="0.35">
      <c r="B23" s="816" t="s">
        <v>23412</v>
      </c>
      <c r="C23" s="816"/>
      <c r="D23" s="816"/>
      <c r="E23" s="816"/>
      <c r="F23" s="299"/>
      <c r="G23" s="5">
        <v>320000</v>
      </c>
      <c r="H23" s="327">
        <v>13</v>
      </c>
      <c r="I23" s="327">
        <v>889.21</v>
      </c>
      <c r="J23" s="8"/>
      <c r="K23" s="5">
        <v>406474.11</v>
      </c>
      <c r="L23" s="10">
        <v>0.17879999999999999</v>
      </c>
      <c r="M23" s="8">
        <f>(L23*(237.5))+(913.2)</f>
        <v>955.66500000000008</v>
      </c>
      <c r="N23" s="8">
        <f>((((K23)*(M23-(Con_I)))/Con_II)+Datum_Index)</f>
        <v>40.581804735750111</v>
      </c>
      <c r="P23" s="8"/>
      <c r="Q23" s="299"/>
    </row>
    <row r="24" spans="2:23" x14ac:dyDescent="0.35">
      <c r="B24" t="s">
        <v>112</v>
      </c>
      <c r="C24" t="s">
        <v>113</v>
      </c>
      <c r="D24" t="s">
        <v>23404</v>
      </c>
      <c r="E24" t="s">
        <v>111</v>
      </c>
      <c r="G24" s="5">
        <v>389000</v>
      </c>
      <c r="H24" s="327">
        <v>17</v>
      </c>
      <c r="I24" s="327">
        <v>903.57</v>
      </c>
      <c r="J24" s="8"/>
      <c r="K24" s="5">
        <v>389625.70500000002</v>
      </c>
      <c r="L24" s="10">
        <v>0.37</v>
      </c>
      <c r="M24" s="8">
        <f>(L24*(237.5))+(913.2)</f>
        <v>1001.075</v>
      </c>
      <c r="N24" s="8">
        <f>((((K24)*(M24-(Con_I)))/Con_II)+Datum_Index)</f>
        <v>130.47295974937504</v>
      </c>
      <c r="P24" s="8"/>
    </row>
    <row r="25" spans="2:23" x14ac:dyDescent="0.35">
      <c r="B25" s="5">
        <v>169000</v>
      </c>
      <c r="C25" s="10">
        <v>7.0000000000000007E-2</v>
      </c>
      <c r="D25" s="8">
        <f>(C25*(237.5))+(913.2)</f>
        <v>929.82500000000005</v>
      </c>
      <c r="E25" s="8">
        <f>((((B25)*(D25-(Con_I)))/Con_II)+Datum_Index)</f>
        <v>38.855125000000015</v>
      </c>
      <c r="F25" s="8"/>
      <c r="G25" s="5">
        <v>396800</v>
      </c>
      <c r="H25" s="327">
        <v>30</v>
      </c>
      <c r="I25" s="327">
        <v>918.18</v>
      </c>
      <c r="J25" s="8"/>
      <c r="M25" s="8"/>
      <c r="N25" s="8"/>
      <c r="P25" s="8"/>
      <c r="Q25" s="8"/>
    </row>
    <row r="26" spans="2:23" x14ac:dyDescent="0.35">
      <c r="B26" s="5">
        <v>180000</v>
      </c>
      <c r="C26" s="10">
        <v>7.0000000000000007E-2</v>
      </c>
      <c r="D26" s="8">
        <f>(C26*(237.5))+(913.2)</f>
        <v>929.82500000000005</v>
      </c>
      <c r="E26" s="8">
        <f>((((B26)*(D26-(Con_I)))/Con_II)+Datum_Index)</f>
        <v>36.502500000000019</v>
      </c>
      <c r="F26" s="8"/>
      <c r="G26" s="5">
        <v>403000</v>
      </c>
      <c r="H26" s="325">
        <v>40</v>
      </c>
      <c r="I26" s="325">
        <v>927.62</v>
      </c>
      <c r="J26" s="299"/>
      <c r="K26" s="816" t="s">
        <v>23413</v>
      </c>
      <c r="L26" s="816"/>
      <c r="M26" s="816"/>
      <c r="N26" s="816"/>
      <c r="P26" s="299"/>
      <c r="Q26" s="8"/>
    </row>
    <row r="27" spans="2:23" x14ac:dyDescent="0.35">
      <c r="B27" s="5">
        <v>294000</v>
      </c>
      <c r="C27" s="10">
        <v>7.0000000000000007E-2</v>
      </c>
      <c r="D27" s="8">
        <f t="shared" ref="D27:D41" si="2">(C27*(237.5))+(913.2)</f>
        <v>929.82500000000005</v>
      </c>
      <c r="E27" s="8">
        <f t="shared" ref="E27:E41" si="3">((((B27)*(D27-(Con_I)))/Con_II)+Datum_Index)</f>
        <v>12.120750000000037</v>
      </c>
      <c r="F27" s="8"/>
      <c r="G27" s="5">
        <v>409169.755</v>
      </c>
      <c r="H27" s="325">
        <v>50</v>
      </c>
      <c r="I27" s="325">
        <v>938.36</v>
      </c>
      <c r="J27" s="8"/>
      <c r="K27" s="5">
        <v>411900</v>
      </c>
      <c r="L27" s="10">
        <v>0.189</v>
      </c>
      <c r="M27" s="8">
        <f>(L27*(237.5))+(913.2)</f>
        <v>958.08750000000009</v>
      </c>
      <c r="N27" s="8">
        <f>((((K27)*(M27-(Con_I)))/Con_II)+Datum_Index)</f>
        <v>45.11150625000014</v>
      </c>
      <c r="P27" s="8"/>
      <c r="Q27" s="8"/>
    </row>
    <row r="28" spans="2:23" x14ac:dyDescent="0.35">
      <c r="B28" s="5">
        <v>320000</v>
      </c>
      <c r="C28" s="10">
        <v>7.0000000000000007E-2</v>
      </c>
      <c r="D28" s="8">
        <f>(C28*(237.5))+(913.2)</f>
        <v>929.82500000000005</v>
      </c>
      <c r="E28" s="8">
        <f t="shared" si="3"/>
        <v>6.5600000000000307</v>
      </c>
      <c r="F28" s="8"/>
      <c r="G28" s="5">
        <v>412000</v>
      </c>
      <c r="H28" s="325">
        <v>56.5</v>
      </c>
      <c r="I28" s="325">
        <v>924.9</v>
      </c>
      <c r="J28" s="8"/>
      <c r="K28" s="5">
        <v>396800</v>
      </c>
      <c r="L28" s="10">
        <v>0.37</v>
      </c>
      <c r="M28" s="8">
        <f>(L28*(237.5))+(913.2)</f>
        <v>1001.075</v>
      </c>
      <c r="N28" s="8">
        <f>((((K28)*(M28-(Con_I)))/Con_II)+Datum_Index)</f>
        <v>131.49440000000004</v>
      </c>
      <c r="P28" s="8"/>
      <c r="Q28" s="8"/>
    </row>
    <row r="29" spans="2:23" x14ac:dyDescent="0.35">
      <c r="B29" s="5">
        <v>360000</v>
      </c>
      <c r="C29" s="10">
        <v>0.09</v>
      </c>
      <c r="D29" s="8">
        <f t="shared" si="2"/>
        <v>934.57500000000005</v>
      </c>
      <c r="E29" s="8">
        <f t="shared" si="3"/>
        <v>6.5550000000000352</v>
      </c>
      <c r="F29" s="8"/>
      <c r="G29" s="5">
        <v>412000</v>
      </c>
      <c r="H29" s="327">
        <v>77.400000000000006</v>
      </c>
      <c r="I29" s="327">
        <v>933.01</v>
      </c>
      <c r="J29" s="8"/>
      <c r="M29" s="8"/>
      <c r="N29" s="8"/>
      <c r="P29" s="8"/>
      <c r="Q29" s="8"/>
    </row>
    <row r="30" spans="2:23" x14ac:dyDescent="0.35">
      <c r="B30" s="5">
        <v>389000</v>
      </c>
      <c r="C30" s="10">
        <v>0.10150000000000001</v>
      </c>
      <c r="D30" s="8">
        <f t="shared" si="2"/>
        <v>937.30625000000009</v>
      </c>
      <c r="E30" s="8">
        <f t="shared" si="3"/>
        <v>6.3536562500001281</v>
      </c>
      <c r="F30" s="8"/>
      <c r="G30" s="5">
        <v>400000</v>
      </c>
      <c r="H30" s="325">
        <v>118</v>
      </c>
      <c r="I30" s="325">
        <v>940.02</v>
      </c>
      <c r="J30" s="299"/>
      <c r="K30" s="816" t="s">
        <v>23414</v>
      </c>
      <c r="L30" s="816"/>
      <c r="M30" s="816"/>
      <c r="N30" s="816"/>
      <c r="O30" s="8"/>
      <c r="P30" s="299"/>
      <c r="Q30" s="8"/>
    </row>
    <row r="31" spans="2:23" x14ac:dyDescent="0.35">
      <c r="B31" s="5">
        <v>411900</v>
      </c>
      <c r="C31" s="10">
        <v>0.189</v>
      </c>
      <c r="D31" s="8">
        <f t="shared" si="2"/>
        <v>958.08750000000009</v>
      </c>
      <c r="E31" s="8">
        <f t="shared" si="3"/>
        <v>45.11150625000014</v>
      </c>
      <c r="F31" s="8"/>
      <c r="G31" s="5">
        <v>340000</v>
      </c>
      <c r="H31" s="325">
        <v>110</v>
      </c>
      <c r="I31" s="325">
        <v>950.5</v>
      </c>
      <c r="J31" s="8"/>
      <c r="K31" s="5">
        <v>411384.64500000002</v>
      </c>
      <c r="L31" s="10">
        <v>0.22140000000000001</v>
      </c>
      <c r="M31" s="8">
        <f>(L31*(237.5))+(913.2)</f>
        <v>965.78250000000003</v>
      </c>
      <c r="N31" s="8">
        <f>((((K31)*(M31-(Con_I)))/Con_II)+Datum_Index)</f>
        <v>60.976925913562511</v>
      </c>
      <c r="O31" s="8"/>
      <c r="P31" s="8"/>
      <c r="Q31" s="8"/>
    </row>
    <row r="32" spans="2:23" x14ac:dyDescent="0.35">
      <c r="B32" s="5">
        <v>411900</v>
      </c>
      <c r="C32" s="10">
        <v>0.189</v>
      </c>
      <c r="D32" s="8">
        <f t="shared" si="2"/>
        <v>958.08750000000009</v>
      </c>
      <c r="E32" s="8">
        <f t="shared" si="3"/>
        <v>45.11150625000014</v>
      </c>
      <c r="F32" s="8"/>
      <c r="G32" s="5">
        <v>309000</v>
      </c>
      <c r="H32" s="325">
        <v>105</v>
      </c>
      <c r="I32" s="325">
        <v>948.21</v>
      </c>
      <c r="J32" s="8"/>
      <c r="K32" s="5">
        <v>397632.06</v>
      </c>
      <c r="L32" s="10">
        <v>0.37</v>
      </c>
      <c r="M32" s="8">
        <f>(L32*(237.5))+(913.2)</f>
        <v>1001.075</v>
      </c>
      <c r="N32" s="8">
        <f>((((K32)*(M32-(Con_I)))/Con_II)+Datum_Index)</f>
        <v>131.61286454250003</v>
      </c>
      <c r="P32" s="8"/>
      <c r="Q32" s="8"/>
    </row>
    <row r="33" spans="2:31" x14ac:dyDescent="0.35">
      <c r="B33" s="5">
        <v>413000</v>
      </c>
      <c r="C33" s="10">
        <v>0.193</v>
      </c>
      <c r="D33" s="8">
        <f t="shared" si="2"/>
        <v>959.03750000000002</v>
      </c>
      <c r="E33" s="8">
        <f t="shared" si="3"/>
        <v>46.993437499999999</v>
      </c>
      <c r="F33" s="8"/>
      <c r="G33" s="5">
        <v>309000</v>
      </c>
      <c r="H33" s="325">
        <v>103</v>
      </c>
      <c r="I33" s="325">
        <v>953.82</v>
      </c>
      <c r="J33" s="8"/>
      <c r="K33" s="8"/>
      <c r="P33" s="8"/>
      <c r="Q33" s="8"/>
      <c r="X33" s="12"/>
      <c r="Y33" s="12"/>
      <c r="Z33" s="12"/>
      <c r="AA33" s="829"/>
      <c r="AB33" s="829"/>
      <c r="AC33" s="829"/>
      <c r="AD33" s="829"/>
      <c r="AE33" s="829"/>
    </row>
    <row r="34" spans="2:31" x14ac:dyDescent="0.35">
      <c r="B34" s="5">
        <v>413000</v>
      </c>
      <c r="C34" s="10">
        <v>0.21</v>
      </c>
      <c r="D34" s="8">
        <f t="shared" si="2"/>
        <v>963.07500000000005</v>
      </c>
      <c r="E34" s="8">
        <f t="shared" si="3"/>
        <v>55.330875000000049</v>
      </c>
      <c r="F34" s="8"/>
      <c r="G34" s="5">
        <v>290000</v>
      </c>
      <c r="H34" s="325">
        <v>100.5</v>
      </c>
      <c r="I34" s="325">
        <v>953.82</v>
      </c>
      <c r="J34" s="8"/>
      <c r="K34" s="8"/>
      <c r="P34" s="8"/>
      <c r="Q34" s="8"/>
      <c r="X34" s="12"/>
      <c r="Y34" s="12"/>
      <c r="Z34" s="12"/>
      <c r="AA34" s="829"/>
      <c r="AB34" s="829"/>
      <c r="AC34" s="829"/>
      <c r="AD34" s="829"/>
      <c r="AE34" s="829"/>
    </row>
    <row r="35" spans="2:31" x14ac:dyDescent="0.35">
      <c r="B35" s="5">
        <v>413000</v>
      </c>
      <c r="C35" s="328">
        <v>0.255</v>
      </c>
      <c r="D35" s="8">
        <f t="shared" si="2"/>
        <v>973.76250000000005</v>
      </c>
      <c r="E35" s="8">
        <f t="shared" si="3"/>
        <v>77.400562500000049</v>
      </c>
      <c r="F35" s="8"/>
      <c r="G35" s="5">
        <v>250000</v>
      </c>
      <c r="H35" s="325">
        <v>95</v>
      </c>
      <c r="I35" s="325">
        <v>956.56</v>
      </c>
      <c r="J35" s="8"/>
      <c r="P35" s="8"/>
      <c r="Q35" s="8"/>
      <c r="X35" s="329"/>
      <c r="Y35" s="830"/>
      <c r="Z35" s="830"/>
      <c r="AA35" s="330"/>
      <c r="AB35" s="330"/>
      <c r="AC35" s="330"/>
      <c r="AD35" s="330"/>
      <c r="AE35" s="12"/>
    </row>
    <row r="36" spans="2:31" x14ac:dyDescent="0.35">
      <c r="B36" s="5">
        <v>411900</v>
      </c>
      <c r="C36" s="10">
        <v>0.26400000000000001</v>
      </c>
      <c r="D36" s="8">
        <f t="shared" si="2"/>
        <v>975.90000000000009</v>
      </c>
      <c r="E36" s="8">
        <f t="shared" si="3"/>
        <v>81.796350000000146</v>
      </c>
      <c r="F36" s="8"/>
      <c r="G36" s="5">
        <v>210000</v>
      </c>
      <c r="H36" s="327">
        <v>90</v>
      </c>
      <c r="I36" s="327">
        <v>987.5</v>
      </c>
      <c r="J36" s="8"/>
      <c r="P36" s="8"/>
      <c r="Q36" s="8"/>
      <c r="X36" s="333"/>
      <c r="Y36" s="827"/>
      <c r="Z36" s="827"/>
      <c r="AA36" s="331"/>
      <c r="AB36" s="332"/>
      <c r="AC36" s="332"/>
      <c r="AD36" s="332"/>
      <c r="AE36" s="12"/>
    </row>
    <row r="37" spans="2:31" x14ac:dyDescent="0.35">
      <c r="B37" s="5">
        <v>400000</v>
      </c>
      <c r="C37" s="10">
        <v>0.37</v>
      </c>
      <c r="D37" s="8">
        <f t="shared" si="2"/>
        <v>1001.075</v>
      </c>
      <c r="E37" s="8">
        <f t="shared" si="3"/>
        <v>131.95000000000005</v>
      </c>
      <c r="F37" s="8"/>
      <c r="G37" s="5">
        <v>169000</v>
      </c>
      <c r="H37" s="327">
        <v>85</v>
      </c>
      <c r="I37" s="327">
        <v>987.25</v>
      </c>
      <c r="J37" s="8"/>
      <c r="P37" s="8"/>
      <c r="Q37" s="8"/>
      <c r="X37" s="333"/>
      <c r="Y37" s="827"/>
      <c r="Z37" s="827"/>
      <c r="AA37" s="331"/>
      <c r="AB37" s="332"/>
      <c r="AC37" s="332"/>
      <c r="AD37" s="332"/>
      <c r="AE37" s="13"/>
    </row>
    <row r="38" spans="2:31" x14ac:dyDescent="0.35">
      <c r="B38" s="5">
        <v>396800</v>
      </c>
      <c r="C38" s="10">
        <v>0.37</v>
      </c>
      <c r="D38" s="8">
        <f t="shared" si="2"/>
        <v>1001.075</v>
      </c>
      <c r="E38" s="8">
        <f t="shared" si="3"/>
        <v>131.49440000000004</v>
      </c>
      <c r="F38" s="8"/>
      <c r="H38" s="327"/>
      <c r="I38" s="327">
        <v>986.63</v>
      </c>
      <c r="J38" s="8"/>
      <c r="Q38" s="8"/>
      <c r="X38" s="333"/>
      <c r="Y38" s="827"/>
      <c r="Z38" s="827"/>
      <c r="AA38" s="331"/>
      <c r="AB38" s="332"/>
      <c r="AC38" s="332"/>
      <c r="AD38" s="332"/>
      <c r="AE38" s="13"/>
    </row>
    <row r="39" spans="2:31" x14ac:dyDescent="0.35">
      <c r="B39" s="5">
        <v>326055.55499999999</v>
      </c>
      <c r="C39" s="10">
        <v>0.37</v>
      </c>
      <c r="D39" s="8">
        <f t="shared" si="2"/>
        <v>1001.075</v>
      </c>
      <c r="E39" s="8">
        <f t="shared" si="3"/>
        <v>121.42215964312504</v>
      </c>
      <c r="F39" s="8"/>
      <c r="H39" s="327"/>
      <c r="I39" s="327">
        <v>986.96</v>
      </c>
      <c r="J39" s="8"/>
      <c r="Q39" s="8"/>
      <c r="X39" s="13"/>
      <c r="Y39" s="13"/>
      <c r="Z39" s="24"/>
      <c r="AA39" s="24"/>
      <c r="AB39" s="13"/>
      <c r="AC39" s="13"/>
      <c r="AD39" s="13"/>
      <c r="AE39" s="13"/>
    </row>
    <row r="40" spans="2:31" x14ac:dyDescent="0.35">
      <c r="B40" s="204">
        <v>309052.79999999999</v>
      </c>
      <c r="C40" s="10">
        <v>0.37</v>
      </c>
      <c r="D40" s="8">
        <f t="shared" si="2"/>
        <v>1001.075</v>
      </c>
      <c r="E40" s="8">
        <f t="shared" si="3"/>
        <v>119.00139240000003</v>
      </c>
      <c r="F40" s="8"/>
      <c r="H40" s="325"/>
      <c r="I40" s="325">
        <v>986.35</v>
      </c>
      <c r="J40" s="8"/>
      <c r="Q40" s="8"/>
      <c r="Z40" s="24"/>
    </row>
    <row r="41" spans="2:31" x14ac:dyDescent="0.35">
      <c r="B41" s="204">
        <v>169000</v>
      </c>
      <c r="C41" s="10">
        <v>0.37</v>
      </c>
      <c r="D41" s="8">
        <f t="shared" si="2"/>
        <v>1001.075</v>
      </c>
      <c r="E41" s="8">
        <f t="shared" si="3"/>
        <v>99.061375000000027</v>
      </c>
      <c r="F41" s="8"/>
      <c r="H41" s="325"/>
      <c r="I41" s="325">
        <v>978.89</v>
      </c>
      <c r="J41" s="8"/>
      <c r="Q41" s="8"/>
      <c r="Z41" s="24"/>
    </row>
    <row r="42" spans="2:31" x14ac:dyDescent="0.35">
      <c r="H42" s="325"/>
      <c r="I42" s="325">
        <v>977.29</v>
      </c>
      <c r="Z42" s="13"/>
    </row>
    <row r="43" spans="2:31" x14ac:dyDescent="0.35">
      <c r="B43" s="816" t="s">
        <v>23415</v>
      </c>
      <c r="C43" s="816"/>
      <c r="D43" s="816"/>
      <c r="E43" s="816"/>
      <c r="F43" s="299"/>
      <c r="H43" s="327"/>
      <c r="I43" s="327">
        <v>947.88</v>
      </c>
      <c r="J43" s="299"/>
      <c r="P43" s="299"/>
      <c r="Q43" s="299"/>
      <c r="Z43" s="13"/>
    </row>
    <row r="44" spans="2:31" x14ac:dyDescent="0.35">
      <c r="B44" t="s">
        <v>112</v>
      </c>
      <c r="C44" t="s">
        <v>113</v>
      </c>
      <c r="D44" t="s">
        <v>23404</v>
      </c>
      <c r="E44" t="s">
        <v>111</v>
      </c>
      <c r="V44" s="5"/>
      <c r="Z44" s="13"/>
      <c r="AA44" s="13"/>
      <c r="AB44" s="13"/>
      <c r="AC44" s="13"/>
      <c r="AD44" s="13"/>
      <c r="AE44" s="13"/>
    </row>
    <row r="45" spans="2:31" x14ac:dyDescent="0.35">
      <c r="B45" s="5">
        <v>294000</v>
      </c>
      <c r="C45" s="10">
        <v>7.0000000000000007E-2</v>
      </c>
      <c r="D45" s="8">
        <f t="shared" ref="D45:D52" si="4">(C45*(237.5))+(913.2)</f>
        <v>929.82500000000005</v>
      </c>
      <c r="E45" s="8">
        <f t="shared" ref="E45:E52" si="5">((((B45)*(D45-(Con_I)))/Con_II)+Datum_Index)</f>
        <v>12.120750000000037</v>
      </c>
      <c r="F45" s="8"/>
      <c r="J45" s="8"/>
      <c r="P45" s="8"/>
      <c r="Q45" s="8"/>
      <c r="T45" s="13"/>
      <c r="U45" s="13"/>
      <c r="V45" s="13"/>
      <c r="W45" s="13"/>
      <c r="X45" s="13"/>
      <c r="Y45" s="13"/>
      <c r="Z45" s="13"/>
      <c r="AA45" s="13"/>
      <c r="AB45" s="13"/>
      <c r="AC45" s="13"/>
      <c r="AD45" s="13"/>
      <c r="AE45" s="13"/>
    </row>
    <row r="46" spans="2:31" x14ac:dyDescent="0.35">
      <c r="B46" s="5">
        <v>309000</v>
      </c>
      <c r="C46" s="10">
        <v>0.14499999999999999</v>
      </c>
      <c r="D46" s="8">
        <f t="shared" si="4"/>
        <v>947.63750000000005</v>
      </c>
      <c r="E46" s="8">
        <f t="shared" si="5"/>
        <v>36.432937500000037</v>
      </c>
      <c r="F46" s="8"/>
      <c r="J46" s="8"/>
      <c r="P46" s="8"/>
      <c r="Q46" s="8"/>
      <c r="T46" s="13"/>
      <c r="W46" s="13"/>
      <c r="X46" s="29"/>
      <c r="Y46" s="30"/>
      <c r="Z46" s="30"/>
      <c r="AA46" s="13"/>
      <c r="AB46" s="13"/>
      <c r="AC46" s="13"/>
      <c r="AD46" s="13"/>
      <c r="AE46" s="13"/>
    </row>
    <row r="47" spans="2:31" x14ac:dyDescent="0.35">
      <c r="B47" s="5">
        <v>309000</v>
      </c>
      <c r="C47" s="10">
        <v>0.17899999999999999</v>
      </c>
      <c r="D47" s="8">
        <f t="shared" si="4"/>
        <v>955.71250000000009</v>
      </c>
      <c r="E47" s="8">
        <f t="shared" si="5"/>
        <v>48.90881250000011</v>
      </c>
      <c r="F47" s="8"/>
      <c r="J47" s="8"/>
      <c r="P47" s="8"/>
      <c r="Q47" s="8"/>
      <c r="T47" s="13"/>
      <c r="W47" s="13"/>
      <c r="X47" s="29"/>
      <c r="Y47" s="30"/>
      <c r="Z47" s="30"/>
      <c r="AA47" s="13"/>
      <c r="AB47" s="13"/>
      <c r="AC47" s="13"/>
      <c r="AD47" s="13"/>
      <c r="AE47" s="13"/>
    </row>
    <row r="48" spans="2:31" x14ac:dyDescent="0.35">
      <c r="B48" s="5">
        <v>309000</v>
      </c>
      <c r="C48" s="10">
        <v>0.2</v>
      </c>
      <c r="D48" s="8">
        <f t="shared" si="4"/>
        <v>960.7</v>
      </c>
      <c r="E48" s="8">
        <f t="shared" si="5"/>
        <v>56.614500000000035</v>
      </c>
      <c r="F48" s="8"/>
      <c r="G48" s="8"/>
      <c r="H48" s="8"/>
      <c r="I48" s="8"/>
      <c r="J48" s="8"/>
      <c r="P48" s="8"/>
      <c r="Q48" s="8"/>
    </row>
    <row r="49" spans="2:17" x14ac:dyDescent="0.35">
      <c r="B49" s="5">
        <v>309000</v>
      </c>
      <c r="C49" s="10">
        <v>0.25</v>
      </c>
      <c r="D49" s="8">
        <f t="shared" si="4"/>
        <v>972.57500000000005</v>
      </c>
      <c r="E49" s="8">
        <f t="shared" si="5"/>
        <v>74.961375000000032</v>
      </c>
      <c r="F49" s="8"/>
      <c r="G49" s="828" t="s">
        <v>23416</v>
      </c>
      <c r="H49" s="828"/>
      <c r="I49" s="828"/>
      <c r="J49" s="8"/>
      <c r="P49" s="8"/>
      <c r="Q49" s="8"/>
    </row>
    <row r="50" spans="2:17" x14ac:dyDescent="0.35">
      <c r="B50" s="204">
        <v>309000</v>
      </c>
      <c r="C50" s="10">
        <v>0.3</v>
      </c>
      <c r="D50" s="8">
        <f t="shared" si="4"/>
        <v>984.45</v>
      </c>
      <c r="E50" s="8">
        <f t="shared" si="5"/>
        <v>93.308250000000044</v>
      </c>
      <c r="F50" s="8"/>
      <c r="G50" s="299" t="s">
        <v>112</v>
      </c>
      <c r="H50" s="299" t="s">
        <v>111</v>
      </c>
      <c r="I50" s="299" t="s">
        <v>23404</v>
      </c>
      <c r="J50" s="8"/>
      <c r="P50" s="8"/>
      <c r="Q50" s="8"/>
    </row>
    <row r="51" spans="2:17" x14ac:dyDescent="0.35">
      <c r="B51" s="204">
        <v>309000</v>
      </c>
      <c r="C51" s="10">
        <v>0.35</v>
      </c>
      <c r="D51" s="8">
        <f t="shared" si="4"/>
        <v>996.32500000000005</v>
      </c>
      <c r="E51" s="8">
        <f t="shared" si="5"/>
        <v>111.65512500000003</v>
      </c>
      <c r="F51" s="8"/>
      <c r="G51" s="5">
        <v>169000</v>
      </c>
      <c r="H51">
        <v>34</v>
      </c>
      <c r="I51">
        <v>870.13</v>
      </c>
      <c r="J51" s="8"/>
      <c r="P51" s="8"/>
      <c r="Q51" s="8"/>
    </row>
    <row r="52" spans="2:17" x14ac:dyDescent="0.35">
      <c r="B52" s="204">
        <v>309000</v>
      </c>
      <c r="C52" s="10">
        <v>0.37</v>
      </c>
      <c r="D52" s="8">
        <f t="shared" si="4"/>
        <v>1001.075</v>
      </c>
      <c r="E52" s="8">
        <f t="shared" si="5"/>
        <v>118.99387500000003</v>
      </c>
      <c r="F52" s="8"/>
      <c r="G52" s="5">
        <v>298351.935</v>
      </c>
      <c r="H52">
        <v>15.8</v>
      </c>
      <c r="I52">
        <v>885.12</v>
      </c>
      <c r="J52" s="8"/>
      <c r="P52" s="8"/>
      <c r="Q52" s="8"/>
    </row>
    <row r="53" spans="2:17" x14ac:dyDescent="0.35">
      <c r="D53" s="8"/>
      <c r="E53" s="8"/>
      <c r="F53" s="8"/>
      <c r="G53" s="5">
        <v>309052.79999999999</v>
      </c>
      <c r="H53">
        <v>78.3</v>
      </c>
      <c r="I53">
        <v>977.29</v>
      </c>
      <c r="J53" s="8"/>
      <c r="P53" s="8"/>
      <c r="Q53" s="8"/>
    </row>
    <row r="54" spans="2:17" x14ac:dyDescent="0.35">
      <c r="B54" s="816" t="s">
        <v>23417</v>
      </c>
      <c r="C54" s="816"/>
      <c r="D54" s="816"/>
      <c r="E54" s="816"/>
      <c r="F54" s="299"/>
      <c r="G54" s="5">
        <v>169000</v>
      </c>
      <c r="H54">
        <v>65.099999999999994</v>
      </c>
      <c r="I54">
        <v>947.88</v>
      </c>
      <c r="J54" s="299"/>
      <c r="P54" s="299"/>
      <c r="Q54" s="299"/>
    </row>
    <row r="55" spans="2:17" x14ac:dyDescent="0.35">
      <c r="B55" t="s">
        <v>112</v>
      </c>
      <c r="C55" t="s">
        <v>113</v>
      </c>
      <c r="D55" s="8" t="s">
        <v>23404</v>
      </c>
      <c r="E55" s="8" t="s">
        <v>111</v>
      </c>
      <c r="F55" s="8"/>
      <c r="G55" s="8"/>
      <c r="H55" s="8"/>
      <c r="I55" s="8"/>
      <c r="J55" s="8"/>
      <c r="P55" s="8"/>
      <c r="Q55" s="8"/>
    </row>
    <row r="56" spans="2:17" x14ac:dyDescent="0.35">
      <c r="B56" s="5">
        <v>320000</v>
      </c>
      <c r="C56" s="10">
        <v>7.0000000000000007E-2</v>
      </c>
      <c r="D56" s="8">
        <f t="shared" ref="D56:D61" si="6">(C56*(237.5))+(913.2)</f>
        <v>929.82500000000005</v>
      </c>
      <c r="E56" s="8">
        <f t="shared" ref="E56:E62" si="7">((((B56)*(D56-(Con_I)))/Con_II)+Datum_Index)</f>
        <v>6.5600000000000307</v>
      </c>
      <c r="F56" s="8"/>
      <c r="G56" s="816" t="s">
        <v>23418</v>
      </c>
      <c r="H56" s="816"/>
      <c r="I56" s="816"/>
      <c r="J56" s="8"/>
      <c r="P56" s="8"/>
      <c r="Q56" s="8"/>
    </row>
    <row r="57" spans="2:17" x14ac:dyDescent="0.35">
      <c r="B57" s="5">
        <v>326000</v>
      </c>
      <c r="C57" s="10">
        <v>0.14499999999999999</v>
      </c>
      <c r="D57" s="8">
        <f t="shared" si="6"/>
        <v>947.63750000000005</v>
      </c>
      <c r="E57" s="8">
        <f t="shared" si="7"/>
        <v>34.31112500000004</v>
      </c>
      <c r="F57" s="8"/>
      <c r="G57" t="s">
        <v>112</v>
      </c>
      <c r="H57" t="s">
        <v>111</v>
      </c>
      <c r="I57" t="s">
        <v>23404</v>
      </c>
      <c r="J57" s="8"/>
      <c r="P57" s="8"/>
      <c r="Q57" s="8"/>
    </row>
    <row r="58" spans="2:17" x14ac:dyDescent="0.35">
      <c r="B58" s="5">
        <v>326000</v>
      </c>
      <c r="C58" s="10">
        <v>0.2</v>
      </c>
      <c r="D58" s="8">
        <f t="shared" si="6"/>
        <v>960.7</v>
      </c>
      <c r="E58" s="8">
        <f t="shared" si="7"/>
        <v>55.603000000000037</v>
      </c>
      <c r="F58" s="299"/>
      <c r="G58" s="5">
        <v>169000</v>
      </c>
      <c r="H58" s="8">
        <v>30.2</v>
      </c>
      <c r="I58" s="8">
        <v>860.66</v>
      </c>
      <c r="J58" s="8"/>
      <c r="P58" s="8"/>
      <c r="Q58" s="8"/>
    </row>
    <row r="59" spans="2:17" x14ac:dyDescent="0.35">
      <c r="B59" s="5">
        <v>326000</v>
      </c>
      <c r="C59" s="10">
        <v>0.25</v>
      </c>
      <c r="D59" s="8">
        <f t="shared" si="6"/>
        <v>972.57500000000005</v>
      </c>
      <c r="E59" s="8">
        <f t="shared" si="7"/>
        <v>74.95925000000004</v>
      </c>
      <c r="F59" s="8"/>
      <c r="G59" s="5">
        <v>298351.935</v>
      </c>
      <c r="H59" s="8">
        <v>12</v>
      </c>
      <c r="I59" s="8">
        <v>879.52</v>
      </c>
      <c r="J59" s="8"/>
      <c r="P59" s="8"/>
      <c r="Q59" s="8"/>
    </row>
    <row r="60" spans="2:17" x14ac:dyDescent="0.35">
      <c r="B60" s="5">
        <v>326000</v>
      </c>
      <c r="C60" s="10">
        <v>0.3</v>
      </c>
      <c r="D60" s="8">
        <f t="shared" si="6"/>
        <v>984.45</v>
      </c>
      <c r="E60" s="8">
        <f t="shared" si="7"/>
        <v>94.315500000000043</v>
      </c>
      <c r="F60" s="299"/>
      <c r="G60" s="5">
        <v>303055.2</v>
      </c>
      <c r="H60" s="8">
        <v>18.063000000000002</v>
      </c>
      <c r="I60" s="8">
        <v>937.66250000000002</v>
      </c>
      <c r="J60" s="8"/>
      <c r="P60" s="8"/>
      <c r="Q60" s="8"/>
    </row>
    <row r="61" spans="2:17" x14ac:dyDescent="0.35">
      <c r="B61" s="5">
        <v>326000</v>
      </c>
      <c r="C61" s="10">
        <v>0.35</v>
      </c>
      <c r="D61" s="8">
        <f t="shared" si="6"/>
        <v>996.32500000000005</v>
      </c>
      <c r="E61" s="8">
        <f t="shared" si="7"/>
        <v>113.67175000000003</v>
      </c>
      <c r="F61" s="8"/>
      <c r="G61" s="5">
        <v>309052.79999999999</v>
      </c>
      <c r="H61" s="8">
        <v>36.792676923076996</v>
      </c>
      <c r="I61" s="8">
        <v>955.71250000000009</v>
      </c>
      <c r="J61" s="8"/>
      <c r="P61" s="8"/>
      <c r="Q61" s="8"/>
    </row>
    <row r="62" spans="2:17" x14ac:dyDescent="0.35">
      <c r="B62" s="5">
        <v>326000</v>
      </c>
      <c r="C62" s="10">
        <v>0.37</v>
      </c>
      <c r="D62" s="8">
        <f>(C62*(237.5))+(913.2)</f>
        <v>1001.075</v>
      </c>
      <c r="E62" s="8">
        <f t="shared" si="7"/>
        <v>121.41425000000004</v>
      </c>
      <c r="F62" s="8"/>
      <c r="G62" s="5">
        <v>309052.79999999999</v>
      </c>
      <c r="H62" s="8">
        <v>42.169969230769254</v>
      </c>
      <c r="I62" s="8">
        <v>960.7</v>
      </c>
      <c r="J62" s="8"/>
      <c r="P62" s="8"/>
      <c r="Q62" s="8"/>
    </row>
    <row r="63" spans="2:17" x14ac:dyDescent="0.35">
      <c r="F63" s="8"/>
      <c r="G63" s="5">
        <v>309052.79999999999</v>
      </c>
      <c r="H63" s="8">
        <v>54.973046153846177</v>
      </c>
      <c r="I63" s="8">
        <v>972.57500000000005</v>
      </c>
    </row>
    <row r="64" spans="2:17" x14ac:dyDescent="0.35">
      <c r="C64" t="s">
        <v>138</v>
      </c>
      <c r="F64" s="299"/>
      <c r="G64" s="5">
        <v>309052.79999999999</v>
      </c>
      <c r="H64" s="8">
        <v>67.776123076923099</v>
      </c>
      <c r="I64" s="8">
        <v>984.45</v>
      </c>
      <c r="J64" s="299"/>
      <c r="P64" s="299"/>
      <c r="Q64" s="299"/>
    </row>
    <row r="65" spans="2:17" x14ac:dyDescent="0.35">
      <c r="B65" t="s">
        <v>112</v>
      </c>
      <c r="C65" t="s">
        <v>113</v>
      </c>
      <c r="D65" s="8" t="s">
        <v>23404</v>
      </c>
      <c r="E65" s="8" t="s">
        <v>111</v>
      </c>
      <c r="F65" s="8"/>
      <c r="G65" s="5">
        <v>309052.79999999999</v>
      </c>
      <c r="H65" s="8">
        <v>80.579200000000029</v>
      </c>
      <c r="I65" s="8">
        <v>996.32500000000005</v>
      </c>
    </row>
    <row r="66" spans="2:17" x14ac:dyDescent="0.35">
      <c r="B66" s="5">
        <v>179000</v>
      </c>
      <c r="D66">
        <f>(C66*(237.5))+(913.2)</f>
        <v>913.2</v>
      </c>
      <c r="E66" s="8">
        <v>36.5</v>
      </c>
      <c r="F66" s="8"/>
      <c r="G66" s="5">
        <v>309052.79999999999</v>
      </c>
      <c r="H66" s="8">
        <v>82.1</v>
      </c>
      <c r="I66" s="8">
        <v>982.7</v>
      </c>
      <c r="J66" s="299"/>
      <c r="P66" s="299"/>
      <c r="Q66" s="299"/>
    </row>
    <row r="67" spans="2:17" x14ac:dyDescent="0.35">
      <c r="B67" s="5">
        <v>179000</v>
      </c>
      <c r="D67">
        <f t="shared" ref="D67:D72" si="8">(C67*(237.5))+(913.2)</f>
        <v>913.2</v>
      </c>
      <c r="E67" s="8">
        <v>39</v>
      </c>
      <c r="F67" s="8"/>
      <c r="G67" s="5">
        <v>169000</v>
      </c>
      <c r="H67" s="8">
        <v>68.900000000000006</v>
      </c>
      <c r="I67" s="8">
        <v>957.35</v>
      </c>
      <c r="J67" s="8"/>
      <c r="P67" s="8"/>
      <c r="Q67" s="8"/>
    </row>
    <row r="68" spans="2:17" x14ac:dyDescent="0.35">
      <c r="B68" s="5">
        <v>179000</v>
      </c>
      <c r="D68">
        <f t="shared" si="8"/>
        <v>913.2</v>
      </c>
      <c r="E68" s="8">
        <v>41.464116153846177</v>
      </c>
      <c r="F68" s="299"/>
      <c r="G68" s="299"/>
      <c r="H68" s="299"/>
      <c r="I68" s="299"/>
      <c r="J68" s="8"/>
      <c r="P68" s="8"/>
      <c r="Q68" s="8"/>
    </row>
    <row r="69" spans="2:17" x14ac:dyDescent="0.35">
      <c r="B69" s="5">
        <v>179000</v>
      </c>
      <c r="D69">
        <f t="shared" si="8"/>
        <v>913.2</v>
      </c>
      <c r="E69" s="8">
        <v>54.971563269230792</v>
      </c>
      <c r="F69" s="8"/>
      <c r="G69" s="8"/>
      <c r="H69" s="8"/>
      <c r="I69" s="8"/>
      <c r="J69" s="8"/>
      <c r="P69" s="8"/>
      <c r="Q69" s="8"/>
    </row>
    <row r="70" spans="2:17" x14ac:dyDescent="0.35">
      <c r="B70" s="5">
        <v>179000</v>
      </c>
      <c r="D70">
        <f t="shared" si="8"/>
        <v>913.2</v>
      </c>
      <c r="E70" s="8">
        <v>60</v>
      </c>
      <c r="F70" s="8"/>
      <c r="G70" s="8"/>
      <c r="H70" s="8"/>
      <c r="I70" s="8"/>
      <c r="J70" s="299"/>
      <c r="P70" s="299"/>
      <c r="Q70" s="299"/>
    </row>
    <row r="71" spans="2:17" x14ac:dyDescent="0.35">
      <c r="B71" s="5">
        <v>179000</v>
      </c>
      <c r="D71">
        <f t="shared" si="8"/>
        <v>913.2</v>
      </c>
      <c r="E71" s="8">
        <v>65</v>
      </c>
      <c r="F71" s="8"/>
      <c r="J71" s="8"/>
      <c r="P71" s="8"/>
      <c r="Q71" s="8"/>
    </row>
    <row r="72" spans="2:17" x14ac:dyDescent="0.35">
      <c r="B72" s="5">
        <v>179000</v>
      </c>
      <c r="D72">
        <f t="shared" si="8"/>
        <v>913.2</v>
      </c>
      <c r="E72" s="8">
        <v>100.5</v>
      </c>
      <c r="F72" s="299"/>
      <c r="J72" s="8"/>
      <c r="P72" s="8"/>
      <c r="Q72" s="8"/>
    </row>
    <row r="73" spans="2:17" x14ac:dyDescent="0.35">
      <c r="F73" s="8"/>
      <c r="J73" s="8"/>
      <c r="P73" s="8"/>
      <c r="Q73" s="8"/>
    </row>
    <row r="74" spans="2:17" x14ac:dyDescent="0.35">
      <c r="F74" s="8"/>
      <c r="J74" s="299"/>
      <c r="P74" s="299"/>
      <c r="Q74" s="299"/>
    </row>
    <row r="75" spans="2:17" x14ac:dyDescent="0.35">
      <c r="J75" s="8"/>
      <c r="P75" s="8"/>
      <c r="Q75" s="8"/>
    </row>
    <row r="76" spans="2:17" x14ac:dyDescent="0.35">
      <c r="J76" s="8"/>
      <c r="P76" s="8"/>
      <c r="Q76" s="8"/>
    </row>
    <row r="77" spans="2:17" x14ac:dyDescent="0.35">
      <c r="J77" s="8"/>
      <c r="P77" s="8"/>
      <c r="Q77" s="8"/>
    </row>
    <row r="78" spans="2:17" x14ac:dyDescent="0.35">
      <c r="J78" s="299"/>
      <c r="P78" s="299"/>
      <c r="Q78" s="299"/>
    </row>
    <row r="79" spans="2:17" x14ac:dyDescent="0.35">
      <c r="J79" s="8"/>
      <c r="P79" s="8"/>
      <c r="Q79" s="8"/>
    </row>
    <row r="80" spans="2:17" x14ac:dyDescent="0.35">
      <c r="J80" s="299"/>
      <c r="P80" s="299"/>
      <c r="Q80" s="299"/>
    </row>
    <row r="81" spans="10:17" x14ac:dyDescent="0.35">
      <c r="J81" s="8"/>
      <c r="P81" s="8"/>
      <c r="Q81" s="8"/>
    </row>
    <row r="82" spans="10:17" x14ac:dyDescent="0.35">
      <c r="J82" s="8"/>
      <c r="P82" s="8"/>
      <c r="Q82" s="8"/>
    </row>
    <row r="83" spans="10:17" x14ac:dyDescent="0.35">
      <c r="J83" s="8"/>
      <c r="P83" s="8"/>
      <c r="Q83" s="8"/>
    </row>
    <row r="84" spans="10:17" x14ac:dyDescent="0.35">
      <c r="J84" s="299"/>
      <c r="P84" s="299"/>
      <c r="Q84" s="299"/>
    </row>
    <row r="85" spans="10:17" x14ac:dyDescent="0.35">
      <c r="J85" s="8"/>
      <c r="P85" s="8"/>
      <c r="Q85" s="8"/>
    </row>
    <row r="86" spans="10:17" x14ac:dyDescent="0.35">
      <c r="J86" s="8"/>
      <c r="P86" s="8"/>
      <c r="Q86" s="8"/>
    </row>
    <row r="87" spans="10:17" x14ac:dyDescent="0.35">
      <c r="J87" s="8"/>
      <c r="P87" s="8"/>
      <c r="Q87" s="8"/>
    </row>
    <row r="88" spans="10:17" x14ac:dyDescent="0.35">
      <c r="J88" s="299"/>
      <c r="P88" s="299"/>
      <c r="Q88" s="299"/>
    </row>
    <row r="89" spans="10:17" x14ac:dyDescent="0.35">
      <c r="J89" s="8"/>
      <c r="P89" s="8"/>
      <c r="Q89" s="8"/>
    </row>
    <row r="90" spans="10:17" x14ac:dyDescent="0.35">
      <c r="J90" s="8"/>
      <c r="P90" s="8"/>
      <c r="Q90" s="8"/>
    </row>
    <row r="91" spans="10:17" x14ac:dyDescent="0.35">
      <c r="J91" s="8"/>
      <c r="P91" s="8"/>
      <c r="Q91" s="8"/>
    </row>
    <row r="92" spans="10:17" x14ac:dyDescent="0.35">
      <c r="J92" s="299"/>
      <c r="P92" s="299"/>
      <c r="Q92" s="299"/>
    </row>
    <row r="93" spans="10:17" x14ac:dyDescent="0.35">
      <c r="J93" s="8"/>
      <c r="P93" s="8"/>
      <c r="Q93" s="8"/>
    </row>
    <row r="94" spans="10:17" x14ac:dyDescent="0.35">
      <c r="J94" s="8"/>
      <c r="P94" s="8"/>
      <c r="Q94" s="8"/>
    </row>
  </sheetData>
  <mergeCells count="22">
    <mergeCell ref="K12:N12"/>
    <mergeCell ref="B2:E2"/>
    <mergeCell ref="G2:I2"/>
    <mergeCell ref="K2:N2"/>
    <mergeCell ref="K4:N4"/>
    <mergeCell ref="K8:N8"/>
    <mergeCell ref="G17:I17"/>
    <mergeCell ref="K18:N18"/>
    <mergeCell ref="K22:N22"/>
    <mergeCell ref="B23:E23"/>
    <mergeCell ref="K26:N26"/>
    <mergeCell ref="K30:N30"/>
    <mergeCell ref="AA33:AE34"/>
    <mergeCell ref="Y35:Z35"/>
    <mergeCell ref="Y36:Z36"/>
    <mergeCell ref="K16:N16"/>
    <mergeCell ref="B54:E54"/>
    <mergeCell ref="G56:I56"/>
    <mergeCell ref="Y37:Z37"/>
    <mergeCell ref="Y38:Z38"/>
    <mergeCell ref="B43:E43"/>
    <mergeCell ref="G49:I49"/>
  </mergeCells>
  <conditionalFormatting sqref="Y36:Y38">
    <cfRule type="cellIs" dxfId="3" priority="1" operator="greaterThan">
      <formula>0</formula>
    </cfRule>
    <cfRule type="containsText" dxfId="2" priority="2" operator="containsText" text="Weight Exceeded">
      <formula>NOT(ISERROR(SEARCH("Weight Exceeded",Y36)))</formula>
    </cfRule>
    <cfRule type="containsText" dxfId="1" priority="3" operator="containsText" text="ERROR">
      <formula>NOT(ISERROR(SEARCH("ERROR",Y36)))</formula>
    </cfRule>
  </conditionalFormatting>
  <conditionalFormatting sqref="Z46:Z47">
    <cfRule type="containsText" dxfId="0" priority="4" operator="containsText" text="ERROR">
      <formula>NOT(ISERROR(SEARCH("ERROR",Z46)))</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53</vt:i4>
      </vt:variant>
    </vt:vector>
  </HeadingPairs>
  <TitlesOfParts>
    <vt:vector size="56" baseType="lpstr">
      <vt:lpstr>Load Plan </vt:lpstr>
      <vt:lpstr>Load Sheet</vt:lpstr>
      <vt:lpstr>Trim Sheet</vt:lpstr>
      <vt:lpstr>AC_Reg</vt:lpstr>
      <vt:lpstr>ADJ_BA</vt:lpstr>
      <vt:lpstr>ADJ_BEW</vt:lpstr>
      <vt:lpstr>'Important Attributes'!BA</vt:lpstr>
      <vt:lpstr>'Important Attributes'!BEW</vt:lpstr>
      <vt:lpstr>'Important Attributes'!BM</vt:lpstr>
      <vt:lpstr>'INDEX n LBS Chart Build'!Con_I</vt:lpstr>
      <vt:lpstr>'INDEX n LBS Chart Build'!Con_II</vt:lpstr>
      <vt:lpstr>'Important Attributes'!CREW</vt:lpstr>
      <vt:lpstr>'Load Sheet'!Crew</vt:lpstr>
      <vt:lpstr>Crew_bagg</vt:lpstr>
      <vt:lpstr>D_LEMAC</vt:lpstr>
      <vt:lpstr>D_MAC</vt:lpstr>
      <vt:lpstr>'INDEX n LBS Chart Build'!Datum_Index</vt:lpstr>
      <vt:lpstr>Datum_Index</vt:lpstr>
      <vt:lpstr>Fuel</vt:lpstr>
      <vt:lpstr>G1_Cons</vt:lpstr>
      <vt:lpstr>hold_1</vt:lpstr>
      <vt:lpstr>hold_1_A</vt:lpstr>
      <vt:lpstr>hold_1A</vt:lpstr>
      <vt:lpstr>hold_2</vt:lpstr>
      <vt:lpstr>hold_2b</vt:lpstr>
      <vt:lpstr>hold_3</vt:lpstr>
      <vt:lpstr>ILOWERHOLD</vt:lpstr>
      <vt:lpstr>IUPHOLD</vt:lpstr>
      <vt:lpstr>lav_fluid</vt:lpstr>
      <vt:lpstr>Max_Auth_TOW</vt:lpstr>
      <vt:lpstr>Max_Landing</vt:lpstr>
      <vt:lpstr>Max_Takeoff</vt:lpstr>
      <vt:lpstr>Max_Taxi</vt:lpstr>
      <vt:lpstr>'INDEX n LBS Chart Build'!Max_Zerofuel</vt:lpstr>
      <vt:lpstr>Max_Zerofuel</vt:lpstr>
      <vt:lpstr>Min_Flight</vt:lpstr>
      <vt:lpstr>'INDEX n LBS Chart Build'!MSN</vt:lpstr>
      <vt:lpstr>MSN</vt:lpstr>
      <vt:lpstr>Overlap_1</vt:lpstr>
      <vt:lpstr>Overlap_2</vt:lpstr>
      <vt:lpstr>Overlap_3</vt:lpstr>
      <vt:lpstr>Overlap_4</vt:lpstr>
      <vt:lpstr>Overlap_5</vt:lpstr>
      <vt:lpstr>Overlap_6</vt:lpstr>
      <vt:lpstr>Pos_1</vt:lpstr>
      <vt:lpstr>Pos_10</vt:lpstr>
      <vt:lpstr>Pos_2</vt:lpstr>
      <vt:lpstr>Pos_3</vt:lpstr>
      <vt:lpstr>Pos_4</vt:lpstr>
      <vt:lpstr>Pos_5</vt:lpstr>
      <vt:lpstr>Pos_6</vt:lpstr>
      <vt:lpstr>Pos_7</vt:lpstr>
      <vt:lpstr>Pos_8</vt:lpstr>
      <vt:lpstr>Pos_9</vt:lpstr>
      <vt:lpstr>'Load Sheet'!Print_Area</vt:lpstr>
      <vt:lpstr>SNY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Cornelius Muraya K.</dc:creator>
  <cp:lastModifiedBy>Cornelius Muraya K.</cp:lastModifiedBy>
  <cp:lastPrinted>2025-07-01T08:54:18Z</cp:lastPrinted>
  <dcterms:created xsi:type="dcterms:W3CDTF">2025-04-15T12:53:39Z</dcterms:created>
  <dcterms:modified xsi:type="dcterms:W3CDTF">2025-12-09T09:15:43Z</dcterms:modified>
</cp:coreProperties>
</file>